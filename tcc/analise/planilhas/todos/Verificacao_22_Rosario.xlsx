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ficacao" sheetId="1" state="visible" r:id="rId3"/>
    <sheet name="Vazoes_COLAR" sheetId="2" state="visible" r:id="rId4"/>
    <sheet name="Amostra_12_meses" sheetId="3" state="visible" r:id="rId5"/>
    <sheet name="Dados_Acudes" sheetId="4" state="visible" r:id="rId6"/>
    <sheet name="Dados_Evap" sheetId="5" state="visible" r:id="rId7"/>
    <sheet name="Dados_CAV" sheetId="6" state="visible" r:id="rId8"/>
    <sheet name="Aux_CA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<sst xmlns="http://schemas.openxmlformats.org/spreadsheetml/2006/main" count="478" uniqueCount="368">
  <si>
    <t xml:space="preserve">PLANILHA INDEPENDENTE DE VERIFICAÇÃO DO SIMULADOR – BALANÇO HÍDRICO MENSAL</t>
  </si>
  <si>
    <t xml:space="preserve"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</si>
  <si>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 xml:space="preserve">PARÂMETRO</t>
  </si>
  <si>
    <t xml:space="preserve">VALOR</t>
  </si>
  <si>
    <t xml:space="preserve">INDICADOR</t>
  </si>
  <si>
    <t xml:space="preserve">RESULTADO</t>
  </si>
  <si>
    <t xml:space="preserve">LÓGICA REPRODUZIDA</t>
  </si>
  <si>
    <t xml:space="preserve">Reservatório</t>
  </si>
  <si>
    <t xml:space="preserve">Rosário</t>
  </si>
  <si>
    <t xml:space="preserve">Meses válidos</t>
  </si>
  <si>
    <t xml:space="preserve"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</si>
  <si>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 xml:space="preserve">jan/1910 a dez/2021</t>
  </si>
  <si>
    <t xml:space="preserve">Código</t>
  </si>
  <si>
    <t xml:space="preserve">Falhas</t>
  </si>
  <si>
    <t xml:space="preserve">Automático no primeiro mês com vazão</t>
  </si>
  <si>
    <t xml:space="preserve">Capacidade (hm³)</t>
  </si>
  <si>
    <t xml:space="preserve">Atendimento global (%)</t>
  </si>
  <si>
    <t xml:space="preserve">Estação de evaporação</t>
  </si>
  <si>
    <t xml:space="preserve">Vertimento total (hm³)</t>
  </si>
  <si>
    <t xml:space="preserve">Volume inicial (% capacidade)</t>
  </si>
  <si>
    <t xml:space="preserve">Evaporação total (hm³)</t>
  </si>
  <si>
    <t xml:space="preserve">Volume inicial (hm³)</t>
  </si>
  <si>
    <t xml:space="preserve">Resíduo máximo |ε| (hm³)</t>
  </si>
  <si>
    <t xml:space="preserve">Demanda constante (m³/s)</t>
  </si>
  <si>
    <t xml:space="preserve">Volume mínimo (hm³)</t>
  </si>
  <si>
    <t xml:space="preserve">Demanda constante (L/s)</t>
  </si>
  <si>
    <t xml:space="preserve">Volume máximo (hm³)</t>
  </si>
  <si>
    <t xml:space="preserve">Dias por mês</t>
  </si>
  <si>
    <t xml:space="preserve">Situação do balanço</t>
  </si>
  <si>
    <t xml:space="preserve">Conversão m³/s → hm³/mês</t>
  </si>
  <si>
    <t xml:space="preserve">CAV mín. (hm³)</t>
  </si>
  <si>
    <t xml:space="preserve">Volumes físicos negativos</t>
  </si>
  <si>
    <t xml:space="preserve">Versão nativa para LibreOffice Calc, sem LET, MAP, SCAN, MAKEARRAY ou matrizes dinâmicas.</t>
  </si>
  <si>
    <t xml:space="preserve">CAV máx. (hm³)</t>
  </si>
  <si>
    <t xml:space="preserve">Status limites físicos</t>
  </si>
  <si>
    <t xml:space="preserve">Pontos CAV</t>
  </si>
  <si>
    <t xml:space="preserve">Tolerância do resíduo (hm³)</t>
  </si>
  <si>
    <t xml:space="preserve">Linha inicial CAV</t>
  </si>
  <si>
    <t xml:space="preserve">Quantidade linhas CAV</t>
  </si>
  <si>
    <t xml:space="preserve">Data</t>
  </si>
  <si>
    <t xml:space="preserve">Ano</t>
  </si>
  <si>
    <t xml:space="preserve">Mês nº</t>
  </si>
  <si>
    <t xml:space="preserve">Vazão (m³/s)</t>
  </si>
  <si>
    <t xml:space="preserve">Afluência (hm³)</t>
  </si>
  <si>
    <t xml:space="preserve">Evap. (mm)</t>
  </si>
  <si>
    <t xml:space="preserve">Evap. (m)</t>
  </si>
  <si>
    <t xml:space="preserve">Armaz. inicial (hm³)</t>
  </si>
  <si>
    <t xml:space="preserve">Área inicial (km²)</t>
  </si>
  <si>
    <t xml:space="preserve">Dem. solicitada (m³/s)</t>
  </si>
  <si>
    <t xml:space="preserve">Dem. solicitada (hm³)</t>
  </si>
  <si>
    <t xml:space="preserve">Saldo interno 1 (hm³)</t>
  </si>
  <si>
    <t xml:space="preserve">Área preliminar (km²)</t>
  </si>
  <si>
    <t xml:space="preserve">Área média (km²)</t>
  </si>
  <si>
    <t xml:space="preserve">Evaporação (hm³)</t>
  </si>
  <si>
    <t xml:space="preserve">Saldo interno 2 (hm³)</t>
  </si>
  <si>
    <t xml:space="preserve">Retirada efetiva (hm³)</t>
  </si>
  <si>
    <t xml:space="preserve">Dem. atendida (m³/s)</t>
  </si>
  <si>
    <t xml:space="preserve">Déficit (m³/s)</t>
  </si>
  <si>
    <t xml:space="preserve">Vertimento (hm³)</t>
  </si>
  <si>
    <t xml:space="preserve">Armaz. final (hm³)</t>
  </si>
  <si>
    <t xml:space="preserve">Falha</t>
  </si>
  <si>
    <t xml:space="preserve">Resíduo ε (hm³)</t>
  </si>
  <si>
    <t xml:space="preserve">|ε| (hm³)</t>
  </si>
  <si>
    <t xml:space="preserve">Volume final (%)</t>
  </si>
  <si>
    <t xml:space="preserve">Estado interno auxiliar (hm³)</t>
  </si>
  <si>
    <t xml:space="preserve">0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</si>
  <si>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</si>
  <si>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</si>
  <si>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</si>
  <si>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</si>
  <si>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</si>
  <si>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</si>
  <si>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</si>
  <si>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</si>
  <si>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</si>
  <si>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</si>
  <si>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</si>
  <si>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</si>
  <si>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COMO USAR</t>
  </si>
  <si>
    <t xml:space="preserve">Série histórica: 1910 a 2021. Cole as vazões em B2:M113 ou cole a tabela completa em A1:M113. Meses vazios antes da primeira vazão são ignorados automaticamente. Use vírgula decimal normalmente.</t>
  </si>
  <si>
    <t xml:space="preserve">AMOSTRA DE 12 MESES PARA O PROTOCOLO DE VERIFICAÇÃO</t>
  </si>
  <si>
    <t xml:space="preserve">Escolha o ano em B5. Se o primeiro ano tiver apenas parte dos meses, somente os meses com dados aparecerão. P, R e T continuam opcionais para comparação com as saídas do simulador.</t>
  </si>
  <si>
    <t xml:space="preserve">Ano do relatório</t>
  </si>
  <si>
    <t xml:space="preserve">Opcional: cole nas colunas amarelas os resultados mensais exportados do simulador. As colunas adjacentes calculam as diferenças.</t>
  </si>
  <si>
    <t xml:space="preserve">Mês</t>
  </si>
  <si>
    <t xml:space="preserve">Q (m³/s)</t>
  </si>
  <si>
    <t xml:space="preserve">Arm. inicial (hm³)</t>
  </si>
  <si>
    <t xml:space="preserve">Evap. (hm³)</t>
  </si>
  <si>
    <t xml:space="preserve">Dem. sol. (m³/s)</t>
  </si>
  <si>
    <t xml:space="preserve">Dem. atend. (m³/s)</t>
  </si>
  <si>
    <t xml:space="preserve">Arm. final (hm³)</t>
  </si>
  <si>
    <t xml:space="preserve">Vol. final SIM (hm³)</t>
  </si>
  <si>
    <t xml:space="preserve">Dif. volume (hm³)</t>
  </si>
  <si>
    <t xml:space="preserve">Evap. SIM (hm³)</t>
  </si>
  <si>
    <t xml:space="preserve">Dif. evap. (hm³)</t>
  </si>
  <si>
    <t xml:space="preserve">Vert. SIM (hm³)</t>
  </si>
  <si>
    <t xml:space="preserve">Dif. vert. (hm³)</t>
  </si>
  <si>
    <t xml:space="preserve">CORPO</t>
  </si>
  <si>
    <t xml:space="preserve">COD</t>
  </si>
  <si>
    <t xml:space="preserve">CAPAC_M3</t>
  </si>
  <si>
    <t xml:space="preserve">MUNICIPIO</t>
  </si>
  <si>
    <t xml:space="preserve">BACIA</t>
  </si>
  <si>
    <t xml:space="preserve">EstEvap</t>
  </si>
  <si>
    <t xml:space="preserve">CSANGR</t>
  </si>
  <si>
    <t xml:space="preserve">CTOMADA</t>
  </si>
  <si>
    <t xml:space="preserve">LSANGR</t>
  </si>
  <si>
    <t xml:space="preserve">COEFSAGR</t>
  </si>
  <si>
    <t xml:space="preserve">AUX_CAV_INICIO</t>
  </si>
  <si>
    <t xml:space="preserve">AUX_CAV_QTD</t>
  </si>
  <si>
    <t xml:space="preserve">Acarape do Meio</t>
  </si>
  <si>
    <t xml:space="preserve">Redenção</t>
  </si>
  <si>
    <t xml:space="preserve">Acaraú Mirim</t>
  </si>
  <si>
    <t xml:space="preserve">Massapê</t>
  </si>
  <si>
    <t xml:space="preserve">Adauto Bezerra</t>
  </si>
  <si>
    <t xml:space="preserve">Pereiro</t>
  </si>
  <si>
    <t xml:space="preserve">Amanary</t>
  </si>
  <si>
    <t xml:space="preserve">Maranguape</t>
  </si>
  <si>
    <t xml:space="preserve">Angicos</t>
  </si>
  <si>
    <t xml:space="preserve">Coreaú</t>
  </si>
  <si>
    <t xml:space="preserve">Aracoiaba</t>
  </si>
  <si>
    <t xml:space="preserve">Araras</t>
  </si>
  <si>
    <t xml:space="preserve">Varjota</t>
  </si>
  <si>
    <t xml:space="preserve">Arneiroz II</t>
  </si>
  <si>
    <t xml:space="preserve">Arneiroz</t>
  </si>
  <si>
    <t xml:space="preserve">Arrebita</t>
  </si>
  <si>
    <t xml:space="preserve">Forquilha</t>
  </si>
  <si>
    <t xml:space="preserve">Atalho</t>
  </si>
  <si>
    <t xml:space="preserve">Brejo Santo </t>
  </si>
  <si>
    <t xml:space="preserve">Ayres de Sousa</t>
  </si>
  <si>
    <t xml:space="preserve">Sobral</t>
  </si>
  <si>
    <t xml:space="preserve">Banabuiú</t>
  </si>
  <si>
    <t xml:space="preserve">Barra Velha</t>
  </si>
  <si>
    <t xml:space="preserve">Independência</t>
  </si>
  <si>
    <t xml:space="preserve">Barragem do Batalhão</t>
  </si>
  <si>
    <t xml:space="preserve">Crateús</t>
  </si>
  <si>
    <t xml:space="preserve">Batente</t>
  </si>
  <si>
    <t xml:space="preserve">Ocara</t>
  </si>
  <si>
    <t xml:space="preserve">Benguê</t>
  </si>
  <si>
    <t xml:space="preserve">Aiuaba</t>
  </si>
  <si>
    <t xml:space="preserve">Bonito</t>
  </si>
  <si>
    <t xml:space="preserve">Ipú</t>
  </si>
  <si>
    <t xml:space="preserve">Broco</t>
  </si>
  <si>
    <t xml:space="preserve">Tauá</t>
  </si>
  <si>
    <t xml:space="preserve">Cachoeira</t>
  </si>
  <si>
    <t xml:space="preserve">Aurora</t>
  </si>
  <si>
    <t xml:space="preserve">Caldeirões</t>
  </si>
  <si>
    <t xml:space="preserve">Saboeiro</t>
  </si>
  <si>
    <t xml:space="preserve">Canafístula</t>
  </si>
  <si>
    <t xml:space="preserve">Iracema</t>
  </si>
  <si>
    <t xml:space="preserve">Canoas</t>
  </si>
  <si>
    <t xml:space="preserve">Assaré</t>
  </si>
  <si>
    <t xml:space="preserve">Capitão Mor</t>
  </si>
  <si>
    <t xml:space="preserve">Pedra Branca</t>
  </si>
  <si>
    <t xml:space="preserve">Carão</t>
  </si>
  <si>
    <t xml:space="preserve">Tamboril</t>
  </si>
  <si>
    <t xml:space="preserve">Carmina</t>
  </si>
  <si>
    <t xml:space="preserve">Catunda</t>
  </si>
  <si>
    <t xml:space="preserve">Carnaubal</t>
  </si>
  <si>
    <t xml:space="preserve">Castanhão</t>
  </si>
  <si>
    <t xml:space="preserve">Alto Santo</t>
  </si>
  <si>
    <t xml:space="preserve">Castro</t>
  </si>
  <si>
    <t xml:space="preserve">Itapiúna</t>
  </si>
  <si>
    <t xml:space="preserve">Catucinzenta</t>
  </si>
  <si>
    <t xml:space="preserve">Aquiraz</t>
  </si>
  <si>
    <t xml:space="preserve">Cauhipe</t>
  </si>
  <si>
    <t xml:space="preserve">Caucaia</t>
  </si>
  <si>
    <t xml:space="preserve">Caxitoré</t>
  </si>
  <si>
    <t xml:space="preserve">Umirim</t>
  </si>
  <si>
    <t xml:space="preserve">Cedro</t>
  </si>
  <si>
    <t xml:space="preserve">Quixadá</t>
  </si>
  <si>
    <t xml:space="preserve">Cipoada</t>
  </si>
  <si>
    <t xml:space="preserve">Morada Nova</t>
  </si>
  <si>
    <t xml:space="preserve">Cocó</t>
  </si>
  <si>
    <t xml:space="preserve">Fortaleza</t>
  </si>
  <si>
    <t xml:space="preserve">Colina</t>
  </si>
  <si>
    <t xml:space="preserve">Quiterianópolis</t>
  </si>
  <si>
    <t xml:space="preserve">Cupim</t>
  </si>
  <si>
    <t xml:space="preserve">Curral Velho</t>
  </si>
  <si>
    <t xml:space="preserve">Desterro</t>
  </si>
  <si>
    <t xml:space="preserve">Caridade</t>
  </si>
  <si>
    <t xml:space="preserve">Diamante</t>
  </si>
  <si>
    <t xml:space="preserve">Diamantino II</t>
  </si>
  <si>
    <t xml:space="preserve">Marco</t>
  </si>
  <si>
    <t xml:space="preserve">Do Coronel</t>
  </si>
  <si>
    <t xml:space="preserve">Antonina do Norte</t>
  </si>
  <si>
    <t xml:space="preserve">Edson Queiroz</t>
  </si>
  <si>
    <t xml:space="preserve">Santa Quitéria</t>
  </si>
  <si>
    <t xml:space="preserve">Ema</t>
  </si>
  <si>
    <t xml:space="preserve">Escuridão</t>
  </si>
  <si>
    <t xml:space="preserve">Canindé</t>
  </si>
  <si>
    <t xml:space="preserve">Facundo</t>
  </si>
  <si>
    <t xml:space="preserve">Parambu</t>
  </si>
  <si>
    <t xml:space="preserve">Faé</t>
  </si>
  <si>
    <t xml:space="preserve">Quixelô</t>
  </si>
  <si>
    <t xml:space="preserve">Farias de Sousa</t>
  </si>
  <si>
    <t xml:space="preserve">Nova Russas</t>
  </si>
  <si>
    <t xml:space="preserve">Favelas</t>
  </si>
  <si>
    <t xml:space="preserve">Figueiredo</t>
  </si>
  <si>
    <t xml:space="preserve">Flor do Campo</t>
  </si>
  <si>
    <t xml:space="preserve">Novo Oriente</t>
  </si>
  <si>
    <t xml:space="preserve">Fogareiro</t>
  </si>
  <si>
    <t xml:space="preserve">Quixeramobim</t>
  </si>
  <si>
    <t xml:space="preserve">Forquilha II</t>
  </si>
  <si>
    <t xml:space="preserve">Frios</t>
  </si>
  <si>
    <t xml:space="preserve">Gameleira</t>
  </si>
  <si>
    <t xml:space="preserve">Itapipoca</t>
  </si>
  <si>
    <t xml:space="preserve">Gangorra</t>
  </si>
  <si>
    <t xml:space="preserve">Granja</t>
  </si>
  <si>
    <t xml:space="preserve">Gavião</t>
  </si>
  <si>
    <t xml:space="preserve">Pacatuba</t>
  </si>
  <si>
    <t xml:space="preserve">General Sampaio</t>
  </si>
  <si>
    <t xml:space="preserve">Gerardo Atimbone</t>
  </si>
  <si>
    <t xml:space="preserve">Germinal</t>
  </si>
  <si>
    <t xml:space="preserve">Palmácia</t>
  </si>
  <si>
    <t xml:space="preserve">Gomes</t>
  </si>
  <si>
    <t xml:space="preserve">Mauriti</t>
  </si>
  <si>
    <t xml:space="preserve">Itapajé</t>
  </si>
  <si>
    <t xml:space="preserve">Itapebussu</t>
  </si>
  <si>
    <t xml:space="preserve">Itaúna</t>
  </si>
  <si>
    <t xml:space="preserve">Jaburu I</t>
  </si>
  <si>
    <t xml:space="preserve">Ubajara</t>
  </si>
  <si>
    <t xml:space="preserve">Jaburu II</t>
  </si>
  <si>
    <t xml:space="preserve">Jatobá</t>
  </si>
  <si>
    <t xml:space="preserve">Milhã</t>
  </si>
  <si>
    <t xml:space="preserve">Jatobá II</t>
  </si>
  <si>
    <t xml:space="preserve">Ipueiras</t>
  </si>
  <si>
    <t xml:space="preserve">Jenipapeiro</t>
  </si>
  <si>
    <t xml:space="preserve">Dep. Irapuan Pinheiro</t>
  </si>
  <si>
    <t xml:space="preserve">Jenipapeiro II</t>
  </si>
  <si>
    <t xml:space="preserve">Baixio</t>
  </si>
  <si>
    <t xml:space="preserve">Jenipapo</t>
  </si>
  <si>
    <t xml:space="preserve">Meruoca</t>
  </si>
  <si>
    <t xml:space="preserve">Jerimum</t>
  </si>
  <si>
    <t xml:space="preserve">Irauçuba</t>
  </si>
  <si>
    <t xml:space="preserve">João Luís</t>
  </si>
  <si>
    <t xml:space="preserve">Araripe</t>
  </si>
  <si>
    <t xml:space="preserve">Joaquim Távora</t>
  </si>
  <si>
    <t xml:space="preserve">Jaguaribe</t>
  </si>
  <si>
    <t xml:space="preserve">Junco</t>
  </si>
  <si>
    <t xml:space="preserve">Granjeiro</t>
  </si>
  <si>
    <t xml:space="preserve">Lima Campos</t>
  </si>
  <si>
    <t xml:space="preserve">Icó</t>
  </si>
  <si>
    <t xml:space="preserve">Macacos</t>
  </si>
  <si>
    <t xml:space="preserve">Ibaretama</t>
  </si>
  <si>
    <t xml:space="preserve">Madeiro</t>
  </si>
  <si>
    <t xml:space="preserve">Malcozinhado</t>
  </si>
  <si>
    <t xml:space="preserve">Cascavel</t>
  </si>
  <si>
    <t xml:space="preserve">Mamoeiro</t>
  </si>
  <si>
    <t xml:space="preserve">Manoel Balbino</t>
  </si>
  <si>
    <t xml:space="preserve">Juazeiro do Norte</t>
  </si>
  <si>
    <t xml:space="preserve">Maranguapinho</t>
  </si>
  <si>
    <t xml:space="preserve">Martinópole</t>
  </si>
  <si>
    <t xml:space="preserve">Missi</t>
  </si>
  <si>
    <t xml:space="preserve">Miraíma</t>
  </si>
  <si>
    <t xml:space="preserve">Mons. Tabosa</t>
  </si>
  <si>
    <t xml:space="preserve">Monte Belo</t>
  </si>
  <si>
    <t xml:space="preserve">Mundaú</t>
  </si>
  <si>
    <t xml:space="preserve">Uruburetama</t>
  </si>
  <si>
    <t xml:space="preserve">Muquém</t>
  </si>
  <si>
    <t xml:space="preserve">Cariús</t>
  </si>
  <si>
    <t xml:space="preserve">Nova Floresta</t>
  </si>
  <si>
    <t xml:space="preserve">Olho d'Água</t>
  </si>
  <si>
    <t xml:space="preserve">Várzea Alegre</t>
  </si>
  <si>
    <t xml:space="preserve">Orós</t>
  </si>
  <si>
    <t xml:space="preserve">Pacajus</t>
  </si>
  <si>
    <t xml:space="preserve">Pacoti</t>
  </si>
  <si>
    <t xml:space="preserve">Horizonte</t>
  </si>
  <si>
    <t xml:space="preserve">Patos</t>
  </si>
  <si>
    <t xml:space="preserve">Patu</t>
  </si>
  <si>
    <t xml:space="preserve">Senador Pompeu</t>
  </si>
  <si>
    <t xml:space="preserve">Pau Preto</t>
  </si>
  <si>
    <t xml:space="preserve">Potengi</t>
  </si>
  <si>
    <t xml:space="preserve">Pedras Brancas</t>
  </si>
  <si>
    <t xml:space="preserve">Penedo</t>
  </si>
  <si>
    <t xml:space="preserve">Pentecoste</t>
  </si>
  <si>
    <t xml:space="preserve">Pesqueiro</t>
  </si>
  <si>
    <t xml:space="preserve">Capistrano</t>
  </si>
  <si>
    <t xml:space="preserve">Pirabibu</t>
  </si>
  <si>
    <t xml:space="preserve">Poço da Pedra</t>
  </si>
  <si>
    <t xml:space="preserve">Campos Sales</t>
  </si>
  <si>
    <t xml:space="preserve">Poço do Barro</t>
  </si>
  <si>
    <t xml:space="preserve">Poço Verde</t>
  </si>
  <si>
    <t xml:space="preserve">Pompeu Sobrinho</t>
  </si>
  <si>
    <t xml:space="preserve">Choró</t>
  </si>
  <si>
    <t xml:space="preserve">Potiretama</t>
  </si>
  <si>
    <t xml:space="preserve">Prazeres</t>
  </si>
  <si>
    <t xml:space="preserve">Barro</t>
  </si>
  <si>
    <t xml:space="preserve">Premuoca</t>
  </si>
  <si>
    <t xml:space="preserve">Uruoca</t>
  </si>
  <si>
    <t xml:space="preserve">Quandú</t>
  </si>
  <si>
    <t xml:space="preserve">Quincoé</t>
  </si>
  <si>
    <t xml:space="preserve">Acopiara</t>
  </si>
  <si>
    <t xml:space="preserve">Quixabinha</t>
  </si>
  <si>
    <t xml:space="preserve">Realejo</t>
  </si>
  <si>
    <t xml:space="preserve">Riachão</t>
  </si>
  <si>
    <t xml:space="preserve">Itaitinga</t>
  </si>
  <si>
    <t xml:space="preserve">Riacho da Serra</t>
  </si>
  <si>
    <t xml:space="preserve">Riacho do Sangue</t>
  </si>
  <si>
    <t xml:space="preserve">Solonópole</t>
  </si>
  <si>
    <t xml:space="preserve">Rivaldo de Carvalho</t>
  </si>
  <si>
    <t xml:space="preserve">Catarina</t>
  </si>
  <si>
    <t xml:space="preserve">Lavras da Mangabeira</t>
  </si>
  <si>
    <t xml:space="preserve">S. Pedro Timbaúba</t>
  </si>
  <si>
    <t xml:space="preserve">Salão</t>
  </si>
  <si>
    <t xml:space="preserve">Santa Maria</t>
  </si>
  <si>
    <t xml:space="preserve">Ererê</t>
  </si>
  <si>
    <t xml:space="preserve">Santa Maria de Aracatiaçu</t>
  </si>
  <si>
    <t xml:space="preserve">Santo Antônio</t>
  </si>
  <si>
    <t xml:space="preserve">Santo Antônio de Aracatiaçu</t>
  </si>
  <si>
    <t xml:space="preserve">Santo Antônio de Russas</t>
  </si>
  <si>
    <t xml:space="preserve">Russas</t>
  </si>
  <si>
    <t xml:space="preserve">São Domingos</t>
  </si>
  <si>
    <t xml:space="preserve">São Domingos II</t>
  </si>
  <si>
    <t xml:space="preserve">Caririaçu</t>
  </si>
  <si>
    <t xml:space="preserve">São José I</t>
  </si>
  <si>
    <t xml:space="preserve">Boa Viagem</t>
  </si>
  <si>
    <t xml:space="preserve">São José II</t>
  </si>
  <si>
    <t xml:space="preserve">Piquet Carneiro</t>
  </si>
  <si>
    <t xml:space="preserve">São José III</t>
  </si>
  <si>
    <t xml:space="preserve">Ipaporanga</t>
  </si>
  <si>
    <t xml:space="preserve">São Mateus</t>
  </si>
  <si>
    <t xml:space="preserve">São Vicente</t>
  </si>
  <si>
    <t xml:space="preserve">Santana do Acaraú</t>
  </si>
  <si>
    <t xml:space="preserve">Serafim Dias</t>
  </si>
  <si>
    <t xml:space="preserve">Mombaça</t>
  </si>
  <si>
    <t xml:space="preserve">Sitios Novos</t>
  </si>
  <si>
    <t xml:space="preserve">Sousa</t>
  </si>
  <si>
    <t xml:space="preserve">Sucesso</t>
  </si>
  <si>
    <t xml:space="preserve">Taquara</t>
  </si>
  <si>
    <t xml:space="preserve">Cariré</t>
  </si>
  <si>
    <t xml:space="preserve">Tatajuba</t>
  </si>
  <si>
    <t xml:space="preserve">Tejuçuoca</t>
  </si>
  <si>
    <t xml:space="preserve">Thomás Osterne</t>
  </si>
  <si>
    <t xml:space="preserve">Crato</t>
  </si>
  <si>
    <t xml:space="preserve">Tigre</t>
  </si>
  <si>
    <t xml:space="preserve">Tijuquinha</t>
  </si>
  <si>
    <t xml:space="preserve">Baturité</t>
  </si>
  <si>
    <t xml:space="preserve">Trapiá II</t>
  </si>
  <si>
    <t xml:space="preserve">Trapiá III</t>
  </si>
  <si>
    <t xml:space="preserve">Trici</t>
  </si>
  <si>
    <t xml:space="preserve">Trussu</t>
  </si>
  <si>
    <t xml:space="preserve">Iguatu</t>
  </si>
  <si>
    <t xml:space="preserve">Tucunduba</t>
  </si>
  <si>
    <t xml:space="preserve">Senador Sá</t>
  </si>
  <si>
    <t xml:space="preserve">Ubaldinho</t>
  </si>
  <si>
    <t xml:space="preserve">Umari</t>
  </si>
  <si>
    <t xml:space="preserve">Madalena</t>
  </si>
  <si>
    <t xml:space="preserve">Valério</t>
  </si>
  <si>
    <t xml:space="preserve">Altaneira</t>
  </si>
  <si>
    <t xml:space="preserve">Várzea da Volta</t>
  </si>
  <si>
    <t xml:space="preserve">Moraújo</t>
  </si>
  <si>
    <t xml:space="preserve">Várzea do Boi</t>
  </si>
  <si>
    <t xml:space="preserve">Vieirão</t>
  </si>
  <si>
    <t xml:space="preserve">TOTAL</t>
  </si>
  <si>
    <t xml:space="preserve">MEDIA_MMDIA</t>
  </si>
  <si>
    <t xml:space="preserve">Barbalha</t>
  </si>
  <si>
    <t xml:space="preserve">Guaramiranga</t>
  </si>
  <si>
    <t xml:space="preserve">Jaguaruana</t>
  </si>
  <si>
    <t xml:space="preserve">Apodi</t>
  </si>
  <si>
    <t xml:space="preserve">Jaburu</t>
  </si>
  <si>
    <t xml:space="preserve">COTA</t>
  </si>
  <si>
    <t xml:space="preserve">VOLUME_M3</t>
  </si>
  <si>
    <t xml:space="preserve">AREA_KM2</t>
  </si>
  <si>
    <t xml:space="preserve">AUX_VOLUME_HM3</t>
  </si>
  <si>
    <t xml:space="preserve">Volume CAV selecionada (hm³)</t>
  </si>
  <si>
    <t xml:space="preserve">Área CAV selecionada (km²)</t>
  </si>
  <si>
    <t xml:space="preserve">Observação</t>
  </si>
  <si>
    <t xml:space="preserve">Aba auxiliar automática. Não é necessário editar.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</si>
</sst>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00"/>
    <numFmt numFmtId="167" formatCode="mmm/yyyy"/>
    <numFmt numFmtId="168" formatCode="0"/>
    <numFmt numFmtId="169" formatCode="@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F6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F7FBFE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25573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F7FBFE"/>
        <bgColor rgb="FFFFFFFF"/>
      </patternFill>
    </fill>
    <fill>
      <patternFill patternType="solid">
        <fgColor rgb="FF667085"/>
        <bgColor rgb="FF7575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65F20"/>
      <rgbColor rgb="FF000080"/>
      <rgbColor rgb="FF7F6000"/>
      <rgbColor rgb="FF800080"/>
      <rgbColor rgb="FF0D8CBD"/>
      <rgbColor rgb="FFB7B7B7"/>
      <rgbColor rgb="FF757575"/>
      <rgbColor rgb="FF889E89"/>
      <rgbColor rgb="FF8E2682"/>
      <rgbColor rgb="FFFFF2CC"/>
      <rgbColor rgb="FFD9EAF7"/>
      <rgbColor rgb="FF660066"/>
      <rgbColor rgb="FFFF80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E"/>
      <rgbColor rgb="FF87BADF"/>
      <rgbColor rgb="FFEEA18B"/>
      <rgbColor rgb="FFBB8AB4"/>
      <rgbColor rgb="FFF4CCCC"/>
      <rgbColor rgb="FF3366FF"/>
      <rgbColor rgb="FF33CCCC"/>
      <rgbColor rgb="FF99CC00"/>
      <rgbColor rgb="FFFFCC00"/>
      <rgbColor rgb="FFFF9900"/>
      <rgbColor rgb="FFCF642C"/>
      <rgbColor rgb="FF667085"/>
      <rgbColor rgb="FF889AAA"/>
      <rgbColor rgb="FF17365D"/>
      <rgbColor rgb="FF459428"/>
      <rgbColor rgb="FF003300"/>
      <rgbColor rgb="FF333300"/>
      <rgbColor rgb="FF993300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Arial"/>
              </a:rPr>
              <a:t>main-title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 (m³/s)"</c:f>
              <c:strCache>
                <c:ptCount val="1"/>
                <c:pt idx="0">
                  <c:v>Q (m³/s)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Amostra_12_meses!$C$8:$C$19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"/>
          <c:order val="1"/>
          <c:tx>
            <c:strRef>
              <c:f>"Afluência (hm³)"</c:f>
              <c:strCache>
                <c:ptCount val="1"/>
                <c:pt idx="0">
                  <c:v>Afluência (hm³)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Amostra_12_meses!$D$8:$D$19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2"/>
          <c:order val="2"/>
          <c:tx>
            <c:strRef>
              <c:f>"Arm. inicial (hm³)"</c:f>
              <c:strCache>
                <c:ptCount val="1"/>
                <c:pt idx="0">
                  <c:v>Arm. inicial (hm³)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Amostra_12_meses!$E$8:$E$19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3"/>
          <c:order val="3"/>
          <c:tx>
            <c:strRef>
              <c:f>"Evap. (mm)"</c:f>
              <c:strCache>
                <c:ptCount val="1"/>
                <c:pt idx="0">
                  <c:v>Evap. (mm)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Amostra_12_meses!$F$8:$F$19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4"/>
          <c:order val="4"/>
          <c:tx>
            <c:strRef>
              <c:f>"Área média (km²)"</c:f>
              <c:strCache>
                <c:ptCount val="1"/>
                <c:pt idx="0">
                  <c:v>Área média (km²)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Amostra_12_meses!$G$8:$G$19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5"/>
          <c:order val="5"/>
          <c:tx>
            <c:strRef>
              <c:f>"Evap. (hm³)"</c:f>
              <c:strCache>
                <c:ptCount val="1"/>
                <c:pt idx="0">
                  <c:v>Evap. (hm³)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Amostra_12_meses!$H$8:$H$19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6"/>
          <c:order val="6"/>
          <c:tx>
            <c:strRef>
              <c:f>"Dem. sol. (m³/s)"</c:f>
              <c:strCache>
                <c:ptCount val="1"/>
                <c:pt idx="0">
                  <c:v>Dem. sol. (m³/s)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Amostra_12_meses!$I$8:$I$19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7"/>
          <c:order val="7"/>
          <c:tx>
            <c:strRef>
              <c:f>"Dem. atend. (m³/s)"</c:f>
              <c:strCache>
                <c:ptCount val="1"/>
                <c:pt idx="0">
                  <c:v>Dem. atend. (m³/s)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Amostra_12_meses!$J$8:$J$19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8"/>
          <c:order val="8"/>
          <c:tx>
            <c:strRef>
              <c:f>"Déficit (m³/s)"</c:f>
              <c:strCache>
                <c:ptCount val="1"/>
                <c:pt idx="0">
                  <c:v>Déficit (m³/s)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Amostra_12_meses!$K$8:$K$19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9"/>
          <c:order val="9"/>
          <c:tx>
            <c:strRef>
              <c:f>"Vertimento (hm³)"</c:f>
              <c:strCache>
                <c:ptCount val="1"/>
                <c:pt idx="0">
                  <c:v>Vertimento (hm³)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Amostra_12_meses!$L$8:$L$19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0"/>
          <c:order val="10"/>
          <c:tx>
            <c:strRef>
              <c:f>"Arm. final (hm³)"</c:f>
              <c:strCache>
                <c:ptCount val="1"/>
                <c:pt idx="0">
                  <c:v>Arm. final (hm³)</c:v>
                </c:pt>
              </c:strCache>
            </c:strRef>
          </c:tx>
          <c:spPr>
            <a:solidFill>
              <a:srgbClr val="bb8ab4"/>
            </a:solidFill>
            <a:ln w="38160">
              <a:solidFill>
                <a:srgbClr val="bb8a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Amostra_12_meses!$M$8:$M$19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6349348"/>
        <c:axId val="26751972"/>
      </c:lineChart>
      <c:catAx>
        <c:axId val="163493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26751972"/>
        <c:crosses val="autoZero"/>
        <c:auto val="1"/>
        <c:lblAlgn val="ctr"/>
        <c:lblOffset val="100"/>
        <c:noMultiLvlLbl val="0"/>
      </c:catAx>
      <c:valAx>
        <c:axId val="26751972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1634934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674280</xdr:colOff>
      <xdr:row>38</xdr:row>
      <xdr:rowOff>161640</xdr:rowOff>
    </xdr:to>
    <xdr:graphicFrame>
      <xdr:nvGraphicFramePr>
        <xdr:cNvPr id="0" name="Chart 1"/>
        <xdr:cNvGraphicFramePr/>
      </xdr:nvGraphicFramePr>
      <xdr:xfrm>
        <a:off x="0" y="3610080"/>
        <a:ext cx="100486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21" min="4" style="0" width="15"/>
    <col collapsed="false" customWidth="true" hidden="false" outlineLevel="0" max="22" min="22" style="0" width="10"/>
    <col collapsed="false" customWidth="true" hidden="false" outlineLevel="0" max="25" min="23" style="0" width="15"/>
    <col collapsed="false" customWidth="true" hidden="false" outlineLevel="0" max="26" min="26" style="0" width="16"/>
    <col collapsed="false" customWidth="true" hidden="false" outlineLevel="0" max="28" min="27" style="0" width="8.63"/>
    <col collapsed="false" customWidth="true" hidden="true" outlineLevel="0" max="29" min="29" style="0" width="8.63"/>
    <col collapsed="false" customWidth="true" hidden="false" outlineLevel="0" max="39" min="30" style="0" width="8.63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customFormat="false" ht="14.2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Format="false" ht="12.75" hidden="false" customHeight="true" outlineLevel="0" collapsed="false"/>
    <row r="5" customFormat="false" ht="12.75" hidden="false" customHeight="true" outlineLevel="0" collapsed="false">
      <c r="A5" s="3" t="s">
        <v>2</v>
      </c>
      <c r="B5" s="3" t="s">
        <v>3</v>
      </c>
      <c r="D5" s="3" t="s">
        <v>4</v>
      </c>
      <c r="E5" s="3" t="s">
        <v>5</v>
      </c>
      <c r="G5" s="3" t="s">
        <v>6</v>
      </c>
      <c r="H5" s="3"/>
      <c r="I5" s="3"/>
      <c r="J5" s="3"/>
      <c r="K5" s="4"/>
    </row>
    <row r="6" customFormat="false" ht="13.5" hidden="false" customHeight="true" outlineLevel="0" collapsed="false">
      <c r="A6" s="5" t="s">
        <v>7</v>
      </c>
      <c r="B6" s="6" t="s">
        <v>8</v>
      </c>
      <c r="D6" s="5" t="s">
        <v>9</v>
      </c>
      <c r="E6" s="7" t="n">
        <f aca="false">COUNT($D$24:$D$1367)</f>
        <v>1332</v>
      </c>
      <c r="G6" s="2" t="s">
        <v>10</v>
      </c>
      <c r="H6" s="2"/>
      <c r="I6" s="2"/>
      <c r="J6" s="2"/>
      <c r="K6" s="8" t="s">
        <v>11</v>
      </c>
    </row>
    <row r="7" customFormat="false" ht="12.75" hidden="false" customHeight="true" outlineLevel="0" collapsed="false">
      <c r="A7" s="5" t="s">
        <v>12</v>
      </c>
      <c r="B7" s="7" t="n">
        <f aca="false" t="array" ref="B7:B7">IFERROR(INDEX(Dados_Acudes!$B$2:$B$156,MATCH(B6,Dados_Acudes!$A$2:$A$156,0)),"")</f>
        <v>181</v>
      </c>
      <c r="D7" s="5" t="s">
        <v>13</v>
      </c>
      <c r="E7" s="7" t="n">
        <f aca="false">COUNTIF($V$24:$V$1367,"Sim")</f>
        <v>58</v>
      </c>
      <c r="G7" s="2"/>
      <c r="H7" s="2"/>
      <c r="I7" s="2"/>
      <c r="J7" s="2"/>
      <c r="K7" s="8" t="s">
        <v>14</v>
      </c>
    </row>
    <row r="8" customFormat="false" ht="12.75" hidden="false" customHeight="true" outlineLevel="0" collapsed="false">
      <c r="A8" s="5" t="s">
        <v>15</v>
      </c>
      <c r="B8" s="9" t="n">
        <f aca="false" t="array" ref="B8:B8">IFERROR(INDEX(Dados_Acudes!$C$2:$C$156,MATCH(B6,Dados_Acudes!$A$2:$A$156,0))/1000000,"")</f>
        <v>47.22</v>
      </c>
      <c r="D8" s="5" t="s">
        <v>16</v>
      </c>
      <c r="E8" s="9" t="n">
        <f aca="false">IFERROR(SUM($Q$24:$Q$1367)/SUM($K$24:$K$1367)*100,0)</f>
        <v>96.6869843200216</v>
      </c>
      <c r="G8" s="2"/>
      <c r="H8" s="2"/>
      <c r="I8" s="2"/>
      <c r="J8" s="2"/>
      <c r="K8" s="10" t="n">
        <f aca="false" t="array" ref="K8:K8">IFERROR(INDEX($A$24:$A$1367,MATCH(1,$AC$24:$AC$1367,0)),"")</f>
        <v>4019</v>
      </c>
    </row>
    <row r="9" customFormat="false" ht="12.75" hidden="false" customHeight="true" outlineLevel="0" collapsed="false">
      <c r="A9" s="5" t="s">
        <v>17</v>
      </c>
      <c r="B9" s="9" t="n">
        <f aca="false" t="array" ref="B9:B9">IFERROR(INDEX(Dados_Acudes!$F$2:$F$156,MATCH(B6,Dados_Acudes!$A$2:$A$156,0)),"")</f>
        <v>2</v>
      </c>
      <c r="D9" s="5" t="s">
        <v>18</v>
      </c>
      <c r="E9" s="9" t="n">
        <f aca="false">SUM($T$24:$T$1367)</f>
        <v>1685.74989780218</v>
      </c>
      <c r="G9" s="2"/>
      <c r="H9" s="2"/>
      <c r="I9" s="2"/>
      <c r="J9" s="2"/>
      <c r="K9" s="10" t="n">
        <f aca="false">IF(E6=0,"",LOOKUP(2,1/($D$24:$D$1367&lt;&gt;""),$A$24:$A$1367))</f>
        <v>44531</v>
      </c>
    </row>
    <row r="10" customFormat="false" ht="12.75" hidden="false" customHeight="true" outlineLevel="0" collapsed="false">
      <c r="A10" s="5" t="s">
        <v>19</v>
      </c>
      <c r="B10" s="11" t="n">
        <v>50</v>
      </c>
      <c r="D10" s="5" t="s">
        <v>20</v>
      </c>
      <c r="E10" s="9" t="n">
        <f aca="false">SUM($O$24:$O$1367)</f>
        <v>1201.82973486614</v>
      </c>
      <c r="G10" s="2"/>
      <c r="H10" s="2"/>
      <c r="I10" s="2"/>
      <c r="J10" s="2"/>
      <c r="K10" s="8" t="n">
        <f aca="false">IF(K8="","",(YEAR(K8)-1910)*12+MONTH(K8)-1)</f>
        <v>12</v>
      </c>
    </row>
    <row r="11" customFormat="false" ht="12.75" hidden="false" customHeight="true" outlineLevel="0" collapsed="false">
      <c r="A11" s="5" t="s">
        <v>21</v>
      </c>
      <c r="B11" s="9" t="n">
        <f aca="false">B8*B10/100</f>
        <v>23.61</v>
      </c>
      <c r="D11" s="5" t="s">
        <v>22</v>
      </c>
      <c r="E11" s="9" t="n">
        <f aca="false">IF(E6=0,0,MAX($X$24:$X$1367))</f>
        <v>5.55111512312578E-017</v>
      </c>
      <c r="G11" s="2"/>
      <c r="H11" s="2"/>
      <c r="I11" s="2"/>
      <c r="J11" s="2"/>
      <c r="K11" s="8" t="n">
        <f aca="false">E6</f>
        <v>1332</v>
      </c>
    </row>
    <row r="12" customFormat="false" ht="12.75" hidden="false" customHeight="true" outlineLevel="0" collapsed="false">
      <c r="A12" s="5" t="s">
        <v>23</v>
      </c>
      <c r="B12" s="11" t="n">
        <v>0.35</v>
      </c>
      <c r="D12" s="5" t="s">
        <v>24</v>
      </c>
      <c r="E12" s="9" t="n">
        <f aca="false">IF(E6=0,0,MIN($U$24:$U$1367))</f>
        <v>0</v>
      </c>
      <c r="G12" s="2"/>
      <c r="H12" s="2"/>
      <c r="I12" s="2"/>
      <c r="J12" s="2"/>
      <c r="K12" s="8" t="n">
        <f aca="false">IF(OR(K8="",K9=""),"",(YEAR(K9)-YEAR(K8))*12+MONTH(K9)-MONTH(K8)+1-E6)</f>
        <v>0</v>
      </c>
    </row>
    <row r="13" customFormat="false" ht="12.75" hidden="false" customHeight="true" outlineLevel="0" collapsed="false">
      <c r="A13" s="5" t="s">
        <v>25</v>
      </c>
      <c r="B13" s="9" t="n">
        <f aca="false">B12*1000</f>
        <v>350</v>
      </c>
      <c r="D13" s="5" t="s">
        <v>26</v>
      </c>
      <c r="E13" s="9" t="n">
        <f aca="false">IF(E6=0,0,MAX($U$24:$U$1367))</f>
        <v>47.22</v>
      </c>
      <c r="G13" s="2"/>
      <c r="H13" s="2"/>
      <c r="I13" s="2"/>
      <c r="J13" s="2"/>
      <c r="K13" s="8" t="str">
        <f aca="false">IF(E6=0,"SEM DADOS",IF(K12=0,"OK","VERIFICAR LACUNAS"))</f>
        <v>OK</v>
      </c>
    </row>
    <row r="14" customFormat="false" ht="12.75" hidden="false" customHeight="true" outlineLevel="0" collapsed="false">
      <c r="A14" s="5" t="s">
        <v>27</v>
      </c>
      <c r="B14" s="11" t="n">
        <v>30</v>
      </c>
      <c r="D14" s="5" t="s">
        <v>28</v>
      </c>
      <c r="E14" s="12" t="str">
        <f aca="false">IF(E11&lt;=B19,"OK","VERIFICAR")</f>
        <v>OK</v>
      </c>
      <c r="G14" s="2"/>
      <c r="H14" s="2"/>
      <c r="I14" s="2"/>
      <c r="J14" s="2"/>
    </row>
    <row r="15" customFormat="false" ht="12.75" hidden="false" customHeight="true" outlineLevel="0" collapsed="false">
      <c r="A15" s="5" t="s">
        <v>29</v>
      </c>
      <c r="B15" s="9" t="n">
        <f aca="false">B14*86400/1000000</f>
        <v>2.592</v>
      </c>
    </row>
    <row r="16" customFormat="false" ht="13.5" hidden="false" customHeight="true" outlineLevel="0" collapsed="false">
      <c r="A16" s="5" t="s">
        <v>30</v>
      </c>
      <c r="B16" s="9" t="n">
        <f aca="false" t="array" ref="B16:B16">IFERROR(INDEX(Dados_CAV!$E:$E,B20),"")</f>
        <v>0</v>
      </c>
      <c r="D16" s="5" t="s">
        <v>31</v>
      </c>
      <c r="E16" s="5" t="n">
        <f aca="false">COUNTIF($H$24:$H$1367,"&lt;0")+COUNTIF($U$24:$U$1367,"&lt;0")</f>
        <v>0</v>
      </c>
      <c r="G16" s="2" t="s">
        <v>32</v>
      </c>
      <c r="H16" s="2"/>
      <c r="I16" s="2"/>
      <c r="J16" s="2"/>
    </row>
    <row r="17" customFormat="false" ht="12.75" hidden="false" customHeight="true" outlineLevel="0" collapsed="false">
      <c r="A17" s="5" t="s">
        <v>33</v>
      </c>
      <c r="B17" s="9" t="n">
        <f aca="false" t="array" ref="B17:B17">IFERROR(INDEX(Dados_CAV!$E:$E,B20+B21-1),"")</f>
        <v>82.8</v>
      </c>
      <c r="D17" s="5" t="s">
        <v>34</v>
      </c>
      <c r="E17" s="5" t="str">
        <f aca="false">IF(E16=0,"OK","ERRO")</f>
        <v>OK</v>
      </c>
      <c r="G17" s="2"/>
      <c r="H17" s="2"/>
      <c r="I17" s="2"/>
      <c r="J17" s="2"/>
    </row>
    <row r="18" customFormat="false" ht="12.75" hidden="false" customHeight="true" outlineLevel="0" collapsed="false">
      <c r="A18" s="5" t="s">
        <v>35</v>
      </c>
      <c r="B18" s="9" t="n">
        <f aca="false">B21</f>
        <v>18</v>
      </c>
      <c r="G18" s="2"/>
      <c r="H18" s="2"/>
      <c r="I18" s="2"/>
      <c r="J18" s="2"/>
    </row>
    <row r="19" customFormat="false" ht="12.75" hidden="false" customHeight="true" outlineLevel="0" collapsed="false">
      <c r="A19" s="5" t="s">
        <v>36</v>
      </c>
      <c r="B19" s="11" t="n">
        <v>1E-008</v>
      </c>
      <c r="G19" s="2"/>
      <c r="H19" s="2"/>
      <c r="I19" s="2"/>
      <c r="J19" s="2"/>
    </row>
    <row r="20" customFormat="false" ht="12.75" hidden="false" customHeight="true" outlineLevel="0" collapsed="false">
      <c r="A20" s="5" t="s">
        <v>37</v>
      </c>
      <c r="B20" s="7" t="n">
        <f aca="false" t="array" ref="B20:B20">IFERROR(INDEX(Dados_Acudes!$K$2:$K$156,MATCH(B6,Dados_Acudes!$A$2:$A$156,0)),"")</f>
        <v>2795</v>
      </c>
      <c r="G20" s="2"/>
      <c r="H20" s="2"/>
      <c r="I20" s="2"/>
      <c r="J20" s="2"/>
    </row>
    <row r="21" customFormat="false" ht="12.75" hidden="false" customHeight="true" outlineLevel="0" collapsed="false">
      <c r="A21" s="5" t="s">
        <v>38</v>
      </c>
      <c r="B21" s="7" t="n">
        <f aca="false" t="array" ref="B21:B21">IFERROR(INDEX(Dados_Acudes!$L$2:$L$156,MATCH(B6,Dados_Acudes!$A$2:$A$156,0)),0)</f>
        <v>18</v>
      </c>
    </row>
    <row r="22" customFormat="false" ht="12.75" hidden="false" customHeight="true" outlineLevel="0" collapsed="false"/>
    <row r="23" customFormat="false" ht="12.75" hidden="false" customHeight="true" outlineLevel="0" collapsed="false">
      <c r="A23" s="13" t="s">
        <v>39</v>
      </c>
      <c r="B23" s="13" t="s">
        <v>40</v>
      </c>
      <c r="C23" s="13" t="s">
        <v>41</v>
      </c>
      <c r="D23" s="13" t="s">
        <v>42</v>
      </c>
      <c r="E23" s="13" t="s">
        <v>43</v>
      </c>
      <c r="F23" s="13" t="s">
        <v>44</v>
      </c>
      <c r="G23" s="13" t="s">
        <v>45</v>
      </c>
      <c r="H23" s="13" t="s">
        <v>46</v>
      </c>
      <c r="I23" s="13" t="s">
        <v>47</v>
      </c>
      <c r="J23" s="13" t="s">
        <v>48</v>
      </c>
      <c r="K23" s="13" t="s">
        <v>49</v>
      </c>
      <c r="L23" s="13" t="s">
        <v>50</v>
      </c>
      <c r="M23" s="13" t="s">
        <v>51</v>
      </c>
      <c r="N23" s="13" t="s">
        <v>52</v>
      </c>
      <c r="O23" s="13" t="s">
        <v>53</v>
      </c>
      <c r="P23" s="13" t="s">
        <v>54</v>
      </c>
      <c r="Q23" s="13" t="s">
        <v>55</v>
      </c>
      <c r="R23" s="13" t="s">
        <v>56</v>
      </c>
      <c r="S23" s="13" t="s">
        <v>57</v>
      </c>
      <c r="T23" s="13" t="s">
        <v>58</v>
      </c>
      <c r="U23" s="13" t="s">
        <v>59</v>
      </c>
      <c r="V23" s="13" t="s">
        <v>60</v>
      </c>
      <c r="W23" s="13" t="s">
        <v>61</v>
      </c>
      <c r="X23" s="13" t="s">
        <v>62</v>
      </c>
      <c r="Y23" s="13" t="s">
        <v>63</v>
      </c>
      <c r="Z23" s="13" t="s">
        <v>64</v>
      </c>
    </row>
    <row r="24" customFormat="false" ht="12.75" hidden="false" customHeight="true" outlineLevel="0" collapsed="false">
      <c r="A24" s="14" t="str">
        <f aca="false">IF(D24="","",DATE(B24,C24,1))</f>
        <v/>
      </c>
      <c r="B24" s="15" t="str">
        <f aca="false" t="array" ref="B24:B24">IF(D24="","",IFERROR(VALUE(INDEX(Vazoes_COLAR!$A$2:$A$200,INT((ROW()-24)/12)+1)),""))</f>
        <v/>
      </c>
      <c r="C24" s="15" t="str">
        <f aca="false">IF(D24="","",MOD(ROW()-24,12)+1)</f>
        <v/>
      </c>
      <c r="D24" s="16" t="str">
        <f aca="false" t="array" ref="D24: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16" t="str">
        <f aca="false">IF(D24="","",D24*$B$15)</f>
        <v/>
      </c>
      <c r="F24" s="16" t="str">
        <f aca="false" t="array" ref="F24:F24">IF(D24="","",IFERROR(INDEX(Dados_Evap!$C$2:$N$15,MATCH($B$9,Dados_Evap!$A$2:$A$15,0),C24),0))</f>
        <v/>
      </c>
      <c r="G24" s="16" t="str">
        <f aca="false">IF(F24="","",F24/1000)</f>
        <v/>
      </c>
      <c r="H24" s="16" t="str">
        <f aca="false">IF(D24="","",MAX(0,MIN($B$8,$B$11)))</f>
        <v/>
      </c>
      <c r="I24" s="16" t="str">
        <f aca="false" t="array" ref="I24: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16" t="str">
        <f aca="false">IF(D24="","",$B$12)</f>
        <v/>
      </c>
      <c r="K24" s="16" t="str">
        <f aca="false">IF(J24="","",J24*$B$15)</f>
        <v/>
      </c>
      <c r="L24" s="16" t="str">
        <f aca="false">IF(D24="","",H24+E24-K24-G24*I24)</f>
        <v/>
      </c>
      <c r="M24" s="16" t="str">
        <f aca="false" t="array" ref="M24: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16" t="str">
        <f aca="false">IF(D24="","",(I24+M24)/2)</f>
        <v/>
      </c>
      <c r="O24" s="16" t="str">
        <f aca="false">IF(D24="","",G24*N24)</f>
        <v/>
      </c>
      <c r="P24" s="16" t="str">
        <f aca="false">IF(D24="","",H24+E24-K24-O24)</f>
        <v/>
      </c>
      <c r="Q24" s="16" t="str">
        <f aca="false">IF(D24="","",IF(P24&gt;=0,K24,MAX(0,K24+P24)))</f>
        <v/>
      </c>
      <c r="R24" s="16" t="str">
        <f aca="false">IF(D24="","",Q24/$B$15)</f>
        <v/>
      </c>
      <c r="S24" s="16" t="str">
        <f aca="false">IF(D24="","",MAX(0,J24-R24))</f>
        <v/>
      </c>
      <c r="T24" s="16" t="str">
        <f aca="false">IF(D24="","",MAX(0,Z24-$B$8))</f>
        <v/>
      </c>
      <c r="U24" s="16" t="str">
        <f aca="false">IF(D24="","",MAX(0,MIN($B$8,Z24)))</f>
        <v/>
      </c>
      <c r="V24" s="16" t="str">
        <f aca="false">IF(D24="","",IF(S24&gt;0.0000001,"Sim","Não"))</f>
        <v/>
      </c>
      <c r="W24" s="16" t="str">
        <f aca="false">IF(D24="","",U24-(H24+E24-Q24-O24-T24))</f>
        <v/>
      </c>
      <c r="X24" s="16" t="str">
        <f aca="false">IF(W24="","",ABS(W24))</f>
        <v/>
      </c>
      <c r="Y24" s="16" t="str">
        <f aca="false">IF(U24="","",IF($B$8=0,0,U24/$B$8*100))</f>
        <v/>
      </c>
      <c r="Z24" s="17" t="str">
        <f aca="false">IF(D24="","",MAX(0,IF(P24&gt;=0,P24,IF(K24+P24&gt;=0,0,P24+K24))))</f>
        <v/>
      </c>
      <c r="AA24" s="17" t="str">
        <f aca="false">IF(D24="","",IF(H24&lt;=$B$16,1,IF(H24&gt;=$B$17,$B$21,MATCH(H24,Aux_CAV!$A$2:$A$121,1))))</f>
        <v/>
      </c>
      <c r="AB24" s="17" t="str">
        <f aca="false">IF(D24="","",IF(L24&lt;=$B$16,1,IF(L24&gt;=$B$17,$B$21,MATCH(L24,Aux_CAV!$A$2:$A$121,1))))</f>
        <v/>
      </c>
      <c r="AC24" s="5" t="str">
        <f aca="false">IF(D24="","",COUNT($D$24:D24))</f>
        <v/>
      </c>
    </row>
    <row r="25" customFormat="false" ht="12.75" hidden="false" customHeight="true" outlineLevel="0" collapsed="false">
      <c r="A25" s="14" t="str">
        <f aca="false">IF(D25="","",DATE(B25,C25,1))</f>
        <v/>
      </c>
      <c r="B25" s="15" t="str">
        <f aca="false" t="array" ref="B25:B25">IF(D25="","",IFERROR(VALUE(INDEX(Vazoes_COLAR!$A$2:$A$200,INT((ROW()-24)/12)+1)),""))</f>
        <v/>
      </c>
      <c r="C25" s="15" t="str">
        <f aca="false">IF(D25="","",MOD(ROW()-24,12)+1)</f>
        <v/>
      </c>
      <c r="D25" s="16" t="str">
        <f aca="false" t="array" ref="D25: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16" t="str">
        <f aca="false">IF(D25="","",D25*$B$15)</f>
        <v/>
      </c>
      <c r="F25" s="16" t="str">
        <f aca="false" t="array" ref="F25:F25">IF(D25="","",IFERROR(INDEX(Dados_Evap!$C$2:$N$15,MATCH($B$9,Dados_Evap!$A$2:$A$15,0),C25),0))</f>
        <v/>
      </c>
      <c r="G25" s="16" t="str">
        <f aca="false">IF(F25="","",F25/1000)</f>
        <v/>
      </c>
      <c r="H25" s="16" t="str">
        <f aca="false">IF(D25="","",MAX(0,MIN($B$8,IFERROR(LOOKUP(2,1/($U$24:U24&lt;&gt;""),$U$24:U24),$B$11))))</f>
        <v/>
      </c>
      <c r="I25" s="16" t="str">
        <f aca="false" t="array" ref="I25: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16" t="str">
        <f aca="false">IF(D25="","",$B$12)</f>
        <v/>
      </c>
      <c r="K25" s="16" t="str">
        <f aca="false">IF(J25="","",J25*$B$15)</f>
        <v/>
      </c>
      <c r="L25" s="16" t="str">
        <f aca="false">IF(D25="","",H25+E25-K25-G25*I25)</f>
        <v/>
      </c>
      <c r="M25" s="16" t="str">
        <f aca="false" t="array" ref="M25: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16" t="str">
        <f aca="false">IF(D25="","",(I25+M25)/2)</f>
        <v/>
      </c>
      <c r="O25" s="16" t="str">
        <f aca="false">IF(D25="","",G25*N25)</f>
        <v/>
      </c>
      <c r="P25" s="16" t="str">
        <f aca="false">IF(D25="","",H25+E25-K25-O25)</f>
        <v/>
      </c>
      <c r="Q25" s="16" t="str">
        <f aca="false">IF(D25="","",IF(P25&gt;=0,K25,MAX(0,K25+P25)))</f>
        <v/>
      </c>
      <c r="R25" s="16" t="str">
        <f aca="false">IF(D25="","",Q25/$B$15)</f>
        <v/>
      </c>
      <c r="S25" s="16" t="str">
        <f aca="false">IF(D25="","",MAX(0,J25-R25))</f>
        <v/>
      </c>
      <c r="T25" s="16" t="str">
        <f aca="false">IF(D25="","",MAX(0,Z25-$B$8))</f>
        <v/>
      </c>
      <c r="U25" s="16" t="str">
        <f aca="false">IF(D25="","",MAX(0,MIN($B$8,Z25)))</f>
        <v/>
      </c>
      <c r="V25" s="16" t="str">
        <f aca="false">IF(D25="","",IF(S25&gt;0.0000001,"Sim","Não"))</f>
        <v/>
      </c>
      <c r="W25" s="16" t="str">
        <f aca="false">IF(D25="","",U25-(H25+E25-Q25-O25-T25))</f>
        <v/>
      </c>
      <c r="X25" s="16" t="str">
        <f aca="false">IF(W25="","",ABS(W25))</f>
        <v/>
      </c>
      <c r="Y25" s="16" t="str">
        <f aca="false">IF(U25="","",IF($B$8=0,0,U25/$B$8*100))</f>
        <v/>
      </c>
      <c r="Z25" s="17" t="str">
        <f aca="false">IF(D25="","",MAX(0,IF(P25&gt;=0,P25,IF(K25+P25&gt;=0,0,P25+K25))))</f>
        <v/>
      </c>
      <c r="AA25" s="17" t="str">
        <f aca="false">IF(D25="","",IF(H25&lt;=$B$16,1,IF(H25&gt;=$B$17,$B$21,MATCH(H25,Aux_CAV!$A$2:$A$121,1))))</f>
        <v/>
      </c>
      <c r="AB25" s="17" t="str">
        <f aca="false">IF(D25="","",IF(L25&lt;=$B$16,1,IF(L25&gt;=$B$17,$B$21,MATCH(L25,Aux_CAV!$A$2:$A$121,1))))</f>
        <v/>
      </c>
      <c r="AC25" s="5" t="str">
        <f aca="false">IF(D25="","",COUNT($D$24:D25))</f>
        <v/>
      </c>
    </row>
    <row r="26" customFormat="false" ht="12.75" hidden="false" customHeight="true" outlineLevel="0" collapsed="false">
      <c r="A26" s="14" t="str">
        <f aca="false">IF(D26="","",DATE(B26,C26,1))</f>
        <v/>
      </c>
      <c r="B26" s="15" t="str">
        <f aca="false" t="array" ref="B26:B26">IF(D26="","",IFERROR(VALUE(INDEX(Vazoes_COLAR!$A$2:$A$200,INT((ROW()-24)/12)+1)),""))</f>
        <v/>
      </c>
      <c r="C26" s="15" t="str">
        <f aca="false">IF(D26="","",MOD(ROW()-24,12)+1)</f>
        <v/>
      </c>
      <c r="D26" s="16" t="str">
        <f aca="false" t="array" ref="D26: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16" t="str">
        <f aca="false">IF(D26="","",D26*$B$15)</f>
        <v/>
      </c>
      <c r="F26" s="16" t="str">
        <f aca="false" t="array" ref="F26:F26">IF(D26="","",IFERROR(INDEX(Dados_Evap!$C$2:$N$15,MATCH($B$9,Dados_Evap!$A$2:$A$15,0),C26),0))</f>
        <v/>
      </c>
      <c r="G26" s="16" t="str">
        <f aca="false">IF(F26="","",F26/1000)</f>
        <v/>
      </c>
      <c r="H26" s="16" t="str">
        <f aca="false">IF(D26="","",MAX(0,MIN($B$8,IFERROR(LOOKUP(2,1/($U$24:U25&lt;&gt;""),$U$24:U25),$B$11))))</f>
        <v/>
      </c>
      <c r="I26" s="16" t="str">
        <f aca="false" t="array" ref="I26: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16" t="str">
        <f aca="false">IF(D26="","",$B$12)</f>
        <v/>
      </c>
      <c r="K26" s="16" t="str">
        <f aca="false">IF(J26="","",J26*$B$15)</f>
        <v/>
      </c>
      <c r="L26" s="16" t="str">
        <f aca="false">IF(D26="","",H26+E26-K26-G26*I26)</f>
        <v/>
      </c>
      <c r="M26" s="16" t="str">
        <f aca="false" t="array" ref="M26: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16" t="str">
        <f aca="false">IF(D26="","",(I26+M26)/2)</f>
        <v/>
      </c>
      <c r="O26" s="16" t="str">
        <f aca="false">IF(D26="","",G26*N26)</f>
        <v/>
      </c>
      <c r="P26" s="16" t="str">
        <f aca="false">IF(D26="","",H26+E26-K26-O26)</f>
        <v/>
      </c>
      <c r="Q26" s="16" t="str">
        <f aca="false">IF(D26="","",IF(P26&gt;=0,K26,MAX(0,K26+P26)))</f>
        <v/>
      </c>
      <c r="R26" s="16" t="str">
        <f aca="false">IF(D26="","",Q26/$B$15)</f>
        <v/>
      </c>
      <c r="S26" s="16" t="str">
        <f aca="false">IF(D26="","",MAX(0,J26-R26))</f>
        <v/>
      </c>
      <c r="T26" s="16" t="str">
        <f aca="false">IF(D26="","",MAX(0,Z26-$B$8))</f>
        <v/>
      </c>
      <c r="U26" s="16" t="str">
        <f aca="false">IF(D26="","",MAX(0,MIN($B$8,Z26)))</f>
        <v/>
      </c>
      <c r="V26" s="16" t="str">
        <f aca="false">IF(D26="","",IF(S26&gt;0.0000001,"Sim","Não"))</f>
        <v/>
      </c>
      <c r="W26" s="16" t="str">
        <f aca="false">IF(D26="","",U26-(H26+E26-Q26-O26-T26))</f>
        <v/>
      </c>
      <c r="X26" s="16" t="str">
        <f aca="false">IF(W26="","",ABS(W26))</f>
        <v/>
      </c>
      <c r="Y26" s="16" t="str">
        <f aca="false">IF(U26="","",IF($B$8=0,0,U26/$B$8*100))</f>
        <v/>
      </c>
      <c r="Z26" s="17" t="str">
        <f aca="false">IF(D26="","",MAX(0,IF(P26&gt;=0,P26,IF(K26+P26&gt;=0,0,P26+K26))))</f>
        <v/>
      </c>
      <c r="AA26" s="17" t="str">
        <f aca="false">IF(D26="","",IF(H26&lt;=$B$16,1,IF(H26&gt;=$B$17,$B$21,MATCH(H26,Aux_CAV!$A$2:$A$121,1))))</f>
        <v/>
      </c>
      <c r="AB26" s="17" t="str">
        <f aca="false">IF(D26="","",IF(L26&lt;=$B$16,1,IF(L26&gt;=$B$17,$B$21,MATCH(L26,Aux_CAV!$A$2:$A$121,1))))</f>
        <v/>
      </c>
      <c r="AC26" s="5" t="str">
        <f aca="false">IF(D26="","",COUNT($D$24:D26))</f>
        <v/>
      </c>
    </row>
    <row r="27" customFormat="false" ht="12.75" hidden="false" customHeight="true" outlineLevel="0" collapsed="false">
      <c r="A27" s="14" t="str">
        <f aca="false">IF(D27="","",DATE(B27,C27,1))</f>
        <v/>
      </c>
      <c r="B27" s="15" t="str">
        <f aca="false" t="array" ref="B27:B27">IF(D27="","",IFERROR(VALUE(INDEX(Vazoes_COLAR!$A$2:$A$200,INT((ROW()-24)/12)+1)),""))</f>
        <v/>
      </c>
      <c r="C27" s="15" t="str">
        <f aca="false">IF(D27="","",MOD(ROW()-24,12)+1)</f>
        <v/>
      </c>
      <c r="D27" s="16" t="str">
        <f aca="false" t="array" ref="D27: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16" t="str">
        <f aca="false">IF(D27="","",D27*$B$15)</f>
        <v/>
      </c>
      <c r="F27" s="16" t="str">
        <f aca="false" t="array" ref="F27:F27">IF(D27="","",IFERROR(INDEX(Dados_Evap!$C$2:$N$15,MATCH($B$9,Dados_Evap!$A$2:$A$15,0),C27),0))</f>
        <v/>
      </c>
      <c r="G27" s="16" t="str">
        <f aca="false">IF(F27="","",F27/1000)</f>
        <v/>
      </c>
      <c r="H27" s="16" t="str">
        <f aca="false">IF(D27="","",MAX(0,MIN($B$8,IFERROR(LOOKUP(2,1/($U$24:U26&lt;&gt;""),$U$24:U26),$B$11))))</f>
        <v/>
      </c>
      <c r="I27" s="16" t="str">
        <f aca="false" t="array" ref="I27: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16" t="str">
        <f aca="false">IF(D27="","",$B$12)</f>
        <v/>
      </c>
      <c r="K27" s="16" t="str">
        <f aca="false">IF(J27="","",J27*$B$15)</f>
        <v/>
      </c>
      <c r="L27" s="16" t="str">
        <f aca="false">IF(D27="","",H27+E27-K27-G27*I27)</f>
        <v/>
      </c>
      <c r="M27" s="16" t="str">
        <f aca="false" t="array" ref="M27: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16" t="str">
        <f aca="false">IF(D27="","",(I27+M27)/2)</f>
        <v/>
      </c>
      <c r="O27" s="16" t="str">
        <f aca="false">IF(D27="","",G27*N27)</f>
        <v/>
      </c>
      <c r="P27" s="16" t="str">
        <f aca="false">IF(D27="","",H27+E27-K27-O27)</f>
        <v/>
      </c>
      <c r="Q27" s="16" t="str">
        <f aca="false">IF(D27="","",IF(P27&gt;=0,K27,MAX(0,K27+P27)))</f>
        <v/>
      </c>
      <c r="R27" s="16" t="str">
        <f aca="false">IF(D27="","",Q27/$B$15)</f>
        <v/>
      </c>
      <c r="S27" s="16" t="str">
        <f aca="false">IF(D27="","",MAX(0,J27-R27))</f>
        <v/>
      </c>
      <c r="T27" s="16" t="str">
        <f aca="false">IF(D27="","",MAX(0,Z27-$B$8))</f>
        <v/>
      </c>
      <c r="U27" s="16" t="str">
        <f aca="false">IF(D27="","",MAX(0,MIN($B$8,Z27)))</f>
        <v/>
      </c>
      <c r="V27" s="16" t="str">
        <f aca="false">IF(D27="","",IF(S27&gt;0.0000001,"Sim","Não"))</f>
        <v/>
      </c>
      <c r="W27" s="16" t="str">
        <f aca="false">IF(D27="","",U27-(H27+E27-Q27-O27-T27))</f>
        <v/>
      </c>
      <c r="X27" s="16" t="str">
        <f aca="false">IF(W27="","",ABS(W27))</f>
        <v/>
      </c>
      <c r="Y27" s="16" t="str">
        <f aca="false">IF(U27="","",IF($B$8=0,0,U27/$B$8*100))</f>
        <v/>
      </c>
      <c r="Z27" s="17" t="str">
        <f aca="false">IF(D27="","",MAX(0,IF(P27&gt;=0,P27,IF(K27+P27&gt;=0,0,P27+K27))))</f>
        <v/>
      </c>
      <c r="AA27" s="17" t="str">
        <f aca="false">IF(D27="","",IF(H27&lt;=$B$16,1,IF(H27&gt;=$B$17,$B$21,MATCH(H27,Aux_CAV!$A$2:$A$121,1))))</f>
        <v/>
      </c>
      <c r="AB27" s="17" t="str">
        <f aca="false">IF(D27="","",IF(L27&lt;=$B$16,1,IF(L27&gt;=$B$17,$B$21,MATCH(L27,Aux_CAV!$A$2:$A$121,1))))</f>
        <v/>
      </c>
      <c r="AC27" s="5" t="str">
        <f aca="false">IF(D27="","",COUNT($D$24:D27))</f>
        <v/>
      </c>
    </row>
    <row r="28" customFormat="false" ht="12.75" hidden="false" customHeight="true" outlineLevel="0" collapsed="false">
      <c r="A28" s="14" t="str">
        <f aca="false">IF(D28="","",DATE(B28,C28,1))</f>
        <v/>
      </c>
      <c r="B28" s="15" t="str">
        <f aca="false" t="array" ref="B28:B28">IF(D28="","",IFERROR(VALUE(INDEX(Vazoes_COLAR!$A$2:$A$200,INT((ROW()-24)/12)+1)),""))</f>
        <v/>
      </c>
      <c r="C28" s="15" t="str">
        <f aca="false">IF(D28="","",MOD(ROW()-24,12)+1)</f>
        <v/>
      </c>
      <c r="D28" s="16" t="str">
        <f aca="false" t="array" ref="D28: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16" t="str">
        <f aca="false">IF(D28="","",D28*$B$15)</f>
        <v/>
      </c>
      <c r="F28" s="16" t="str">
        <f aca="false" t="array" ref="F28:F28">IF(D28="","",IFERROR(INDEX(Dados_Evap!$C$2:$N$15,MATCH($B$9,Dados_Evap!$A$2:$A$15,0),C28),0))</f>
        <v/>
      </c>
      <c r="G28" s="16" t="str">
        <f aca="false">IF(F28="","",F28/1000)</f>
        <v/>
      </c>
      <c r="H28" s="16" t="str">
        <f aca="false">IF(D28="","",MAX(0,MIN($B$8,IFERROR(LOOKUP(2,1/($U$24:U27&lt;&gt;""),$U$24:U27),$B$11))))</f>
        <v/>
      </c>
      <c r="I28" s="16" t="str">
        <f aca="false" t="array" ref="I28: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16" t="str">
        <f aca="false">IF(D28="","",$B$12)</f>
        <v/>
      </c>
      <c r="K28" s="16" t="str">
        <f aca="false">IF(J28="","",J28*$B$15)</f>
        <v/>
      </c>
      <c r="L28" s="16" t="str">
        <f aca="false">IF(D28="","",H28+E28-K28-G28*I28)</f>
        <v/>
      </c>
      <c r="M28" s="16" t="str">
        <f aca="false" t="array" ref="M28: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16" t="str">
        <f aca="false">IF(D28="","",(I28+M28)/2)</f>
        <v/>
      </c>
      <c r="O28" s="16" t="str">
        <f aca="false">IF(D28="","",G28*N28)</f>
        <v/>
      </c>
      <c r="P28" s="16" t="str">
        <f aca="false">IF(D28="","",H28+E28-K28-O28)</f>
        <v/>
      </c>
      <c r="Q28" s="16" t="str">
        <f aca="false">IF(D28="","",IF(P28&gt;=0,K28,MAX(0,K28+P28)))</f>
        <v/>
      </c>
      <c r="R28" s="16" t="str">
        <f aca="false">IF(D28="","",Q28/$B$15)</f>
        <v/>
      </c>
      <c r="S28" s="16" t="str">
        <f aca="false">IF(D28="","",MAX(0,J28-R28))</f>
        <v/>
      </c>
      <c r="T28" s="16" t="str">
        <f aca="false">IF(D28="","",MAX(0,Z28-$B$8))</f>
        <v/>
      </c>
      <c r="U28" s="16" t="str">
        <f aca="false">IF(D28="","",MAX(0,MIN($B$8,Z28)))</f>
        <v/>
      </c>
      <c r="V28" s="16" t="str">
        <f aca="false">IF(D28="","",IF(S28&gt;0.0000001,"Sim","Não"))</f>
        <v/>
      </c>
      <c r="W28" s="16" t="str">
        <f aca="false">IF(D28="","",U28-(H28+E28-Q28-O28-T28))</f>
        <v/>
      </c>
      <c r="X28" s="16" t="str">
        <f aca="false">IF(W28="","",ABS(W28))</f>
        <v/>
      </c>
      <c r="Y28" s="16" t="str">
        <f aca="false">IF(U28="","",IF($B$8=0,0,U28/$B$8*100))</f>
        <v/>
      </c>
      <c r="Z28" s="17" t="str">
        <f aca="false">IF(D28="","",MAX(0,IF(P28&gt;=0,P28,IF(K28+P28&gt;=0,0,P28+K28))))</f>
        <v/>
      </c>
      <c r="AA28" s="17" t="str">
        <f aca="false">IF(D28="","",IF(H28&lt;=$B$16,1,IF(H28&gt;=$B$17,$B$21,MATCH(H28,Aux_CAV!$A$2:$A$121,1))))</f>
        <v/>
      </c>
      <c r="AB28" s="17" t="str">
        <f aca="false">IF(D28="","",IF(L28&lt;=$B$16,1,IF(L28&gt;=$B$17,$B$21,MATCH(L28,Aux_CAV!$A$2:$A$121,1))))</f>
        <v/>
      </c>
      <c r="AC28" s="5" t="str">
        <f aca="false">IF(D28="","",COUNT($D$24:D28))</f>
        <v/>
      </c>
    </row>
    <row r="29" customFormat="false" ht="12.75" hidden="false" customHeight="true" outlineLevel="0" collapsed="false">
      <c r="A29" s="14" t="str">
        <f aca="false">IF(D29="","",DATE(B29,C29,1))</f>
        <v/>
      </c>
      <c r="B29" s="15" t="str">
        <f aca="false" t="array" ref="B29:B29">IF(D29="","",IFERROR(VALUE(INDEX(Vazoes_COLAR!$A$2:$A$200,INT((ROW()-24)/12)+1)),""))</f>
        <v/>
      </c>
      <c r="C29" s="15" t="str">
        <f aca="false">IF(D29="","",MOD(ROW()-24,12)+1)</f>
        <v/>
      </c>
      <c r="D29" s="16" t="str">
        <f aca="false" t="array" ref="D29: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16" t="str">
        <f aca="false">IF(D29="","",D29*$B$15)</f>
        <v/>
      </c>
      <c r="F29" s="16" t="str">
        <f aca="false" t="array" ref="F29:F29">IF(D29="","",IFERROR(INDEX(Dados_Evap!$C$2:$N$15,MATCH($B$9,Dados_Evap!$A$2:$A$15,0),C29),0))</f>
        <v/>
      </c>
      <c r="G29" s="16" t="str">
        <f aca="false">IF(F29="","",F29/1000)</f>
        <v/>
      </c>
      <c r="H29" s="16" t="str">
        <f aca="false">IF(D29="","",MAX(0,MIN($B$8,IFERROR(LOOKUP(2,1/($U$24:U28&lt;&gt;""),$U$24:U28),$B$11))))</f>
        <v/>
      </c>
      <c r="I29" s="16" t="str">
        <f aca="false" t="array" ref="I29: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16" t="str">
        <f aca="false">IF(D29="","",$B$12)</f>
        <v/>
      </c>
      <c r="K29" s="16" t="str">
        <f aca="false">IF(J29="","",J29*$B$15)</f>
        <v/>
      </c>
      <c r="L29" s="16" t="str">
        <f aca="false">IF(D29="","",H29+E29-K29-G29*I29)</f>
        <v/>
      </c>
      <c r="M29" s="16" t="str">
        <f aca="false" t="array" ref="M29: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16" t="str">
        <f aca="false">IF(D29="","",(I29+M29)/2)</f>
        <v/>
      </c>
      <c r="O29" s="16" t="str">
        <f aca="false">IF(D29="","",G29*N29)</f>
        <v/>
      </c>
      <c r="P29" s="16" t="str">
        <f aca="false">IF(D29="","",H29+E29-K29-O29)</f>
        <v/>
      </c>
      <c r="Q29" s="16" t="str">
        <f aca="false">IF(D29="","",IF(P29&gt;=0,K29,MAX(0,K29+P29)))</f>
        <v/>
      </c>
      <c r="R29" s="16" t="str">
        <f aca="false">IF(D29="","",Q29/$B$15)</f>
        <v/>
      </c>
      <c r="S29" s="16" t="str">
        <f aca="false">IF(D29="","",MAX(0,J29-R29))</f>
        <v/>
      </c>
      <c r="T29" s="16" t="str">
        <f aca="false">IF(D29="","",MAX(0,Z29-$B$8))</f>
        <v/>
      </c>
      <c r="U29" s="16" t="str">
        <f aca="false">IF(D29="","",MAX(0,MIN($B$8,Z29)))</f>
        <v/>
      </c>
      <c r="V29" s="16" t="str">
        <f aca="false">IF(D29="","",IF(S29&gt;0.0000001,"Sim","Não"))</f>
        <v/>
      </c>
      <c r="W29" s="16" t="str">
        <f aca="false">IF(D29="","",U29-(H29+E29-Q29-O29-T29))</f>
        <v/>
      </c>
      <c r="X29" s="16" t="str">
        <f aca="false">IF(W29="","",ABS(W29))</f>
        <v/>
      </c>
      <c r="Y29" s="16" t="str">
        <f aca="false">IF(U29="","",IF($B$8=0,0,U29/$B$8*100))</f>
        <v/>
      </c>
      <c r="Z29" s="17" t="str">
        <f aca="false">IF(D29="","",MAX(0,IF(P29&gt;=0,P29,IF(K29+P29&gt;=0,0,P29+K29))))</f>
        <v/>
      </c>
      <c r="AA29" s="17" t="str">
        <f aca="false">IF(D29="","",IF(H29&lt;=$B$16,1,IF(H29&gt;=$B$17,$B$21,MATCH(H29,Aux_CAV!$A$2:$A$121,1))))</f>
        <v/>
      </c>
      <c r="AB29" s="17" t="str">
        <f aca="false">IF(D29="","",IF(L29&lt;=$B$16,1,IF(L29&gt;=$B$17,$B$21,MATCH(L29,Aux_CAV!$A$2:$A$121,1))))</f>
        <v/>
      </c>
      <c r="AC29" s="5" t="str">
        <f aca="false">IF(D29="","",COUNT($D$24:D29))</f>
        <v/>
      </c>
    </row>
    <row r="30" customFormat="false" ht="12.75" hidden="false" customHeight="true" outlineLevel="0" collapsed="false">
      <c r="A30" s="14" t="str">
        <f aca="false">IF(D30="","",DATE(B30,C30,1))</f>
        <v/>
      </c>
      <c r="B30" s="15" t="str">
        <f aca="false" t="array" ref="B30:B30">IF(D30="","",IFERROR(VALUE(INDEX(Vazoes_COLAR!$A$2:$A$200,INT((ROW()-24)/12)+1)),""))</f>
        <v/>
      </c>
      <c r="C30" s="15" t="str">
        <f aca="false">IF(D30="","",MOD(ROW()-24,12)+1)</f>
        <v/>
      </c>
      <c r="D30" s="16" t="str">
        <f aca="false" t="array" ref="D30: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16" t="str">
        <f aca="false">IF(D30="","",D30*$B$15)</f>
        <v/>
      </c>
      <c r="F30" s="16" t="str">
        <f aca="false" t="array" ref="F30:F30">IF(D30="","",IFERROR(INDEX(Dados_Evap!$C$2:$N$15,MATCH($B$9,Dados_Evap!$A$2:$A$15,0),C30),0))</f>
        <v/>
      </c>
      <c r="G30" s="16" t="str">
        <f aca="false">IF(F30="","",F30/1000)</f>
        <v/>
      </c>
      <c r="H30" s="16" t="str">
        <f aca="false">IF(D30="","",MAX(0,MIN($B$8,IFERROR(LOOKUP(2,1/($U$24:U29&lt;&gt;""),$U$24:U29),$B$11))))</f>
        <v/>
      </c>
      <c r="I30" s="16" t="str">
        <f aca="false" t="array" ref="I30: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16" t="str">
        <f aca="false">IF(D30="","",$B$12)</f>
        <v/>
      </c>
      <c r="K30" s="16" t="str">
        <f aca="false">IF(J30="","",J30*$B$15)</f>
        <v/>
      </c>
      <c r="L30" s="16" t="str">
        <f aca="false">IF(D30="","",H30+E30-K30-G30*I30)</f>
        <v/>
      </c>
      <c r="M30" s="16" t="str">
        <f aca="false" t="array" ref="M30: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16" t="str">
        <f aca="false">IF(D30="","",(I30+M30)/2)</f>
        <v/>
      </c>
      <c r="O30" s="16" t="str">
        <f aca="false">IF(D30="","",G30*N30)</f>
        <v/>
      </c>
      <c r="P30" s="16" t="str">
        <f aca="false">IF(D30="","",H30+E30-K30-O30)</f>
        <v/>
      </c>
      <c r="Q30" s="16" t="str">
        <f aca="false">IF(D30="","",IF(P30&gt;=0,K30,MAX(0,K30+P30)))</f>
        <v/>
      </c>
      <c r="R30" s="16" t="str">
        <f aca="false">IF(D30="","",Q30/$B$15)</f>
        <v/>
      </c>
      <c r="S30" s="16" t="str">
        <f aca="false">IF(D30="","",MAX(0,J30-R30))</f>
        <v/>
      </c>
      <c r="T30" s="16" t="str">
        <f aca="false">IF(D30="","",MAX(0,Z30-$B$8))</f>
        <v/>
      </c>
      <c r="U30" s="16" t="str">
        <f aca="false">IF(D30="","",MAX(0,MIN($B$8,Z30)))</f>
        <v/>
      </c>
      <c r="V30" s="16" t="str">
        <f aca="false">IF(D30="","",IF(S30&gt;0.0000001,"Sim","Não"))</f>
        <v/>
      </c>
      <c r="W30" s="16" t="str">
        <f aca="false">IF(D30="","",U30-(H30+E30-Q30-O30-T30))</f>
        <v/>
      </c>
      <c r="X30" s="16" t="str">
        <f aca="false">IF(W30="","",ABS(W30))</f>
        <v/>
      </c>
      <c r="Y30" s="16" t="str">
        <f aca="false">IF(U30="","",IF($B$8=0,0,U30/$B$8*100))</f>
        <v/>
      </c>
      <c r="Z30" s="17" t="str">
        <f aca="false">IF(D30="","",MAX(0,IF(P30&gt;=0,P30,IF(K30+P30&gt;=0,0,P30+K30))))</f>
        <v/>
      </c>
      <c r="AA30" s="17" t="str">
        <f aca="false">IF(D30="","",IF(H30&lt;=$B$16,1,IF(H30&gt;=$B$17,$B$21,MATCH(H30,Aux_CAV!$A$2:$A$121,1))))</f>
        <v/>
      </c>
      <c r="AB30" s="17" t="str">
        <f aca="false">IF(D30="","",IF(L30&lt;=$B$16,1,IF(L30&gt;=$B$17,$B$21,MATCH(L30,Aux_CAV!$A$2:$A$121,1))))</f>
        <v/>
      </c>
      <c r="AC30" s="5" t="str">
        <f aca="false">IF(D30="","",COUNT($D$24:D30))</f>
        <v/>
      </c>
    </row>
    <row r="31" customFormat="false" ht="12.75" hidden="false" customHeight="true" outlineLevel="0" collapsed="false">
      <c r="A31" s="14" t="str">
        <f aca="false">IF(D31="","",DATE(B31,C31,1))</f>
        <v/>
      </c>
      <c r="B31" s="15" t="str">
        <f aca="false" t="array" ref="B31:B31">IF(D31="","",IFERROR(VALUE(INDEX(Vazoes_COLAR!$A$2:$A$200,INT((ROW()-24)/12)+1)),""))</f>
        <v/>
      </c>
      <c r="C31" s="15" t="str">
        <f aca="false">IF(D31="","",MOD(ROW()-24,12)+1)</f>
        <v/>
      </c>
      <c r="D31" s="16" t="str">
        <f aca="false" t="array" ref="D31: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16" t="str">
        <f aca="false">IF(D31="","",D31*$B$15)</f>
        <v/>
      </c>
      <c r="F31" s="16" t="str">
        <f aca="false" t="array" ref="F31:F31">IF(D31="","",IFERROR(INDEX(Dados_Evap!$C$2:$N$15,MATCH($B$9,Dados_Evap!$A$2:$A$15,0),C31),0))</f>
        <v/>
      </c>
      <c r="G31" s="16" t="str">
        <f aca="false">IF(F31="","",F31/1000)</f>
        <v/>
      </c>
      <c r="H31" s="16" t="str">
        <f aca="false">IF(D31="","",MAX(0,MIN($B$8,IFERROR(LOOKUP(2,1/($U$24:U30&lt;&gt;""),$U$24:U30),$B$11))))</f>
        <v/>
      </c>
      <c r="I31" s="16" t="str">
        <f aca="false" t="array" ref="I31: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16" t="str">
        <f aca="false">IF(D31="","",$B$12)</f>
        <v/>
      </c>
      <c r="K31" s="16" t="str">
        <f aca="false">IF(J31="","",J31*$B$15)</f>
        <v/>
      </c>
      <c r="L31" s="16" t="str">
        <f aca="false">IF(D31="","",H31+E31-K31-G31*I31)</f>
        <v/>
      </c>
      <c r="M31" s="16" t="str">
        <f aca="false" t="array" ref="M31: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16" t="str">
        <f aca="false">IF(D31="","",(I31+M31)/2)</f>
        <v/>
      </c>
      <c r="O31" s="16" t="str">
        <f aca="false">IF(D31="","",G31*N31)</f>
        <v/>
      </c>
      <c r="P31" s="16" t="str">
        <f aca="false">IF(D31="","",H31+E31-K31-O31)</f>
        <v/>
      </c>
      <c r="Q31" s="16" t="str">
        <f aca="false">IF(D31="","",IF(P31&gt;=0,K31,MAX(0,K31+P31)))</f>
        <v/>
      </c>
      <c r="R31" s="16" t="str">
        <f aca="false">IF(D31="","",Q31/$B$15)</f>
        <v/>
      </c>
      <c r="S31" s="16" t="str">
        <f aca="false">IF(D31="","",MAX(0,J31-R31))</f>
        <v/>
      </c>
      <c r="T31" s="16" t="str">
        <f aca="false">IF(D31="","",MAX(0,Z31-$B$8))</f>
        <v/>
      </c>
      <c r="U31" s="16" t="str">
        <f aca="false">IF(D31="","",MAX(0,MIN($B$8,Z31)))</f>
        <v/>
      </c>
      <c r="V31" s="16" t="str">
        <f aca="false">IF(D31="","",IF(S31&gt;0.0000001,"Sim","Não"))</f>
        <v/>
      </c>
      <c r="W31" s="16" t="str">
        <f aca="false">IF(D31="","",U31-(H31+E31-Q31-O31-T31))</f>
        <v/>
      </c>
      <c r="X31" s="16" t="str">
        <f aca="false">IF(W31="","",ABS(W31))</f>
        <v/>
      </c>
      <c r="Y31" s="16" t="str">
        <f aca="false">IF(U31="","",IF($B$8=0,0,U31/$B$8*100))</f>
        <v/>
      </c>
      <c r="Z31" s="17" t="str">
        <f aca="false">IF(D31="","",MAX(0,IF(P31&gt;=0,P31,IF(K31+P31&gt;=0,0,P31+K31))))</f>
        <v/>
      </c>
      <c r="AA31" s="17" t="str">
        <f aca="false">IF(D31="","",IF(H31&lt;=$B$16,1,IF(H31&gt;=$B$17,$B$21,MATCH(H31,Aux_CAV!$A$2:$A$121,1))))</f>
        <v/>
      </c>
      <c r="AB31" s="17" t="str">
        <f aca="false">IF(D31="","",IF(L31&lt;=$B$16,1,IF(L31&gt;=$B$17,$B$21,MATCH(L31,Aux_CAV!$A$2:$A$121,1))))</f>
        <v/>
      </c>
      <c r="AC31" s="5" t="str">
        <f aca="false">IF(D31="","",COUNT($D$24:D31))</f>
        <v/>
      </c>
    </row>
    <row r="32" customFormat="false" ht="12.75" hidden="false" customHeight="true" outlineLevel="0" collapsed="false">
      <c r="A32" s="14" t="str">
        <f aca="false">IF(D32="","",DATE(B32,C32,1))</f>
        <v/>
      </c>
      <c r="B32" s="15" t="str">
        <f aca="false" t="array" ref="B32:B32">IF(D32="","",IFERROR(VALUE(INDEX(Vazoes_COLAR!$A$2:$A$200,INT((ROW()-24)/12)+1)),""))</f>
        <v/>
      </c>
      <c r="C32" s="15" t="str">
        <f aca="false">IF(D32="","",MOD(ROW()-24,12)+1)</f>
        <v/>
      </c>
      <c r="D32" s="16" t="str">
        <f aca="false" t="array" ref="D32: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16" t="str">
        <f aca="false">IF(D32="","",D32*$B$15)</f>
        <v/>
      </c>
      <c r="F32" s="16" t="str">
        <f aca="false" t="array" ref="F32:F32">IF(D32="","",IFERROR(INDEX(Dados_Evap!$C$2:$N$15,MATCH($B$9,Dados_Evap!$A$2:$A$15,0),C32),0))</f>
        <v/>
      </c>
      <c r="G32" s="16" t="str">
        <f aca="false">IF(F32="","",F32/1000)</f>
        <v/>
      </c>
      <c r="H32" s="16" t="str">
        <f aca="false">IF(D32="","",MAX(0,MIN($B$8,IFERROR(LOOKUP(2,1/($U$24:U31&lt;&gt;""),$U$24:U31),$B$11))))</f>
        <v/>
      </c>
      <c r="I32" s="16" t="str">
        <f aca="false" t="array" ref="I32: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16" t="str">
        <f aca="false">IF(D32="","",$B$12)</f>
        <v/>
      </c>
      <c r="K32" s="16" t="str">
        <f aca="false">IF(J32="","",J32*$B$15)</f>
        <v/>
      </c>
      <c r="L32" s="16" t="str">
        <f aca="false">IF(D32="","",H32+E32-K32-G32*I32)</f>
        <v/>
      </c>
      <c r="M32" s="16" t="str">
        <f aca="false" t="array" ref="M32: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16" t="str">
        <f aca="false">IF(D32="","",(I32+M32)/2)</f>
        <v/>
      </c>
      <c r="O32" s="16" t="str">
        <f aca="false">IF(D32="","",G32*N32)</f>
        <v/>
      </c>
      <c r="P32" s="16" t="str">
        <f aca="false">IF(D32="","",H32+E32-K32-O32)</f>
        <v/>
      </c>
      <c r="Q32" s="16" t="str">
        <f aca="false">IF(D32="","",IF(P32&gt;=0,K32,MAX(0,K32+P32)))</f>
        <v/>
      </c>
      <c r="R32" s="16" t="str">
        <f aca="false">IF(D32="","",Q32/$B$15)</f>
        <v/>
      </c>
      <c r="S32" s="16" t="str">
        <f aca="false">IF(D32="","",MAX(0,J32-R32))</f>
        <v/>
      </c>
      <c r="T32" s="16" t="str">
        <f aca="false">IF(D32="","",MAX(0,Z32-$B$8))</f>
        <v/>
      </c>
      <c r="U32" s="16" t="str">
        <f aca="false">IF(D32="","",MAX(0,MIN($B$8,Z32)))</f>
        <v/>
      </c>
      <c r="V32" s="16" t="str">
        <f aca="false">IF(D32="","",IF(S32&gt;0.0000001,"Sim","Não"))</f>
        <v/>
      </c>
      <c r="W32" s="16" t="str">
        <f aca="false">IF(D32="","",U32-(H32+E32-Q32-O32-T32))</f>
        <v/>
      </c>
      <c r="X32" s="16" t="str">
        <f aca="false">IF(W32="","",ABS(W32))</f>
        <v/>
      </c>
      <c r="Y32" s="16" t="str">
        <f aca="false">IF(U32="","",IF($B$8=0,0,U32/$B$8*100))</f>
        <v/>
      </c>
      <c r="Z32" s="17" t="str">
        <f aca="false">IF(D32="","",MAX(0,IF(P32&gt;=0,P32,IF(K32+P32&gt;=0,0,P32+K32))))</f>
        <v/>
      </c>
      <c r="AA32" s="17" t="str">
        <f aca="false">IF(D32="","",IF(H32&lt;=$B$16,1,IF(H32&gt;=$B$17,$B$21,MATCH(H32,Aux_CAV!$A$2:$A$121,1))))</f>
        <v/>
      </c>
      <c r="AB32" s="17" t="str">
        <f aca="false">IF(D32="","",IF(L32&lt;=$B$16,1,IF(L32&gt;=$B$17,$B$21,MATCH(L32,Aux_CAV!$A$2:$A$121,1))))</f>
        <v/>
      </c>
      <c r="AC32" s="5" t="str">
        <f aca="false">IF(D32="","",COUNT($D$24:D32))</f>
        <v/>
      </c>
    </row>
    <row r="33" customFormat="false" ht="12.75" hidden="false" customHeight="true" outlineLevel="0" collapsed="false">
      <c r="A33" s="14" t="str">
        <f aca="false">IF(D33="","",DATE(B33,C33,1))</f>
        <v/>
      </c>
      <c r="B33" s="15" t="str">
        <f aca="false" t="array" ref="B33:B33">IF(D33="","",IFERROR(VALUE(INDEX(Vazoes_COLAR!$A$2:$A$200,INT((ROW()-24)/12)+1)),""))</f>
        <v/>
      </c>
      <c r="C33" s="15" t="str">
        <f aca="false">IF(D33="","",MOD(ROW()-24,12)+1)</f>
        <v/>
      </c>
      <c r="D33" s="16" t="str">
        <f aca="false" t="array" ref="D33: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16" t="str">
        <f aca="false">IF(D33="","",D33*$B$15)</f>
        <v/>
      </c>
      <c r="F33" s="16" t="str">
        <f aca="false" t="array" ref="F33:F33">IF(D33="","",IFERROR(INDEX(Dados_Evap!$C$2:$N$15,MATCH($B$9,Dados_Evap!$A$2:$A$15,0),C33),0))</f>
        <v/>
      </c>
      <c r="G33" s="16" t="str">
        <f aca="false">IF(F33="","",F33/1000)</f>
        <v/>
      </c>
      <c r="H33" s="16" t="str">
        <f aca="false">IF(D33="","",MAX(0,MIN($B$8,IFERROR(LOOKUP(2,1/($U$24:U32&lt;&gt;""),$U$24:U32),$B$11))))</f>
        <v/>
      </c>
      <c r="I33" s="16" t="str">
        <f aca="false" t="array" ref="I33: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16" t="str">
        <f aca="false">IF(D33="","",$B$12)</f>
        <v/>
      </c>
      <c r="K33" s="16" t="str">
        <f aca="false">IF(J33="","",J33*$B$15)</f>
        <v/>
      </c>
      <c r="L33" s="16" t="str">
        <f aca="false">IF(D33="","",H33+E33-K33-G33*I33)</f>
        <v/>
      </c>
      <c r="M33" s="16" t="str">
        <f aca="false" t="array" ref="M33: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16" t="str">
        <f aca="false">IF(D33="","",(I33+M33)/2)</f>
        <v/>
      </c>
      <c r="O33" s="16" t="str">
        <f aca="false">IF(D33="","",G33*N33)</f>
        <v/>
      </c>
      <c r="P33" s="16" t="str">
        <f aca="false">IF(D33="","",H33+E33-K33-O33)</f>
        <v/>
      </c>
      <c r="Q33" s="16" t="str">
        <f aca="false">IF(D33="","",IF(P33&gt;=0,K33,MAX(0,K33+P33)))</f>
        <v/>
      </c>
      <c r="R33" s="16" t="str">
        <f aca="false">IF(D33="","",Q33/$B$15)</f>
        <v/>
      </c>
      <c r="S33" s="16" t="str">
        <f aca="false">IF(D33="","",MAX(0,J33-R33))</f>
        <v/>
      </c>
      <c r="T33" s="16" t="str">
        <f aca="false">IF(D33="","",MAX(0,Z33-$B$8))</f>
        <v/>
      </c>
      <c r="U33" s="16" t="str">
        <f aca="false">IF(D33="","",MAX(0,MIN($B$8,Z33)))</f>
        <v/>
      </c>
      <c r="V33" s="16" t="str">
        <f aca="false">IF(D33="","",IF(S33&gt;0.0000001,"Sim","Não"))</f>
        <v/>
      </c>
      <c r="W33" s="16" t="str">
        <f aca="false">IF(D33="","",U33-(H33+E33-Q33-O33-T33))</f>
        <v/>
      </c>
      <c r="X33" s="16" t="str">
        <f aca="false">IF(W33="","",ABS(W33))</f>
        <v/>
      </c>
      <c r="Y33" s="16" t="str">
        <f aca="false">IF(U33="","",IF($B$8=0,0,U33/$B$8*100))</f>
        <v/>
      </c>
      <c r="Z33" s="17" t="str">
        <f aca="false">IF(D33="","",MAX(0,IF(P33&gt;=0,P33,IF(K33+P33&gt;=0,0,P33+K33))))</f>
        <v/>
      </c>
      <c r="AA33" s="17" t="str">
        <f aca="false">IF(D33="","",IF(H33&lt;=$B$16,1,IF(H33&gt;=$B$17,$B$21,MATCH(H33,Aux_CAV!$A$2:$A$121,1))))</f>
        <v/>
      </c>
      <c r="AB33" s="17" t="str">
        <f aca="false">IF(D33="","",IF(L33&lt;=$B$16,1,IF(L33&gt;=$B$17,$B$21,MATCH(L33,Aux_CAV!$A$2:$A$121,1))))</f>
        <v/>
      </c>
      <c r="AC33" s="5" t="str">
        <f aca="false">IF(D33="","",COUNT($D$24:D33))</f>
        <v/>
      </c>
    </row>
    <row r="34" customFormat="false" ht="12.75" hidden="false" customHeight="true" outlineLevel="0" collapsed="false">
      <c r="A34" s="14" t="str">
        <f aca="false">IF(D34="","",DATE(B34,C34,1))</f>
        <v/>
      </c>
      <c r="B34" s="15" t="str">
        <f aca="false" t="array" ref="B34:B34">IF(D34="","",IFERROR(VALUE(INDEX(Vazoes_COLAR!$A$2:$A$200,INT((ROW()-24)/12)+1)),""))</f>
        <v/>
      </c>
      <c r="C34" s="15" t="str">
        <f aca="false">IF(D34="","",MOD(ROW()-24,12)+1)</f>
        <v/>
      </c>
      <c r="D34" s="16" t="str">
        <f aca="false" t="array" ref="D34: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" s="16" t="str">
        <f aca="false">IF(D34="","",D34*$B$15)</f>
        <v/>
      </c>
      <c r="F34" s="16" t="str">
        <f aca="false" t="array" ref="F34:F34">IF(D34="","",IFERROR(INDEX(Dados_Evap!$C$2:$N$15,MATCH($B$9,Dados_Evap!$A$2:$A$15,0),C34),0))</f>
        <v/>
      </c>
      <c r="G34" s="16" t="str">
        <f aca="false">IF(F34="","",F34/1000)</f>
        <v/>
      </c>
      <c r="H34" s="16" t="str">
        <f aca="false">IF(D34="","",MAX(0,MIN($B$8,IFERROR(LOOKUP(2,1/($U$24:U33&lt;&gt;""),$U$24:U33),$B$11))))</f>
        <v/>
      </c>
      <c r="I34" s="16" t="str">
        <f aca="false" t="array" ref="I34: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/>
      </c>
      <c r="J34" s="16" t="str">
        <f aca="false">IF(D34="","",$B$12)</f>
        <v/>
      </c>
      <c r="K34" s="16" t="str">
        <f aca="false">IF(J34="","",J34*$B$15)</f>
        <v/>
      </c>
      <c r="L34" s="16" t="str">
        <f aca="false">IF(D34="","",H34+E34-K34-G34*I34)</f>
        <v/>
      </c>
      <c r="M34" s="16" t="str">
        <f aca="false" t="array" ref="M34: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/>
      </c>
      <c r="N34" s="16" t="str">
        <f aca="false">IF(D34="","",(I34+M34)/2)</f>
        <v/>
      </c>
      <c r="O34" s="16" t="str">
        <f aca="false">IF(D34="","",G34*N34)</f>
        <v/>
      </c>
      <c r="P34" s="16" t="str">
        <f aca="false">IF(D34="","",H34+E34-K34-O34)</f>
        <v/>
      </c>
      <c r="Q34" s="16" t="str">
        <f aca="false">IF(D34="","",IF(P34&gt;=0,K34,MAX(0,K34+P34)))</f>
        <v/>
      </c>
      <c r="R34" s="16" t="str">
        <f aca="false">IF(D34="","",Q34/$B$15)</f>
        <v/>
      </c>
      <c r="S34" s="16" t="str">
        <f aca="false">IF(D34="","",MAX(0,J34-R34))</f>
        <v/>
      </c>
      <c r="T34" s="16" t="str">
        <f aca="false">IF(D34="","",MAX(0,Z34-$B$8))</f>
        <v/>
      </c>
      <c r="U34" s="16" t="str">
        <f aca="false">IF(D34="","",MAX(0,MIN($B$8,Z34)))</f>
        <v/>
      </c>
      <c r="V34" s="16" t="str">
        <f aca="false">IF(D34="","",IF(S34&gt;0.0000001,"Sim","Não"))</f>
        <v/>
      </c>
      <c r="W34" s="16" t="str">
        <f aca="false">IF(D34="","",U34-(H34+E34-Q34-O34-T34))</f>
        <v/>
      </c>
      <c r="X34" s="16" t="str">
        <f aca="false">IF(W34="","",ABS(W34))</f>
        <v/>
      </c>
      <c r="Y34" s="16" t="str">
        <f aca="false">IF(U34="","",IF($B$8=0,0,U34/$B$8*100))</f>
        <v/>
      </c>
      <c r="Z34" s="17" t="str">
        <f aca="false">IF(D34="","",MAX(0,IF(P34&gt;=0,P34,IF(K34+P34&gt;=0,0,P34+K34))))</f>
        <v/>
      </c>
      <c r="AA34" s="17" t="str">
        <f aca="false">IF(D34="","",IF(H34&lt;=$B$16,1,IF(H34&gt;=$B$17,$B$21,MATCH(H34,Aux_CAV!$A$2:$A$121,1))))</f>
        <v/>
      </c>
      <c r="AB34" s="17" t="str">
        <f aca="false">IF(D34="","",IF(L34&lt;=$B$16,1,IF(L34&gt;=$B$17,$B$21,MATCH(L34,Aux_CAV!$A$2:$A$121,1))))</f>
        <v/>
      </c>
      <c r="AC34" s="17" t="str">
        <f aca="false">IF(D34="","",COUNT($D$24:D34))</f>
        <v/>
      </c>
    </row>
    <row r="35" customFormat="false" ht="12.75" hidden="false" customHeight="true" outlineLevel="0" collapsed="false">
      <c r="A35" s="14" t="str">
        <f aca="false">IF(D35="","",DATE(B35,C35,1))</f>
        <v/>
      </c>
      <c r="B35" s="15" t="str">
        <f aca="false" t="array" ref="B35:B35">IF(D35="","",IFERROR(VALUE(INDEX(Vazoes_COLAR!$A$2:$A$200,INT((ROW()-24)/12)+1)),""))</f>
        <v/>
      </c>
      <c r="C35" s="15" t="str">
        <f aca="false">IF(D35="","",MOD(ROW()-24,12)+1)</f>
        <v/>
      </c>
      <c r="D35" s="16" t="str">
        <f aca="false" t="array" ref="D35: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" s="16" t="str">
        <f aca="false">IF(D35="","",D35*$B$15)</f>
        <v/>
      </c>
      <c r="F35" s="16" t="str">
        <f aca="false" t="array" ref="F35:F35">IF(D35="","",IFERROR(INDEX(Dados_Evap!$C$2:$N$15,MATCH($B$9,Dados_Evap!$A$2:$A$15,0),C35),0))</f>
        <v/>
      </c>
      <c r="G35" s="16" t="str">
        <f aca="false">IF(F35="","",F35/1000)</f>
        <v/>
      </c>
      <c r="H35" s="16" t="str">
        <f aca="false">IF(D35="","",MAX(0,MIN($B$8,IFERROR(LOOKUP(2,1/($U$24:U34&lt;&gt;""),$U$24:U34),$B$11))))</f>
        <v/>
      </c>
      <c r="I35" s="16" t="str">
        <f aca="false" t="array" ref="I35: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/>
      </c>
      <c r="J35" s="16" t="str">
        <f aca="false">IF(D35="","",$B$12)</f>
        <v/>
      </c>
      <c r="K35" s="16" t="str">
        <f aca="false">IF(J35="","",J35*$B$15)</f>
        <v/>
      </c>
      <c r="L35" s="16" t="str">
        <f aca="false">IF(D35="","",H35+E35-K35-G35*I35)</f>
        <v/>
      </c>
      <c r="M35" s="16" t="str">
        <f aca="false" t="array" ref="M35: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/>
      </c>
      <c r="N35" s="16" t="str">
        <f aca="false">IF(D35="","",(I35+M35)/2)</f>
        <v/>
      </c>
      <c r="O35" s="16" t="str">
        <f aca="false">IF(D35="","",G35*N35)</f>
        <v/>
      </c>
      <c r="P35" s="16" t="str">
        <f aca="false">IF(D35="","",H35+E35-K35-O35)</f>
        <v/>
      </c>
      <c r="Q35" s="16" t="str">
        <f aca="false">IF(D35="","",IF(P35&gt;=0,K35,MAX(0,K35+P35)))</f>
        <v/>
      </c>
      <c r="R35" s="16" t="str">
        <f aca="false">IF(D35="","",Q35/$B$15)</f>
        <v/>
      </c>
      <c r="S35" s="16" t="str">
        <f aca="false">IF(D35="","",MAX(0,J35-R35))</f>
        <v/>
      </c>
      <c r="T35" s="16" t="str">
        <f aca="false">IF(D35="","",MAX(0,Z35-$B$8))</f>
        <v/>
      </c>
      <c r="U35" s="16" t="str">
        <f aca="false">IF(D35="","",MAX(0,MIN($B$8,Z35)))</f>
        <v/>
      </c>
      <c r="V35" s="16" t="str">
        <f aca="false">IF(D35="","",IF(S35&gt;0.0000001,"Sim","Não"))</f>
        <v/>
      </c>
      <c r="W35" s="16" t="str">
        <f aca="false">IF(D35="","",U35-(H35+E35-Q35-O35-T35))</f>
        <v/>
      </c>
      <c r="X35" s="16" t="str">
        <f aca="false">IF(W35="","",ABS(W35))</f>
        <v/>
      </c>
      <c r="Y35" s="16" t="str">
        <f aca="false">IF(U35="","",IF($B$8=0,0,U35/$B$8*100))</f>
        <v/>
      </c>
      <c r="Z35" s="17" t="str">
        <f aca="false">IF(D35="","",MAX(0,IF(P35&gt;=0,P35,IF(K35+P35&gt;=0,0,P35+K35))))</f>
        <v/>
      </c>
      <c r="AA35" s="17" t="str">
        <f aca="false">IF(D35="","",IF(H35&lt;=$B$16,1,IF(H35&gt;=$B$17,$B$21,MATCH(H35,Aux_CAV!$A$2:$A$121,1))))</f>
        <v/>
      </c>
      <c r="AB35" s="17" t="str">
        <f aca="false">IF(D35="","",IF(L35&lt;=$B$16,1,IF(L35&gt;=$B$17,$B$21,MATCH(L35,Aux_CAV!$A$2:$A$121,1))))</f>
        <v/>
      </c>
      <c r="AC35" s="17" t="str">
        <f aca="false">IF(D35="","",COUNT($D$24:D35))</f>
        <v/>
      </c>
    </row>
    <row r="36" customFormat="false" ht="12.75" hidden="false" customHeight="true" outlineLevel="0" collapsed="false">
      <c r="A36" s="14" t="n">
        <f aca="false">IF(D36="","",DATE(B36,C36,1))</f>
        <v>4019</v>
      </c>
      <c r="B36" s="15" t="n">
        <f aca="false" t="array" ref="B36:B36">IF(D36="","",IFERROR(VALUE(INDEX(Vazoes_COLAR!$A$2:$A$200,INT((ROW()-24)/12)+1)),""))</f>
        <v>1911</v>
      </c>
      <c r="C36" s="15" t="n">
        <f aca="false">IF(D36="","",MOD(ROW()-24,12)+1)</f>
        <v>1</v>
      </c>
      <c r="D36" s="16" t="n">
        <f aca="false" t="array" ref="D36: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0.444096798327274</v>
      </c>
      <c r="E36" s="16" t="n">
        <f aca="false">IF(D36="","",D36*$B$15)</f>
        <v>1.15109890126429</v>
      </c>
      <c r="F36" s="16" t="n">
        <f aca="false" t="array" ref="F36:F36">IF(D36="","",IFERROR(INDEX(Dados_Evap!$C$2:$N$15,MATCH($B$9,Dados_Evap!$A$2:$A$15,0),C36),0))</f>
        <v>160</v>
      </c>
      <c r="G36" s="16" t="n">
        <f aca="false">IF(F36="","",F36/1000)</f>
        <v>0.16</v>
      </c>
      <c r="H36" s="16" t="n">
        <f aca="false">IF(D36="","",MAX(0,MIN($B$8,IFERROR(LOOKUP(2,1/($U$24:U35&lt;&gt;""),$U$24:U35),$B$11))))</f>
        <v>23.61</v>
      </c>
      <c r="I36" s="16" t="n">
        <f aca="false" t="array" ref="I36: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>4.55948780487805</v>
      </c>
      <c r="J36" s="16" t="n">
        <f aca="false">IF(D36="","",$B$12)</f>
        <v>0.35</v>
      </c>
      <c r="K36" s="16" t="n">
        <f aca="false">IF(J36="","",J36*$B$15)</f>
        <v>0.9072</v>
      </c>
      <c r="L36" s="16" t="n">
        <f aca="false">IF(D36="","",H36+E36-K36-G36*I36)</f>
        <v>23.1243808524838</v>
      </c>
      <c r="M36" s="16" t="n">
        <f aca="false" t="array" ref="M36: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>4.50145039456514</v>
      </c>
      <c r="N36" s="16" t="n">
        <f aca="false">IF(D36="","",(I36+M36)/2)</f>
        <v>4.53046909972159</v>
      </c>
      <c r="O36" s="16" t="n">
        <f aca="false">IF(D36="","",G36*N36)</f>
        <v>0.724875055955455</v>
      </c>
      <c r="P36" s="16" t="n">
        <f aca="false">IF(D36="","",H36+E36-K36-O36)</f>
        <v>23.1290238453088</v>
      </c>
      <c r="Q36" s="16" t="n">
        <f aca="false">IF(D36="","",IF(P36&gt;=0,K36,MAX(0,K36+P36)))</f>
        <v>0.9072</v>
      </c>
      <c r="R36" s="16" t="n">
        <f aca="false">IF(D36="","",Q36/$B$15)</f>
        <v>0.35</v>
      </c>
      <c r="S36" s="16" t="n">
        <f aca="false">IF(D36="","",MAX(0,J36-R36))</f>
        <v>0</v>
      </c>
      <c r="T36" s="16" t="n">
        <f aca="false">IF(D36="","",MAX(0,Z36-$B$8))</f>
        <v>0</v>
      </c>
      <c r="U36" s="16" t="n">
        <f aca="false">IF(D36="","",MAX(0,MIN($B$8,Z36)))</f>
        <v>23.1290238453088</v>
      </c>
      <c r="V36" s="16" t="str">
        <f aca="false">IF(D36="","",IF(S36&gt;0.0000001,"Sim","Não"))</f>
        <v>Não</v>
      </c>
      <c r="W36" s="16" t="n">
        <f aca="false">IF(D36="","",U36-(H36+E36-Q36-O36-T36))</f>
        <v>0</v>
      </c>
      <c r="X36" s="16" t="n">
        <f aca="false">IF(W36="","",ABS(W36))</f>
        <v>0</v>
      </c>
      <c r="Y36" s="16" t="n">
        <f aca="false">IF(U36="","",IF($B$8=0,0,U36/$B$8*100))</f>
        <v>48.9814143272106</v>
      </c>
      <c r="Z36" s="18" t="n">
        <f aca="false">IF(D36="","",MAX(0,IF(P36&gt;=0,P36,IF(K36+P36&gt;=0,0,P36+K36))))</f>
        <v>23.1290238453088</v>
      </c>
      <c r="AA36" s="18" t="n">
        <f aca="false">IF(D36="","",IF(H36&lt;=$B$16,1,IF(H36&gt;=$B$17,$B$21,MATCH(H36,Aux_CAV!$A$2:$A$121,1))))</f>
        <v>11</v>
      </c>
      <c r="AB36" s="18" t="n">
        <f aca="false">IF(D36="","",IF(L36&lt;=$B$16,1,IF(L36&gt;=$B$17,$B$21,MATCH(L36,Aux_CAV!$A$2:$A$121,1))))</f>
        <v>11</v>
      </c>
      <c r="AC36" s="19" t="n">
        <f aca="false">IF(D36="","",COUNT($D$24:D36))</f>
        <v>1</v>
      </c>
    </row>
    <row r="37" customFormat="false" ht="12.75" hidden="false" customHeight="true" outlineLevel="0" collapsed="false">
      <c r="A37" s="14" t="n">
        <f aca="false">IF(D37="","",DATE(B37,C37,1))</f>
        <v>4050</v>
      </c>
      <c r="B37" s="15" t="n">
        <f aca="false" t="array" ref="B37:B37">IF(D37="","",IFERROR(VALUE(INDEX(Vazoes_COLAR!$A$2:$A$200,INT((ROW()-24)/12)+1)),""))</f>
        <v>1911</v>
      </c>
      <c r="C37" s="15" t="n">
        <f aca="false">IF(D37="","",MOD(ROW()-24,12)+1)</f>
        <v>2</v>
      </c>
      <c r="D37" s="16" t="n">
        <f aca="false" t="array" ref="D37: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0.279355320782461</v>
      </c>
      <c r="E37" s="16" t="n">
        <f aca="false">IF(D37="","",D37*$B$15)</f>
        <v>0.724088991468139</v>
      </c>
      <c r="F37" s="16" t="n">
        <f aca="false" t="array" ref="F37:F37">IF(D37="","",IFERROR(INDEX(Dados_Evap!$C$2:$N$15,MATCH($B$9,Dados_Evap!$A$2:$A$15,0),C37),0))</f>
        <v>124.3</v>
      </c>
      <c r="G37" s="16" t="n">
        <f aca="false">IF(F37="","",F37/1000)</f>
        <v>0.1243</v>
      </c>
      <c r="H37" s="16" t="n">
        <f aca="false">IF(D37="","",MAX(0,MIN($B$8,IFERROR(LOOKUP(2,1/($U$24:U36&lt;&gt;""),$U$24:U36),$B$11))))</f>
        <v>23.1290238453088</v>
      </c>
      <c r="I37" s="16" t="n">
        <f aca="false" t="array" ref="I37: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>4.50200528882959</v>
      </c>
      <c r="J37" s="16" t="n">
        <f aca="false">IF(D37="","",$B$12)</f>
        <v>0.35</v>
      </c>
      <c r="K37" s="16" t="n">
        <f aca="false">IF(J37="","",J37*$B$15)</f>
        <v>0.9072</v>
      </c>
      <c r="L37" s="16" t="n">
        <f aca="false">IF(D37="","",H37+E37-K37-G37*I37)</f>
        <v>22.3863135793755</v>
      </c>
      <c r="M37" s="16" t="n">
        <f aca="false" t="array" ref="M37: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>4.41324235460829</v>
      </c>
      <c r="N37" s="16" t="n">
        <f aca="false">IF(D37="","",(I37+M37)/2)</f>
        <v>4.45762382171894</v>
      </c>
      <c r="O37" s="16" t="n">
        <f aca="false">IF(D37="","",G37*N37)</f>
        <v>0.554082641039664</v>
      </c>
      <c r="P37" s="16" t="n">
        <f aca="false">IF(D37="","",H37+E37-K37-O37)</f>
        <v>22.3918301957373</v>
      </c>
      <c r="Q37" s="16" t="n">
        <f aca="false">IF(D37="","",IF(P37&gt;=0,K37,MAX(0,K37+P37)))</f>
        <v>0.9072</v>
      </c>
      <c r="R37" s="16" t="n">
        <f aca="false">IF(D37="","",Q37/$B$15)</f>
        <v>0.35</v>
      </c>
      <c r="S37" s="16" t="n">
        <f aca="false">IF(D37="","",MAX(0,J37-R37))</f>
        <v>0</v>
      </c>
      <c r="T37" s="16" t="n">
        <f aca="false">IF(D37="","",MAX(0,Z37-$B$8))</f>
        <v>0</v>
      </c>
      <c r="U37" s="16" t="n">
        <f aca="false">IF(D37="","",MAX(0,MIN($B$8,Z37)))</f>
        <v>22.3918301957373</v>
      </c>
      <c r="V37" s="16" t="str">
        <f aca="false">IF(D37="","",IF(S37&gt;0.0000001,"Sim","Não"))</f>
        <v>Não</v>
      </c>
      <c r="W37" s="16" t="n">
        <f aca="false">IF(D37="","",U37-(H37+E37-Q37-O37-T37))</f>
        <v>0</v>
      </c>
      <c r="X37" s="16" t="n">
        <f aca="false">IF(W37="","",ABS(W37))</f>
        <v>0</v>
      </c>
      <c r="Y37" s="16" t="n">
        <f aca="false">IF(U37="","",IF($B$8=0,0,U37/$B$8*100))</f>
        <v>47.4202248956741</v>
      </c>
      <c r="Z37" s="18" t="n">
        <f aca="false">IF(D37="","",MAX(0,IF(P37&gt;=0,P37,IF(K37+P37&gt;=0,0,P37+K37))))</f>
        <v>22.3918301957373</v>
      </c>
      <c r="AA37" s="18" t="n">
        <f aca="false">IF(D37="","",IF(H37&lt;=$B$16,1,IF(H37&gt;=$B$17,$B$21,MATCH(H37,Aux_CAV!$A$2:$A$121,1))))</f>
        <v>11</v>
      </c>
      <c r="AB37" s="18" t="n">
        <f aca="false">IF(D37="","",IF(L37&lt;=$B$16,1,IF(L37&gt;=$B$17,$B$21,MATCH(L37,Aux_CAV!$A$2:$A$121,1))))</f>
        <v>11</v>
      </c>
      <c r="AC37" s="19" t="n">
        <f aca="false">IF(D37="","",COUNT($D$24:D37))</f>
        <v>2</v>
      </c>
    </row>
    <row r="38" customFormat="false" ht="12.75" hidden="false" customHeight="true" outlineLevel="0" collapsed="false">
      <c r="A38" s="14" t="n">
        <f aca="false">IF(D38="","",DATE(B38,C38,1))</f>
        <v>4078</v>
      </c>
      <c r="B38" s="15" t="n">
        <f aca="false" t="array" ref="B38:B38">IF(D38="","",IFERROR(VALUE(INDEX(Vazoes_COLAR!$A$2:$A$200,INT((ROW()-24)/12)+1)),""))</f>
        <v>1911</v>
      </c>
      <c r="C38" s="15" t="n">
        <f aca="false">IF(D38="","",MOD(ROW()-24,12)+1)</f>
        <v>3</v>
      </c>
      <c r="D38" s="16" t="n">
        <f aca="false" t="array" ref="D38: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1.81875345691619</v>
      </c>
      <c r="E38" s="16" t="n">
        <f aca="false">IF(D38="","",D38*$B$15)</f>
        <v>4.71420896032677</v>
      </c>
      <c r="F38" s="16" t="n">
        <f aca="false" t="array" ref="F38:F38">IF(D38="","",IFERROR(INDEX(Dados_Evap!$C$2:$N$15,MATCH($B$9,Dados_Evap!$A$2:$A$15,0),C38),0))</f>
        <v>107.7</v>
      </c>
      <c r="G38" s="16" t="n">
        <f aca="false">IF(F38="","",F38/1000)</f>
        <v>0.1077</v>
      </c>
      <c r="H38" s="16" t="n">
        <f aca="false">IF(D38="","",MAX(0,MIN($B$8,IFERROR(LOOKUP(2,1/($U$24:U37&lt;&gt;""),$U$24:U37),$B$11))))</f>
        <v>22.3918301957373</v>
      </c>
      <c r="I38" s="16" t="n">
        <f aca="false" t="array" ref="I38: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>4.41390165753934</v>
      </c>
      <c r="J38" s="16" t="n">
        <f aca="false">IF(D38="","",$B$12)</f>
        <v>0.35</v>
      </c>
      <c r="K38" s="16" t="n">
        <f aca="false">IF(J38="","",J38*$B$15)</f>
        <v>0.9072</v>
      </c>
      <c r="L38" s="16" t="n">
        <f aca="false">IF(D38="","",H38+E38-K38-G38*I38)</f>
        <v>25.7234619475471</v>
      </c>
      <c r="M38" s="16" t="n">
        <f aca="false" t="array" ref="M38: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>4.78826255183256</v>
      </c>
      <c r="N38" s="16" t="n">
        <f aca="false">IF(D38="","",(I38+M38)/2)</f>
        <v>4.60108210468595</v>
      </c>
      <c r="O38" s="16" t="n">
        <f aca="false">IF(D38="","",G38*N38)</f>
        <v>0.495536542674677</v>
      </c>
      <c r="P38" s="16" t="n">
        <f aca="false">IF(D38="","",H38+E38-K38-O38)</f>
        <v>25.7033026133894</v>
      </c>
      <c r="Q38" s="16" t="n">
        <f aca="false">IF(D38="","",IF(P38&gt;=0,K38,MAX(0,K38+P38)))</f>
        <v>0.9072</v>
      </c>
      <c r="R38" s="16" t="n">
        <f aca="false">IF(D38="","",Q38/$B$15)</f>
        <v>0.35</v>
      </c>
      <c r="S38" s="16" t="n">
        <f aca="false">IF(D38="","",MAX(0,J38-R38))</f>
        <v>0</v>
      </c>
      <c r="T38" s="16" t="n">
        <f aca="false">IF(D38="","",MAX(0,Z38-$B$8))</f>
        <v>0</v>
      </c>
      <c r="U38" s="16" t="n">
        <f aca="false">IF(D38="","",MAX(0,MIN($B$8,Z38)))</f>
        <v>25.7033026133894</v>
      </c>
      <c r="V38" s="16" t="str">
        <f aca="false">IF(D38="","",IF(S38&gt;0.0000001,"Sim","Não"))</f>
        <v>Não</v>
      </c>
      <c r="W38" s="16" t="n">
        <f aca="false">IF(D38="","",U38-(H38+E38-Q38-O38-T38))</f>
        <v>0</v>
      </c>
      <c r="X38" s="16" t="n">
        <f aca="false">IF(W38="","",ABS(W38))</f>
        <v>0</v>
      </c>
      <c r="Y38" s="16" t="n">
        <f aca="false">IF(U38="","",IF($B$8=0,0,U38/$B$8*100))</f>
        <v>54.4330847382241</v>
      </c>
      <c r="Z38" s="18" t="n">
        <f aca="false">IF(D38="","",MAX(0,IF(P38&gt;=0,P38,IF(K38+P38&gt;=0,0,P38+K38))))</f>
        <v>25.7033026133894</v>
      </c>
      <c r="AA38" s="18" t="n">
        <f aca="false">IF(D38="","",IF(H38&lt;=$B$16,1,IF(H38&gt;=$B$17,$B$21,MATCH(H38,Aux_CAV!$A$2:$A$121,1))))</f>
        <v>11</v>
      </c>
      <c r="AB38" s="18" t="n">
        <f aca="false">IF(D38="","",IF(L38&lt;=$B$16,1,IF(L38&gt;=$B$17,$B$21,MATCH(L38,Aux_CAV!$A$2:$A$121,1))))</f>
        <v>12</v>
      </c>
      <c r="AC38" s="19" t="n">
        <f aca="false">IF(D38="","",COUNT($D$24:D38))</f>
        <v>3</v>
      </c>
    </row>
    <row r="39" customFormat="false" ht="12.75" hidden="false" customHeight="true" outlineLevel="0" collapsed="false">
      <c r="A39" s="14" t="n">
        <f aca="false">IF(D39="","",DATE(B39,C39,1))</f>
        <v>4109</v>
      </c>
      <c r="B39" s="15" t="n">
        <f aca="false" t="array" ref="B39:B39">IF(D39="","",IFERROR(VALUE(INDEX(Vazoes_COLAR!$A$2:$A$200,INT((ROW()-24)/12)+1)),""))</f>
        <v>1911</v>
      </c>
      <c r="C39" s="15" t="n">
        <f aca="false">IF(D39="","",MOD(ROW()-24,12)+1)</f>
        <v>4</v>
      </c>
      <c r="D39" s="16" t="n">
        <f aca="false" t="array" ref="D39: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0.924721403372383</v>
      </c>
      <c r="E39" s="16" t="n">
        <f aca="false">IF(D39="","",D39*$B$15)</f>
        <v>2.39687787754122</v>
      </c>
      <c r="F39" s="16" t="n">
        <f aca="false" t="array" ref="F39:F39">IF(D39="","",IFERROR(INDEX(Dados_Evap!$C$2:$N$15,MATCH($B$9,Dados_Evap!$A$2:$A$15,0),C39),0))</f>
        <v>100.5</v>
      </c>
      <c r="G39" s="16" t="n">
        <f aca="false">IF(F39="","",F39/1000)</f>
        <v>0.1005</v>
      </c>
      <c r="H39" s="16" t="n">
        <f aca="false">IF(D39="","",MAX(0,MIN($B$8,IFERROR(LOOKUP(2,1/($U$24:U38&lt;&gt;""),$U$24:U38),$B$11))))</f>
        <v>25.7033026133894</v>
      </c>
      <c r="I39" s="16" t="n">
        <f aca="false" t="array" ref="I39: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>4.78616832974045</v>
      </c>
      <c r="J39" s="16" t="n">
        <f aca="false">IF(D39="","",$B$12)</f>
        <v>0.35</v>
      </c>
      <c r="K39" s="16" t="n">
        <f aca="false">IF(J39="","",J39*$B$15)</f>
        <v>0.9072</v>
      </c>
      <c r="L39" s="16" t="n">
        <f aca="false">IF(D39="","",H39+E39-K39-G39*I39)</f>
        <v>26.7119705737917</v>
      </c>
      <c r="M39" s="16" t="n">
        <f aca="false" t="array" ref="M39: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>4.89095228290846</v>
      </c>
      <c r="N39" s="16" t="n">
        <f aca="false">IF(D39="","",(I39+M39)/2)</f>
        <v>4.83856030632446</v>
      </c>
      <c r="O39" s="16" t="n">
        <f aca="false">IF(D39="","",G39*N39)</f>
        <v>0.486275310785608</v>
      </c>
      <c r="P39" s="16" t="n">
        <f aca="false">IF(D39="","",H39+E39-K39-O39)</f>
        <v>26.706705180145</v>
      </c>
      <c r="Q39" s="16" t="n">
        <f aca="false">IF(D39="","",IF(P39&gt;=0,K39,MAX(0,K39+P39)))</f>
        <v>0.9072</v>
      </c>
      <c r="R39" s="16" t="n">
        <f aca="false">IF(D39="","",Q39/$B$15)</f>
        <v>0.35</v>
      </c>
      <c r="S39" s="16" t="n">
        <f aca="false">IF(D39="","",MAX(0,J39-R39))</f>
        <v>0</v>
      </c>
      <c r="T39" s="16" t="n">
        <f aca="false">IF(D39="","",MAX(0,Z39-$B$8))</f>
        <v>0</v>
      </c>
      <c r="U39" s="16" t="n">
        <f aca="false">IF(D39="","",MAX(0,MIN($B$8,Z39)))</f>
        <v>26.706705180145</v>
      </c>
      <c r="V39" s="16" t="str">
        <f aca="false">IF(D39="","",IF(S39&gt;0.0000001,"Sim","Não"))</f>
        <v>Não</v>
      </c>
      <c r="W39" s="16" t="n">
        <f aca="false">IF(D39="","",U39-(H39+E39-Q39-O39-T39))</f>
        <v>0</v>
      </c>
      <c r="X39" s="16" t="n">
        <f aca="false">IF(W39="","",ABS(W39))</f>
        <v>0</v>
      </c>
      <c r="Y39" s="16" t="n">
        <f aca="false">IF(U39="","",IF($B$8=0,0,U39/$B$8*100))</f>
        <v>56.5580372302944</v>
      </c>
      <c r="Z39" s="18" t="n">
        <f aca="false">IF(D39="","",MAX(0,IF(P39&gt;=0,P39,IF(K39+P39&gt;=0,0,P39+K39))))</f>
        <v>26.706705180145</v>
      </c>
      <c r="AA39" s="18" t="n">
        <f aca="false">IF(D39="","",IF(H39&lt;=$B$16,1,IF(H39&gt;=$B$17,$B$21,MATCH(H39,Aux_CAV!$A$2:$A$121,1))))</f>
        <v>12</v>
      </c>
      <c r="AB39" s="18" t="n">
        <f aca="false">IF(D39="","",IF(L39&lt;=$B$16,1,IF(L39&gt;=$B$17,$B$21,MATCH(L39,Aux_CAV!$A$2:$A$121,1))))</f>
        <v>12</v>
      </c>
      <c r="AC39" s="19" t="n">
        <f aca="false">IF(D39="","",COUNT($D$24:D39))</f>
        <v>4</v>
      </c>
    </row>
    <row r="40" customFormat="false" ht="12.75" hidden="false" customHeight="true" outlineLevel="0" collapsed="false">
      <c r="A40" s="14" t="n">
        <f aca="false">IF(D40="","",DATE(B40,C40,1))</f>
        <v>4139</v>
      </c>
      <c r="B40" s="15" t="n">
        <f aca="false" t="array" ref="B40:B40">IF(D40="","",IFERROR(VALUE(INDEX(Vazoes_COLAR!$A$2:$A$200,INT((ROW()-24)/12)+1)),""))</f>
        <v>1911</v>
      </c>
      <c r="C40" s="15" t="n">
        <f aca="false">IF(D40="","",MOD(ROW()-24,12)+1)</f>
        <v>5</v>
      </c>
      <c r="D40" s="16" t="n">
        <f aca="false" t="array" ref="D40: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0.171955022879351</v>
      </c>
      <c r="E40" s="16" t="n">
        <f aca="false">IF(D40="","",D40*$B$15)</f>
        <v>0.445707419303278</v>
      </c>
      <c r="F40" s="16" t="n">
        <f aca="false" t="array" ref="F40:F40">IF(D40="","",IFERROR(INDEX(Dados_Evap!$C$2:$N$15,MATCH($B$9,Dados_Evap!$A$2:$A$15,0),C40),0))</f>
        <v>145.8</v>
      </c>
      <c r="G40" s="16" t="n">
        <f aca="false">IF(F40="","",F40/1000)</f>
        <v>0.1458</v>
      </c>
      <c r="H40" s="16" t="n">
        <f aca="false">IF(D40="","",MAX(0,MIN($B$8,IFERROR(LOOKUP(2,1/($U$24:U39&lt;&gt;""),$U$24:U39),$B$11))))</f>
        <v>26.706705180145</v>
      </c>
      <c r="I40" s="16" t="n">
        <f aca="false" t="array" ref="I40: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>4.89040529541312</v>
      </c>
      <c r="J40" s="16" t="n">
        <f aca="false">IF(D40="","",$B$12)</f>
        <v>0.35</v>
      </c>
      <c r="K40" s="16" t="n">
        <f aca="false">IF(J40="","",J40*$B$15)</f>
        <v>0.9072</v>
      </c>
      <c r="L40" s="16" t="n">
        <f aca="false">IF(D40="","",H40+E40-K40-G40*I40)</f>
        <v>25.5321915073771</v>
      </c>
      <c r="M40" s="16" t="n">
        <f aca="false" t="array" ref="M40: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>4.76839270998966</v>
      </c>
      <c r="N40" s="16" t="n">
        <f aca="false">IF(D40="","",(I40+M40)/2)</f>
        <v>4.82939900270139</v>
      </c>
      <c r="O40" s="16" t="n">
        <f aca="false">IF(D40="","",G40*N40)</f>
        <v>0.704126374593863</v>
      </c>
      <c r="P40" s="16" t="n">
        <f aca="false">IF(D40="","",H40+E40-K40-O40)</f>
        <v>25.5410862248544</v>
      </c>
      <c r="Q40" s="16" t="n">
        <f aca="false">IF(D40="","",IF(P40&gt;=0,K40,MAX(0,K40+P40)))</f>
        <v>0.9072</v>
      </c>
      <c r="R40" s="16" t="n">
        <f aca="false">IF(D40="","",Q40/$B$15)</f>
        <v>0.35</v>
      </c>
      <c r="S40" s="16" t="n">
        <f aca="false">IF(D40="","",MAX(0,J40-R40))</f>
        <v>0</v>
      </c>
      <c r="T40" s="16" t="n">
        <f aca="false">IF(D40="","",MAX(0,Z40-$B$8))</f>
        <v>0</v>
      </c>
      <c r="U40" s="16" t="n">
        <f aca="false">IF(D40="","",MAX(0,MIN($B$8,Z40)))</f>
        <v>25.5410862248544</v>
      </c>
      <c r="V40" s="16" t="str">
        <f aca="false">IF(D40="","",IF(S40&gt;0.0000001,"Sim","Não"))</f>
        <v>Não</v>
      </c>
      <c r="W40" s="16" t="n">
        <f aca="false">IF(D40="","",U40-(H40+E40-Q40-O40-T40))</f>
        <v>0</v>
      </c>
      <c r="X40" s="16" t="n">
        <f aca="false">IF(W40="","",ABS(W40))</f>
        <v>0</v>
      </c>
      <c r="Y40" s="16" t="n">
        <f aca="false">IF(U40="","",IF($B$8=0,0,U40/$B$8*100))</f>
        <v>54.0895515138806</v>
      </c>
      <c r="Z40" s="18" t="n">
        <f aca="false">IF(D40="","",MAX(0,IF(P40&gt;=0,P40,IF(K40+P40&gt;=0,0,P40+K40))))</f>
        <v>25.5410862248544</v>
      </c>
      <c r="AA40" s="18" t="n">
        <f aca="false">IF(D40="","",IF(H40&lt;=$B$16,1,IF(H40&gt;=$B$17,$B$21,MATCH(H40,Aux_CAV!$A$2:$A$121,1))))</f>
        <v>12</v>
      </c>
      <c r="AB40" s="18" t="n">
        <f aca="false">IF(D40="","",IF(L40&lt;=$B$16,1,IF(L40&gt;=$B$17,$B$21,MATCH(L40,Aux_CAV!$A$2:$A$121,1))))</f>
        <v>12</v>
      </c>
      <c r="AC40" s="19" t="n">
        <f aca="false">IF(D40="","",COUNT($D$24:D40))</f>
        <v>5</v>
      </c>
    </row>
    <row r="41" customFormat="false" ht="12.75" hidden="false" customHeight="true" outlineLevel="0" collapsed="false">
      <c r="A41" s="14" t="n">
        <f aca="false">IF(D41="","",DATE(B41,C41,1))</f>
        <v>4170</v>
      </c>
      <c r="B41" s="15" t="n">
        <f aca="false" t="array" ref="B41:B41">IF(D41="","",IFERROR(VALUE(INDEX(Vazoes_COLAR!$A$2:$A$200,INT((ROW()-24)/12)+1)),""))</f>
        <v>1911</v>
      </c>
      <c r="C41" s="15" t="n">
        <f aca="false">IF(D41="","",MOD(ROW()-24,12)+1)</f>
        <v>6</v>
      </c>
      <c r="D41" s="16" t="n">
        <f aca="false" t="array" ref="D41: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0.0261048833467739</v>
      </c>
      <c r="E41" s="16" t="n">
        <f aca="false">IF(D41="","",D41*$B$15)</f>
        <v>0.067663857634838</v>
      </c>
      <c r="F41" s="16" t="n">
        <f aca="false" t="array" ref="F41:F41">IF(D41="","",IFERROR(INDEX(Dados_Evap!$C$2:$N$15,MATCH($B$9,Dados_Evap!$A$2:$A$15,0),C41),0))</f>
        <v>161.3</v>
      </c>
      <c r="G41" s="16" t="n">
        <f aca="false">IF(F41="","",F41/1000)</f>
        <v>0.1613</v>
      </c>
      <c r="H41" s="16" t="n">
        <f aca="false">IF(D41="","",MAX(0,MIN($B$8,IFERROR(LOOKUP(2,1/($U$24:U40&lt;&gt;""),$U$24:U40),$B$11))))</f>
        <v>25.5410862248544</v>
      </c>
      <c r="I41" s="16" t="n">
        <f aca="false" t="array" ref="I41: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>4.76931672432954</v>
      </c>
      <c r="J41" s="16" t="n">
        <f aca="false">IF(D41="","",$B$12)</f>
        <v>0.35</v>
      </c>
      <c r="K41" s="16" t="n">
        <f aca="false">IF(J41="","",J41*$B$15)</f>
        <v>0.9072</v>
      </c>
      <c r="L41" s="16" t="n">
        <f aca="false">IF(D41="","",H41+E41-K41-G41*I41)</f>
        <v>23.9322592948549</v>
      </c>
      <c r="M41" s="16" t="n">
        <f aca="false" t="array" ref="M41: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>4.59800172060461</v>
      </c>
      <c r="N41" s="16" t="n">
        <f aca="false">IF(D41="","",(I41+M41)/2)</f>
        <v>4.68365922246708</v>
      </c>
      <c r="O41" s="16" t="n">
        <f aca="false">IF(D41="","",G41*N41)</f>
        <v>0.755474232583939</v>
      </c>
      <c r="P41" s="16" t="n">
        <f aca="false">IF(D41="","",H41+E41-K41-O41)</f>
        <v>23.9460758499053</v>
      </c>
      <c r="Q41" s="16" t="n">
        <f aca="false">IF(D41="","",IF(P41&gt;=0,K41,MAX(0,K41+P41)))</f>
        <v>0.9072</v>
      </c>
      <c r="R41" s="16" t="n">
        <f aca="false">IF(D41="","",Q41/$B$15)</f>
        <v>0.35</v>
      </c>
      <c r="S41" s="16" t="n">
        <f aca="false">IF(D41="","",MAX(0,J41-R41))</f>
        <v>0</v>
      </c>
      <c r="T41" s="16" t="n">
        <f aca="false">IF(D41="","",MAX(0,Z41-$B$8))</f>
        <v>0</v>
      </c>
      <c r="U41" s="16" t="n">
        <f aca="false">IF(D41="","",MAX(0,MIN($B$8,Z41)))</f>
        <v>23.9460758499053</v>
      </c>
      <c r="V41" s="16" t="str">
        <f aca="false">IF(D41="","",IF(S41&gt;0.0000001,"Sim","Não"))</f>
        <v>Não</v>
      </c>
      <c r="W41" s="16" t="n">
        <f aca="false">IF(D41="","",U41-(H41+E41-Q41-O41-T41))</f>
        <v>0</v>
      </c>
      <c r="X41" s="16" t="n">
        <f aca="false">IF(W41="","",ABS(W41))</f>
        <v>0</v>
      </c>
      <c r="Y41" s="16" t="n">
        <f aca="false">IF(U41="","",IF($B$8=0,0,U41/$B$8*100))</f>
        <v>50.7117235279655</v>
      </c>
      <c r="Z41" s="18" t="n">
        <f aca="false">IF(D41="","",MAX(0,IF(P41&gt;=0,P41,IF(K41+P41&gt;=0,0,P41+K41))))</f>
        <v>23.9460758499053</v>
      </c>
      <c r="AA41" s="18" t="n">
        <f aca="false">IF(D41="","",IF(H41&lt;=$B$16,1,IF(H41&gt;=$B$17,$B$21,MATCH(H41,Aux_CAV!$A$2:$A$121,1))))</f>
        <v>12</v>
      </c>
      <c r="AB41" s="18" t="n">
        <f aca="false">IF(D41="","",IF(L41&lt;=$B$16,1,IF(L41&gt;=$B$17,$B$21,MATCH(L41,Aux_CAV!$A$2:$A$121,1))))</f>
        <v>11</v>
      </c>
      <c r="AC41" s="19" t="n">
        <f aca="false">IF(D41="","",COUNT($D$24:D41))</f>
        <v>6</v>
      </c>
    </row>
    <row r="42" customFormat="false" ht="12.75" hidden="false" customHeight="true" outlineLevel="0" collapsed="false">
      <c r="A42" s="14" t="n">
        <f aca="false">IF(D42="","",DATE(B42,C42,1))</f>
        <v>4200</v>
      </c>
      <c r="B42" s="15" t="n">
        <f aca="false" t="array" ref="B42:B42">IF(D42="","",IFERROR(VALUE(INDEX(Vazoes_COLAR!$A$2:$A$200,INT((ROW()-24)/12)+1)),""))</f>
        <v>1911</v>
      </c>
      <c r="C42" s="15" t="n">
        <f aca="false">IF(D42="","",MOD(ROW()-24,12)+1)</f>
        <v>7</v>
      </c>
      <c r="D42" s="16" t="n">
        <f aca="false" t="array" ref="D42: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0.0187764779726267</v>
      </c>
      <c r="E42" s="16" t="n">
        <f aca="false">IF(D42="","",D42*$B$15)</f>
        <v>0.0486686309050484</v>
      </c>
      <c r="F42" s="16" t="n">
        <f aca="false" t="array" ref="F42:F42">IF(D42="","",IFERROR(INDEX(Dados_Evap!$C$2:$N$15,MATCH($B$9,Dados_Evap!$A$2:$A$15,0),C42),0))</f>
        <v>224.8</v>
      </c>
      <c r="G42" s="16" t="n">
        <f aca="false">IF(F42="","",F42/1000)</f>
        <v>0.2248</v>
      </c>
      <c r="H42" s="16" t="n">
        <f aca="false">IF(D42="","",MAX(0,MIN($B$8,IFERROR(LOOKUP(2,1/($U$24:U41&lt;&gt;""),$U$24:U41),$B$11))))</f>
        <v>23.9460758499053</v>
      </c>
      <c r="I42" s="16" t="n">
        <f aca="false" t="array" ref="I42: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>4.59965296742771</v>
      </c>
      <c r="J42" s="16" t="n">
        <f aca="false">IF(D42="","",$B$12)</f>
        <v>0.35</v>
      </c>
      <c r="K42" s="16" t="n">
        <f aca="false">IF(J42="","",J42*$B$15)</f>
        <v>0.9072</v>
      </c>
      <c r="L42" s="16" t="n">
        <f aca="false">IF(D42="","",H42+E42-K42-G42*I42)</f>
        <v>22.0535424937326</v>
      </c>
      <c r="M42" s="16" t="n">
        <f aca="false" t="array" ref="M42: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>4.37347215169</v>
      </c>
      <c r="N42" s="16" t="n">
        <f aca="false">IF(D42="","",(I42+M42)/2)</f>
        <v>4.48656255955885</v>
      </c>
      <c r="O42" s="16" t="n">
        <f aca="false">IF(D42="","",G42*N42)</f>
        <v>1.00857926338883</v>
      </c>
      <c r="P42" s="16" t="n">
        <f aca="false">IF(D42="","",H42+E42-K42-O42)</f>
        <v>22.0789652174215</v>
      </c>
      <c r="Q42" s="16" t="n">
        <f aca="false">IF(D42="","",IF(P42&gt;=0,K42,MAX(0,K42+P42)))</f>
        <v>0.9072</v>
      </c>
      <c r="R42" s="16" t="n">
        <f aca="false">IF(D42="","",Q42/$B$15)</f>
        <v>0.35</v>
      </c>
      <c r="S42" s="16" t="n">
        <f aca="false">IF(D42="","",MAX(0,J42-R42))</f>
        <v>0</v>
      </c>
      <c r="T42" s="16" t="n">
        <f aca="false">IF(D42="","",MAX(0,Z42-$B$8))</f>
        <v>0</v>
      </c>
      <c r="U42" s="16" t="n">
        <f aca="false">IF(D42="","",MAX(0,MIN($B$8,Z42)))</f>
        <v>22.0789652174215</v>
      </c>
      <c r="V42" s="16" t="str">
        <f aca="false">IF(D42="","",IF(S42&gt;0.0000001,"Sim","Não"))</f>
        <v>Não</v>
      </c>
      <c r="W42" s="16" t="n">
        <f aca="false">IF(D42="","",U42-(H42+E42-Q42-O42-T42))</f>
        <v>0</v>
      </c>
      <c r="X42" s="16" t="n">
        <f aca="false">IF(W42="","",ABS(W42))</f>
        <v>0</v>
      </c>
      <c r="Y42" s="16" t="n">
        <f aca="false">IF(U42="","",IF($B$8=0,0,U42/$B$8*100))</f>
        <v>46.7576561148275</v>
      </c>
      <c r="Z42" s="18" t="n">
        <f aca="false">IF(D42="","",MAX(0,IF(P42&gt;=0,P42,IF(K42+P42&gt;=0,0,P42+K42))))</f>
        <v>22.0789652174215</v>
      </c>
      <c r="AA42" s="18" t="n">
        <f aca="false">IF(D42="","",IF(H42&lt;=$B$16,1,IF(H42&gt;=$B$17,$B$21,MATCH(H42,Aux_CAV!$A$2:$A$121,1))))</f>
        <v>11</v>
      </c>
      <c r="AB42" s="18" t="n">
        <f aca="false">IF(D42="","",IF(L42&lt;=$B$16,1,IF(L42&gt;=$B$17,$B$21,MATCH(L42,Aux_CAV!$A$2:$A$121,1))))</f>
        <v>11</v>
      </c>
      <c r="AC42" s="19" t="n">
        <f aca="false">IF(D42="","",COUNT($D$24:D42))</f>
        <v>7</v>
      </c>
    </row>
    <row r="43" customFormat="false" ht="12.75" hidden="false" customHeight="true" outlineLevel="0" collapsed="false">
      <c r="A43" s="14" t="n">
        <f aca="false">IF(D43="","",DATE(B43,C43,1))</f>
        <v>4231</v>
      </c>
      <c r="B43" s="15" t="n">
        <f aca="false" t="array" ref="B43:B43">IF(D43="","",IFERROR(VALUE(INDEX(Vazoes_COLAR!$A$2:$A$200,INT((ROW()-24)/12)+1)),""))</f>
        <v>1911</v>
      </c>
      <c r="C43" s="15" t="n">
        <f aca="false">IF(D43="","",MOD(ROW()-24,12)+1)</f>
        <v>8</v>
      </c>
      <c r="D43" s="16" t="n">
        <f aca="false" t="array" ref="D43: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0.0654756169117081</v>
      </c>
      <c r="E43" s="16" t="n">
        <f aca="false">IF(D43="","",D43*$B$15)</f>
        <v>0.169712799035147</v>
      </c>
      <c r="F43" s="16" t="n">
        <f aca="false" t="array" ref="F43:F43">IF(D43="","",IFERROR(INDEX(Dados_Evap!$C$2:$N$15,MATCH($B$9,Dados_Evap!$A$2:$A$15,0),C43),0))</f>
        <v>268.7</v>
      </c>
      <c r="G43" s="16" t="n">
        <f aca="false">IF(F43="","",F43/1000)</f>
        <v>0.2687</v>
      </c>
      <c r="H43" s="16" t="n">
        <f aca="false">IF(D43="","",MAX(0,MIN($B$8,IFERROR(LOOKUP(2,1/($U$24:U42&lt;&gt;""),$U$24:U42),$B$11))))</f>
        <v>22.0789652174215</v>
      </c>
      <c r="I43" s="16" t="n">
        <f aca="false" t="array" ref="I43: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>4.37651047720404</v>
      </c>
      <c r="J43" s="16" t="n">
        <f aca="false">IF(D43="","",$B$12)</f>
        <v>0.35</v>
      </c>
      <c r="K43" s="16" t="n">
        <f aca="false">IF(J43="","",J43*$B$15)</f>
        <v>0.9072</v>
      </c>
      <c r="L43" s="16" t="n">
        <f aca="false">IF(D43="","",H43+E43-K43-G43*I43)</f>
        <v>20.165509651232</v>
      </c>
      <c r="M43" s="16" t="n">
        <f aca="false" t="array" ref="M43: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>4.14782920222041</v>
      </c>
      <c r="N43" s="16" t="n">
        <f aca="false">IF(D43="","",(I43+M43)/2)</f>
        <v>4.26216983971222</v>
      </c>
      <c r="O43" s="16" t="n">
        <f aca="false">IF(D43="","",G43*N43)</f>
        <v>1.14524503593067</v>
      </c>
      <c r="P43" s="16" t="n">
        <f aca="false">IF(D43="","",H43+E43-K43-O43)</f>
        <v>20.196232980526</v>
      </c>
      <c r="Q43" s="16" t="n">
        <f aca="false">IF(D43="","",IF(P43&gt;=0,K43,MAX(0,K43+P43)))</f>
        <v>0.9072</v>
      </c>
      <c r="R43" s="16" t="n">
        <f aca="false">IF(D43="","",Q43/$B$15)</f>
        <v>0.35</v>
      </c>
      <c r="S43" s="16" t="n">
        <f aca="false">IF(D43="","",MAX(0,J43-R43))</f>
        <v>0</v>
      </c>
      <c r="T43" s="16" t="n">
        <f aca="false">IF(D43="","",MAX(0,Z43-$B$8))</f>
        <v>0</v>
      </c>
      <c r="U43" s="16" t="n">
        <f aca="false">IF(D43="","",MAX(0,MIN($B$8,Z43)))</f>
        <v>20.196232980526</v>
      </c>
      <c r="V43" s="16" t="str">
        <f aca="false">IF(D43="","",IF(S43&gt;0.0000001,"Sim","Não"))</f>
        <v>Não</v>
      </c>
      <c r="W43" s="16" t="n">
        <f aca="false">IF(D43="","",U43-(H43+E43-Q43-O43-T43))</f>
        <v>0</v>
      </c>
      <c r="X43" s="16" t="n">
        <f aca="false">IF(W43="","",ABS(W43))</f>
        <v>0</v>
      </c>
      <c r="Y43" s="16" t="n">
        <f aca="false">IF(U43="","",IF($B$8=0,0,U43/$B$8*100))</f>
        <v>42.7705061002245</v>
      </c>
      <c r="Z43" s="18" t="n">
        <f aca="false">IF(D43="","",MAX(0,IF(P43&gt;=0,P43,IF(K43+P43&gt;=0,0,P43+K43))))</f>
        <v>20.196232980526</v>
      </c>
      <c r="AA43" s="18" t="n">
        <f aca="false">IF(D43="","",IF(H43&lt;=$B$16,1,IF(H43&gt;=$B$17,$B$21,MATCH(H43,Aux_CAV!$A$2:$A$121,1))))</f>
        <v>11</v>
      </c>
      <c r="AB43" s="18" t="n">
        <f aca="false">IF(D43="","",IF(L43&lt;=$B$16,1,IF(L43&gt;=$B$17,$B$21,MATCH(L43,Aux_CAV!$A$2:$A$121,1))))</f>
        <v>11</v>
      </c>
      <c r="AC43" s="19" t="n">
        <f aca="false">IF(D43="","",COUNT($D$24:D43))</f>
        <v>8</v>
      </c>
    </row>
    <row r="44" customFormat="false" ht="12.75" hidden="false" customHeight="true" outlineLevel="0" collapsed="false">
      <c r="A44" s="14" t="n">
        <f aca="false">IF(D44="","",DATE(B44,C44,1))</f>
        <v>4262</v>
      </c>
      <c r="B44" s="15" t="n">
        <f aca="false" t="array" ref="B44:B44">IF(D44="","",IFERROR(VALUE(INDEX(Vazoes_COLAR!$A$2:$A$200,INT((ROW()-24)/12)+1)),""))</f>
        <v>1911</v>
      </c>
      <c r="C44" s="15" t="n">
        <f aca="false">IF(D44="","",MOD(ROW()-24,12)+1)</f>
        <v>9</v>
      </c>
      <c r="D44" s="16" t="n">
        <f aca="false" t="array" ref="D44: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0.02975583963389</v>
      </c>
      <c r="E44" s="16" t="n">
        <f aca="false">IF(D44="","",D44*$B$15)</f>
        <v>0.0771271363310429</v>
      </c>
      <c r="F44" s="16" t="n">
        <f aca="false" t="array" ref="F44:F44">IF(D44="","",IFERROR(INDEX(Dados_Evap!$C$2:$N$15,MATCH($B$9,Dados_Evap!$A$2:$A$15,0),C44),0))</f>
        <v>292.8</v>
      </c>
      <c r="G44" s="16" t="n">
        <f aca="false">IF(F44="","",F44/1000)</f>
        <v>0.2928</v>
      </c>
      <c r="H44" s="16" t="n">
        <f aca="false">IF(D44="","",MAX(0,MIN($B$8,IFERROR(LOOKUP(2,1/($U$24:U43&lt;&gt;""),$U$24:U43),$B$11))))</f>
        <v>20.196232980526</v>
      </c>
      <c r="I44" s="16" t="n">
        <f aca="false" t="array" ref="I44: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>4.15150101474579</v>
      </c>
      <c r="J44" s="16" t="n">
        <f aca="false">IF(D44="","",$B$12)</f>
        <v>0.35</v>
      </c>
      <c r="K44" s="16" t="n">
        <f aca="false">IF(J44="","",J44*$B$15)</f>
        <v>0.9072</v>
      </c>
      <c r="L44" s="16" t="n">
        <f aca="false">IF(D44="","",H44+E44-K44-G44*I44)</f>
        <v>18.1506006197395</v>
      </c>
      <c r="M44" s="16" t="n">
        <f aca="false" t="array" ref="M44: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>3.9070230008957</v>
      </c>
      <c r="N44" s="16" t="n">
        <f aca="false">IF(D44="","",(I44+M44)/2)</f>
        <v>4.02926200782074</v>
      </c>
      <c r="O44" s="16" t="n">
        <f aca="false">IF(D44="","",G44*N44)</f>
        <v>1.17976791588991</v>
      </c>
      <c r="P44" s="16" t="n">
        <f aca="false">IF(D44="","",H44+E44-K44-O44)</f>
        <v>18.1863922009671</v>
      </c>
      <c r="Q44" s="16" t="n">
        <f aca="false">IF(D44="","",IF(P44&gt;=0,K44,MAX(0,K44+P44)))</f>
        <v>0.9072</v>
      </c>
      <c r="R44" s="16" t="n">
        <f aca="false">IF(D44="","",Q44/$B$15)</f>
        <v>0.35</v>
      </c>
      <c r="S44" s="16" t="n">
        <f aca="false">IF(D44="","",MAX(0,J44-R44))</f>
        <v>0</v>
      </c>
      <c r="T44" s="16" t="n">
        <f aca="false">IF(D44="","",MAX(0,Z44-$B$8))</f>
        <v>0</v>
      </c>
      <c r="U44" s="16" t="n">
        <f aca="false">IF(D44="","",MAX(0,MIN($B$8,Z44)))</f>
        <v>18.1863922009671</v>
      </c>
      <c r="V44" s="16" t="str">
        <f aca="false">IF(D44="","",IF(S44&gt;0.0000001,"Sim","Não"))</f>
        <v>Não</v>
      </c>
      <c r="W44" s="16" t="n">
        <f aca="false">IF(D44="","",U44-(H44+E44-Q44-O44-T44))</f>
        <v>0</v>
      </c>
      <c r="X44" s="16" t="n">
        <f aca="false">IF(W44="","",ABS(W44))</f>
        <v>0</v>
      </c>
      <c r="Y44" s="16" t="n">
        <f aca="false">IF(U44="","",IF($B$8=0,0,U44/$B$8*100))</f>
        <v>38.514172386631</v>
      </c>
      <c r="Z44" s="18" t="n">
        <f aca="false">IF(D44="","",MAX(0,IF(P44&gt;=0,P44,IF(K44+P44&gt;=0,0,P44+K44))))</f>
        <v>18.1863922009671</v>
      </c>
      <c r="AA44" s="18" t="n">
        <f aca="false">IF(D44="","",IF(H44&lt;=$B$16,1,IF(H44&gt;=$B$17,$B$21,MATCH(H44,Aux_CAV!$A$2:$A$121,1))))</f>
        <v>11</v>
      </c>
      <c r="AB44" s="18" t="n">
        <f aca="false">IF(D44="","",IF(L44&lt;=$B$16,1,IF(L44&gt;=$B$17,$B$21,MATCH(L44,Aux_CAV!$A$2:$A$121,1))))</f>
        <v>11</v>
      </c>
      <c r="AC44" s="19" t="n">
        <f aca="false">IF(D44="","",COUNT($D$24:D44))</f>
        <v>9</v>
      </c>
    </row>
    <row r="45" customFormat="false" ht="12.75" hidden="false" customHeight="true" outlineLevel="0" collapsed="false">
      <c r="A45" s="14" t="n">
        <f aca="false">IF(D45="","",DATE(B45,C45,1))</f>
        <v>4292</v>
      </c>
      <c r="B45" s="15" t="n">
        <f aca="false" t="array" ref="B45:B45">IF(D45="","",IFERROR(VALUE(INDEX(Vazoes_COLAR!$A$2:$A$200,INT((ROW()-24)/12)+1)),""))</f>
        <v>1911</v>
      </c>
      <c r="C45" s="15" t="n">
        <f aca="false">IF(D45="","",MOD(ROW()-24,12)+1)</f>
        <v>10</v>
      </c>
      <c r="D45" s="16" t="n">
        <f aca="false" t="array" ref="D45: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0.0163042960584373</v>
      </c>
      <c r="E45" s="16" t="n">
        <f aca="false">IF(D45="","",D45*$B$15)</f>
        <v>0.0422607353834695</v>
      </c>
      <c r="F45" s="16" t="n">
        <f aca="false" t="array" ref="F45:F45">IF(D45="","",IFERROR(INDEX(Dados_Evap!$C$2:$N$15,MATCH($B$9,Dados_Evap!$A$2:$A$15,0),C45),0))</f>
        <v>262.9</v>
      </c>
      <c r="G45" s="16" t="n">
        <f aca="false">IF(F45="","",F45/1000)</f>
        <v>0.2629</v>
      </c>
      <c r="H45" s="16" t="n">
        <f aca="false">IF(D45="","",MAX(0,MIN($B$8,IFERROR(LOOKUP(2,1/($U$24:U44&lt;&gt;""),$U$24:U44),$B$11))))</f>
        <v>18.1863922009671</v>
      </c>
      <c r="I45" s="16" t="n">
        <f aca="false" t="array" ref="I45: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>3.9113005313351</v>
      </c>
      <c r="J45" s="16" t="n">
        <f aca="false">IF(D45="","",$B$12)</f>
        <v>0.35</v>
      </c>
      <c r="K45" s="16" t="n">
        <f aca="false">IF(J45="","",J45*$B$15)</f>
        <v>0.9072</v>
      </c>
      <c r="L45" s="16" t="n">
        <f aca="false">IF(D45="","",H45+E45-K45-G45*I45)</f>
        <v>16.2931720266626</v>
      </c>
      <c r="M45" s="16" t="n">
        <f aca="false" t="array" ref="M45: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>3.6850376324548</v>
      </c>
      <c r="N45" s="16" t="n">
        <f aca="false">IF(D45="","",(I45+M45)/2)</f>
        <v>3.79816908189495</v>
      </c>
      <c r="O45" s="16" t="n">
        <f aca="false">IF(D45="","",G45*N45)</f>
        <v>0.998538651630182</v>
      </c>
      <c r="P45" s="16" t="n">
        <f aca="false">IF(D45="","",H45+E45-K45-O45)</f>
        <v>16.3229142847204</v>
      </c>
      <c r="Q45" s="16" t="n">
        <f aca="false">IF(D45="","",IF(P45&gt;=0,K45,MAX(0,K45+P45)))</f>
        <v>0.9072</v>
      </c>
      <c r="R45" s="16" t="n">
        <f aca="false">IF(D45="","",Q45/$B$15)</f>
        <v>0.35</v>
      </c>
      <c r="S45" s="16" t="n">
        <f aca="false">IF(D45="","",MAX(0,J45-R45))</f>
        <v>0</v>
      </c>
      <c r="T45" s="16" t="n">
        <f aca="false">IF(D45="","",MAX(0,Z45-$B$8))</f>
        <v>0</v>
      </c>
      <c r="U45" s="16" t="n">
        <f aca="false">IF(D45="","",MAX(0,MIN($B$8,Z45)))</f>
        <v>16.3229142847204</v>
      </c>
      <c r="V45" s="16" t="str">
        <f aca="false">IF(D45="","",IF(S45&gt;0.0000001,"Sim","Não"))</f>
        <v>Não</v>
      </c>
      <c r="W45" s="16" t="n">
        <f aca="false">IF(D45="","",U45-(H45+E45-Q45-O45-T45))</f>
        <v>0</v>
      </c>
      <c r="X45" s="16" t="n">
        <f aca="false">IF(W45="","",ABS(W45))</f>
        <v>0</v>
      </c>
      <c r="Y45" s="16" t="n">
        <f aca="false">IF(U45="","",IF($B$8=0,0,U45/$B$8*100))</f>
        <v>34.5677981463796</v>
      </c>
      <c r="Z45" s="18" t="n">
        <f aca="false">IF(D45="","",MAX(0,IF(P45&gt;=0,P45,IF(K45+P45&gt;=0,0,P45+K45))))</f>
        <v>16.3229142847204</v>
      </c>
      <c r="AA45" s="18" t="n">
        <f aca="false">IF(D45="","",IF(H45&lt;=$B$16,1,IF(H45&gt;=$B$17,$B$21,MATCH(H45,Aux_CAV!$A$2:$A$121,1))))</f>
        <v>11</v>
      </c>
      <c r="AB45" s="18" t="n">
        <f aca="false">IF(D45="","",IF(L45&lt;=$B$16,1,IF(L45&gt;=$B$17,$B$21,MATCH(L45,Aux_CAV!$A$2:$A$121,1))))</f>
        <v>11</v>
      </c>
      <c r="AC45" s="19" t="n">
        <f aca="false">IF(D45="","",COUNT($D$24:D45))</f>
        <v>10</v>
      </c>
    </row>
    <row r="46" customFormat="false" ht="12.75" hidden="false" customHeight="true" outlineLevel="0" collapsed="false">
      <c r="A46" s="14" t="n">
        <f aca="false">IF(D46="","",DATE(B46,C46,1))</f>
        <v>4323</v>
      </c>
      <c r="B46" s="15" t="n">
        <f aca="false" t="array" ref="B46:B46">IF(D46="","",IFERROR(VALUE(INDEX(Vazoes_COLAR!$A$2:$A$200,INT((ROW()-24)/12)+1)),""))</f>
        <v>1911</v>
      </c>
      <c r="C46" s="15" t="n">
        <f aca="false">IF(D46="","",MOD(ROW()-24,12)+1)</f>
        <v>11</v>
      </c>
      <c r="D46" s="16" t="n">
        <f aca="false" t="array" ref="D46: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0.00855340735874364</v>
      </c>
      <c r="E46" s="16" t="n">
        <f aca="false">IF(D46="","",D46*$B$15)</f>
        <v>0.0221704318738635</v>
      </c>
      <c r="F46" s="16" t="n">
        <f aca="false" t="array" ref="F46:F46">IF(D46="","",IFERROR(INDEX(Dados_Evap!$C$2:$N$15,MATCH($B$9,Dados_Evap!$A$2:$A$15,0),C46),0))</f>
        <v>223.7</v>
      </c>
      <c r="G46" s="16" t="n">
        <f aca="false">IF(F46="","",F46/1000)</f>
        <v>0.2237</v>
      </c>
      <c r="H46" s="16" t="n">
        <f aca="false">IF(D46="","",MAX(0,MIN($B$8,IFERROR(LOOKUP(2,1/($U$24:U45&lt;&gt;""),$U$24:U45),$B$11))))</f>
        <v>16.3229142847204</v>
      </c>
      <c r="I46" s="16" t="n">
        <f aca="false" t="array" ref="I46: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>3.68859219500317</v>
      </c>
      <c r="J46" s="16" t="n">
        <f aca="false">IF(D46="","",$B$12)</f>
        <v>0.35</v>
      </c>
      <c r="K46" s="16" t="n">
        <f aca="false">IF(J46="","",J46*$B$15)</f>
        <v>0.9072</v>
      </c>
      <c r="L46" s="16" t="n">
        <f aca="false">IF(D46="","",H46+E46-K46-G46*I46)</f>
        <v>14.6127466425721</v>
      </c>
      <c r="M46" s="16" t="n">
        <f aca="false" t="array" ref="M46: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>3.53167544892527</v>
      </c>
      <c r="N46" s="16" t="n">
        <f aca="false">IF(D46="","",(I46+M46)/2)</f>
        <v>3.61013382196422</v>
      </c>
      <c r="O46" s="16" t="n">
        <f aca="false">IF(D46="","",G46*N46)</f>
        <v>0.807586935973396</v>
      </c>
      <c r="P46" s="16" t="n">
        <f aca="false">IF(D46="","",H46+E46-K46-O46)</f>
        <v>14.6302977806209</v>
      </c>
      <c r="Q46" s="16" t="n">
        <f aca="false">IF(D46="","",IF(P46&gt;=0,K46,MAX(0,K46+P46)))</f>
        <v>0.9072</v>
      </c>
      <c r="R46" s="16" t="n">
        <f aca="false">IF(D46="","",Q46/$B$15)</f>
        <v>0.35</v>
      </c>
      <c r="S46" s="16" t="n">
        <f aca="false">IF(D46="","",MAX(0,J46-R46))</f>
        <v>0</v>
      </c>
      <c r="T46" s="16" t="n">
        <f aca="false">IF(D46="","",MAX(0,Z46-$B$8))</f>
        <v>0</v>
      </c>
      <c r="U46" s="16" t="n">
        <f aca="false">IF(D46="","",MAX(0,MIN($B$8,Z46)))</f>
        <v>14.6302977806209</v>
      </c>
      <c r="V46" s="16" t="str">
        <f aca="false">IF(D46="","",IF(S46&gt;0.0000001,"Sim","Não"))</f>
        <v>Não</v>
      </c>
      <c r="W46" s="16" t="n">
        <f aca="false">IF(D46="","",U46-(H46+E46-Q46-O46-T46))</f>
        <v>0</v>
      </c>
      <c r="X46" s="16" t="n">
        <f aca="false">IF(W46="","",ABS(W46))</f>
        <v>0</v>
      </c>
      <c r="Y46" s="16" t="n">
        <f aca="false">IF(U46="","",IF($B$8=0,0,U46/$B$8*100))</f>
        <v>30.983265100849</v>
      </c>
      <c r="Z46" s="18" t="n">
        <f aca="false">IF(D46="","",MAX(0,IF(P46&gt;=0,P46,IF(K46+P46&gt;=0,0,P46+K46))))</f>
        <v>14.6302977806209</v>
      </c>
      <c r="AA46" s="18" t="n">
        <f aca="false">IF(D46="","",IF(H46&lt;=$B$16,1,IF(H46&gt;=$B$17,$B$21,MATCH(H46,Aux_CAV!$A$2:$A$121,1))))</f>
        <v>11</v>
      </c>
      <c r="AB46" s="18" t="n">
        <f aca="false">IF(D46="","",IF(L46&lt;=$B$16,1,IF(L46&gt;=$B$17,$B$21,MATCH(L46,Aux_CAV!$A$2:$A$121,1))))</f>
        <v>10</v>
      </c>
      <c r="AC46" s="19" t="n">
        <f aca="false">IF(D46="","",COUNT($D$24:D46))</f>
        <v>11</v>
      </c>
    </row>
    <row r="47" customFormat="false" ht="12.75" hidden="false" customHeight="true" outlineLevel="0" collapsed="false">
      <c r="A47" s="14" t="n">
        <f aca="false">IF(D47="","",DATE(B47,C47,1))</f>
        <v>4353</v>
      </c>
      <c r="B47" s="15" t="n">
        <f aca="false" t="array" ref="B47:B47">IF(D47="","",IFERROR(VALUE(INDEX(Vazoes_COLAR!$A$2:$A$200,INT((ROW()-24)/12)+1)),""))</f>
        <v>1911</v>
      </c>
      <c r="C47" s="15" t="n">
        <f aca="false">IF(D47="","",MOD(ROW()-24,12)+1)</f>
        <v>12</v>
      </c>
      <c r="D47" s="16" t="n">
        <f aca="false" t="array" ref="D47: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0.0403421189003918</v>
      </c>
      <c r="E47" s="16" t="n">
        <f aca="false">IF(D47="","",D47*$B$15)</f>
        <v>0.104566772189816</v>
      </c>
      <c r="F47" s="16" t="n">
        <f aca="false" t="array" ref="F47:F47">IF(D47="","",IFERROR(INDEX(Dados_Evap!$C$2:$N$15,MATCH($B$9,Dados_Evap!$A$2:$A$15,0),C47),0))</f>
        <v>216.1</v>
      </c>
      <c r="G47" s="16" t="n">
        <f aca="false">IF(F47="","",F47/1000)</f>
        <v>0.2161</v>
      </c>
      <c r="H47" s="16" t="n">
        <f aca="false">IF(D47="","",MAX(0,MIN($B$8,IFERROR(LOOKUP(2,1/($U$24:U46&lt;&gt;""),$U$24:U46),$B$11))))</f>
        <v>14.6302977806209</v>
      </c>
      <c r="I47" s="16" t="n">
        <f aca="false" t="array" ref="I47: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>3.53317245775884</v>
      </c>
      <c r="J47" s="16" t="n">
        <f aca="false">IF(D47="","",$B$12)</f>
        <v>0.35</v>
      </c>
      <c r="K47" s="16" t="n">
        <f aca="false">IF(J47="","",J47*$B$15)</f>
        <v>0.9072</v>
      </c>
      <c r="L47" s="16" t="n">
        <f aca="false">IF(D47="","",H47+E47-K47-G47*I47)</f>
        <v>13.064145984689</v>
      </c>
      <c r="M47" s="16" t="n">
        <f aca="false" t="array" ref="M47: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>3.39958892222348</v>
      </c>
      <c r="N47" s="16" t="n">
        <f aca="false">IF(D47="","",(I47+M47)/2)</f>
        <v>3.46638068999116</v>
      </c>
      <c r="O47" s="16" t="n">
        <f aca="false">IF(D47="","",G47*N47)</f>
        <v>0.749084867107089</v>
      </c>
      <c r="P47" s="16" t="n">
        <f aca="false">IF(D47="","",H47+E47-K47-O47)</f>
        <v>13.0785796857036</v>
      </c>
      <c r="Q47" s="16" t="n">
        <f aca="false">IF(D47="","",IF(P47&gt;=0,K47,MAX(0,K47+P47)))</f>
        <v>0.9072</v>
      </c>
      <c r="R47" s="16" t="n">
        <f aca="false">IF(D47="","",Q47/$B$15)</f>
        <v>0.35</v>
      </c>
      <c r="S47" s="16" t="n">
        <f aca="false">IF(D47="","",MAX(0,J47-R47))</f>
        <v>0</v>
      </c>
      <c r="T47" s="16" t="n">
        <f aca="false">IF(D47="","",MAX(0,Z47-$B$8))</f>
        <v>0</v>
      </c>
      <c r="U47" s="16" t="n">
        <f aca="false">IF(D47="","",MAX(0,MIN($B$8,Z47)))</f>
        <v>13.0785796857036</v>
      </c>
      <c r="V47" s="16" t="str">
        <f aca="false">IF(D47="","",IF(S47&gt;0.0000001,"Sim","Não"))</f>
        <v>Não</v>
      </c>
      <c r="W47" s="16" t="n">
        <f aca="false">IF(D47="","",U47-(H47+E47-Q47-O47-T47))</f>
        <v>0</v>
      </c>
      <c r="X47" s="16" t="n">
        <f aca="false">IF(W47="","",ABS(W47))</f>
        <v>0</v>
      </c>
      <c r="Y47" s="16" t="n">
        <f aca="false">IF(U47="","",IF($B$8=0,0,U47/$B$8*100))</f>
        <v>27.6971191988641</v>
      </c>
      <c r="Z47" s="18" t="n">
        <f aca="false">IF(D47="","",MAX(0,IF(P47&gt;=0,P47,IF(K47+P47&gt;=0,0,P47+K47))))</f>
        <v>13.0785796857036</v>
      </c>
      <c r="AA47" s="18" t="n">
        <f aca="false">IF(D47="","",IF(H47&lt;=$B$16,1,IF(H47&gt;=$B$17,$B$21,MATCH(H47,Aux_CAV!$A$2:$A$121,1))))</f>
        <v>10</v>
      </c>
      <c r="AB47" s="18" t="n">
        <f aca="false">IF(D47="","",IF(L47&lt;=$B$16,1,IF(L47&gt;=$B$17,$B$21,MATCH(L47,Aux_CAV!$A$2:$A$121,1))))</f>
        <v>10</v>
      </c>
      <c r="AC47" s="19" t="n">
        <f aca="false">IF(D47="","",COUNT($D$24:D47))</f>
        <v>12</v>
      </c>
    </row>
    <row r="48" customFormat="false" ht="12.75" hidden="false" customHeight="true" outlineLevel="0" collapsed="false">
      <c r="A48" s="14" t="n">
        <f aca="false">IF(D48="","",DATE(B48,C48,1))</f>
        <v>4384</v>
      </c>
      <c r="B48" s="15" t="n">
        <f aca="false" t="array" ref="B48:B48">IF(D48="","",IFERROR(VALUE(INDEX(Vazoes_COLAR!$A$2:$A$200,INT((ROW()-24)/12)+1)),""))</f>
        <v>1912</v>
      </c>
      <c r="C48" s="15" t="n">
        <f aca="false">IF(D48="","",MOD(ROW()-24,12)+1)</f>
        <v>1</v>
      </c>
      <c r="D48" s="16" t="n">
        <f aca="false" t="array" ref="D48: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0.0623137880391393</v>
      </c>
      <c r="E48" s="16" t="n">
        <f aca="false">IF(D48="","",D48*$B$15)</f>
        <v>0.161517338597449</v>
      </c>
      <c r="F48" s="16" t="n">
        <f aca="false" t="array" ref="F48:F48">IF(D48="","",IFERROR(INDEX(Dados_Evap!$C$2:$N$15,MATCH($B$9,Dados_Evap!$A$2:$A$15,0),C48),0))</f>
        <v>160</v>
      </c>
      <c r="G48" s="16" t="n">
        <f aca="false">IF(F48="","",F48/1000)</f>
        <v>0.16</v>
      </c>
      <c r="H48" s="16" t="n">
        <f aca="false">IF(D48="","",MAX(0,MIN($B$8,IFERROR(LOOKUP(2,1/($U$24:U47&lt;&gt;""),$U$24:U47),$B$11))))</f>
        <v>13.0785796857036</v>
      </c>
      <c r="I48" s="16" t="n">
        <f aca="false" t="array" ref="I48: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>3.4008200320159</v>
      </c>
      <c r="J48" s="16" t="n">
        <f aca="false">IF(D48="","",$B$12)</f>
        <v>0.35</v>
      </c>
      <c r="K48" s="16" t="n">
        <f aca="false">IF(J48="","",J48*$B$15)</f>
        <v>0.9072</v>
      </c>
      <c r="L48" s="16" t="n">
        <f aca="false">IF(D48="","",H48+E48-K48-G48*I48)</f>
        <v>11.7887658191785</v>
      </c>
      <c r="M48" s="16" t="n">
        <f aca="false" t="array" ref="M48: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>3.2908064963417</v>
      </c>
      <c r="N48" s="16" t="n">
        <f aca="false">IF(D48="","",(I48+M48)/2)</f>
        <v>3.3458132641788</v>
      </c>
      <c r="O48" s="16" t="n">
        <f aca="false">IF(D48="","",G48*N48)</f>
        <v>0.535330122268608</v>
      </c>
      <c r="P48" s="16" t="n">
        <f aca="false">IF(D48="","",H48+E48-K48-O48)</f>
        <v>11.7975669020325</v>
      </c>
      <c r="Q48" s="16" t="n">
        <f aca="false">IF(D48="","",IF(P48&gt;=0,K48,MAX(0,K48+P48)))</f>
        <v>0.9072</v>
      </c>
      <c r="R48" s="16" t="n">
        <f aca="false">IF(D48="","",Q48/$B$15)</f>
        <v>0.35</v>
      </c>
      <c r="S48" s="16" t="n">
        <f aca="false">IF(D48="","",MAX(0,J48-R48))</f>
        <v>0</v>
      </c>
      <c r="T48" s="16" t="n">
        <f aca="false">IF(D48="","",MAX(0,Z48-$B$8))</f>
        <v>0</v>
      </c>
      <c r="U48" s="16" t="n">
        <f aca="false">IF(D48="","",MAX(0,MIN($B$8,Z48)))</f>
        <v>11.7975669020325</v>
      </c>
      <c r="V48" s="16" t="str">
        <f aca="false">IF(D48="","",IF(S48&gt;0.0000001,"Sim","Não"))</f>
        <v>Não</v>
      </c>
      <c r="W48" s="16" t="n">
        <f aca="false">IF(D48="","",U48-(H48+E48-Q48-O48-T48))</f>
        <v>0</v>
      </c>
      <c r="X48" s="16" t="n">
        <f aca="false">IF(W48="","",ABS(W48))</f>
        <v>0</v>
      </c>
      <c r="Y48" s="16" t="n">
        <f aca="false">IF(U48="","",IF($B$8=0,0,U48/$B$8*100))</f>
        <v>24.9842585811785</v>
      </c>
      <c r="Z48" s="18" t="n">
        <f aca="false">IF(D48="","",MAX(0,IF(P48&gt;=0,P48,IF(K48+P48&gt;=0,0,P48+K48))))</f>
        <v>11.7975669020325</v>
      </c>
      <c r="AA48" s="18" t="n">
        <f aca="false">IF(D48="","",IF(H48&lt;=$B$16,1,IF(H48&gt;=$B$17,$B$21,MATCH(H48,Aux_CAV!$A$2:$A$121,1))))</f>
        <v>10</v>
      </c>
      <c r="AB48" s="18" t="n">
        <f aca="false">IF(D48="","",IF(L48&lt;=$B$16,1,IF(L48&gt;=$B$17,$B$21,MATCH(L48,Aux_CAV!$A$2:$A$121,1))))</f>
        <v>10</v>
      </c>
      <c r="AC48" s="19" t="n">
        <f aca="false">IF(D48="","",COUNT($D$24:D48))</f>
        <v>13</v>
      </c>
    </row>
    <row r="49" customFormat="false" ht="12.75" hidden="false" customHeight="true" outlineLevel="0" collapsed="false">
      <c r="A49" s="14" t="n">
        <f aca="false">IF(D49="","",DATE(B49,C49,1))</f>
        <v>4415</v>
      </c>
      <c r="B49" s="15" t="n">
        <f aca="false" t="array" ref="B49:B49">IF(D49="","",IFERROR(VALUE(INDEX(Vazoes_COLAR!$A$2:$A$200,INT((ROW()-24)/12)+1)),""))</f>
        <v>1912</v>
      </c>
      <c r="C49" s="15" t="n">
        <f aca="false">IF(D49="","",MOD(ROW()-24,12)+1)</f>
        <v>2</v>
      </c>
      <c r="D49" s="16" t="n">
        <f aca="false" t="array" ref="D49: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1.59495755632387</v>
      </c>
      <c r="E49" s="16" t="n">
        <f aca="false">IF(D49="","",D49*$B$15)</f>
        <v>4.13412998599147</v>
      </c>
      <c r="F49" s="16" t="n">
        <f aca="false" t="array" ref="F49:F49">IF(D49="","",IFERROR(INDEX(Dados_Evap!$C$2:$N$15,MATCH($B$9,Dados_Evap!$A$2:$A$15,0),C49),0))</f>
        <v>124.3</v>
      </c>
      <c r="G49" s="16" t="n">
        <f aca="false">IF(F49="","",F49/1000)</f>
        <v>0.1243</v>
      </c>
      <c r="H49" s="16" t="n">
        <f aca="false">IF(D49="","",MAX(0,MIN($B$8,IFERROR(LOOKUP(2,1/($U$24:U48&lt;&gt;""),$U$24:U48),$B$11))))</f>
        <v>11.7975669020325</v>
      </c>
      <c r="I49" s="16" t="n">
        <f aca="false" t="array" ref="I49: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>3.29155717693806</v>
      </c>
      <c r="J49" s="16" t="n">
        <f aca="false">IF(D49="","",$B$12)</f>
        <v>0.35</v>
      </c>
      <c r="K49" s="16" t="n">
        <f aca="false">IF(J49="","",J49*$B$15)</f>
        <v>0.9072</v>
      </c>
      <c r="L49" s="16" t="n">
        <f aca="false">IF(D49="","",H49+E49-K49-G49*I49)</f>
        <v>14.6153563309305</v>
      </c>
      <c r="M49" s="16" t="n">
        <f aca="false" t="array" ref="M49: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>3.53189803999113</v>
      </c>
      <c r="N49" s="16" t="n">
        <f aca="false">IF(D49="","",(I49+M49)/2)</f>
        <v>3.4117276084646</v>
      </c>
      <c r="O49" s="16" t="n">
        <f aca="false">IF(D49="","",G49*N49)</f>
        <v>0.42407774173215</v>
      </c>
      <c r="P49" s="16" t="n">
        <f aca="false">IF(D49="","",H49+E49-K49-O49)</f>
        <v>14.6004191462918</v>
      </c>
      <c r="Q49" s="16" t="n">
        <f aca="false">IF(D49="","",IF(P49&gt;=0,K49,MAX(0,K49+P49)))</f>
        <v>0.9072</v>
      </c>
      <c r="R49" s="16" t="n">
        <f aca="false">IF(D49="","",Q49/$B$15)</f>
        <v>0.35</v>
      </c>
      <c r="S49" s="16" t="n">
        <f aca="false">IF(D49="","",MAX(0,J49-R49))</f>
        <v>0</v>
      </c>
      <c r="T49" s="16" t="n">
        <f aca="false">IF(D49="","",MAX(0,Z49-$B$8))</f>
        <v>0</v>
      </c>
      <c r="U49" s="16" t="n">
        <f aca="false">IF(D49="","",MAX(0,MIN($B$8,Z49)))</f>
        <v>14.6004191462918</v>
      </c>
      <c r="V49" s="16" t="str">
        <f aca="false">IF(D49="","",IF(S49&gt;0.0000001,"Sim","Não"))</f>
        <v>Não</v>
      </c>
      <c r="W49" s="16" t="n">
        <f aca="false">IF(D49="","",U49-(H49+E49-Q49-O49-T49))</f>
        <v>0</v>
      </c>
      <c r="X49" s="16" t="n">
        <f aca="false">IF(W49="","",ABS(W49))</f>
        <v>0</v>
      </c>
      <c r="Y49" s="16" t="n">
        <f aca="false">IF(U49="","",IF($B$8=0,0,U49/$B$8*100))</f>
        <v>30.9199897210754</v>
      </c>
      <c r="Z49" s="18" t="n">
        <f aca="false">IF(D49="","",MAX(0,IF(P49&gt;=0,P49,IF(K49+P49&gt;=0,0,P49+K49))))</f>
        <v>14.6004191462918</v>
      </c>
      <c r="AA49" s="18" t="n">
        <f aca="false">IF(D49="","",IF(H49&lt;=$B$16,1,IF(H49&gt;=$B$17,$B$21,MATCH(H49,Aux_CAV!$A$2:$A$121,1))))</f>
        <v>10</v>
      </c>
      <c r="AB49" s="18" t="n">
        <f aca="false">IF(D49="","",IF(L49&lt;=$B$16,1,IF(L49&gt;=$B$17,$B$21,MATCH(L49,Aux_CAV!$A$2:$A$121,1))))</f>
        <v>10</v>
      </c>
      <c r="AC49" s="19" t="n">
        <f aca="false">IF(D49="","",COUNT($D$24:D49))</f>
        <v>14</v>
      </c>
    </row>
    <row r="50" customFormat="false" ht="12.75" hidden="false" customHeight="true" outlineLevel="0" collapsed="false">
      <c r="A50" s="14" t="n">
        <f aca="false">IF(D50="","",DATE(B50,C50,1))</f>
        <v>4444</v>
      </c>
      <c r="B50" s="15" t="n">
        <f aca="false" t="array" ref="B50:B50">IF(D50="","",IFERROR(VALUE(INDEX(Vazoes_COLAR!$A$2:$A$200,INT((ROW()-24)/12)+1)),""))</f>
        <v>1912</v>
      </c>
      <c r="C50" s="15" t="n">
        <f aca="false">IF(D50="","",MOD(ROW()-24,12)+1)</f>
        <v>3</v>
      </c>
      <c r="D50" s="16" t="n">
        <f aca="false" t="array" ref="D50: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3.69020929303021</v>
      </c>
      <c r="E50" s="16" t="n">
        <f aca="false">IF(D50="","",D50*$B$15)</f>
        <v>9.56502248753431</v>
      </c>
      <c r="F50" s="16" t="n">
        <f aca="false" t="array" ref="F50:F50">IF(D50="","",IFERROR(INDEX(Dados_Evap!$C$2:$N$15,MATCH($B$9,Dados_Evap!$A$2:$A$15,0),C50),0))</f>
        <v>107.7</v>
      </c>
      <c r="G50" s="16" t="n">
        <f aca="false">IF(F50="","",F50/1000)</f>
        <v>0.1077</v>
      </c>
      <c r="H50" s="16" t="n">
        <f aca="false">IF(D50="","",MAX(0,MIN($B$8,IFERROR(LOOKUP(2,1/($U$24:U49&lt;&gt;""),$U$24:U49),$B$11))))</f>
        <v>14.6004191462918</v>
      </c>
      <c r="I50" s="16" t="n">
        <f aca="false" t="array" ref="I50: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>3.53062398600724</v>
      </c>
      <c r="J50" s="16" t="n">
        <f aca="false">IF(D50="","",$B$12)</f>
        <v>0.35</v>
      </c>
      <c r="K50" s="16" t="n">
        <f aca="false">IF(J50="","",J50*$B$15)</f>
        <v>0.9072</v>
      </c>
      <c r="L50" s="16" t="n">
        <f aca="false">IF(D50="","",H50+E50-K50-G50*I50)</f>
        <v>22.8779934305331</v>
      </c>
      <c r="M50" s="16" t="n">
        <f aca="false" t="array" ref="M50: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>4.47200409291737</v>
      </c>
      <c r="N50" s="16" t="n">
        <f aca="false">IF(D50="","",(I50+M50)/2)</f>
        <v>4.00131403946231</v>
      </c>
      <c r="O50" s="16" t="n">
        <f aca="false">IF(D50="","",G50*N50)</f>
        <v>0.430941522050091</v>
      </c>
      <c r="P50" s="16" t="n">
        <f aca="false">IF(D50="","",H50+E50-K50-O50)</f>
        <v>22.827300111776</v>
      </c>
      <c r="Q50" s="16" t="n">
        <f aca="false">IF(D50="","",IF(P50&gt;=0,K50,MAX(0,K50+P50)))</f>
        <v>0.9072</v>
      </c>
      <c r="R50" s="16" t="n">
        <f aca="false">IF(D50="","",Q50/$B$15)</f>
        <v>0.35</v>
      </c>
      <c r="S50" s="16" t="n">
        <f aca="false">IF(D50="","",MAX(0,J50-R50))</f>
        <v>0</v>
      </c>
      <c r="T50" s="16" t="n">
        <f aca="false">IF(D50="","",MAX(0,Z50-$B$8))</f>
        <v>0</v>
      </c>
      <c r="U50" s="16" t="n">
        <f aca="false">IF(D50="","",MAX(0,MIN($B$8,Z50)))</f>
        <v>22.827300111776</v>
      </c>
      <c r="V50" s="16" t="str">
        <f aca="false">IF(D50="","",IF(S50&gt;0.0000001,"Sim","Não"))</f>
        <v>Não</v>
      </c>
      <c r="W50" s="16" t="n">
        <f aca="false">IF(D50="","",U50-(H50+E50-Q50-O50-T50))</f>
        <v>0</v>
      </c>
      <c r="X50" s="16" t="n">
        <f aca="false">IF(W50="","",ABS(W50))</f>
        <v>0</v>
      </c>
      <c r="Y50" s="16" t="n">
        <f aca="false">IF(U50="","",IF($B$8=0,0,U50/$B$8*100))</f>
        <v>48.3424398809318</v>
      </c>
      <c r="Z50" s="18" t="n">
        <f aca="false">IF(D50="","",MAX(0,IF(P50&gt;=0,P50,IF(K50+P50&gt;=0,0,P50+K50))))</f>
        <v>22.827300111776</v>
      </c>
      <c r="AA50" s="18" t="n">
        <f aca="false">IF(D50="","",IF(H50&lt;=$B$16,1,IF(H50&gt;=$B$17,$B$21,MATCH(H50,Aux_CAV!$A$2:$A$121,1))))</f>
        <v>10</v>
      </c>
      <c r="AB50" s="18" t="n">
        <f aca="false">IF(D50="","",IF(L50&lt;=$B$16,1,IF(L50&gt;=$B$17,$B$21,MATCH(L50,Aux_CAV!$A$2:$A$121,1))))</f>
        <v>11</v>
      </c>
      <c r="AC50" s="19" t="n">
        <f aca="false">IF(D50="","",COUNT($D$24:D50))</f>
        <v>15</v>
      </c>
    </row>
    <row r="51" customFormat="false" ht="12.75" hidden="false" customHeight="true" outlineLevel="0" collapsed="false">
      <c r="A51" s="14" t="n">
        <f aca="false">IF(D51="","",DATE(B51,C51,1))</f>
        <v>4475</v>
      </c>
      <c r="B51" s="15" t="n">
        <f aca="false" t="array" ref="B51:B51">IF(D51="","",IFERROR(VALUE(INDEX(Vazoes_COLAR!$A$2:$A$200,INT((ROW()-24)/12)+1)),""))</f>
        <v>1912</v>
      </c>
      <c r="C51" s="15" t="n">
        <f aca="false">IF(D51="","",MOD(ROW()-24,12)+1)</f>
        <v>4</v>
      </c>
      <c r="D51" s="16" t="n">
        <f aca="false" t="array" ref="D51: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2.83199323253307</v>
      </c>
      <c r="E51" s="16" t="n">
        <f aca="false">IF(D51="","",D51*$B$15)</f>
        <v>7.34052645872572</v>
      </c>
      <c r="F51" s="16" t="n">
        <f aca="false" t="array" ref="F51:F51">IF(D51="","",IFERROR(INDEX(Dados_Evap!$C$2:$N$15,MATCH($B$9,Dados_Evap!$A$2:$A$15,0),C51),0))</f>
        <v>100.5</v>
      </c>
      <c r="G51" s="16" t="n">
        <f aca="false">IF(F51="","",F51/1000)</f>
        <v>0.1005</v>
      </c>
      <c r="H51" s="16" t="n">
        <f aca="false">IF(D51="","",MAX(0,MIN($B$8,IFERROR(LOOKUP(2,1/($U$24:U50&lt;&gt;""),$U$24:U50),$B$11))))</f>
        <v>22.827300111776</v>
      </c>
      <c r="I51" s="16" t="n">
        <f aca="false" t="array" ref="I51: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>4.46594562311469</v>
      </c>
      <c r="J51" s="16" t="n">
        <f aca="false">IF(D51="","",$B$12)</f>
        <v>0.35</v>
      </c>
      <c r="K51" s="16" t="n">
        <f aca="false">IF(J51="","",J51*$B$15)</f>
        <v>0.9072</v>
      </c>
      <c r="L51" s="16" t="n">
        <f aca="false">IF(D51="","",H51+E51-K51-G51*I51)</f>
        <v>28.8117990353787</v>
      </c>
      <c r="M51" s="16" t="n">
        <f aca="false" t="array" ref="M51: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>5.10908980270439</v>
      </c>
      <c r="N51" s="16" t="n">
        <f aca="false">IF(D51="","",(I51+M51)/2)</f>
        <v>4.78751771290954</v>
      </c>
      <c r="O51" s="16" t="n">
        <f aca="false">IF(D51="","",G51*N51)</f>
        <v>0.481145530147409</v>
      </c>
      <c r="P51" s="16" t="n">
        <f aca="false">IF(D51="","",H51+E51-K51-O51)</f>
        <v>28.7794810403543</v>
      </c>
      <c r="Q51" s="16" t="n">
        <f aca="false">IF(D51="","",IF(P51&gt;=0,K51,MAX(0,K51+P51)))</f>
        <v>0.9072</v>
      </c>
      <c r="R51" s="16" t="n">
        <f aca="false">IF(D51="","",Q51/$B$15)</f>
        <v>0.35</v>
      </c>
      <c r="S51" s="16" t="n">
        <f aca="false">IF(D51="","",MAX(0,J51-R51))</f>
        <v>0</v>
      </c>
      <c r="T51" s="16" t="n">
        <f aca="false">IF(D51="","",MAX(0,Z51-$B$8))</f>
        <v>0</v>
      </c>
      <c r="U51" s="16" t="n">
        <f aca="false">IF(D51="","",MAX(0,MIN($B$8,Z51)))</f>
        <v>28.7794810403543</v>
      </c>
      <c r="V51" s="16" t="str">
        <f aca="false">IF(D51="","",IF(S51&gt;0.0000001,"Sim","Não"))</f>
        <v>Não</v>
      </c>
      <c r="W51" s="16" t="n">
        <f aca="false">IF(D51="","",U51-(H51+E51-Q51-O51-T51))</f>
        <v>0</v>
      </c>
      <c r="X51" s="16" t="n">
        <f aca="false">IF(W51="","",ABS(W51))</f>
        <v>0</v>
      </c>
      <c r="Y51" s="16" t="n">
        <f aca="false">IF(U51="","",IF($B$8=0,0,U51/$B$8*100))</f>
        <v>60.9476515043505</v>
      </c>
      <c r="Z51" s="18" t="n">
        <f aca="false">IF(D51="","",MAX(0,IF(P51&gt;=0,P51,IF(K51+P51&gt;=0,0,P51+K51))))</f>
        <v>28.7794810403543</v>
      </c>
      <c r="AA51" s="18" t="n">
        <f aca="false">IF(D51="","",IF(H51&lt;=$B$16,1,IF(H51&gt;=$B$17,$B$21,MATCH(H51,Aux_CAV!$A$2:$A$121,1))))</f>
        <v>11</v>
      </c>
      <c r="AB51" s="18" t="n">
        <f aca="false">IF(D51="","",IF(L51&lt;=$B$16,1,IF(L51&gt;=$B$17,$B$21,MATCH(L51,Aux_CAV!$A$2:$A$121,1))))</f>
        <v>12</v>
      </c>
      <c r="AC51" s="19" t="n">
        <f aca="false">IF(D51="","",COUNT($D$24:D51))</f>
        <v>16</v>
      </c>
    </row>
    <row r="52" customFormat="false" ht="12.75" hidden="false" customHeight="true" outlineLevel="0" collapsed="false">
      <c r="A52" s="14" t="n">
        <f aca="false">IF(D52="","",DATE(B52,C52,1))</f>
        <v>4505</v>
      </c>
      <c r="B52" s="15" t="n">
        <f aca="false" t="array" ref="B52:B52">IF(D52="","",IFERROR(VALUE(INDEX(Vazoes_COLAR!$A$2:$A$200,INT((ROW()-24)/12)+1)),""))</f>
        <v>1912</v>
      </c>
      <c r="C52" s="15" t="n">
        <f aca="false">IF(D52="","",MOD(ROW()-24,12)+1)</f>
        <v>5</v>
      </c>
      <c r="D52" s="16" t="n">
        <f aca="false" t="array" ref="D52: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1.64326818688999</v>
      </c>
      <c r="E52" s="16" t="n">
        <f aca="false">IF(D52="","",D52*$B$15)</f>
        <v>4.25935114041886</v>
      </c>
      <c r="F52" s="16" t="n">
        <f aca="false" t="array" ref="F52:F52">IF(D52="","",IFERROR(INDEX(Dados_Evap!$C$2:$N$15,MATCH($B$9,Dados_Evap!$A$2:$A$15,0),C52),0))</f>
        <v>145.8</v>
      </c>
      <c r="G52" s="16" t="n">
        <f aca="false">IF(F52="","",F52/1000)</f>
        <v>0.1458</v>
      </c>
      <c r="H52" s="16" t="n">
        <f aca="false">IF(D52="","",MAX(0,MIN($B$8,IFERROR(LOOKUP(2,1/($U$24:U51&lt;&gt;""),$U$24:U51),$B$11))))</f>
        <v>28.7794810403543</v>
      </c>
      <c r="I52" s="16" t="n">
        <f aca="false" t="array" ref="I52: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>5.10573249642516</v>
      </c>
      <c r="J52" s="16" t="n">
        <f aca="false">IF(D52="","",$B$12)</f>
        <v>0.35</v>
      </c>
      <c r="K52" s="16" t="n">
        <f aca="false">IF(J52="","",J52*$B$15)</f>
        <v>0.9072</v>
      </c>
      <c r="L52" s="16" t="n">
        <f aca="false">IF(D52="","",H52+E52-K52-G52*I52)</f>
        <v>31.3872163827944</v>
      </c>
      <c r="M52" s="16" t="n">
        <f aca="false" t="array" ref="M52: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>5.37663315821262</v>
      </c>
      <c r="N52" s="16" t="n">
        <f aca="false">IF(D52="","",(I52+M52)/2)</f>
        <v>5.24118282731889</v>
      </c>
      <c r="O52" s="16" t="n">
        <f aca="false">IF(D52="","",G52*N52)</f>
        <v>0.764164456223094</v>
      </c>
      <c r="P52" s="16" t="n">
        <f aca="false">IF(D52="","",H52+E52-K52-O52)</f>
        <v>31.3674677245501</v>
      </c>
      <c r="Q52" s="16" t="n">
        <f aca="false">IF(D52="","",IF(P52&gt;=0,K52,MAX(0,K52+P52)))</f>
        <v>0.9072</v>
      </c>
      <c r="R52" s="16" t="n">
        <f aca="false">IF(D52="","",Q52/$B$15)</f>
        <v>0.35</v>
      </c>
      <c r="S52" s="16" t="n">
        <f aca="false">IF(D52="","",MAX(0,J52-R52))</f>
        <v>0</v>
      </c>
      <c r="T52" s="16" t="n">
        <f aca="false">IF(D52="","",MAX(0,Z52-$B$8))</f>
        <v>0</v>
      </c>
      <c r="U52" s="16" t="n">
        <f aca="false">IF(D52="","",MAX(0,MIN($B$8,Z52)))</f>
        <v>31.3674677245501</v>
      </c>
      <c r="V52" s="16" t="str">
        <f aca="false">IF(D52="","",IF(S52&gt;0.0000001,"Sim","Não"))</f>
        <v>Não</v>
      </c>
      <c r="W52" s="16" t="n">
        <f aca="false">IF(D52="","",U52-(H52+E52-Q52-O52-T52))</f>
        <v>0</v>
      </c>
      <c r="X52" s="16" t="n">
        <f aca="false">IF(W52="","",ABS(W52))</f>
        <v>0</v>
      </c>
      <c r="Y52" s="16" t="n">
        <f aca="false">IF(U52="","",IF($B$8=0,0,U52/$B$8*100))</f>
        <v>66.4283518097206</v>
      </c>
      <c r="Z52" s="18" t="n">
        <f aca="false">IF(D52="","",MAX(0,IF(P52&gt;=0,P52,IF(K52+P52&gt;=0,0,P52+K52))))</f>
        <v>31.3674677245501</v>
      </c>
      <c r="AA52" s="18" t="n">
        <f aca="false">IF(D52="","",IF(H52&lt;=$B$16,1,IF(H52&gt;=$B$17,$B$21,MATCH(H52,Aux_CAV!$A$2:$A$121,1))))</f>
        <v>12</v>
      </c>
      <c r="AB52" s="18" t="n">
        <f aca="false">IF(D52="","",IF(L52&lt;=$B$16,1,IF(L52&gt;=$B$17,$B$21,MATCH(L52,Aux_CAV!$A$2:$A$121,1))))</f>
        <v>12</v>
      </c>
      <c r="AC52" s="19" t="n">
        <f aca="false">IF(D52="","",COUNT($D$24:D52))</f>
        <v>17</v>
      </c>
    </row>
    <row r="53" customFormat="false" ht="12.75" hidden="false" customHeight="true" outlineLevel="0" collapsed="false">
      <c r="A53" s="14" t="n">
        <f aca="false">IF(D53="","",DATE(B53,C53,1))</f>
        <v>4536</v>
      </c>
      <c r="B53" s="15" t="n">
        <f aca="false" t="array" ref="B53:B53">IF(D53="","",IFERROR(VALUE(INDEX(Vazoes_COLAR!$A$2:$A$200,INT((ROW()-24)/12)+1)),""))</f>
        <v>1912</v>
      </c>
      <c r="C53" s="15" t="n">
        <f aca="false">IF(D53="","",MOD(ROW()-24,12)+1)</f>
        <v>6</v>
      </c>
      <c r="D53" s="16" t="n">
        <f aca="false" t="array" ref="D53: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0.711731598702223</v>
      </c>
      <c r="E53" s="16" t="n">
        <f aca="false">IF(D53="","",D53*$B$15)</f>
        <v>1.84480830383616</v>
      </c>
      <c r="F53" s="16" t="n">
        <f aca="false" t="array" ref="F53:F53">IF(D53="","",IFERROR(INDEX(Dados_Evap!$C$2:$N$15,MATCH($B$9,Dados_Evap!$A$2:$A$15,0),C53),0))</f>
        <v>161.3</v>
      </c>
      <c r="G53" s="16" t="n">
        <f aca="false">IF(F53="","",F53/1000)</f>
        <v>0.1613</v>
      </c>
      <c r="H53" s="16" t="n">
        <f aca="false">IF(D53="","",MAX(0,MIN($B$8,IFERROR(LOOKUP(2,1/($U$24:U52&lt;&gt;""),$U$24:U52),$B$11))))</f>
        <v>31.3674677245501</v>
      </c>
      <c r="I53" s="16" t="n">
        <f aca="false" t="array" ref="I53: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>5.37458159856976</v>
      </c>
      <c r="J53" s="16" t="n">
        <f aca="false">IF(D53="","",$B$12)</f>
        <v>0.35</v>
      </c>
      <c r="K53" s="16" t="n">
        <f aca="false">IF(J53="","",J53*$B$15)</f>
        <v>0.9072</v>
      </c>
      <c r="L53" s="16" t="n">
        <f aca="false">IF(D53="","",H53+E53-K53-G53*I53)</f>
        <v>31.4381560165369</v>
      </c>
      <c r="M53" s="16" t="n">
        <f aca="false" t="array" ref="M53: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>5.38192494540724</v>
      </c>
      <c r="N53" s="16" t="n">
        <f aca="false">IF(D53="","",(I53+M53)/2)</f>
        <v>5.3782532719885</v>
      </c>
      <c r="O53" s="16" t="n">
        <f aca="false">IF(D53="","",G53*N53)</f>
        <v>0.867512252771745</v>
      </c>
      <c r="P53" s="16" t="n">
        <f aca="false">IF(D53="","",H53+E53-K53-O53)</f>
        <v>31.4375637756145</v>
      </c>
      <c r="Q53" s="16" t="n">
        <f aca="false">IF(D53="","",IF(P53&gt;=0,K53,MAX(0,K53+P53)))</f>
        <v>0.9072</v>
      </c>
      <c r="R53" s="16" t="n">
        <f aca="false">IF(D53="","",Q53/$B$15)</f>
        <v>0.35</v>
      </c>
      <c r="S53" s="16" t="n">
        <f aca="false">IF(D53="","",MAX(0,J53-R53))</f>
        <v>0</v>
      </c>
      <c r="T53" s="16" t="n">
        <f aca="false">IF(D53="","",MAX(0,Z53-$B$8))</f>
        <v>0</v>
      </c>
      <c r="U53" s="16" t="n">
        <f aca="false">IF(D53="","",MAX(0,MIN($B$8,Z53)))</f>
        <v>31.4375637756145</v>
      </c>
      <c r="V53" s="16" t="str">
        <f aca="false">IF(D53="","",IF(S53&gt;0.0000001,"Sim","Não"))</f>
        <v>Não</v>
      </c>
      <c r="W53" s="16" t="n">
        <f aca="false">IF(D53="","",U53-(H53+E53-Q53-O53-T53))</f>
        <v>0</v>
      </c>
      <c r="X53" s="16" t="n">
        <f aca="false">IF(W53="","",ABS(W53))</f>
        <v>0</v>
      </c>
      <c r="Y53" s="16" t="n">
        <f aca="false">IF(U53="","",IF($B$8=0,0,U53/$B$8*100))</f>
        <v>66.5767974917715</v>
      </c>
      <c r="Z53" s="18" t="n">
        <f aca="false">IF(D53="","",MAX(0,IF(P53&gt;=0,P53,IF(K53+P53&gt;=0,0,P53+K53))))</f>
        <v>31.4375637756145</v>
      </c>
      <c r="AA53" s="18" t="n">
        <f aca="false">IF(D53="","",IF(H53&lt;=$B$16,1,IF(H53&gt;=$B$17,$B$21,MATCH(H53,Aux_CAV!$A$2:$A$121,1))))</f>
        <v>12</v>
      </c>
      <c r="AB53" s="18" t="n">
        <f aca="false">IF(D53="","",IF(L53&lt;=$B$16,1,IF(L53&gt;=$B$17,$B$21,MATCH(L53,Aux_CAV!$A$2:$A$121,1))))</f>
        <v>12</v>
      </c>
      <c r="AC53" s="19" t="n">
        <f aca="false">IF(D53="","",COUNT($D$24:D53))</f>
        <v>18</v>
      </c>
    </row>
    <row r="54" customFormat="false" ht="12.75" hidden="false" customHeight="true" outlineLevel="0" collapsed="false">
      <c r="A54" s="14" t="n">
        <f aca="false">IF(D54="","",DATE(B54,C54,1))</f>
        <v>4566</v>
      </c>
      <c r="B54" s="15" t="n">
        <f aca="false" t="array" ref="B54:B54">IF(D54="","",IFERROR(VALUE(INDEX(Vazoes_COLAR!$A$2:$A$200,INT((ROW()-24)/12)+1)),""))</f>
        <v>1912</v>
      </c>
      <c r="C54" s="15" t="n">
        <f aca="false">IF(D54="","",MOD(ROW()-24,12)+1)</f>
        <v>7</v>
      </c>
      <c r="D54" s="16" t="n">
        <f aca="false" t="array" ref="D54: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0.14886696021669</v>
      </c>
      <c r="E54" s="16" t="n">
        <f aca="false">IF(D54="","",D54*$B$15)</f>
        <v>0.38586316088166</v>
      </c>
      <c r="F54" s="16" t="n">
        <f aca="false" t="array" ref="F54:F54">IF(D54="","",IFERROR(INDEX(Dados_Evap!$C$2:$N$15,MATCH($B$9,Dados_Evap!$A$2:$A$15,0),C54),0))</f>
        <v>224.8</v>
      </c>
      <c r="G54" s="16" t="n">
        <f aca="false">IF(F54="","",F54/1000)</f>
        <v>0.2248</v>
      </c>
      <c r="H54" s="16" t="n">
        <f aca="false">IF(D54="","",MAX(0,MIN($B$8,IFERROR(LOOKUP(2,1/($U$24:U53&lt;&gt;""),$U$24:U53),$B$11))))</f>
        <v>31.4375637756145</v>
      </c>
      <c r="I54" s="16" t="n">
        <f aca="false" t="array" ref="I54: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>5.38186342135024</v>
      </c>
      <c r="J54" s="16" t="n">
        <f aca="false">IF(D54="","",$B$12)</f>
        <v>0.35</v>
      </c>
      <c r="K54" s="16" t="n">
        <f aca="false">IF(J54="","",J54*$B$15)</f>
        <v>0.9072</v>
      </c>
      <c r="L54" s="16" t="n">
        <f aca="false">IF(D54="","",H54+E54-K54-G54*I54)</f>
        <v>29.7063840393766</v>
      </c>
      <c r="M54" s="16" t="n">
        <f aca="false" t="array" ref="M54: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>5.20202241962456</v>
      </c>
      <c r="N54" s="16" t="n">
        <f aca="false">IF(D54="","",(I54+M54)/2)</f>
        <v>5.2919429204874</v>
      </c>
      <c r="O54" s="16" t="n">
        <f aca="false">IF(D54="","",G54*N54)</f>
        <v>1.18962876852557</v>
      </c>
      <c r="P54" s="16" t="n">
        <f aca="false">IF(D54="","",H54+E54-K54-O54)</f>
        <v>29.7265981679706</v>
      </c>
      <c r="Q54" s="16" t="n">
        <f aca="false">IF(D54="","",IF(P54&gt;=0,K54,MAX(0,K54+P54)))</f>
        <v>0.9072</v>
      </c>
      <c r="R54" s="16" t="n">
        <f aca="false">IF(D54="","",Q54/$B$15)</f>
        <v>0.35</v>
      </c>
      <c r="S54" s="16" t="n">
        <f aca="false">IF(D54="","",MAX(0,J54-R54))</f>
        <v>0</v>
      </c>
      <c r="T54" s="16" t="n">
        <f aca="false">IF(D54="","",MAX(0,Z54-$B$8))</f>
        <v>0</v>
      </c>
      <c r="U54" s="16" t="n">
        <f aca="false">IF(D54="","",MAX(0,MIN($B$8,Z54)))</f>
        <v>29.7265981679706</v>
      </c>
      <c r="V54" s="16" t="str">
        <f aca="false">IF(D54="","",IF(S54&gt;0.0000001,"Sim","Não"))</f>
        <v>Não</v>
      </c>
      <c r="W54" s="16" t="n">
        <f aca="false">IF(D54="","",U54-(H54+E54-Q54-O54-T54))</f>
        <v>0</v>
      </c>
      <c r="X54" s="16" t="n">
        <f aca="false">IF(W54="","",ABS(W54))</f>
        <v>0</v>
      </c>
      <c r="Y54" s="16" t="n">
        <f aca="false">IF(U54="","",IF($B$8=0,0,U54/$B$8*100))</f>
        <v>62.9534056924409</v>
      </c>
      <c r="Z54" s="18" t="n">
        <f aca="false">IF(D54="","",MAX(0,IF(P54&gt;=0,P54,IF(K54+P54&gt;=0,0,P54+K54))))</f>
        <v>29.7265981679706</v>
      </c>
      <c r="AA54" s="18" t="n">
        <f aca="false">IF(D54="","",IF(H54&lt;=$B$16,1,IF(H54&gt;=$B$17,$B$21,MATCH(H54,Aux_CAV!$A$2:$A$121,1))))</f>
        <v>12</v>
      </c>
      <c r="AB54" s="18" t="n">
        <f aca="false">IF(D54="","",IF(L54&lt;=$B$16,1,IF(L54&gt;=$B$17,$B$21,MATCH(L54,Aux_CAV!$A$2:$A$121,1))))</f>
        <v>12</v>
      </c>
      <c r="AC54" s="19" t="n">
        <f aca="false">IF(D54="","",COUNT($D$24:D54))</f>
        <v>19</v>
      </c>
    </row>
    <row r="55" customFormat="false" ht="12.75" hidden="false" customHeight="true" outlineLevel="0" collapsed="false">
      <c r="A55" s="14" t="n">
        <f aca="false">IF(D55="","",DATE(B55,C55,1))</f>
        <v>4597</v>
      </c>
      <c r="B55" s="15" t="n">
        <f aca="false" t="array" ref="B55:B55">IF(D55="","",IFERROR(VALUE(INDEX(Vazoes_COLAR!$A$2:$A$200,INT((ROW()-24)/12)+1)),""))</f>
        <v>1912</v>
      </c>
      <c r="C55" s="15" t="n">
        <f aca="false">IF(D55="","",MOD(ROW()-24,12)+1)</f>
        <v>8</v>
      </c>
      <c r="D55" s="16" t="n">
        <f aca="false" t="array" ref="D55: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0.0547580964317563</v>
      </c>
      <c r="E55" s="16" t="n">
        <f aca="false">IF(D55="","",D55*$B$15)</f>
        <v>0.141932985951112</v>
      </c>
      <c r="F55" s="16" t="n">
        <f aca="false" t="array" ref="F55:F55">IF(D55="","",IFERROR(INDEX(Dados_Evap!$C$2:$N$15,MATCH($B$9,Dados_Evap!$A$2:$A$15,0),C55),0))</f>
        <v>268.7</v>
      </c>
      <c r="G55" s="16" t="n">
        <f aca="false">IF(F55="","",F55/1000)</f>
        <v>0.2687</v>
      </c>
      <c r="H55" s="16" t="n">
        <f aca="false">IF(D55="","",MAX(0,MIN($B$8,IFERROR(LOOKUP(2,1/($U$24:U54&lt;&gt;""),$U$24:U54),$B$11))))</f>
        <v>29.7265981679706</v>
      </c>
      <c r="I55" s="16" t="n">
        <f aca="false" t="array" ref="I55: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>5.20412233395423</v>
      </c>
      <c r="J55" s="16" t="n">
        <f aca="false">IF(D55="","",$B$12)</f>
        <v>0.35</v>
      </c>
      <c r="K55" s="16" t="n">
        <f aca="false">IF(J55="","",J55*$B$15)</f>
        <v>0.9072</v>
      </c>
      <c r="L55" s="16" t="n">
        <f aca="false">IF(D55="","",H55+E55-K55-G55*I55)</f>
        <v>27.5629834827882</v>
      </c>
      <c r="M55" s="16" t="n">
        <f aca="false" t="array" ref="M55: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>4.97935847830906</v>
      </c>
      <c r="N55" s="16" t="n">
        <f aca="false">IF(D55="","",(I55+M55)/2)</f>
        <v>5.09174040613164</v>
      </c>
      <c r="O55" s="16" t="n">
        <f aca="false">IF(D55="","",G55*N55)</f>
        <v>1.36815064712757</v>
      </c>
      <c r="P55" s="16" t="n">
        <f aca="false">IF(D55="","",H55+E55-K55-O55)</f>
        <v>27.5931805067941</v>
      </c>
      <c r="Q55" s="16" t="n">
        <f aca="false">IF(D55="","",IF(P55&gt;=0,K55,MAX(0,K55+P55)))</f>
        <v>0.9072</v>
      </c>
      <c r="R55" s="16" t="n">
        <f aca="false">IF(D55="","",Q55/$B$15)</f>
        <v>0.35</v>
      </c>
      <c r="S55" s="16" t="n">
        <f aca="false">IF(D55="","",MAX(0,J55-R55))</f>
        <v>0</v>
      </c>
      <c r="T55" s="16" t="n">
        <f aca="false">IF(D55="","",MAX(0,Z55-$B$8))</f>
        <v>0</v>
      </c>
      <c r="U55" s="16" t="n">
        <f aca="false">IF(D55="","",MAX(0,MIN($B$8,Z55)))</f>
        <v>27.5931805067941</v>
      </c>
      <c r="V55" s="16" t="str">
        <f aca="false">IF(D55="","",IF(S55&gt;0.0000001,"Sim","Não"))</f>
        <v>Não</v>
      </c>
      <c r="W55" s="16" t="n">
        <f aca="false">IF(D55="","",U55-(H55+E55-Q55-O55-T55))</f>
        <v>0</v>
      </c>
      <c r="X55" s="16" t="n">
        <f aca="false">IF(W55="","",ABS(W55))</f>
        <v>0</v>
      </c>
      <c r="Y55" s="16" t="n">
        <f aca="false">IF(U55="","",IF($B$8=0,0,U55/$B$8*100))</f>
        <v>58.4353674434437</v>
      </c>
      <c r="Z55" s="18" t="n">
        <f aca="false">IF(D55="","",MAX(0,IF(P55&gt;=0,P55,IF(K55+P55&gt;=0,0,P55+K55))))</f>
        <v>27.5931805067941</v>
      </c>
      <c r="AA55" s="18" t="n">
        <f aca="false">IF(D55="","",IF(H55&lt;=$B$16,1,IF(H55&gt;=$B$17,$B$21,MATCH(H55,Aux_CAV!$A$2:$A$121,1))))</f>
        <v>12</v>
      </c>
      <c r="AB55" s="18" t="n">
        <f aca="false">IF(D55="","",IF(L55&lt;=$B$16,1,IF(L55&gt;=$B$17,$B$21,MATCH(L55,Aux_CAV!$A$2:$A$121,1))))</f>
        <v>12</v>
      </c>
      <c r="AC55" s="19" t="n">
        <f aca="false">IF(D55="","",COUNT($D$24:D55))</f>
        <v>20</v>
      </c>
    </row>
    <row r="56" customFormat="false" ht="12.75" hidden="false" customHeight="true" outlineLevel="0" collapsed="false">
      <c r="A56" s="14" t="n">
        <f aca="false">IF(D56="","",DATE(B56,C56,1))</f>
        <v>4628</v>
      </c>
      <c r="B56" s="15" t="n">
        <f aca="false" t="array" ref="B56:B56">IF(D56="","",IFERROR(VALUE(INDEX(Vazoes_COLAR!$A$2:$A$200,INT((ROW()-24)/12)+1)),""))</f>
        <v>1912</v>
      </c>
      <c r="C56" s="15" t="n">
        <f aca="false">IF(D56="","",MOD(ROW()-24,12)+1)</f>
        <v>9</v>
      </c>
      <c r="D56" s="16" t="n">
        <f aca="false" t="array" ref="D56: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0.0757704723819687</v>
      </c>
      <c r="E56" s="16" t="n">
        <f aca="false">IF(D56="","",D56*$B$15)</f>
        <v>0.196397064414063</v>
      </c>
      <c r="F56" s="16" t="n">
        <f aca="false" t="array" ref="F56:F56">IF(D56="","",IFERROR(INDEX(Dados_Evap!$C$2:$N$15,MATCH($B$9,Dados_Evap!$A$2:$A$15,0),C56),0))</f>
        <v>292.8</v>
      </c>
      <c r="G56" s="16" t="n">
        <f aca="false">IF(F56="","",F56/1000)</f>
        <v>0.2928</v>
      </c>
      <c r="H56" s="16" t="n">
        <f aca="false">IF(D56="","",MAX(0,MIN($B$8,IFERROR(LOOKUP(2,1/($U$24:U55&lt;&gt;""),$U$24:U55),$B$11))))</f>
        <v>27.5931805067941</v>
      </c>
      <c r="I56" s="16" t="n">
        <f aca="false" t="array" ref="I56: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>4.9824954507058</v>
      </c>
      <c r="J56" s="16" t="n">
        <f aca="false">IF(D56="","",$B$12)</f>
        <v>0.35</v>
      </c>
      <c r="K56" s="16" t="n">
        <f aca="false">IF(J56="","",J56*$B$15)</f>
        <v>0.9072</v>
      </c>
      <c r="L56" s="16" t="n">
        <f aca="false">IF(D56="","",H56+E56-K56-G56*I56)</f>
        <v>25.4235029032415</v>
      </c>
      <c r="M56" s="16" t="n">
        <f aca="false" t="array" ref="M56: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>4.75710175790956</v>
      </c>
      <c r="N56" s="16" t="n">
        <f aca="false">IF(D56="","",(I56+M56)/2)</f>
        <v>4.86979860430768</v>
      </c>
      <c r="O56" s="16" t="n">
        <f aca="false">IF(D56="","",G56*N56)</f>
        <v>1.42587703134129</v>
      </c>
      <c r="P56" s="16" t="n">
        <f aca="false">IF(D56="","",H56+E56-K56-O56)</f>
        <v>25.4565005398669</v>
      </c>
      <c r="Q56" s="16" t="n">
        <f aca="false">IF(D56="","",IF(P56&gt;=0,K56,MAX(0,K56+P56)))</f>
        <v>0.9072</v>
      </c>
      <c r="R56" s="16" t="n">
        <f aca="false">IF(D56="","",Q56/$B$15)</f>
        <v>0.35</v>
      </c>
      <c r="S56" s="16" t="n">
        <f aca="false">IF(D56="","",MAX(0,J56-R56))</f>
        <v>0</v>
      </c>
      <c r="T56" s="16" t="n">
        <f aca="false">IF(D56="","",MAX(0,Z56-$B$8))</f>
        <v>0</v>
      </c>
      <c r="U56" s="16" t="n">
        <f aca="false">IF(D56="","",MAX(0,MIN($B$8,Z56)))</f>
        <v>25.4565005398669</v>
      </c>
      <c r="V56" s="16" t="str">
        <f aca="false">IF(D56="","",IF(S56&gt;0.0000001,"Sim","Não"))</f>
        <v>Não</v>
      </c>
      <c r="W56" s="16" t="n">
        <f aca="false">IF(D56="","",U56-(H56+E56-Q56-O56-T56))</f>
        <v>0</v>
      </c>
      <c r="X56" s="16" t="n">
        <f aca="false">IF(W56="","",ABS(W56))</f>
        <v>0</v>
      </c>
      <c r="Y56" s="16" t="n">
        <f aca="false">IF(U56="","",IF($B$8=0,0,U56/$B$8*100))</f>
        <v>53.9104204571514</v>
      </c>
      <c r="Z56" s="18" t="n">
        <f aca="false">IF(D56="","",MAX(0,IF(P56&gt;=0,P56,IF(K56+P56&gt;=0,0,P56+K56))))</f>
        <v>25.4565005398669</v>
      </c>
      <c r="AA56" s="18" t="n">
        <f aca="false">IF(D56="","",IF(H56&lt;=$B$16,1,IF(H56&gt;=$B$17,$B$21,MATCH(H56,Aux_CAV!$A$2:$A$121,1))))</f>
        <v>12</v>
      </c>
      <c r="AB56" s="18" t="n">
        <f aca="false">IF(D56="","",IF(L56&lt;=$B$16,1,IF(L56&gt;=$B$17,$B$21,MATCH(L56,Aux_CAV!$A$2:$A$121,1))))</f>
        <v>12</v>
      </c>
      <c r="AC56" s="19" t="n">
        <f aca="false">IF(D56="","",COUNT($D$24:D56))</f>
        <v>21</v>
      </c>
    </row>
    <row r="57" customFormat="false" ht="12.75" hidden="false" customHeight="true" outlineLevel="0" collapsed="false">
      <c r="A57" s="14" t="n">
        <f aca="false">IF(D57="","",DATE(B57,C57,1))</f>
        <v>4658</v>
      </c>
      <c r="B57" s="15" t="n">
        <f aca="false" t="array" ref="B57:B57">IF(D57="","",IFERROR(VALUE(INDEX(Vazoes_COLAR!$A$2:$A$200,INT((ROW()-24)/12)+1)),""))</f>
        <v>1912</v>
      </c>
      <c r="C57" s="15" t="n">
        <f aca="false">IF(D57="","",MOD(ROW()-24,12)+1)</f>
        <v>10</v>
      </c>
      <c r="D57" s="16" t="n">
        <f aca="false" t="array" ref="D57: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0.0402647946405496</v>
      </c>
      <c r="E57" s="16" t="n">
        <f aca="false">IF(D57="","",D57*$B$15)</f>
        <v>0.104366347708305</v>
      </c>
      <c r="F57" s="16" t="n">
        <f aca="false" t="array" ref="F57:F57">IF(D57="","",IFERROR(INDEX(Dados_Evap!$C$2:$N$15,MATCH($B$9,Dados_Evap!$A$2:$A$15,0),C57),0))</f>
        <v>262.9</v>
      </c>
      <c r="G57" s="16" t="n">
        <f aca="false">IF(F57="","",F57/1000)</f>
        <v>0.2629</v>
      </c>
      <c r="H57" s="16" t="n">
        <f aca="false">IF(D57="","",MAX(0,MIN($B$8,IFERROR(LOOKUP(2,1/($U$24:U56&lt;&gt;""),$U$24:U56),$B$11))))</f>
        <v>25.4565005398669</v>
      </c>
      <c r="I57" s="16" t="n">
        <f aca="false" t="array" ref="I57: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>4.76052966773375</v>
      </c>
      <c r="J57" s="16" t="n">
        <f aca="false">IF(D57="","",$B$12)</f>
        <v>0.35</v>
      </c>
      <c r="K57" s="16" t="n">
        <f aca="false">IF(J57="","",J57*$B$15)</f>
        <v>0.9072</v>
      </c>
      <c r="L57" s="16" t="n">
        <f aca="false">IF(D57="","",H57+E57-K57-G57*I57)</f>
        <v>23.402123637928</v>
      </c>
      <c r="M57" s="16" t="n">
        <f aca="false" t="array" ref="M57: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>4.53464404453286</v>
      </c>
      <c r="N57" s="16" t="n">
        <f aca="false">IF(D57="","",(I57+M57)/2)</f>
        <v>4.6475868561333</v>
      </c>
      <c r="O57" s="16" t="n">
        <f aca="false">IF(D57="","",G57*N57)</f>
        <v>1.22185058447744</v>
      </c>
      <c r="P57" s="16" t="n">
        <f aca="false">IF(D57="","",H57+E57-K57-O57)</f>
        <v>23.4318163030978</v>
      </c>
      <c r="Q57" s="16" t="n">
        <f aca="false">IF(D57="","",IF(P57&gt;=0,K57,MAX(0,K57+P57)))</f>
        <v>0.9072</v>
      </c>
      <c r="R57" s="16" t="n">
        <f aca="false">IF(D57="","",Q57/$B$15)</f>
        <v>0.35</v>
      </c>
      <c r="S57" s="16" t="n">
        <f aca="false">IF(D57="","",MAX(0,J57-R57))</f>
        <v>0</v>
      </c>
      <c r="T57" s="16" t="n">
        <f aca="false">IF(D57="","",MAX(0,Z57-$B$8))</f>
        <v>0</v>
      </c>
      <c r="U57" s="16" t="n">
        <f aca="false">IF(D57="","",MAX(0,MIN($B$8,Z57)))</f>
        <v>23.4318163030978</v>
      </c>
      <c r="V57" s="16" t="str">
        <f aca="false">IF(D57="","",IF(S57&gt;0.0000001,"Sim","Não"))</f>
        <v>Não</v>
      </c>
      <c r="W57" s="16" t="n">
        <f aca="false">IF(D57="","",U57-(H57+E57-Q57-O57-T57))</f>
        <v>0</v>
      </c>
      <c r="X57" s="16" t="n">
        <f aca="false">IF(W57="","",ABS(W57))</f>
        <v>0</v>
      </c>
      <c r="Y57" s="16" t="n">
        <f aca="false">IF(U57="","",IF($B$8=0,0,U57/$B$8*100))</f>
        <v>49.6226520607746</v>
      </c>
      <c r="Z57" s="18" t="n">
        <f aca="false">IF(D57="","",MAX(0,IF(P57&gt;=0,P57,IF(K57+P57&gt;=0,0,P57+K57))))</f>
        <v>23.4318163030978</v>
      </c>
      <c r="AA57" s="18" t="n">
        <f aca="false">IF(D57="","",IF(H57&lt;=$B$16,1,IF(H57&gt;=$B$17,$B$21,MATCH(H57,Aux_CAV!$A$2:$A$121,1))))</f>
        <v>12</v>
      </c>
      <c r="AB57" s="18" t="n">
        <f aca="false">IF(D57="","",IF(L57&lt;=$B$16,1,IF(L57&gt;=$B$17,$B$21,MATCH(L57,Aux_CAV!$A$2:$A$121,1))))</f>
        <v>11</v>
      </c>
      <c r="AC57" s="19" t="n">
        <f aca="false">IF(D57="","",COUNT($D$24:D57))</f>
        <v>22</v>
      </c>
    </row>
    <row r="58" customFormat="false" ht="12.75" hidden="false" customHeight="true" outlineLevel="0" collapsed="false">
      <c r="A58" s="14" t="n">
        <f aca="false">IF(D58="","",DATE(B58,C58,1))</f>
        <v>4689</v>
      </c>
      <c r="B58" s="15" t="n">
        <f aca="false" t="array" ref="B58:B58">IF(D58="","",IFERROR(VALUE(INDEX(Vazoes_COLAR!$A$2:$A$200,INT((ROW()-24)/12)+1)),""))</f>
        <v>1912</v>
      </c>
      <c r="C58" s="15" t="n">
        <f aca="false">IF(D58="","",MOD(ROW()-24,12)+1)</f>
        <v>11</v>
      </c>
      <c r="D58" s="16" t="n">
        <f aca="false" t="array" ref="D58: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0.0381777753050579</v>
      </c>
      <c r="E58" s="16" t="n">
        <f aca="false">IF(D58="","",D58*$B$15)</f>
        <v>0.0989567935907101</v>
      </c>
      <c r="F58" s="16" t="n">
        <f aca="false" t="array" ref="F58:F58">IF(D58="","",IFERROR(INDEX(Dados_Evap!$C$2:$N$15,MATCH($B$9,Dados_Evap!$A$2:$A$15,0),C58),0))</f>
        <v>223.7</v>
      </c>
      <c r="G58" s="16" t="n">
        <f aca="false">IF(F58="","",F58/1000)</f>
        <v>0.2237</v>
      </c>
      <c r="H58" s="16" t="n">
        <f aca="false">IF(D58="","",MAX(0,MIN($B$8,IFERROR(LOOKUP(2,1/($U$24:U57&lt;&gt;""),$U$24:U57),$B$11))))</f>
        <v>23.4318163030978</v>
      </c>
      <c r="I58" s="16" t="n">
        <f aca="false" t="array" ref="I58: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>4.53819268012632</v>
      </c>
      <c r="J58" s="16" t="n">
        <f aca="false">IF(D58="","",$B$12)</f>
        <v>0.35</v>
      </c>
      <c r="K58" s="16" t="n">
        <f aca="false">IF(J58="","",J58*$B$15)</f>
        <v>0.9072</v>
      </c>
      <c r="L58" s="16" t="n">
        <f aca="false">IF(D58="","",H58+E58-K58-G58*I58)</f>
        <v>21.6083793941442</v>
      </c>
      <c r="M58" s="16" t="n">
        <f aca="false" t="array" ref="M58: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>4.32026973247089</v>
      </c>
      <c r="N58" s="16" t="n">
        <f aca="false">IF(D58="","",(I58+M58)/2)</f>
        <v>4.42923120629861</v>
      </c>
      <c r="O58" s="16" t="n">
        <f aca="false">IF(D58="","",G58*N58)</f>
        <v>0.990819020848998</v>
      </c>
      <c r="P58" s="16" t="n">
        <f aca="false">IF(D58="","",H58+E58-K58-O58)</f>
        <v>21.6327540758395</v>
      </c>
      <c r="Q58" s="16" t="n">
        <f aca="false">IF(D58="","",IF(P58&gt;=0,K58,MAX(0,K58+P58)))</f>
        <v>0.9072</v>
      </c>
      <c r="R58" s="16" t="n">
        <f aca="false">IF(D58="","",Q58/$B$15)</f>
        <v>0.35</v>
      </c>
      <c r="S58" s="16" t="n">
        <f aca="false">IF(D58="","",MAX(0,J58-R58))</f>
        <v>0</v>
      </c>
      <c r="T58" s="16" t="n">
        <f aca="false">IF(D58="","",MAX(0,Z58-$B$8))</f>
        <v>0</v>
      </c>
      <c r="U58" s="16" t="n">
        <f aca="false">IF(D58="","",MAX(0,MIN($B$8,Z58)))</f>
        <v>21.6327540758395</v>
      </c>
      <c r="V58" s="16" t="str">
        <f aca="false">IF(D58="","",IF(S58&gt;0.0000001,"Sim","Não"))</f>
        <v>Não</v>
      </c>
      <c r="W58" s="16" t="n">
        <f aca="false">IF(D58="","",U58-(H58+E58-Q58-O58-T58))</f>
        <v>0</v>
      </c>
      <c r="X58" s="16" t="n">
        <f aca="false">IF(W58="","",ABS(W58))</f>
        <v>0</v>
      </c>
      <c r="Y58" s="16" t="n">
        <f aca="false">IF(U58="","",IF($B$8=0,0,U58/$B$8*100))</f>
        <v>45.8126939344334</v>
      </c>
      <c r="Z58" s="18" t="n">
        <f aca="false">IF(D58="","",MAX(0,IF(P58&gt;=0,P58,IF(K58+P58&gt;=0,0,P58+K58))))</f>
        <v>21.6327540758395</v>
      </c>
      <c r="AA58" s="18" t="n">
        <f aca="false">IF(D58="","",IF(H58&lt;=$B$16,1,IF(H58&gt;=$B$17,$B$21,MATCH(H58,Aux_CAV!$A$2:$A$121,1))))</f>
        <v>11</v>
      </c>
      <c r="AB58" s="18" t="n">
        <f aca="false">IF(D58="","",IF(L58&lt;=$B$16,1,IF(L58&gt;=$B$17,$B$21,MATCH(L58,Aux_CAV!$A$2:$A$121,1))))</f>
        <v>11</v>
      </c>
      <c r="AC58" s="19" t="n">
        <f aca="false">IF(D58="","",COUNT($D$24:D58))</f>
        <v>23</v>
      </c>
    </row>
    <row r="59" customFormat="false" ht="12.75" hidden="false" customHeight="true" outlineLevel="0" collapsed="false">
      <c r="A59" s="14" t="n">
        <f aca="false">IF(D59="","",DATE(B59,C59,1))</f>
        <v>4719</v>
      </c>
      <c r="B59" s="15" t="n">
        <f aca="false" t="array" ref="B59:B59">IF(D59="","",IFERROR(VALUE(INDEX(Vazoes_COLAR!$A$2:$A$200,INT((ROW()-24)/12)+1)),""))</f>
        <v>1912</v>
      </c>
      <c r="C59" s="15" t="n">
        <f aca="false">IF(D59="","",MOD(ROW()-24,12)+1)</f>
        <v>12</v>
      </c>
      <c r="D59" s="16" t="n">
        <f aca="false" t="array" ref="D59: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0.0127252289967637</v>
      </c>
      <c r="E59" s="16" t="n">
        <f aca="false">IF(D59="","",D59*$B$15)</f>
        <v>0.0329837935596115</v>
      </c>
      <c r="F59" s="16" t="n">
        <f aca="false" t="array" ref="F59:F59">IF(D59="","",IFERROR(INDEX(Dados_Evap!$C$2:$N$15,MATCH($B$9,Dados_Evap!$A$2:$A$15,0),C59),0))</f>
        <v>216.1</v>
      </c>
      <c r="G59" s="16" t="n">
        <f aca="false">IF(F59="","",F59/1000)</f>
        <v>0.2161</v>
      </c>
      <c r="H59" s="16" t="n">
        <f aca="false">IF(D59="","",MAX(0,MIN($B$8,IFERROR(LOOKUP(2,1/($U$24:U58&lt;&gt;""),$U$24:U58),$B$11))))</f>
        <v>21.6327540758395</v>
      </c>
      <c r="I59" s="16" t="n">
        <f aca="false" t="array" ref="I59: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>4.32318280418569</v>
      </c>
      <c r="J59" s="16" t="n">
        <f aca="false">IF(D59="","",$B$12)</f>
        <v>0.35</v>
      </c>
      <c r="K59" s="16" t="n">
        <f aca="false">IF(J59="","",J59*$B$15)</f>
        <v>0.9072</v>
      </c>
      <c r="L59" s="16" t="n">
        <f aca="false">IF(D59="","",H59+E59-K59-G59*I59)</f>
        <v>19.8242980654145</v>
      </c>
      <c r="M59" s="16" t="n">
        <f aca="false" t="array" ref="M59: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>4.10705025659832</v>
      </c>
      <c r="N59" s="16" t="n">
        <f aca="false">IF(D59="","",(I59+M59)/2)</f>
        <v>4.21511653039201</v>
      </c>
      <c r="O59" s="16" t="n">
        <f aca="false">IF(D59="","",G59*N59)</f>
        <v>0.910886682217713</v>
      </c>
      <c r="P59" s="16" t="n">
        <f aca="false">IF(D59="","",H59+E59-K59-O59)</f>
        <v>19.8476511871814</v>
      </c>
      <c r="Q59" s="16" t="n">
        <f aca="false">IF(D59="","",IF(P59&gt;=0,K59,MAX(0,K59+P59)))</f>
        <v>0.9072</v>
      </c>
      <c r="R59" s="16" t="n">
        <f aca="false">IF(D59="","",Q59/$B$15)</f>
        <v>0.35</v>
      </c>
      <c r="S59" s="16" t="n">
        <f aca="false">IF(D59="","",MAX(0,J59-R59))</f>
        <v>0</v>
      </c>
      <c r="T59" s="16" t="n">
        <f aca="false">IF(D59="","",MAX(0,Z59-$B$8))</f>
        <v>0</v>
      </c>
      <c r="U59" s="16" t="n">
        <f aca="false">IF(D59="","",MAX(0,MIN($B$8,Z59)))</f>
        <v>19.8476511871814</v>
      </c>
      <c r="V59" s="16" t="str">
        <f aca="false">IF(D59="","",IF(S59&gt;0.0000001,"Sim","Não"))</f>
        <v>Não</v>
      </c>
      <c r="W59" s="16" t="n">
        <f aca="false">IF(D59="","",U59-(H59+E59-Q59-O59-T59))</f>
        <v>0</v>
      </c>
      <c r="X59" s="16" t="n">
        <f aca="false">IF(W59="","",ABS(W59))</f>
        <v>0</v>
      </c>
      <c r="Y59" s="16" t="n">
        <f aca="false">IF(U59="","",IF($B$8=0,0,U59/$B$8*100))</f>
        <v>42.0322981515912</v>
      </c>
      <c r="Z59" s="18" t="n">
        <f aca="false">IF(D59="","",MAX(0,IF(P59&gt;=0,P59,IF(K59+P59&gt;=0,0,P59+K59))))</f>
        <v>19.8476511871814</v>
      </c>
      <c r="AA59" s="18" t="n">
        <f aca="false">IF(D59="","",IF(H59&lt;=$B$16,1,IF(H59&gt;=$B$17,$B$21,MATCH(H59,Aux_CAV!$A$2:$A$121,1))))</f>
        <v>11</v>
      </c>
      <c r="AB59" s="18" t="n">
        <f aca="false">IF(D59="","",IF(L59&lt;=$B$16,1,IF(L59&gt;=$B$17,$B$21,MATCH(L59,Aux_CAV!$A$2:$A$121,1))))</f>
        <v>11</v>
      </c>
      <c r="AC59" s="19" t="n">
        <f aca="false">IF(D59="","",COUNT($D$24:D59))</f>
        <v>24</v>
      </c>
    </row>
    <row r="60" customFormat="false" ht="12.75" hidden="false" customHeight="true" outlineLevel="0" collapsed="false">
      <c r="A60" s="14" t="n">
        <f aca="false">IF(D60="","",DATE(B60,C60,1))</f>
        <v>4750</v>
      </c>
      <c r="B60" s="15" t="n">
        <f aca="false" t="array" ref="B60:B60">IF(D60="","",IFERROR(VALUE(INDEX(Vazoes_COLAR!$A$2:$A$200,INT((ROW()-24)/12)+1)),""))</f>
        <v>1913</v>
      </c>
      <c r="C60" s="15" t="n">
        <f aca="false">IF(D60="","",MOD(ROW()-24,12)+1)</f>
        <v>1</v>
      </c>
      <c r="D60" s="16" t="n">
        <f aca="false" t="array" ref="D60: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0.0510070904252747</v>
      </c>
      <c r="E60" s="16" t="n">
        <f aca="false">IF(D60="","",D60*$B$15)</f>
        <v>0.132210378382312</v>
      </c>
      <c r="F60" s="16" t="n">
        <f aca="false" t="array" ref="F60:F60">IF(D60="","",IFERROR(INDEX(Dados_Evap!$C$2:$N$15,MATCH($B$9,Dados_Evap!$A$2:$A$15,0),C60),0))</f>
        <v>160</v>
      </c>
      <c r="G60" s="16" t="n">
        <f aca="false">IF(F60="","",F60/1000)</f>
        <v>0.16</v>
      </c>
      <c r="H60" s="16" t="n">
        <f aca="false">IF(D60="","",MAX(0,MIN($B$8,IFERROR(LOOKUP(2,1/($U$24:U59&lt;&gt;""),$U$24:U59),$B$11))))</f>
        <v>19.8476511871814</v>
      </c>
      <c r="I60" s="16" t="n">
        <f aca="false" t="array" ref="I60: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>4.10984123944363</v>
      </c>
      <c r="J60" s="16" t="n">
        <f aca="false">IF(D60="","",$B$12)</f>
        <v>0.35</v>
      </c>
      <c r="K60" s="16" t="n">
        <f aca="false">IF(J60="","",J60*$B$15)</f>
        <v>0.9072</v>
      </c>
      <c r="L60" s="16" t="n">
        <f aca="false">IF(D60="","",H60+E60-K60-G60*I60)</f>
        <v>18.4150869672527</v>
      </c>
      <c r="M60" s="16" t="n">
        <f aca="false" t="array" ref="M60: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>3.93863234486679</v>
      </c>
      <c r="N60" s="16" t="n">
        <f aca="false">IF(D60="","",(I60+M60)/2)</f>
        <v>4.02423679215521</v>
      </c>
      <c r="O60" s="16" t="n">
        <f aca="false">IF(D60="","",G60*N60)</f>
        <v>0.643877886744833</v>
      </c>
      <c r="P60" s="16" t="n">
        <f aca="false">IF(D60="","",H60+E60-K60-O60)</f>
        <v>18.4287836788188</v>
      </c>
      <c r="Q60" s="16" t="n">
        <f aca="false">IF(D60="","",IF(P60&gt;=0,K60,MAX(0,K60+P60)))</f>
        <v>0.9072</v>
      </c>
      <c r="R60" s="16" t="n">
        <f aca="false">IF(D60="","",Q60/$B$15)</f>
        <v>0.35</v>
      </c>
      <c r="S60" s="16" t="n">
        <f aca="false">IF(D60="","",MAX(0,J60-R60))</f>
        <v>0</v>
      </c>
      <c r="T60" s="16" t="n">
        <f aca="false">IF(D60="","",MAX(0,Z60-$B$8))</f>
        <v>0</v>
      </c>
      <c r="U60" s="16" t="n">
        <f aca="false">IF(D60="","",MAX(0,MIN($B$8,Z60)))</f>
        <v>18.4287836788188</v>
      </c>
      <c r="V60" s="16" t="str">
        <f aca="false">IF(D60="","",IF(S60&gt;0.0000001,"Sim","Não"))</f>
        <v>Não</v>
      </c>
      <c r="W60" s="16" t="n">
        <f aca="false">IF(D60="","",U60-(H60+E60-Q60-O60-T60))</f>
        <v>0</v>
      </c>
      <c r="X60" s="16" t="n">
        <f aca="false">IF(W60="","",ABS(W60))</f>
        <v>0</v>
      </c>
      <c r="Y60" s="16" t="n">
        <f aca="false">IF(U60="","",IF($B$8=0,0,U60/$B$8*100))</f>
        <v>39.0274961431996</v>
      </c>
      <c r="Z60" s="18" t="n">
        <f aca="false">IF(D60="","",MAX(0,IF(P60&gt;=0,P60,IF(K60+P60&gt;=0,0,P60+K60))))</f>
        <v>18.4287836788188</v>
      </c>
      <c r="AA60" s="18" t="n">
        <f aca="false">IF(D60="","",IF(H60&lt;=$B$16,1,IF(H60&gt;=$B$17,$B$21,MATCH(H60,Aux_CAV!$A$2:$A$121,1))))</f>
        <v>11</v>
      </c>
      <c r="AB60" s="18" t="n">
        <f aca="false">IF(D60="","",IF(L60&lt;=$B$16,1,IF(L60&gt;=$B$17,$B$21,MATCH(L60,Aux_CAV!$A$2:$A$121,1))))</f>
        <v>11</v>
      </c>
      <c r="AC60" s="19" t="n">
        <f aca="false">IF(D60="","",COUNT($D$24:D60))</f>
        <v>25</v>
      </c>
    </row>
    <row r="61" customFormat="false" ht="12.75" hidden="false" customHeight="true" outlineLevel="0" collapsed="false">
      <c r="A61" s="14" t="n">
        <f aca="false">IF(D61="","",DATE(B61,C61,1))</f>
        <v>4781</v>
      </c>
      <c r="B61" s="15" t="n">
        <f aca="false" t="array" ref="B61:B61">IF(D61="","",IFERROR(VALUE(INDEX(Vazoes_COLAR!$A$2:$A$200,INT((ROW()-24)/12)+1)),""))</f>
        <v>1913</v>
      </c>
      <c r="C61" s="15" t="n">
        <f aca="false">IF(D61="","",MOD(ROW()-24,12)+1)</f>
        <v>2</v>
      </c>
      <c r="D61" s="16" t="n">
        <f aca="false" t="array" ref="D61: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0.6626513188099</v>
      </c>
      <c r="E61" s="16" t="n">
        <f aca="false">IF(D61="","",D61*$B$15)</f>
        <v>1.71759221835526</v>
      </c>
      <c r="F61" s="16" t="n">
        <f aca="false" t="array" ref="F61:F61">IF(D61="","",IFERROR(INDEX(Dados_Evap!$C$2:$N$15,MATCH($B$9,Dados_Evap!$A$2:$A$15,0),C61),0))</f>
        <v>124.3</v>
      </c>
      <c r="G61" s="16" t="n">
        <f aca="false">IF(F61="","",F61/1000)</f>
        <v>0.1243</v>
      </c>
      <c r="H61" s="16" t="n">
        <f aca="false">IF(D61="","",MAX(0,MIN($B$8,IFERROR(LOOKUP(2,1/($U$24:U60&lt;&gt;""),$U$24:U60),$B$11))))</f>
        <v>18.4287836788188</v>
      </c>
      <c r="I61" s="16" t="n">
        <f aca="false" t="array" ref="I61: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>3.94026926893201</v>
      </c>
      <c r="J61" s="16" t="n">
        <f aca="false">IF(D61="","",$B$12)</f>
        <v>0.35</v>
      </c>
      <c r="K61" s="16" t="n">
        <f aca="false">IF(J61="","",J61*$B$15)</f>
        <v>0.9072</v>
      </c>
      <c r="L61" s="16" t="n">
        <f aca="false">IF(D61="","",H61+E61-K61-G61*I61)</f>
        <v>18.7494004270459</v>
      </c>
      <c r="M61" s="16" t="n">
        <f aca="false" t="array" ref="M61: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>3.97858688030548</v>
      </c>
      <c r="N61" s="16" t="n">
        <f aca="false">IF(D61="","",(I61+M61)/2)</f>
        <v>3.95942807461874</v>
      </c>
      <c r="O61" s="16" t="n">
        <f aca="false">IF(D61="","",G61*N61)</f>
        <v>0.49215690967511</v>
      </c>
      <c r="P61" s="16" t="n">
        <f aca="false">IF(D61="","",H61+E61-K61-O61)</f>
        <v>18.747018987499</v>
      </c>
      <c r="Q61" s="16" t="n">
        <f aca="false">IF(D61="","",IF(P61&gt;=0,K61,MAX(0,K61+P61)))</f>
        <v>0.9072</v>
      </c>
      <c r="R61" s="16" t="n">
        <f aca="false">IF(D61="","",Q61/$B$15)</f>
        <v>0.35</v>
      </c>
      <c r="S61" s="16" t="n">
        <f aca="false">IF(D61="","",MAX(0,J61-R61))</f>
        <v>0</v>
      </c>
      <c r="T61" s="16" t="n">
        <f aca="false">IF(D61="","",MAX(0,Z61-$B$8))</f>
        <v>0</v>
      </c>
      <c r="U61" s="16" t="n">
        <f aca="false">IF(D61="","",MAX(0,MIN($B$8,Z61)))</f>
        <v>18.747018987499</v>
      </c>
      <c r="V61" s="16" t="str">
        <f aca="false">IF(D61="","",IF(S61&gt;0.0000001,"Sim","Não"))</f>
        <v>Não</v>
      </c>
      <c r="W61" s="16" t="n">
        <f aca="false">IF(D61="","",U61-(H61+E61-Q61-O61-T61))</f>
        <v>0</v>
      </c>
      <c r="X61" s="16" t="n">
        <f aca="false">IF(W61="","",ABS(W61))</f>
        <v>0</v>
      </c>
      <c r="Y61" s="16" t="n">
        <f aca="false">IF(U61="","",IF($B$8=0,0,U61/$B$8*100))</f>
        <v>39.7014379235472</v>
      </c>
      <c r="Z61" s="18" t="n">
        <f aca="false">IF(D61="","",MAX(0,IF(P61&gt;=0,P61,IF(K61+P61&gt;=0,0,P61+K61))))</f>
        <v>18.747018987499</v>
      </c>
      <c r="AA61" s="18" t="n">
        <f aca="false">IF(D61="","",IF(H61&lt;=$B$16,1,IF(H61&gt;=$B$17,$B$21,MATCH(H61,Aux_CAV!$A$2:$A$121,1))))</f>
        <v>11</v>
      </c>
      <c r="AB61" s="18" t="n">
        <f aca="false">IF(D61="","",IF(L61&lt;=$B$16,1,IF(L61&gt;=$B$17,$B$21,MATCH(L61,Aux_CAV!$A$2:$A$121,1))))</f>
        <v>11</v>
      </c>
      <c r="AC61" s="19" t="n">
        <f aca="false">IF(D61="","",COUNT($D$24:D61))</f>
        <v>26</v>
      </c>
    </row>
    <row r="62" customFormat="false" ht="12.75" hidden="false" customHeight="true" outlineLevel="0" collapsed="false">
      <c r="A62" s="14" t="n">
        <f aca="false">IF(D62="","",DATE(B62,C62,1))</f>
        <v>4809</v>
      </c>
      <c r="B62" s="15" t="n">
        <f aca="false" t="array" ref="B62:B62">IF(D62="","",IFERROR(VALUE(INDEX(Vazoes_COLAR!$A$2:$A$200,INT((ROW()-24)/12)+1)),""))</f>
        <v>1913</v>
      </c>
      <c r="C62" s="15" t="n">
        <f aca="false">IF(D62="","",MOD(ROW()-24,12)+1)</f>
        <v>3</v>
      </c>
      <c r="D62" s="16" t="n">
        <f aca="false" t="array" ref="D62: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2.28056784116811</v>
      </c>
      <c r="E62" s="16" t="n">
        <f aca="false">IF(D62="","",D62*$B$15)</f>
        <v>5.91123184430774</v>
      </c>
      <c r="F62" s="16" t="n">
        <f aca="false" t="array" ref="F62:F62">IF(D62="","",IFERROR(INDEX(Dados_Evap!$C$2:$N$15,MATCH($B$9,Dados_Evap!$A$2:$A$15,0),C62),0))</f>
        <v>107.7</v>
      </c>
      <c r="G62" s="16" t="n">
        <f aca="false">IF(F62="","",F62/1000)</f>
        <v>0.1077</v>
      </c>
      <c r="H62" s="16" t="n">
        <f aca="false">IF(D62="","",MAX(0,MIN($B$8,IFERROR(LOOKUP(2,1/($U$24:U61&lt;&gt;""),$U$24:U61),$B$11))))</f>
        <v>18.747018987499</v>
      </c>
      <c r="I62" s="16" t="n">
        <f aca="false" t="array" ref="I62: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>3.97830226923768</v>
      </c>
      <c r="J62" s="16" t="n">
        <f aca="false">IF(D62="","",$B$12)</f>
        <v>0.35</v>
      </c>
      <c r="K62" s="16" t="n">
        <f aca="false">IF(J62="","",J62*$B$15)</f>
        <v>0.9072</v>
      </c>
      <c r="L62" s="16" t="n">
        <f aca="false">IF(D62="","",H62+E62-K62-G62*I62)</f>
        <v>23.3225876774098</v>
      </c>
      <c r="M62" s="16" t="n">
        <f aca="false" t="array" ref="M62: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>4.5251385273002</v>
      </c>
      <c r="N62" s="16" t="n">
        <f aca="false">IF(D62="","",(I62+M62)/2)</f>
        <v>4.25172039826894</v>
      </c>
      <c r="O62" s="16" t="n">
        <f aca="false">IF(D62="","",G62*N62)</f>
        <v>0.457910286893565</v>
      </c>
      <c r="P62" s="16" t="n">
        <f aca="false">IF(D62="","",H62+E62-K62-O62)</f>
        <v>23.2931405449132</v>
      </c>
      <c r="Q62" s="16" t="n">
        <f aca="false">IF(D62="","",IF(P62&gt;=0,K62,MAX(0,K62+P62)))</f>
        <v>0.9072</v>
      </c>
      <c r="R62" s="16" t="n">
        <f aca="false">IF(D62="","",Q62/$B$15)</f>
        <v>0.35</v>
      </c>
      <c r="S62" s="16" t="n">
        <f aca="false">IF(D62="","",MAX(0,J62-R62))</f>
        <v>0</v>
      </c>
      <c r="T62" s="16" t="n">
        <f aca="false">IF(D62="","",MAX(0,Z62-$B$8))</f>
        <v>0</v>
      </c>
      <c r="U62" s="16" t="n">
        <f aca="false">IF(D62="","",MAX(0,MIN($B$8,Z62)))</f>
        <v>23.2931405449132</v>
      </c>
      <c r="V62" s="16" t="str">
        <f aca="false">IF(D62="","",IF(S62&gt;0.0000001,"Sim","Não"))</f>
        <v>Não</v>
      </c>
      <c r="W62" s="16" t="n">
        <f aca="false">IF(D62="","",U62-(H62+E62-Q62-O62-T62))</f>
        <v>0</v>
      </c>
      <c r="X62" s="16" t="n">
        <f aca="false">IF(W62="","",ABS(W62))</f>
        <v>0</v>
      </c>
      <c r="Y62" s="16" t="n">
        <f aca="false">IF(U62="","",IF($B$8=0,0,U62/$B$8*100))</f>
        <v>49.3289719290834</v>
      </c>
      <c r="Z62" s="18" t="n">
        <f aca="false">IF(D62="","",MAX(0,IF(P62&gt;=0,P62,IF(K62+P62&gt;=0,0,P62+K62))))</f>
        <v>23.2931405449132</v>
      </c>
      <c r="AA62" s="18" t="n">
        <f aca="false">IF(D62="","",IF(H62&lt;=$B$16,1,IF(H62&gt;=$B$17,$B$21,MATCH(H62,Aux_CAV!$A$2:$A$121,1))))</f>
        <v>11</v>
      </c>
      <c r="AB62" s="18" t="n">
        <f aca="false">IF(D62="","",IF(L62&lt;=$B$16,1,IF(L62&gt;=$B$17,$B$21,MATCH(L62,Aux_CAV!$A$2:$A$121,1))))</f>
        <v>11</v>
      </c>
      <c r="AC62" s="19" t="n">
        <f aca="false">IF(D62="","",COUNT($D$24:D62))</f>
        <v>27</v>
      </c>
    </row>
    <row r="63" customFormat="false" ht="12.75" hidden="false" customHeight="true" outlineLevel="0" collapsed="false">
      <c r="A63" s="14" t="n">
        <f aca="false">IF(D63="","",DATE(B63,C63,1))</f>
        <v>4840</v>
      </c>
      <c r="B63" s="15" t="n">
        <f aca="false" t="array" ref="B63:B63">IF(D63="","",IFERROR(VALUE(INDEX(Vazoes_COLAR!$A$2:$A$200,INT((ROW()-24)/12)+1)),""))</f>
        <v>1913</v>
      </c>
      <c r="C63" s="15" t="n">
        <f aca="false">IF(D63="","",MOD(ROW()-24,12)+1)</f>
        <v>4</v>
      </c>
      <c r="D63" s="16" t="n">
        <f aca="false" t="array" ref="D63: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2.89028892575472</v>
      </c>
      <c r="E63" s="16" t="n">
        <f aca="false">IF(D63="","",D63*$B$15)</f>
        <v>7.49162889555623</v>
      </c>
      <c r="F63" s="16" t="n">
        <f aca="false" t="array" ref="F63:F63">IF(D63="","",IFERROR(INDEX(Dados_Evap!$C$2:$N$15,MATCH($B$9,Dados_Evap!$A$2:$A$15,0),C63),0))</f>
        <v>100.5</v>
      </c>
      <c r="G63" s="16" t="n">
        <f aca="false">IF(F63="","",F63/1000)</f>
        <v>0.1005</v>
      </c>
      <c r="H63" s="16" t="n">
        <f aca="false">IF(D63="","",MAX(0,MIN($B$8,IFERROR(LOOKUP(2,1/($U$24:U62&lt;&gt;""),$U$24:U62),$B$11))))</f>
        <v>23.2931405449132</v>
      </c>
      <c r="I63" s="16" t="n">
        <f aca="false" t="array" ref="I63: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>4.52161923585548</v>
      </c>
      <c r="J63" s="16" t="n">
        <f aca="false">IF(D63="","",$B$12)</f>
        <v>0.35</v>
      </c>
      <c r="K63" s="16" t="n">
        <f aca="false">IF(J63="","",J63*$B$15)</f>
        <v>0.9072</v>
      </c>
      <c r="L63" s="16" t="n">
        <f aca="false">IF(D63="","",H63+E63-K63-G63*I63)</f>
        <v>29.4231467072659</v>
      </c>
      <c r="M63" s="16" t="n">
        <f aca="false" t="array" ref="M63: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>5.17259873560918</v>
      </c>
      <c r="N63" s="16" t="n">
        <f aca="false">IF(D63="","",(I63+M63)/2)</f>
        <v>4.84710898573233</v>
      </c>
      <c r="O63" s="16" t="n">
        <f aca="false">IF(D63="","",G63*N63)</f>
        <v>0.487134453066099</v>
      </c>
      <c r="P63" s="16" t="n">
        <f aca="false">IF(D63="","",H63+E63-K63-O63)</f>
        <v>29.3904349874033</v>
      </c>
      <c r="Q63" s="16" t="n">
        <f aca="false">IF(D63="","",IF(P63&gt;=0,K63,MAX(0,K63+P63)))</f>
        <v>0.9072</v>
      </c>
      <c r="R63" s="16" t="n">
        <f aca="false">IF(D63="","",Q63/$B$15)</f>
        <v>0.35</v>
      </c>
      <c r="S63" s="16" t="n">
        <f aca="false">IF(D63="","",MAX(0,J63-R63))</f>
        <v>0</v>
      </c>
      <c r="T63" s="16" t="n">
        <f aca="false">IF(D63="","",MAX(0,Z63-$B$8))</f>
        <v>0</v>
      </c>
      <c r="U63" s="16" t="n">
        <f aca="false">IF(D63="","",MAX(0,MIN($B$8,Z63)))</f>
        <v>29.3904349874033</v>
      </c>
      <c r="V63" s="16" t="str">
        <f aca="false">IF(D63="","",IF(S63&gt;0.0000001,"Sim","Não"))</f>
        <v>Não</v>
      </c>
      <c r="W63" s="16" t="n">
        <f aca="false">IF(D63="","",U63-(H63+E63-Q63-O63-T63))</f>
        <v>0</v>
      </c>
      <c r="X63" s="16" t="n">
        <f aca="false">IF(W63="","",ABS(W63))</f>
        <v>0</v>
      </c>
      <c r="Y63" s="16" t="n">
        <f aca="false">IF(U63="","",IF($B$8=0,0,U63/$B$8*100))</f>
        <v>62.2414972202527</v>
      </c>
      <c r="Z63" s="18" t="n">
        <f aca="false">IF(D63="","",MAX(0,IF(P63&gt;=0,P63,IF(K63+P63&gt;=0,0,P63+K63))))</f>
        <v>29.3904349874033</v>
      </c>
      <c r="AA63" s="18" t="n">
        <f aca="false">IF(D63="","",IF(H63&lt;=$B$16,1,IF(H63&gt;=$B$17,$B$21,MATCH(H63,Aux_CAV!$A$2:$A$121,1))))</f>
        <v>11</v>
      </c>
      <c r="AB63" s="18" t="n">
        <f aca="false">IF(D63="","",IF(L63&lt;=$B$16,1,IF(L63&gt;=$B$17,$B$21,MATCH(L63,Aux_CAV!$A$2:$A$121,1))))</f>
        <v>12</v>
      </c>
      <c r="AC63" s="19" t="n">
        <f aca="false">IF(D63="","",COUNT($D$24:D63))</f>
        <v>28</v>
      </c>
    </row>
    <row r="64" customFormat="false" ht="12.75" hidden="false" customHeight="true" outlineLevel="0" collapsed="false">
      <c r="A64" s="14" t="n">
        <f aca="false">IF(D64="","",DATE(B64,C64,1))</f>
        <v>4870</v>
      </c>
      <c r="B64" s="15" t="n">
        <f aca="false" t="array" ref="B64:B64">IF(D64="","",IFERROR(VALUE(INDEX(Vazoes_COLAR!$A$2:$A$200,INT((ROW()-24)/12)+1)),""))</f>
        <v>1913</v>
      </c>
      <c r="C64" s="15" t="n">
        <f aca="false">IF(D64="","",MOD(ROW()-24,12)+1)</f>
        <v>5</v>
      </c>
      <c r="D64" s="16" t="n">
        <f aca="false" t="array" ref="D64: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1.82397682225803</v>
      </c>
      <c r="E64" s="16" t="n">
        <f aca="false">IF(D64="","",D64*$B$15)</f>
        <v>4.72774792329281</v>
      </c>
      <c r="F64" s="16" t="n">
        <f aca="false" t="array" ref="F64:F64">IF(D64="","",IFERROR(INDEX(Dados_Evap!$C$2:$N$15,MATCH($B$9,Dados_Evap!$A$2:$A$15,0),C64),0))</f>
        <v>145.8</v>
      </c>
      <c r="G64" s="16" t="n">
        <f aca="false">IF(F64="","",F64/1000)</f>
        <v>0.1458</v>
      </c>
      <c r="H64" s="16" t="n">
        <f aca="false">IF(D64="","",MAX(0,MIN($B$8,IFERROR(LOOKUP(2,1/($U$24:U63&lt;&gt;""),$U$24:U63),$B$11))))</f>
        <v>29.3904349874033</v>
      </c>
      <c r="I64" s="16" t="n">
        <f aca="false" t="array" ref="I64: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>5.16920052781763</v>
      </c>
      <c r="J64" s="16" t="n">
        <f aca="false">IF(D64="","",$B$12)</f>
        <v>0.35</v>
      </c>
      <c r="K64" s="16" t="n">
        <f aca="false">IF(J64="","",J64*$B$15)</f>
        <v>0.9072</v>
      </c>
      <c r="L64" s="16" t="n">
        <f aca="false">IF(D64="","",H64+E64-K64-G64*I64)</f>
        <v>32.4573134737403</v>
      </c>
      <c r="M64" s="16" t="n">
        <f aca="false" t="array" ref="M64: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>5.48779858416526</v>
      </c>
      <c r="N64" s="16" t="n">
        <f aca="false">IF(D64="","",(I64+M64)/2)</f>
        <v>5.32849955599144</v>
      </c>
      <c r="O64" s="16" t="n">
        <f aca="false">IF(D64="","",G64*N64)</f>
        <v>0.776895235263552</v>
      </c>
      <c r="P64" s="16" t="n">
        <f aca="false">IF(D64="","",H64+E64-K64-O64)</f>
        <v>32.4340876754326</v>
      </c>
      <c r="Q64" s="16" t="n">
        <f aca="false">IF(D64="","",IF(P64&gt;=0,K64,MAX(0,K64+P64)))</f>
        <v>0.9072</v>
      </c>
      <c r="R64" s="16" t="n">
        <f aca="false">IF(D64="","",Q64/$B$15)</f>
        <v>0.35</v>
      </c>
      <c r="S64" s="16" t="n">
        <f aca="false">IF(D64="","",MAX(0,J64-R64))</f>
        <v>0</v>
      </c>
      <c r="T64" s="16" t="n">
        <f aca="false">IF(D64="","",MAX(0,Z64-$B$8))</f>
        <v>0</v>
      </c>
      <c r="U64" s="16" t="n">
        <f aca="false">IF(D64="","",MAX(0,MIN($B$8,Z64)))</f>
        <v>32.4340876754326</v>
      </c>
      <c r="V64" s="16" t="str">
        <f aca="false">IF(D64="","",IF(S64&gt;0.0000001,"Sim","Não"))</f>
        <v>Não</v>
      </c>
      <c r="W64" s="16" t="n">
        <f aca="false">IF(D64="","",U64-(H64+E64-Q64-O64-T64))</f>
        <v>0</v>
      </c>
      <c r="X64" s="16" t="n">
        <f aca="false">IF(W64="","",ABS(W64))</f>
        <v>0</v>
      </c>
      <c r="Y64" s="16" t="n">
        <f aca="false">IF(U64="","",IF($B$8=0,0,U64/$B$8*100))</f>
        <v>68.6871827095141</v>
      </c>
      <c r="Z64" s="18" t="n">
        <f aca="false">IF(D64="","",MAX(0,IF(P64&gt;=0,P64,IF(K64+P64&gt;=0,0,P64+K64))))</f>
        <v>32.4340876754326</v>
      </c>
      <c r="AA64" s="18" t="n">
        <f aca="false">IF(D64="","",IF(H64&lt;=$B$16,1,IF(H64&gt;=$B$17,$B$21,MATCH(H64,Aux_CAV!$A$2:$A$121,1))))</f>
        <v>12</v>
      </c>
      <c r="AB64" s="18" t="n">
        <f aca="false">IF(D64="","",IF(L64&lt;=$B$16,1,IF(L64&gt;=$B$17,$B$21,MATCH(L64,Aux_CAV!$A$2:$A$121,1))))</f>
        <v>12</v>
      </c>
      <c r="AC64" s="19" t="n">
        <f aca="false">IF(D64="","",COUNT($D$24:D64))</f>
        <v>29</v>
      </c>
    </row>
    <row r="65" customFormat="false" ht="12.75" hidden="false" customHeight="true" outlineLevel="0" collapsed="false">
      <c r="A65" s="14" t="n">
        <f aca="false">IF(D65="","",DATE(B65,C65,1))</f>
        <v>4901</v>
      </c>
      <c r="B65" s="15" t="n">
        <f aca="false" t="array" ref="B65:B65">IF(D65="","",IFERROR(VALUE(INDEX(Vazoes_COLAR!$A$2:$A$200,INT((ROW()-24)/12)+1)),""))</f>
        <v>1913</v>
      </c>
      <c r="C65" s="15" t="n">
        <f aca="false">IF(D65="","",MOD(ROW()-24,12)+1)</f>
        <v>6</v>
      </c>
      <c r="D65" s="16" t="n">
        <f aca="false" t="array" ref="D65: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0.765273309955484</v>
      </c>
      <c r="E65" s="16" t="n">
        <f aca="false">IF(D65="","",D65*$B$15)</f>
        <v>1.98358841940461</v>
      </c>
      <c r="F65" s="16" t="n">
        <f aca="false" t="array" ref="F65:F65">IF(D65="","",IFERROR(INDEX(Dados_Evap!$C$2:$N$15,MATCH($B$9,Dados_Evap!$A$2:$A$15,0),C65),0))</f>
        <v>161.3</v>
      </c>
      <c r="G65" s="16" t="n">
        <f aca="false">IF(F65="","",F65/1000)</f>
        <v>0.1613</v>
      </c>
      <c r="H65" s="16" t="n">
        <f aca="false">IF(D65="","",MAX(0,MIN($B$8,IFERROR(LOOKUP(2,1/($U$24:U64&lt;&gt;""),$U$24:U64),$B$11))))</f>
        <v>32.4340876754326</v>
      </c>
      <c r="I65" s="16" t="n">
        <f aca="false" t="array" ref="I65: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>5.4853858070595</v>
      </c>
      <c r="J65" s="16" t="n">
        <f aca="false">IF(D65="","",$B$12)</f>
        <v>0.35</v>
      </c>
      <c r="K65" s="16" t="n">
        <f aca="false">IF(J65="","",J65*$B$15)</f>
        <v>0.9072</v>
      </c>
      <c r="L65" s="16" t="n">
        <f aca="false">IF(D65="","",H65+E65-K65-G65*I65)</f>
        <v>32.6256833641585</v>
      </c>
      <c r="M65" s="16" t="n">
        <f aca="false" t="array" ref="M65: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>5.50528943685918</v>
      </c>
      <c r="N65" s="16" t="n">
        <f aca="false">IF(D65="","",(I65+M65)/2)</f>
        <v>5.49533762195934</v>
      </c>
      <c r="O65" s="16" t="n">
        <f aca="false">IF(D65="","",G65*N65)</f>
        <v>0.886397958422042</v>
      </c>
      <c r="P65" s="16" t="n">
        <f aca="false">IF(D65="","",H65+E65-K65-O65)</f>
        <v>32.6240781364151</v>
      </c>
      <c r="Q65" s="16" t="n">
        <f aca="false">IF(D65="","",IF(P65&gt;=0,K65,MAX(0,K65+P65)))</f>
        <v>0.9072</v>
      </c>
      <c r="R65" s="16" t="n">
        <f aca="false">IF(D65="","",Q65/$B$15)</f>
        <v>0.35</v>
      </c>
      <c r="S65" s="16" t="n">
        <f aca="false">IF(D65="","",MAX(0,J65-R65))</f>
        <v>0</v>
      </c>
      <c r="T65" s="16" t="n">
        <f aca="false">IF(D65="","",MAX(0,Z65-$B$8))</f>
        <v>0</v>
      </c>
      <c r="U65" s="16" t="n">
        <f aca="false">IF(D65="","",MAX(0,MIN($B$8,Z65)))</f>
        <v>32.6240781364151</v>
      </c>
      <c r="V65" s="16" t="str">
        <f aca="false">IF(D65="","",IF(S65&gt;0.0000001,"Sim","Não"))</f>
        <v>Não</v>
      </c>
      <c r="W65" s="16" t="n">
        <f aca="false">IF(D65="","",U65-(H65+E65-Q65-O65-T65))</f>
        <v>0</v>
      </c>
      <c r="X65" s="16" t="n">
        <f aca="false">IF(W65="","",ABS(W65))</f>
        <v>0</v>
      </c>
      <c r="Y65" s="16" t="n">
        <f aca="false">IF(U65="","",IF($B$8=0,0,U65/$B$8*100))</f>
        <v>69.0895343846149</v>
      </c>
      <c r="Z65" s="18" t="n">
        <f aca="false">IF(D65="","",MAX(0,IF(P65&gt;=0,P65,IF(K65+P65&gt;=0,0,P65+K65))))</f>
        <v>32.6240781364151</v>
      </c>
      <c r="AA65" s="18" t="n">
        <f aca="false">IF(D65="","",IF(H65&lt;=$B$16,1,IF(H65&gt;=$B$17,$B$21,MATCH(H65,Aux_CAV!$A$2:$A$121,1))))</f>
        <v>12</v>
      </c>
      <c r="AB65" s="18" t="n">
        <f aca="false">IF(D65="","",IF(L65&lt;=$B$16,1,IF(L65&gt;=$B$17,$B$21,MATCH(L65,Aux_CAV!$A$2:$A$121,1))))</f>
        <v>12</v>
      </c>
      <c r="AC65" s="19" t="n">
        <f aca="false">IF(D65="","",COUNT($D$24:D65))</f>
        <v>30</v>
      </c>
    </row>
    <row r="66" customFormat="false" ht="12.75" hidden="false" customHeight="true" outlineLevel="0" collapsed="false">
      <c r="A66" s="14" t="n">
        <f aca="false">IF(D66="","",DATE(B66,C66,1))</f>
        <v>4931</v>
      </c>
      <c r="B66" s="15" t="n">
        <f aca="false" t="array" ref="B66:B66">IF(D66="","",IFERROR(VALUE(INDEX(Vazoes_COLAR!$A$2:$A$200,INT((ROW()-24)/12)+1)),""))</f>
        <v>1913</v>
      </c>
      <c r="C66" s="15" t="n">
        <f aca="false">IF(D66="","",MOD(ROW()-24,12)+1)</f>
        <v>7</v>
      </c>
      <c r="D66" s="16" t="n">
        <f aca="false" t="array" ref="D66: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0.246692293315043</v>
      </c>
      <c r="E66" s="16" t="n">
        <f aca="false">IF(D66="","",D66*$B$15)</f>
        <v>0.639426424272591</v>
      </c>
      <c r="F66" s="16" t="n">
        <f aca="false" t="array" ref="F66:F66">IF(D66="","",IFERROR(INDEX(Dados_Evap!$C$2:$N$15,MATCH($B$9,Dados_Evap!$A$2:$A$15,0),C66),0))</f>
        <v>224.8</v>
      </c>
      <c r="G66" s="16" t="n">
        <f aca="false">IF(F66="","",F66/1000)</f>
        <v>0.2248</v>
      </c>
      <c r="H66" s="16" t="n">
        <f aca="false">IF(D66="","",MAX(0,MIN($B$8,IFERROR(LOOKUP(2,1/($U$24:U65&lt;&gt;""),$U$24:U65),$B$11))))</f>
        <v>32.6240781364151</v>
      </c>
      <c r="I66" s="16" t="n">
        <f aca="false" t="array" ref="I66: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>5.5051226801907</v>
      </c>
      <c r="J66" s="16" t="n">
        <f aca="false">IF(D66="","",$B$12)</f>
        <v>0.35</v>
      </c>
      <c r="K66" s="16" t="n">
        <f aca="false">IF(J66="","",J66*$B$15)</f>
        <v>0.9072</v>
      </c>
      <c r="L66" s="16" t="n">
        <f aca="false">IF(D66="","",H66+E66-K66-G66*I66)</f>
        <v>31.1187529821809</v>
      </c>
      <c r="M66" s="16" t="n">
        <f aca="false" t="array" ref="M66: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>5.34874424183821</v>
      </c>
      <c r="N66" s="16" t="n">
        <f aca="false">IF(D66="","",(I66+M66)/2)</f>
        <v>5.42693346101445</v>
      </c>
      <c r="O66" s="16" t="n">
        <f aca="false">IF(D66="","",G66*N66)</f>
        <v>1.21997464203605</v>
      </c>
      <c r="P66" s="16" t="n">
        <f aca="false">IF(D66="","",H66+E66-K66-O66)</f>
        <v>31.1363299186517</v>
      </c>
      <c r="Q66" s="16" t="n">
        <f aca="false">IF(D66="","",IF(P66&gt;=0,K66,MAX(0,K66+P66)))</f>
        <v>0.9072</v>
      </c>
      <c r="R66" s="16" t="n">
        <f aca="false">IF(D66="","",Q66/$B$15)</f>
        <v>0.35</v>
      </c>
      <c r="S66" s="16" t="n">
        <f aca="false">IF(D66="","",MAX(0,J66-R66))</f>
        <v>0</v>
      </c>
      <c r="T66" s="16" t="n">
        <f aca="false">IF(D66="","",MAX(0,Z66-$B$8))</f>
        <v>0</v>
      </c>
      <c r="U66" s="16" t="n">
        <f aca="false">IF(D66="","",MAX(0,MIN($B$8,Z66)))</f>
        <v>31.1363299186517</v>
      </c>
      <c r="V66" s="16" t="str">
        <f aca="false">IF(D66="","",IF(S66&gt;0.0000001,"Sim","Não"))</f>
        <v>Não</v>
      </c>
      <c r="W66" s="16" t="n">
        <f aca="false">IF(D66="","",U66-(H66+E66-Q66-O66-T66))</f>
        <v>0</v>
      </c>
      <c r="X66" s="16" t="n">
        <f aca="false">IF(W66="","",ABS(W66))</f>
        <v>0</v>
      </c>
      <c r="Y66" s="16" t="n">
        <f aca="false">IF(U66="","",IF($B$8=0,0,U66/$B$8*100))</f>
        <v>65.9388604799908</v>
      </c>
      <c r="Z66" s="18" t="n">
        <f aca="false">IF(D66="","",MAX(0,IF(P66&gt;=0,P66,IF(K66+P66&gt;=0,0,P66+K66))))</f>
        <v>31.1363299186517</v>
      </c>
      <c r="AA66" s="18" t="n">
        <f aca="false">IF(D66="","",IF(H66&lt;=$B$16,1,IF(H66&gt;=$B$17,$B$21,MATCH(H66,Aux_CAV!$A$2:$A$121,1))))</f>
        <v>12</v>
      </c>
      <c r="AB66" s="18" t="n">
        <f aca="false">IF(D66="","",IF(L66&lt;=$B$16,1,IF(L66&gt;=$B$17,$B$21,MATCH(L66,Aux_CAV!$A$2:$A$121,1))))</f>
        <v>12</v>
      </c>
      <c r="AC66" s="19" t="n">
        <f aca="false">IF(D66="","",COUNT($D$24:D66))</f>
        <v>31</v>
      </c>
    </row>
    <row r="67" customFormat="false" ht="12.75" hidden="false" customHeight="true" outlineLevel="0" collapsed="false">
      <c r="A67" s="14" t="n">
        <f aca="false">IF(D67="","",DATE(B67,C67,1))</f>
        <v>4962</v>
      </c>
      <c r="B67" s="15" t="n">
        <f aca="false" t="array" ref="B67:B67">IF(D67="","",IFERROR(VALUE(INDEX(Vazoes_COLAR!$A$2:$A$200,INT((ROW()-24)/12)+1)),""))</f>
        <v>1913</v>
      </c>
      <c r="C67" s="15" t="n">
        <f aca="false">IF(D67="","",MOD(ROW()-24,12)+1)</f>
        <v>8</v>
      </c>
      <c r="D67" s="16" t="n">
        <f aca="false" t="array" ref="D67: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0.0653239270951651</v>
      </c>
      <c r="E67" s="16" t="n">
        <f aca="false">IF(D67="","",D67*$B$15)</f>
        <v>0.169319619030668</v>
      </c>
      <c r="F67" s="16" t="n">
        <f aca="false" t="array" ref="F67:F67">IF(D67="","",IFERROR(INDEX(Dados_Evap!$C$2:$N$15,MATCH($B$9,Dados_Evap!$A$2:$A$15,0),C67),0))</f>
        <v>268.7</v>
      </c>
      <c r="G67" s="16" t="n">
        <f aca="false">IF(F67="","",F67/1000)</f>
        <v>0.2687</v>
      </c>
      <c r="H67" s="16" t="n">
        <f aca="false">IF(D67="","",MAX(0,MIN($B$8,IFERROR(LOOKUP(2,1/($U$24:U66&lt;&gt;""),$U$24:U66),$B$11))))</f>
        <v>31.1363299186517</v>
      </c>
      <c r="I67" s="16" t="n">
        <f aca="false" t="array" ref="I67: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>5.35057019543275</v>
      </c>
      <c r="J67" s="16" t="n">
        <f aca="false">IF(D67="","",$B$12)</f>
        <v>0.35</v>
      </c>
      <c r="K67" s="16" t="n">
        <f aca="false">IF(J67="","",J67*$B$15)</f>
        <v>0.9072</v>
      </c>
      <c r="L67" s="16" t="n">
        <f aca="false">IF(D67="","",H67+E67-K67-G67*I67)</f>
        <v>28.9607513261696</v>
      </c>
      <c r="M67" s="16" t="n">
        <f aca="false" t="array" ref="M67: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>5.12456348728169</v>
      </c>
      <c r="N67" s="16" t="n">
        <f aca="false">IF(D67="","",(I67+M67)/2)</f>
        <v>5.23756684135722</v>
      </c>
      <c r="O67" s="16" t="n">
        <f aca="false">IF(D67="","",G67*N67)</f>
        <v>1.40733421027269</v>
      </c>
      <c r="P67" s="16" t="n">
        <f aca="false">IF(D67="","",H67+E67-K67-O67)</f>
        <v>28.9911153274097</v>
      </c>
      <c r="Q67" s="16" t="n">
        <f aca="false">IF(D67="","",IF(P67&gt;=0,K67,MAX(0,K67+P67)))</f>
        <v>0.9072</v>
      </c>
      <c r="R67" s="16" t="n">
        <f aca="false">IF(D67="","",Q67/$B$15)</f>
        <v>0.35</v>
      </c>
      <c r="S67" s="16" t="n">
        <f aca="false">IF(D67="","",MAX(0,J67-R67))</f>
        <v>0</v>
      </c>
      <c r="T67" s="16" t="n">
        <f aca="false">IF(D67="","",MAX(0,Z67-$B$8))</f>
        <v>0</v>
      </c>
      <c r="U67" s="16" t="n">
        <f aca="false">IF(D67="","",MAX(0,MIN($B$8,Z67)))</f>
        <v>28.9911153274097</v>
      </c>
      <c r="V67" s="16" t="str">
        <f aca="false">IF(D67="","",IF(S67&gt;0.0000001,"Sim","Não"))</f>
        <v>Não</v>
      </c>
      <c r="W67" s="16" t="n">
        <f aca="false">IF(D67="","",U67-(H67+E67-Q67-O67-T67))</f>
        <v>0</v>
      </c>
      <c r="X67" s="16" t="n">
        <f aca="false">IF(W67="","",ABS(W67))</f>
        <v>0</v>
      </c>
      <c r="Y67" s="16" t="n">
        <f aca="false">IF(U67="","",IF($B$8=0,0,U67/$B$8*100))</f>
        <v>61.3958393210708</v>
      </c>
      <c r="Z67" s="18" t="n">
        <f aca="false">IF(D67="","",MAX(0,IF(P67&gt;=0,P67,IF(K67+P67&gt;=0,0,P67+K67))))</f>
        <v>28.9911153274097</v>
      </c>
      <c r="AA67" s="18" t="n">
        <f aca="false">IF(D67="","",IF(H67&lt;=$B$16,1,IF(H67&gt;=$B$17,$B$21,MATCH(H67,Aux_CAV!$A$2:$A$121,1))))</f>
        <v>12</v>
      </c>
      <c r="AB67" s="18" t="n">
        <f aca="false">IF(D67="","",IF(L67&lt;=$B$16,1,IF(L67&gt;=$B$17,$B$21,MATCH(L67,Aux_CAV!$A$2:$A$121,1))))</f>
        <v>12</v>
      </c>
      <c r="AC67" s="19" t="n">
        <f aca="false">IF(D67="","",COUNT($D$24:D67))</f>
        <v>32</v>
      </c>
    </row>
    <row r="68" customFormat="false" ht="12.75" hidden="false" customHeight="true" outlineLevel="0" collapsed="false">
      <c r="A68" s="14" t="n">
        <f aca="false">IF(D68="","",DATE(B68,C68,1))</f>
        <v>4993</v>
      </c>
      <c r="B68" s="15" t="n">
        <f aca="false" t="array" ref="B68:B68">IF(D68="","",IFERROR(VALUE(INDEX(Vazoes_COLAR!$A$2:$A$200,INT((ROW()-24)/12)+1)),""))</f>
        <v>1913</v>
      </c>
      <c r="C68" s="15" t="n">
        <f aca="false">IF(D68="","",MOD(ROW()-24,12)+1)</f>
        <v>9</v>
      </c>
      <c r="D68" s="16" t="n">
        <f aca="false" t="array" ref="D68: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0.076291648451757</v>
      </c>
      <c r="E68" s="16" t="n">
        <f aca="false">IF(D68="","",D68*$B$15)</f>
        <v>0.197747952786954</v>
      </c>
      <c r="F68" s="16" t="n">
        <f aca="false" t="array" ref="F68:F68">IF(D68="","",IFERROR(INDEX(Dados_Evap!$C$2:$N$15,MATCH($B$9,Dados_Evap!$A$2:$A$15,0),C68),0))</f>
        <v>292.8</v>
      </c>
      <c r="G68" s="16" t="n">
        <f aca="false">IF(F68="","",F68/1000)</f>
        <v>0.2928</v>
      </c>
      <c r="H68" s="16" t="n">
        <f aca="false">IF(D68="","",MAX(0,MIN($B$8,IFERROR(LOOKUP(2,1/($U$24:U67&lt;&gt;""),$U$24:U67),$B$11))))</f>
        <v>28.9911153274097</v>
      </c>
      <c r="I68" s="16" t="n">
        <f aca="false" t="array" ref="I68: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>5.12771780585712</v>
      </c>
      <c r="J68" s="16" t="n">
        <f aca="false">IF(D68="","",$B$12)</f>
        <v>0.35</v>
      </c>
      <c r="K68" s="16" t="n">
        <f aca="false">IF(J68="","",J68*$B$15)</f>
        <v>0.9072</v>
      </c>
      <c r="L68" s="16" t="n">
        <f aca="false">IF(D68="","",H68+E68-K68-G68*I68)</f>
        <v>26.7802675066416</v>
      </c>
      <c r="M68" s="16" t="n">
        <f aca="false" t="array" ref="M68: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>4.89804720700064</v>
      </c>
      <c r="N68" s="16" t="n">
        <f aca="false">IF(D68="","",(I68+M68)/2)</f>
        <v>5.01288250642888</v>
      </c>
      <c r="O68" s="16" t="n">
        <f aca="false">IF(D68="","",G68*N68)</f>
        <v>1.46777199788238</v>
      </c>
      <c r="P68" s="16" t="n">
        <f aca="false">IF(D68="","",H68+E68-K68-O68)</f>
        <v>26.8138912823142</v>
      </c>
      <c r="Q68" s="16" t="n">
        <f aca="false">IF(D68="","",IF(P68&gt;=0,K68,MAX(0,K68+P68)))</f>
        <v>0.9072</v>
      </c>
      <c r="R68" s="16" t="n">
        <f aca="false">IF(D68="","",Q68/$B$15)</f>
        <v>0.35</v>
      </c>
      <c r="S68" s="16" t="n">
        <f aca="false">IF(D68="","",MAX(0,J68-R68))</f>
        <v>0</v>
      </c>
      <c r="T68" s="16" t="n">
        <f aca="false">IF(D68="","",MAX(0,Z68-$B$8))</f>
        <v>0</v>
      </c>
      <c r="U68" s="16" t="n">
        <f aca="false">IF(D68="","",MAX(0,MIN($B$8,Z68)))</f>
        <v>26.8138912823142</v>
      </c>
      <c r="V68" s="16" t="str">
        <f aca="false">IF(D68="","",IF(S68&gt;0.0000001,"Sim","Não"))</f>
        <v>Não</v>
      </c>
      <c r="W68" s="16" t="n">
        <f aca="false">IF(D68="","",U68-(H68+E68-Q68-O68-T68))</f>
        <v>0</v>
      </c>
      <c r="X68" s="16" t="n">
        <f aca="false">IF(W68="","",ABS(W68))</f>
        <v>0</v>
      </c>
      <c r="Y68" s="16" t="n">
        <f aca="false">IF(U68="","",IF($B$8=0,0,U68/$B$8*100))</f>
        <v>56.7850302463241</v>
      </c>
      <c r="Z68" s="18" t="n">
        <f aca="false">IF(D68="","",MAX(0,IF(P68&gt;=0,P68,IF(K68+P68&gt;=0,0,P68+K68))))</f>
        <v>26.8138912823142</v>
      </c>
      <c r="AA68" s="18" t="n">
        <f aca="false">IF(D68="","",IF(H68&lt;=$B$16,1,IF(H68&gt;=$B$17,$B$21,MATCH(H68,Aux_CAV!$A$2:$A$121,1))))</f>
        <v>12</v>
      </c>
      <c r="AB68" s="18" t="n">
        <f aca="false">IF(D68="","",IF(L68&lt;=$B$16,1,IF(L68&gt;=$B$17,$B$21,MATCH(L68,Aux_CAV!$A$2:$A$121,1))))</f>
        <v>12</v>
      </c>
      <c r="AC68" s="19" t="n">
        <f aca="false">IF(D68="","",COUNT($D$24:D68))</f>
        <v>33</v>
      </c>
    </row>
    <row r="69" customFormat="false" ht="12.75" hidden="false" customHeight="true" outlineLevel="0" collapsed="false">
      <c r="A69" s="14" t="n">
        <f aca="false">IF(D69="","",DATE(B69,C69,1))</f>
        <v>5023</v>
      </c>
      <c r="B69" s="15" t="n">
        <f aca="false" t="array" ref="B69:B69">IF(D69="","",IFERROR(VALUE(INDEX(Vazoes_COLAR!$A$2:$A$200,INT((ROW()-24)/12)+1)),""))</f>
        <v>1913</v>
      </c>
      <c r="C69" s="15" t="n">
        <f aca="false">IF(D69="","",MOD(ROW()-24,12)+1)</f>
        <v>10</v>
      </c>
      <c r="D69" s="16" t="n">
        <f aca="false" t="array" ref="D69: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0.103176152553356</v>
      </c>
      <c r="E69" s="16" t="n">
        <f aca="false">IF(D69="","",D69*$B$15)</f>
        <v>0.267432587418299</v>
      </c>
      <c r="F69" s="16" t="n">
        <f aca="false" t="array" ref="F69:F69">IF(D69="","",IFERROR(INDEX(Dados_Evap!$C$2:$N$15,MATCH($B$9,Dados_Evap!$A$2:$A$15,0),C69),0))</f>
        <v>262.9</v>
      </c>
      <c r="G69" s="16" t="n">
        <f aca="false">IF(F69="","",F69/1000)</f>
        <v>0.2629</v>
      </c>
      <c r="H69" s="16" t="n">
        <f aca="false">IF(D69="","",MAX(0,MIN($B$8,IFERROR(LOOKUP(2,1/($U$24:U68&lt;&gt;""),$U$24:U68),$B$11))))</f>
        <v>26.8138912823142</v>
      </c>
      <c r="I69" s="16" t="n">
        <f aca="false" t="array" ref="I69: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>4.9015401623375</v>
      </c>
      <c r="J69" s="16" t="n">
        <f aca="false">IF(D69="","",$B$12)</f>
        <v>0.35</v>
      </c>
      <c r="K69" s="16" t="n">
        <f aca="false">IF(J69="","",J69*$B$15)</f>
        <v>0.9072</v>
      </c>
      <c r="L69" s="16" t="n">
        <f aca="false">IF(D69="","",H69+E69-K69-G69*I69)</f>
        <v>24.885508961054</v>
      </c>
      <c r="M69" s="16" t="n">
        <f aca="false" t="array" ref="M69: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>4.70121306682794</v>
      </c>
      <c r="N69" s="16" t="n">
        <f aca="false">IF(D69="","",(I69+M69)/2)</f>
        <v>4.80137661458272</v>
      </c>
      <c r="O69" s="16" t="n">
        <f aca="false">IF(D69="","",G69*N69)</f>
        <v>1.2622819119738</v>
      </c>
      <c r="P69" s="16" t="n">
        <f aca="false">IF(D69="","",H69+E69-K69-O69)</f>
        <v>24.9118419577587</v>
      </c>
      <c r="Q69" s="16" t="n">
        <f aca="false">IF(D69="","",IF(P69&gt;=0,K69,MAX(0,K69+P69)))</f>
        <v>0.9072</v>
      </c>
      <c r="R69" s="16" t="n">
        <f aca="false">IF(D69="","",Q69/$B$15)</f>
        <v>0.35</v>
      </c>
      <c r="S69" s="16" t="n">
        <f aca="false">IF(D69="","",MAX(0,J69-R69))</f>
        <v>0</v>
      </c>
      <c r="T69" s="16" t="n">
        <f aca="false">IF(D69="","",MAX(0,Z69-$B$8))</f>
        <v>0</v>
      </c>
      <c r="U69" s="16" t="n">
        <f aca="false">IF(D69="","",MAX(0,MIN($B$8,Z69)))</f>
        <v>24.9118419577587</v>
      </c>
      <c r="V69" s="16" t="str">
        <f aca="false">IF(D69="","",IF(S69&gt;0.0000001,"Sim","Não"))</f>
        <v>Não</v>
      </c>
      <c r="W69" s="16" t="n">
        <f aca="false">IF(D69="","",U69-(H69+E69-Q69-O69-T69))</f>
        <v>0</v>
      </c>
      <c r="X69" s="16" t="n">
        <f aca="false">IF(W69="","",ABS(W69))</f>
        <v>0</v>
      </c>
      <c r="Y69" s="16" t="n">
        <f aca="false">IF(U69="","",IF($B$8=0,0,U69/$B$8*100))</f>
        <v>52.7569715327377</v>
      </c>
      <c r="Z69" s="18" t="n">
        <f aca="false">IF(D69="","",MAX(0,IF(P69&gt;=0,P69,IF(K69+P69&gt;=0,0,P69+K69))))</f>
        <v>24.9118419577587</v>
      </c>
      <c r="AA69" s="18" t="n">
        <f aca="false">IF(D69="","",IF(H69&lt;=$B$16,1,IF(H69&gt;=$B$17,$B$21,MATCH(H69,Aux_CAV!$A$2:$A$121,1))))</f>
        <v>12</v>
      </c>
      <c r="AB69" s="18" t="n">
        <f aca="false">IF(D69="","",IF(L69&lt;=$B$16,1,IF(L69&gt;=$B$17,$B$21,MATCH(L69,Aux_CAV!$A$2:$A$121,1))))</f>
        <v>12</v>
      </c>
      <c r="AC69" s="19" t="n">
        <f aca="false">IF(D69="","",COUNT($D$24:D69))</f>
        <v>34</v>
      </c>
    </row>
    <row r="70" customFormat="false" ht="12.75" hidden="false" customHeight="true" outlineLevel="0" collapsed="false">
      <c r="A70" s="14" t="n">
        <f aca="false">IF(D70="","",DATE(B70,C70,1))</f>
        <v>5054</v>
      </c>
      <c r="B70" s="15" t="n">
        <f aca="false" t="array" ref="B70:B70">IF(D70="","",IFERROR(VALUE(INDEX(Vazoes_COLAR!$A$2:$A$200,INT((ROW()-24)/12)+1)),""))</f>
        <v>1913</v>
      </c>
      <c r="C70" s="15" t="n">
        <f aca="false">IF(D70="","",MOD(ROW()-24,12)+1)</f>
        <v>11</v>
      </c>
      <c r="D70" s="16" t="n">
        <f aca="false" t="array" ref="D70: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0.0223666788394164</v>
      </c>
      <c r="E70" s="16" t="n">
        <f aca="false">IF(D70="","",D70*$B$15)</f>
        <v>0.0579744315517673</v>
      </c>
      <c r="F70" s="16" t="n">
        <f aca="false" t="array" ref="F70:F70">IF(D70="","",IFERROR(INDEX(Dados_Evap!$C$2:$N$15,MATCH($B$9,Dados_Evap!$A$2:$A$15,0),C70),0))</f>
        <v>223.7</v>
      </c>
      <c r="G70" s="16" t="n">
        <f aca="false">IF(F70="","",F70/1000)</f>
        <v>0.2237</v>
      </c>
      <c r="H70" s="16" t="n">
        <f aca="false">IF(D70="","",MAX(0,MIN($B$8,IFERROR(LOOKUP(2,1/($U$24:U69&lt;&gt;""),$U$24:U69),$B$11))))</f>
        <v>24.9118419577587</v>
      </c>
      <c r="I70" s="16" t="n">
        <f aca="false" t="array" ref="I70: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>4.70394863056329</v>
      </c>
      <c r="J70" s="16" t="n">
        <f aca="false">IF(D70="","",$B$12)</f>
        <v>0.35</v>
      </c>
      <c r="K70" s="16" t="n">
        <f aca="false">IF(J70="","",J70*$B$15)</f>
        <v>0.9072</v>
      </c>
      <c r="L70" s="16" t="n">
        <f aca="false">IF(D70="","",H70+E70-K70-G70*I70)</f>
        <v>23.0103430806535</v>
      </c>
      <c r="M70" s="16" t="n">
        <f aca="false" t="array" ref="M70: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>4.48782149012688</v>
      </c>
      <c r="N70" s="16" t="n">
        <f aca="false">IF(D70="","",(I70+M70)/2)</f>
        <v>4.59588506034508</v>
      </c>
      <c r="O70" s="16" t="n">
        <f aca="false">IF(D70="","",G70*N70)</f>
        <v>1.0280994879992</v>
      </c>
      <c r="P70" s="16" t="n">
        <f aca="false">IF(D70="","",H70+E70-K70-O70)</f>
        <v>23.0345169013113</v>
      </c>
      <c r="Q70" s="16" t="n">
        <f aca="false">IF(D70="","",IF(P70&gt;=0,K70,MAX(0,K70+P70)))</f>
        <v>0.9072</v>
      </c>
      <c r="R70" s="16" t="n">
        <f aca="false">IF(D70="","",Q70/$B$15)</f>
        <v>0.35</v>
      </c>
      <c r="S70" s="16" t="n">
        <f aca="false">IF(D70="","",MAX(0,J70-R70))</f>
        <v>0</v>
      </c>
      <c r="T70" s="16" t="n">
        <f aca="false">IF(D70="","",MAX(0,Z70-$B$8))</f>
        <v>0</v>
      </c>
      <c r="U70" s="16" t="n">
        <f aca="false">IF(D70="","",MAX(0,MIN($B$8,Z70)))</f>
        <v>23.0345169013113</v>
      </c>
      <c r="V70" s="16" t="str">
        <f aca="false">IF(D70="","",IF(S70&gt;0.0000001,"Sim","Não"))</f>
        <v>Não</v>
      </c>
      <c r="W70" s="16" t="n">
        <f aca="false">IF(D70="","",U70-(H70+E70-Q70-O70-T70))</f>
        <v>0</v>
      </c>
      <c r="X70" s="16" t="n">
        <f aca="false">IF(W70="","",ABS(W70))</f>
        <v>0</v>
      </c>
      <c r="Y70" s="16" t="n">
        <f aca="false">IF(U70="","",IF($B$8=0,0,U70/$B$8*100))</f>
        <v>48.7812725567796</v>
      </c>
      <c r="Z70" s="18" t="n">
        <f aca="false">IF(D70="","",MAX(0,IF(P70&gt;=0,P70,IF(K70+P70&gt;=0,0,P70+K70))))</f>
        <v>23.0345169013113</v>
      </c>
      <c r="AA70" s="18" t="n">
        <f aca="false">IF(D70="","",IF(H70&lt;=$B$16,1,IF(H70&gt;=$B$17,$B$21,MATCH(H70,Aux_CAV!$A$2:$A$121,1))))</f>
        <v>12</v>
      </c>
      <c r="AB70" s="18" t="n">
        <f aca="false">IF(D70="","",IF(L70&lt;=$B$16,1,IF(L70&gt;=$B$17,$B$21,MATCH(L70,Aux_CAV!$A$2:$A$121,1))))</f>
        <v>11</v>
      </c>
      <c r="AC70" s="19" t="n">
        <f aca="false">IF(D70="","",COUNT($D$24:D70))</f>
        <v>35</v>
      </c>
    </row>
    <row r="71" customFormat="false" ht="12.75" hidden="false" customHeight="true" outlineLevel="0" collapsed="false">
      <c r="A71" s="14" t="n">
        <f aca="false">IF(D71="","",DATE(B71,C71,1))</f>
        <v>5084</v>
      </c>
      <c r="B71" s="15" t="n">
        <f aca="false" t="array" ref="B71:B71">IF(D71="","",IFERROR(VALUE(INDEX(Vazoes_COLAR!$A$2:$A$200,INT((ROW()-24)/12)+1)),""))</f>
        <v>1913</v>
      </c>
      <c r="C71" s="15" t="n">
        <f aca="false">IF(D71="","",MOD(ROW()-24,12)+1)</f>
        <v>12</v>
      </c>
      <c r="D71" s="16" t="n">
        <f aca="false" t="array" ref="D71: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0.266382691712255</v>
      </c>
      <c r="E71" s="16" t="n">
        <f aca="false">IF(D71="","",D71*$B$15)</f>
        <v>0.690463936918165</v>
      </c>
      <c r="F71" s="16" t="n">
        <f aca="false" t="array" ref="F71:F71">IF(D71="","",IFERROR(INDEX(Dados_Evap!$C$2:$N$15,MATCH($B$9,Dados_Evap!$A$2:$A$15,0),C71),0))</f>
        <v>216.1</v>
      </c>
      <c r="G71" s="16" t="n">
        <f aca="false">IF(F71="","",F71/1000)</f>
        <v>0.2161</v>
      </c>
      <c r="H71" s="16" t="n">
        <f aca="false">IF(D71="","",MAX(0,MIN($B$8,IFERROR(LOOKUP(2,1/($U$24:U70&lt;&gt;""),$U$24:U70),$B$11))))</f>
        <v>23.0345169013113</v>
      </c>
      <c r="I71" s="16" t="n">
        <f aca="false" t="array" ref="I71: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>4.49071055649818</v>
      </c>
      <c r="J71" s="16" t="n">
        <f aca="false">IF(D71="","",$B$12)</f>
        <v>0.35</v>
      </c>
      <c r="K71" s="16" t="n">
        <f aca="false">IF(J71="","",J71*$B$15)</f>
        <v>0.9072</v>
      </c>
      <c r="L71" s="16" t="n">
        <f aca="false">IF(D71="","",H71+E71-K71-G71*I71)</f>
        <v>21.8473382869702</v>
      </c>
      <c r="M71" s="16" t="n">
        <f aca="false" t="array" ref="M71: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>4.34882823429644</v>
      </c>
      <c r="N71" s="16" t="n">
        <f aca="false">IF(D71="","",(I71+M71)/2)</f>
        <v>4.41976939539731</v>
      </c>
      <c r="O71" s="16" t="n">
        <f aca="false">IF(D71="","",G71*N71)</f>
        <v>0.955112166345359</v>
      </c>
      <c r="P71" s="16" t="n">
        <f aca="false">IF(D71="","",H71+E71-K71-O71)</f>
        <v>21.8626686718841</v>
      </c>
      <c r="Q71" s="16" t="n">
        <f aca="false">IF(D71="","",IF(P71&gt;=0,K71,MAX(0,K71+P71)))</f>
        <v>0.9072</v>
      </c>
      <c r="R71" s="16" t="n">
        <f aca="false">IF(D71="","",Q71/$B$15)</f>
        <v>0.35</v>
      </c>
      <c r="S71" s="16" t="n">
        <f aca="false">IF(D71="","",MAX(0,J71-R71))</f>
        <v>0</v>
      </c>
      <c r="T71" s="16" t="n">
        <f aca="false">IF(D71="","",MAX(0,Z71-$B$8))</f>
        <v>0</v>
      </c>
      <c r="U71" s="16" t="n">
        <f aca="false">IF(D71="","",MAX(0,MIN($B$8,Z71)))</f>
        <v>21.8626686718841</v>
      </c>
      <c r="V71" s="16" t="str">
        <f aca="false">IF(D71="","",IF(S71&gt;0.0000001,"Sim","Não"))</f>
        <v>Não</v>
      </c>
      <c r="W71" s="16" t="n">
        <f aca="false">IF(D71="","",U71-(H71+E71-Q71-O71-T71))</f>
        <v>0</v>
      </c>
      <c r="X71" s="16" t="n">
        <f aca="false">IF(W71="","",ABS(W71))</f>
        <v>0</v>
      </c>
      <c r="Y71" s="16" t="n">
        <f aca="false">IF(U71="","",IF($B$8=0,0,U71/$B$8*100))</f>
        <v>46.2995948155106</v>
      </c>
      <c r="Z71" s="18" t="n">
        <f aca="false">IF(D71="","",MAX(0,IF(P71&gt;=0,P71,IF(K71+P71&gt;=0,0,P71+K71))))</f>
        <v>21.8626686718841</v>
      </c>
      <c r="AA71" s="18" t="n">
        <f aca="false">IF(D71="","",IF(H71&lt;=$B$16,1,IF(H71&gt;=$B$17,$B$21,MATCH(H71,Aux_CAV!$A$2:$A$121,1))))</f>
        <v>11</v>
      </c>
      <c r="AB71" s="18" t="n">
        <f aca="false">IF(D71="","",IF(L71&lt;=$B$16,1,IF(L71&gt;=$B$17,$B$21,MATCH(L71,Aux_CAV!$A$2:$A$121,1))))</f>
        <v>11</v>
      </c>
      <c r="AC71" s="19" t="n">
        <f aca="false">IF(D71="","",COUNT($D$24:D71))</f>
        <v>36</v>
      </c>
    </row>
    <row r="72" customFormat="false" ht="12.75" hidden="false" customHeight="true" outlineLevel="0" collapsed="false">
      <c r="A72" s="14" t="n">
        <f aca="false">IF(D72="","",DATE(B72,C72,1))</f>
        <v>5115</v>
      </c>
      <c r="B72" s="15" t="n">
        <f aca="false" t="array" ref="B72:B72">IF(D72="","",IFERROR(VALUE(INDEX(Vazoes_COLAR!$A$2:$A$200,INT((ROW()-24)/12)+1)),""))</f>
        <v>1914</v>
      </c>
      <c r="C72" s="15" t="n">
        <f aca="false">IF(D72="","",MOD(ROW()-24,12)+1)</f>
        <v>1</v>
      </c>
      <c r="D72" s="16" t="n">
        <f aca="false" t="array" ref="D72: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2.21992792928177</v>
      </c>
      <c r="E72" s="16" t="n">
        <f aca="false">IF(D72="","",D72*$B$15)</f>
        <v>5.75405319269835</v>
      </c>
      <c r="F72" s="16" t="n">
        <f aca="false" t="array" ref="F72:F72">IF(D72="","",IFERROR(INDEX(Dados_Evap!$C$2:$N$15,MATCH($B$9,Dados_Evap!$A$2:$A$15,0),C72),0))</f>
        <v>160</v>
      </c>
      <c r="G72" s="16" t="n">
        <f aca="false">IF(F72="","",F72/1000)</f>
        <v>0.16</v>
      </c>
      <c r="H72" s="16" t="n">
        <f aca="false">IF(D72="","",MAX(0,MIN($B$8,IFERROR(LOOKUP(2,1/($U$24:U71&lt;&gt;""),$U$24:U71),$B$11))))</f>
        <v>21.8626686718841</v>
      </c>
      <c r="I72" s="16" t="n">
        <f aca="false" t="array" ref="I72: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>4.35066040224956</v>
      </c>
      <c r="J72" s="16" t="n">
        <f aca="false">IF(D72="","",$B$12)</f>
        <v>0.35</v>
      </c>
      <c r="K72" s="16" t="n">
        <f aca="false">IF(J72="","",J72*$B$15)</f>
        <v>0.9072</v>
      </c>
      <c r="L72" s="16" t="n">
        <f aca="false">IF(D72="","",H72+E72-K72-G72*I72)</f>
        <v>26.0134162002225</v>
      </c>
      <c r="M72" s="16" t="n">
        <f aca="false" t="array" ref="M72: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>4.81838401303283</v>
      </c>
      <c r="N72" s="16" t="n">
        <f aca="false">IF(D72="","",(I72+M72)/2)</f>
        <v>4.5845222076412</v>
      </c>
      <c r="O72" s="16" t="n">
        <f aca="false">IF(D72="","",G72*N72)</f>
        <v>0.733523553222591</v>
      </c>
      <c r="P72" s="16" t="n">
        <f aca="false">IF(D72="","",H72+E72-K72-O72)</f>
        <v>25.9759983113599</v>
      </c>
      <c r="Q72" s="16" t="n">
        <f aca="false">IF(D72="","",IF(P72&gt;=0,K72,MAX(0,K72+P72)))</f>
        <v>0.9072</v>
      </c>
      <c r="R72" s="16" t="n">
        <f aca="false">IF(D72="","",Q72/$B$15)</f>
        <v>0.35</v>
      </c>
      <c r="S72" s="16" t="n">
        <f aca="false">IF(D72="","",MAX(0,J72-R72))</f>
        <v>0</v>
      </c>
      <c r="T72" s="16" t="n">
        <f aca="false">IF(D72="","",MAX(0,Z72-$B$8))</f>
        <v>0</v>
      </c>
      <c r="U72" s="16" t="n">
        <f aca="false">IF(D72="","",MAX(0,MIN($B$8,Z72)))</f>
        <v>25.9759983113599</v>
      </c>
      <c r="V72" s="16" t="str">
        <f aca="false">IF(D72="","",IF(S72&gt;0.0000001,"Sim","Não"))</f>
        <v>Não</v>
      </c>
      <c r="W72" s="16" t="n">
        <f aca="false">IF(D72="","",U72-(H72+E72-Q72-O72-T72))</f>
        <v>0</v>
      </c>
      <c r="X72" s="16" t="n">
        <f aca="false">IF(W72="","",ABS(W72))</f>
        <v>0</v>
      </c>
      <c r="Y72" s="16" t="n">
        <f aca="false">IF(U72="","",IF($B$8=0,0,U72/$B$8*100))</f>
        <v>55.0105851574754</v>
      </c>
      <c r="Z72" s="18" t="n">
        <f aca="false">IF(D72="","",MAX(0,IF(P72&gt;=0,P72,IF(K72+P72&gt;=0,0,P72+K72))))</f>
        <v>25.9759983113599</v>
      </c>
      <c r="AA72" s="18" t="n">
        <f aca="false">IF(D72="","",IF(H72&lt;=$B$16,1,IF(H72&gt;=$B$17,$B$21,MATCH(H72,Aux_CAV!$A$2:$A$121,1))))</f>
        <v>11</v>
      </c>
      <c r="AB72" s="18" t="n">
        <f aca="false">IF(D72="","",IF(L72&lt;=$B$16,1,IF(L72&gt;=$B$17,$B$21,MATCH(L72,Aux_CAV!$A$2:$A$121,1))))</f>
        <v>12</v>
      </c>
      <c r="AC72" s="19" t="n">
        <f aca="false">IF(D72="","",COUNT($D$24:D72))</f>
        <v>37</v>
      </c>
    </row>
    <row r="73" customFormat="false" ht="12.75" hidden="false" customHeight="true" outlineLevel="0" collapsed="false">
      <c r="A73" s="14" t="n">
        <f aca="false">IF(D73="","",DATE(B73,C73,1))</f>
        <v>5146</v>
      </c>
      <c r="B73" s="15" t="n">
        <f aca="false" t="array" ref="B73:B73">IF(D73="","",IFERROR(VALUE(INDEX(Vazoes_COLAR!$A$2:$A$200,INT((ROW()-24)/12)+1)),""))</f>
        <v>1914</v>
      </c>
      <c r="C73" s="15" t="n">
        <f aca="false">IF(D73="","",MOD(ROW()-24,12)+1)</f>
        <v>2</v>
      </c>
      <c r="D73" s="16" t="n">
        <f aca="false" t="array" ref="D73: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1.71463011971433</v>
      </c>
      <c r="E73" s="16" t="n">
        <f aca="false">IF(D73="","",D73*$B$15)</f>
        <v>4.44432127029954</v>
      </c>
      <c r="F73" s="16" t="n">
        <f aca="false" t="array" ref="F73:F73">IF(D73="","",IFERROR(INDEX(Dados_Evap!$C$2:$N$15,MATCH($B$9,Dados_Evap!$A$2:$A$15,0),C73),0))</f>
        <v>124.3</v>
      </c>
      <c r="G73" s="16" t="n">
        <f aca="false">IF(F73="","",F73/1000)</f>
        <v>0.1243</v>
      </c>
      <c r="H73" s="16" t="n">
        <f aca="false">IF(D73="","",MAX(0,MIN($B$8,IFERROR(LOOKUP(2,1/($U$24:U72&lt;&gt;""),$U$24:U72),$B$11))))</f>
        <v>25.9759983113599</v>
      </c>
      <c r="I73" s="16" t="n">
        <f aca="false" t="array" ref="I73: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>4.8144969119568</v>
      </c>
      <c r="J73" s="16" t="n">
        <f aca="false">IF(D73="","",$B$12)</f>
        <v>0.35</v>
      </c>
      <c r="K73" s="16" t="n">
        <f aca="false">IF(J73="","",J73*$B$15)</f>
        <v>0.9072</v>
      </c>
      <c r="L73" s="16" t="n">
        <f aca="false">IF(D73="","",H73+E73-K73-G73*I73)</f>
        <v>28.9146776155032</v>
      </c>
      <c r="M73" s="16" t="n">
        <f aca="false" t="array" ref="M73: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>5.11977718918334</v>
      </c>
      <c r="N73" s="16" t="n">
        <f aca="false">IF(D73="","",(I73+M73)/2)</f>
        <v>4.96713705057007</v>
      </c>
      <c r="O73" s="16" t="n">
        <f aca="false">IF(D73="","",G73*N73)</f>
        <v>0.61741513538586</v>
      </c>
      <c r="P73" s="16" t="n">
        <f aca="false">IF(D73="","",H73+E73-K73-O73)</f>
        <v>28.8957044462736</v>
      </c>
      <c r="Q73" s="16" t="n">
        <f aca="false">IF(D73="","",IF(P73&gt;=0,K73,MAX(0,K73+P73)))</f>
        <v>0.9072</v>
      </c>
      <c r="R73" s="16" t="n">
        <f aca="false">IF(D73="","",Q73/$B$15)</f>
        <v>0.35</v>
      </c>
      <c r="S73" s="16" t="n">
        <f aca="false">IF(D73="","",MAX(0,J73-R73))</f>
        <v>0</v>
      </c>
      <c r="T73" s="16" t="n">
        <f aca="false">IF(D73="","",MAX(0,Z73-$B$8))</f>
        <v>0</v>
      </c>
      <c r="U73" s="16" t="n">
        <f aca="false">IF(D73="","",MAX(0,MIN($B$8,Z73)))</f>
        <v>28.8957044462736</v>
      </c>
      <c r="V73" s="16" t="str">
        <f aca="false">IF(D73="","",IF(S73&gt;0.0000001,"Sim","Não"))</f>
        <v>Não</v>
      </c>
      <c r="W73" s="16" t="n">
        <f aca="false">IF(D73="","",U73-(H73+E73-Q73-O73-T73))</f>
        <v>0</v>
      </c>
      <c r="X73" s="16" t="n">
        <f aca="false">IF(W73="","",ABS(W73))</f>
        <v>0</v>
      </c>
      <c r="Y73" s="16" t="n">
        <f aca="false">IF(U73="","",IF($B$8=0,0,U73/$B$8*100))</f>
        <v>61.1937832407318</v>
      </c>
      <c r="Z73" s="18" t="n">
        <f aca="false">IF(D73="","",MAX(0,IF(P73&gt;=0,P73,IF(K73+P73&gt;=0,0,P73+K73))))</f>
        <v>28.8957044462736</v>
      </c>
      <c r="AA73" s="18" t="n">
        <f aca="false">IF(D73="","",IF(H73&lt;=$B$16,1,IF(H73&gt;=$B$17,$B$21,MATCH(H73,Aux_CAV!$A$2:$A$121,1))))</f>
        <v>12</v>
      </c>
      <c r="AB73" s="18" t="n">
        <f aca="false">IF(D73="","",IF(L73&lt;=$B$16,1,IF(L73&gt;=$B$17,$B$21,MATCH(L73,Aux_CAV!$A$2:$A$121,1))))</f>
        <v>12</v>
      </c>
      <c r="AC73" s="19" t="n">
        <f aca="false">IF(D73="","",COUNT($D$24:D73))</f>
        <v>38</v>
      </c>
    </row>
    <row r="74" customFormat="false" ht="12.75" hidden="false" customHeight="true" outlineLevel="0" collapsed="false">
      <c r="A74" s="14" t="n">
        <f aca="false">IF(D74="","",DATE(B74,C74,1))</f>
        <v>5174</v>
      </c>
      <c r="B74" s="15" t="n">
        <f aca="false" t="array" ref="B74:B74">IF(D74="","",IFERROR(VALUE(INDEX(Vazoes_COLAR!$A$2:$A$200,INT((ROW()-24)/12)+1)),""))</f>
        <v>1914</v>
      </c>
      <c r="C74" s="15" t="n">
        <f aca="false">IF(D74="","",MOD(ROW()-24,12)+1)</f>
        <v>3</v>
      </c>
      <c r="D74" s="16" t="n">
        <f aca="false" t="array" ref="D74: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2.5640931123369</v>
      </c>
      <c r="E74" s="16" t="n">
        <f aca="false">IF(D74="","",D74*$B$15)</f>
        <v>6.64612934717724</v>
      </c>
      <c r="F74" s="16" t="n">
        <f aca="false" t="array" ref="F74:F74">IF(D74="","",IFERROR(INDEX(Dados_Evap!$C$2:$N$15,MATCH($B$9,Dados_Evap!$A$2:$A$15,0),C74),0))</f>
        <v>107.7</v>
      </c>
      <c r="G74" s="16" t="n">
        <f aca="false">IF(F74="","",F74/1000)</f>
        <v>0.1077</v>
      </c>
      <c r="H74" s="16" t="n">
        <f aca="false">IF(D74="","",MAX(0,MIN($B$8,IFERROR(LOOKUP(2,1/($U$24:U73&lt;&gt;""),$U$24:U73),$B$11))))</f>
        <v>28.8957044462736</v>
      </c>
      <c r="I74" s="16" t="n">
        <f aca="false" t="array" ref="I74: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>5.11780619004978</v>
      </c>
      <c r="J74" s="16" t="n">
        <f aca="false">IF(D74="","",$B$12)</f>
        <v>0.35</v>
      </c>
      <c r="K74" s="16" t="n">
        <f aca="false">IF(J74="","",J74*$B$15)</f>
        <v>0.9072</v>
      </c>
      <c r="L74" s="16" t="n">
        <f aca="false">IF(D74="","",H74+E74-K74-G74*I74)</f>
        <v>34.0834460667824</v>
      </c>
      <c r="M74" s="16" t="n">
        <f aca="false" t="array" ref="M74: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>5.6567269215007</v>
      </c>
      <c r="N74" s="16" t="n">
        <f aca="false">IF(D74="","",(I74+M74)/2)</f>
        <v>5.38726655577524</v>
      </c>
      <c r="O74" s="16" t="n">
        <f aca="false">IF(D74="","",G74*N74)</f>
        <v>0.580208608056993</v>
      </c>
      <c r="P74" s="16" t="n">
        <f aca="false">IF(D74="","",H74+E74-K74-O74)</f>
        <v>34.0544251853938</v>
      </c>
      <c r="Q74" s="16" t="n">
        <f aca="false">IF(D74="","",IF(P74&gt;=0,K74,MAX(0,K74+P74)))</f>
        <v>0.9072</v>
      </c>
      <c r="R74" s="16" t="n">
        <f aca="false">IF(D74="","",Q74/$B$15)</f>
        <v>0.35</v>
      </c>
      <c r="S74" s="16" t="n">
        <f aca="false">IF(D74="","",MAX(0,J74-R74))</f>
        <v>0</v>
      </c>
      <c r="T74" s="16" t="n">
        <f aca="false">IF(D74="","",MAX(0,Z74-$B$8))</f>
        <v>0</v>
      </c>
      <c r="U74" s="16" t="n">
        <f aca="false">IF(D74="","",MAX(0,MIN($B$8,Z74)))</f>
        <v>34.0544251853938</v>
      </c>
      <c r="V74" s="16" t="str">
        <f aca="false">IF(D74="","",IF(S74&gt;0.0000001,"Sim","Não"))</f>
        <v>Não</v>
      </c>
      <c r="W74" s="16" t="n">
        <f aca="false">IF(D74="","",U74-(H74+E74-Q74-O74-T74))</f>
        <v>0</v>
      </c>
      <c r="X74" s="16" t="n">
        <f aca="false">IF(W74="","",ABS(W74))</f>
        <v>0</v>
      </c>
      <c r="Y74" s="16" t="n">
        <f aca="false">IF(U74="","",IF($B$8=0,0,U74/$B$8*100))</f>
        <v>72.1186471524647</v>
      </c>
      <c r="Z74" s="18" t="n">
        <f aca="false">IF(D74="","",MAX(0,IF(P74&gt;=0,P74,IF(K74+P74&gt;=0,0,P74+K74))))</f>
        <v>34.0544251853938</v>
      </c>
      <c r="AA74" s="18" t="n">
        <f aca="false">IF(D74="","",IF(H74&lt;=$B$16,1,IF(H74&gt;=$B$17,$B$21,MATCH(H74,Aux_CAV!$A$2:$A$121,1))))</f>
        <v>12</v>
      </c>
      <c r="AB74" s="18" t="n">
        <f aca="false">IF(D74="","",IF(L74&lt;=$B$16,1,IF(L74&gt;=$B$17,$B$21,MATCH(L74,Aux_CAV!$A$2:$A$121,1))))</f>
        <v>12</v>
      </c>
      <c r="AC74" s="19" t="n">
        <f aca="false">IF(D74="","",COUNT($D$24:D74))</f>
        <v>39</v>
      </c>
    </row>
    <row r="75" customFormat="false" ht="12.75" hidden="false" customHeight="true" outlineLevel="0" collapsed="false">
      <c r="A75" s="14" t="n">
        <f aca="false">IF(D75="","",DATE(B75,C75,1))</f>
        <v>5205</v>
      </c>
      <c r="B75" s="15" t="n">
        <f aca="false" t="array" ref="B75:B75">IF(D75="","",IFERROR(VALUE(INDEX(Vazoes_COLAR!$A$2:$A$200,INT((ROW()-24)/12)+1)),""))</f>
        <v>1914</v>
      </c>
      <c r="C75" s="15" t="n">
        <f aca="false">IF(D75="","",MOD(ROW()-24,12)+1)</f>
        <v>4</v>
      </c>
      <c r="D75" s="16" t="n">
        <f aca="false" t="array" ref="D75: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1.91642037676215</v>
      </c>
      <c r="E75" s="16" t="n">
        <f aca="false">IF(D75="","",D75*$B$15)</f>
        <v>4.96736161656749</v>
      </c>
      <c r="F75" s="16" t="n">
        <f aca="false" t="array" ref="F75:F75">IF(D75="","",IFERROR(INDEX(Dados_Evap!$C$2:$N$15,MATCH($B$9,Dados_Evap!$A$2:$A$15,0),C75),0))</f>
        <v>100.5</v>
      </c>
      <c r="G75" s="16" t="n">
        <f aca="false">IF(F75="","",F75/1000)</f>
        <v>0.1005</v>
      </c>
      <c r="H75" s="16" t="n">
        <f aca="false">IF(D75="","",MAX(0,MIN($B$8,IFERROR(LOOKUP(2,1/($U$24:U74&lt;&gt;""),$U$24:U74),$B$11))))</f>
        <v>34.0544251853938</v>
      </c>
      <c r="I75" s="16" t="n">
        <f aca="false" t="array" ref="I75: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>5.65371213090984</v>
      </c>
      <c r="J75" s="16" t="n">
        <f aca="false">IF(D75="","",$B$12)</f>
        <v>0.35</v>
      </c>
      <c r="K75" s="16" t="n">
        <f aca="false">IF(J75="","",J75*$B$15)</f>
        <v>0.9072</v>
      </c>
      <c r="L75" s="16" t="n">
        <f aca="false">IF(D75="","",H75+E75-K75-G75*I75)</f>
        <v>37.5463887328049</v>
      </c>
      <c r="M75" s="16" t="n">
        <f aca="false" t="array" ref="M75: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>6.00415988134137</v>
      </c>
      <c r="N75" s="16" t="n">
        <f aca="false">IF(D75="","",(I75+M75)/2)</f>
        <v>5.8289360061256</v>
      </c>
      <c r="O75" s="16" t="n">
        <f aca="false">IF(D75="","",G75*N75)</f>
        <v>0.585808068615623</v>
      </c>
      <c r="P75" s="16" t="n">
        <f aca="false">IF(D75="","",H75+E75-K75-O75)</f>
        <v>37.5287787333457</v>
      </c>
      <c r="Q75" s="16" t="n">
        <f aca="false">IF(D75="","",IF(P75&gt;=0,K75,MAX(0,K75+P75)))</f>
        <v>0.9072</v>
      </c>
      <c r="R75" s="16" t="n">
        <f aca="false">IF(D75="","",Q75/$B$15)</f>
        <v>0.35</v>
      </c>
      <c r="S75" s="16" t="n">
        <f aca="false">IF(D75="","",MAX(0,J75-R75))</f>
        <v>0</v>
      </c>
      <c r="T75" s="16" t="n">
        <f aca="false">IF(D75="","",MAX(0,Z75-$B$8))</f>
        <v>0</v>
      </c>
      <c r="U75" s="16" t="n">
        <f aca="false">IF(D75="","",MAX(0,MIN($B$8,Z75)))</f>
        <v>37.5287787333457</v>
      </c>
      <c r="V75" s="16" t="str">
        <f aca="false">IF(D75="","",IF(S75&gt;0.0000001,"Sim","Não"))</f>
        <v>Não</v>
      </c>
      <c r="W75" s="16" t="n">
        <f aca="false">IF(D75="","",U75-(H75+E75-Q75-O75-T75))</f>
        <v>0</v>
      </c>
      <c r="X75" s="16" t="n">
        <f aca="false">IF(W75="","",ABS(W75))</f>
        <v>0</v>
      </c>
      <c r="Y75" s="16" t="n">
        <f aca="false">IF(U75="","",IF($B$8=0,0,U75/$B$8*100))</f>
        <v>79.4764479740485</v>
      </c>
      <c r="Z75" s="18" t="n">
        <f aca="false">IF(D75="","",MAX(0,IF(P75&gt;=0,P75,IF(K75+P75&gt;=0,0,P75+K75))))</f>
        <v>37.5287787333457</v>
      </c>
      <c r="AA75" s="18" t="n">
        <f aca="false">IF(D75="","",IF(H75&lt;=$B$16,1,IF(H75&gt;=$B$17,$B$21,MATCH(H75,Aux_CAV!$A$2:$A$121,1))))</f>
        <v>12</v>
      </c>
      <c r="AB75" s="18" t="n">
        <f aca="false">IF(D75="","",IF(L75&lt;=$B$16,1,IF(L75&gt;=$B$17,$B$21,MATCH(L75,Aux_CAV!$A$2:$A$121,1))))</f>
        <v>13</v>
      </c>
      <c r="AC75" s="19" t="n">
        <f aca="false">IF(D75="","",COUNT($D$24:D75))</f>
        <v>40</v>
      </c>
    </row>
    <row r="76" customFormat="false" ht="12.75" hidden="false" customHeight="true" outlineLevel="0" collapsed="false">
      <c r="A76" s="14" t="n">
        <f aca="false">IF(D76="","",DATE(B76,C76,1))</f>
        <v>5235</v>
      </c>
      <c r="B76" s="15" t="n">
        <f aca="false" t="array" ref="B76:B76">IF(D76="","",IFERROR(VALUE(INDEX(Vazoes_COLAR!$A$2:$A$200,INT((ROW()-24)/12)+1)),""))</f>
        <v>1914</v>
      </c>
      <c r="C76" s="15" t="n">
        <f aca="false">IF(D76="","",MOD(ROW()-24,12)+1)</f>
        <v>5</v>
      </c>
      <c r="D76" s="16" t="n">
        <f aca="false" t="array" ref="D76: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0.558952937297739</v>
      </c>
      <c r="E76" s="16" t="n">
        <f aca="false">IF(D76="","",D76*$B$15)</f>
        <v>1.44880601347574</v>
      </c>
      <c r="F76" s="16" t="n">
        <f aca="false" t="array" ref="F76:F76">IF(D76="","",IFERROR(INDEX(Dados_Evap!$C$2:$N$15,MATCH($B$9,Dados_Evap!$A$2:$A$15,0),C76),0))</f>
        <v>145.8</v>
      </c>
      <c r="G76" s="16" t="n">
        <f aca="false">IF(F76="","",F76/1000)</f>
        <v>0.1458</v>
      </c>
      <c r="H76" s="16" t="n">
        <f aca="false">IF(D76="","",MAX(0,MIN($B$8,IFERROR(LOOKUP(2,1/($U$24:U75&lt;&gt;""),$U$24:U75),$B$11))))</f>
        <v>37.5287787333457</v>
      </c>
      <c r="I76" s="16" t="n">
        <f aca="false" t="array" ref="I76: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>6.00240165026329</v>
      </c>
      <c r="J76" s="16" t="n">
        <f aca="false">IF(D76="","",$B$12)</f>
        <v>0.35</v>
      </c>
      <c r="K76" s="16" t="n">
        <f aca="false">IF(J76="","",J76*$B$15)</f>
        <v>0.9072</v>
      </c>
      <c r="L76" s="16" t="n">
        <f aca="false">IF(D76="","",H76+E76-K76-G76*I76)</f>
        <v>37.195234586213</v>
      </c>
      <c r="M76" s="16" t="n">
        <f aca="false" t="array" ref="M76: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>5.96909967959831</v>
      </c>
      <c r="N76" s="16" t="n">
        <f aca="false">IF(D76="","",(I76+M76)/2)</f>
        <v>5.9857506649308</v>
      </c>
      <c r="O76" s="16" t="n">
        <f aca="false">IF(D76="","",G76*N76)</f>
        <v>0.872722446946911</v>
      </c>
      <c r="P76" s="16" t="n">
        <f aca="false">IF(D76="","",H76+E76-K76-O76)</f>
        <v>37.1976622998745</v>
      </c>
      <c r="Q76" s="16" t="n">
        <f aca="false">IF(D76="","",IF(P76&gt;=0,K76,MAX(0,K76+P76)))</f>
        <v>0.9072</v>
      </c>
      <c r="R76" s="16" t="n">
        <f aca="false">IF(D76="","",Q76/$B$15)</f>
        <v>0.35</v>
      </c>
      <c r="S76" s="16" t="n">
        <f aca="false">IF(D76="","",MAX(0,J76-R76))</f>
        <v>0</v>
      </c>
      <c r="T76" s="16" t="n">
        <f aca="false">IF(D76="","",MAX(0,Z76-$B$8))</f>
        <v>0</v>
      </c>
      <c r="U76" s="16" t="n">
        <f aca="false">IF(D76="","",MAX(0,MIN($B$8,Z76)))</f>
        <v>37.1976622998745</v>
      </c>
      <c r="V76" s="16" t="str">
        <f aca="false">IF(D76="","",IF(S76&gt;0.0000001,"Sim","Não"))</f>
        <v>Não</v>
      </c>
      <c r="W76" s="16" t="n">
        <f aca="false">IF(D76="","",U76-(H76+E76-Q76-O76-T76))</f>
        <v>0</v>
      </c>
      <c r="X76" s="16" t="n">
        <f aca="false">IF(W76="","",ABS(W76))</f>
        <v>0</v>
      </c>
      <c r="Y76" s="16" t="n">
        <f aca="false">IF(U76="","",IF($B$8=0,0,U76/$B$8*100))</f>
        <v>78.775227233957</v>
      </c>
      <c r="Z76" s="18" t="n">
        <f aca="false">IF(D76="","",MAX(0,IF(P76&gt;=0,P76,IF(K76+P76&gt;=0,0,P76+K76))))</f>
        <v>37.1976622998745</v>
      </c>
      <c r="AA76" s="18" t="n">
        <f aca="false">IF(D76="","",IF(H76&lt;=$B$16,1,IF(H76&gt;=$B$17,$B$21,MATCH(H76,Aux_CAV!$A$2:$A$121,1))))</f>
        <v>13</v>
      </c>
      <c r="AB76" s="18" t="n">
        <f aca="false">IF(D76="","",IF(L76&lt;=$B$16,1,IF(L76&gt;=$B$17,$B$21,MATCH(L76,Aux_CAV!$A$2:$A$121,1))))</f>
        <v>13</v>
      </c>
      <c r="AC76" s="19" t="n">
        <f aca="false">IF(D76="","",COUNT($D$24:D76))</f>
        <v>41</v>
      </c>
    </row>
    <row r="77" customFormat="false" ht="12.75" hidden="false" customHeight="true" outlineLevel="0" collapsed="false">
      <c r="A77" s="14" t="n">
        <f aca="false">IF(D77="","",DATE(B77,C77,1))</f>
        <v>5266</v>
      </c>
      <c r="B77" s="15" t="n">
        <f aca="false" t="array" ref="B77:B77">IF(D77="","",IFERROR(VALUE(INDEX(Vazoes_COLAR!$A$2:$A$200,INT((ROW()-24)/12)+1)),""))</f>
        <v>1914</v>
      </c>
      <c r="C77" s="15" t="n">
        <f aca="false">IF(D77="","",MOD(ROW()-24,12)+1)</f>
        <v>6</v>
      </c>
      <c r="D77" s="16" t="n">
        <f aca="false" t="array" ref="D77: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0.650406230037519</v>
      </c>
      <c r="E77" s="16" t="n">
        <f aca="false">IF(D77="","",D77*$B$15)</f>
        <v>1.68585294825725</v>
      </c>
      <c r="F77" s="16" t="n">
        <f aca="false" t="array" ref="F77:F77">IF(D77="","",IFERROR(INDEX(Dados_Evap!$C$2:$N$15,MATCH($B$9,Dados_Evap!$A$2:$A$15,0),C77),0))</f>
        <v>161.3</v>
      </c>
      <c r="G77" s="16" t="n">
        <f aca="false">IF(F77="","",F77/1000)</f>
        <v>0.1613</v>
      </c>
      <c r="H77" s="16" t="n">
        <f aca="false">IF(D77="","",MAX(0,MIN($B$8,IFERROR(LOOKUP(2,1/($U$24:U76&lt;&gt;""),$U$24:U76),$B$11))))</f>
        <v>37.1976622998745</v>
      </c>
      <c r="I77" s="16" t="n">
        <f aca="false" t="array" ref="I77: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>5.96934206924848</v>
      </c>
      <c r="J77" s="16" t="n">
        <f aca="false">IF(D77="","",$B$12)</f>
        <v>0.35</v>
      </c>
      <c r="K77" s="16" t="n">
        <f aca="false">IF(J77="","",J77*$B$15)</f>
        <v>0.9072</v>
      </c>
      <c r="L77" s="16" t="n">
        <f aca="false">IF(D77="","",H77+E77-K77-G77*I77)</f>
        <v>37.013460372362</v>
      </c>
      <c r="M77" s="16" t="n">
        <f aca="false" t="array" ref="M77: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>5.95095083906444</v>
      </c>
      <c r="N77" s="16" t="n">
        <f aca="false">IF(D77="","",(I77+M77)/2)</f>
        <v>5.96014645415646</v>
      </c>
      <c r="O77" s="16" t="n">
        <f aca="false">IF(D77="","",G77*N77)</f>
        <v>0.961371623055437</v>
      </c>
      <c r="P77" s="16" t="n">
        <f aca="false">IF(D77="","",H77+E77-K77-O77)</f>
        <v>37.0149436250763</v>
      </c>
      <c r="Q77" s="16" t="n">
        <f aca="false">IF(D77="","",IF(P77&gt;=0,K77,MAX(0,K77+P77)))</f>
        <v>0.9072</v>
      </c>
      <c r="R77" s="16" t="n">
        <f aca="false">IF(D77="","",Q77/$B$15)</f>
        <v>0.35</v>
      </c>
      <c r="S77" s="16" t="n">
        <f aca="false">IF(D77="","",MAX(0,J77-R77))</f>
        <v>0</v>
      </c>
      <c r="T77" s="16" t="n">
        <f aca="false">IF(D77="","",MAX(0,Z77-$B$8))</f>
        <v>0</v>
      </c>
      <c r="U77" s="16" t="n">
        <f aca="false">IF(D77="","",MAX(0,MIN($B$8,Z77)))</f>
        <v>37.0149436250763</v>
      </c>
      <c r="V77" s="16" t="str">
        <f aca="false">IF(D77="","",IF(S77&gt;0.0000001,"Sim","Não"))</f>
        <v>Não</v>
      </c>
      <c r="W77" s="16" t="n">
        <f aca="false">IF(D77="","",U77-(H77+E77-Q77-O77-T77))</f>
        <v>0</v>
      </c>
      <c r="X77" s="16" t="n">
        <f aca="false">IF(W77="","",ABS(W77))</f>
        <v>0</v>
      </c>
      <c r="Y77" s="16" t="n">
        <f aca="false">IF(U77="","",IF($B$8=0,0,U77/$B$8*100))</f>
        <v>78.3882753601786</v>
      </c>
      <c r="Z77" s="18" t="n">
        <f aca="false">IF(D77="","",MAX(0,IF(P77&gt;=0,P77,IF(K77+P77&gt;=0,0,P77+K77))))</f>
        <v>37.0149436250763</v>
      </c>
      <c r="AA77" s="18" t="n">
        <f aca="false">IF(D77="","",IF(H77&lt;=$B$16,1,IF(H77&gt;=$B$17,$B$21,MATCH(H77,Aux_CAV!$A$2:$A$121,1))))</f>
        <v>13</v>
      </c>
      <c r="AB77" s="18" t="n">
        <f aca="false">IF(D77="","",IF(L77&lt;=$B$16,1,IF(L77&gt;=$B$17,$B$21,MATCH(L77,Aux_CAV!$A$2:$A$121,1))))</f>
        <v>13</v>
      </c>
      <c r="AC77" s="19" t="n">
        <f aca="false">IF(D77="","",COUNT($D$24:D77))</f>
        <v>42</v>
      </c>
    </row>
    <row r="78" customFormat="false" ht="12.75" hidden="false" customHeight="true" outlineLevel="0" collapsed="false">
      <c r="A78" s="14" t="n">
        <f aca="false">IF(D78="","",DATE(B78,C78,1))</f>
        <v>5296</v>
      </c>
      <c r="B78" s="15" t="n">
        <f aca="false" t="array" ref="B78:B78">IF(D78="","",IFERROR(VALUE(INDEX(Vazoes_COLAR!$A$2:$A$200,INT((ROW()-24)/12)+1)),""))</f>
        <v>1914</v>
      </c>
      <c r="C78" s="15" t="n">
        <f aca="false">IF(D78="","",MOD(ROW()-24,12)+1)</f>
        <v>7</v>
      </c>
      <c r="D78" s="16" t="n">
        <f aca="false" t="array" ref="D78: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0.463902772284056</v>
      </c>
      <c r="E78" s="16" t="n">
        <f aca="false">IF(D78="","",D78*$B$15)</f>
        <v>1.20243598576027</v>
      </c>
      <c r="F78" s="16" t="n">
        <f aca="false" t="array" ref="F78:F78">IF(D78="","",IFERROR(INDEX(Dados_Evap!$C$2:$N$15,MATCH($B$9,Dados_Evap!$A$2:$A$15,0),C78),0))</f>
        <v>224.8</v>
      </c>
      <c r="G78" s="16" t="n">
        <f aca="false">IF(F78="","",F78/1000)</f>
        <v>0.2248</v>
      </c>
      <c r="H78" s="16" t="n">
        <f aca="false">IF(D78="","",MAX(0,MIN($B$8,IFERROR(LOOKUP(2,1/($U$24:U77&lt;&gt;""),$U$24:U77),$B$11))))</f>
        <v>37.0149436250763</v>
      </c>
      <c r="I78" s="16" t="n">
        <f aca="false" t="array" ref="I78: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>5.95109893112004</v>
      </c>
      <c r="J78" s="16" t="n">
        <f aca="false">IF(D78="","",$B$12)</f>
        <v>0.35</v>
      </c>
      <c r="K78" s="16" t="n">
        <f aca="false">IF(J78="","",J78*$B$15)</f>
        <v>0.9072</v>
      </c>
      <c r="L78" s="16" t="n">
        <f aca="false">IF(D78="","",H78+E78-K78-G78*I78)</f>
        <v>35.9723725711208</v>
      </c>
      <c r="M78" s="16" t="n">
        <f aca="false" t="array" ref="M78: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>5.84700575199084</v>
      </c>
      <c r="N78" s="16" t="n">
        <f aca="false">IF(D78="","",(I78+M78)/2)</f>
        <v>5.89905234155544</v>
      </c>
      <c r="O78" s="16" t="n">
        <f aca="false">IF(D78="","",G78*N78)</f>
        <v>1.32610696638166</v>
      </c>
      <c r="P78" s="16" t="n">
        <f aca="false">IF(D78="","",H78+E78-K78-O78)</f>
        <v>35.9840726444549</v>
      </c>
      <c r="Q78" s="16" t="n">
        <f aca="false">IF(D78="","",IF(P78&gt;=0,K78,MAX(0,K78+P78)))</f>
        <v>0.9072</v>
      </c>
      <c r="R78" s="16" t="n">
        <f aca="false">IF(D78="","",Q78/$B$15)</f>
        <v>0.35</v>
      </c>
      <c r="S78" s="16" t="n">
        <f aca="false">IF(D78="","",MAX(0,J78-R78))</f>
        <v>0</v>
      </c>
      <c r="T78" s="16" t="n">
        <f aca="false">IF(D78="","",MAX(0,Z78-$B$8))</f>
        <v>0</v>
      </c>
      <c r="U78" s="16" t="n">
        <f aca="false">IF(D78="","",MAX(0,MIN($B$8,Z78)))</f>
        <v>35.9840726444549</v>
      </c>
      <c r="V78" s="16" t="str">
        <f aca="false">IF(D78="","",IF(S78&gt;0.0000001,"Sim","Não"))</f>
        <v>Não</v>
      </c>
      <c r="W78" s="16" t="n">
        <f aca="false">IF(D78="","",U78-(H78+E78-Q78-O78-T78))</f>
        <v>0</v>
      </c>
      <c r="X78" s="16" t="n">
        <f aca="false">IF(W78="","",ABS(W78))</f>
        <v>0</v>
      </c>
      <c r="Y78" s="16" t="n">
        <f aca="false">IF(U78="","",IF($B$8=0,0,U78/$B$8*100))</f>
        <v>76.2051517248092</v>
      </c>
      <c r="Z78" s="18" t="n">
        <f aca="false">IF(D78="","",MAX(0,IF(P78&gt;=0,P78,IF(K78+P78&gt;=0,0,P78+K78))))</f>
        <v>35.9840726444549</v>
      </c>
      <c r="AA78" s="18" t="n">
        <f aca="false">IF(D78="","",IF(H78&lt;=$B$16,1,IF(H78&gt;=$B$17,$B$21,MATCH(H78,Aux_CAV!$A$2:$A$121,1))))</f>
        <v>13</v>
      </c>
      <c r="AB78" s="18" t="n">
        <f aca="false">IF(D78="","",IF(L78&lt;=$B$16,1,IF(L78&gt;=$B$17,$B$21,MATCH(L78,Aux_CAV!$A$2:$A$121,1))))</f>
        <v>13</v>
      </c>
      <c r="AC78" s="19" t="n">
        <f aca="false">IF(D78="","",COUNT($D$24:D78))</f>
        <v>43</v>
      </c>
    </row>
    <row r="79" customFormat="false" ht="12.75" hidden="false" customHeight="true" outlineLevel="0" collapsed="false">
      <c r="A79" s="14" t="n">
        <f aca="false">IF(D79="","",DATE(B79,C79,1))</f>
        <v>5327</v>
      </c>
      <c r="B79" s="15" t="n">
        <f aca="false" t="array" ref="B79:B79">IF(D79="","",IFERROR(VALUE(INDEX(Vazoes_COLAR!$A$2:$A$200,INT((ROW()-24)/12)+1)),""))</f>
        <v>1914</v>
      </c>
      <c r="C79" s="15" t="n">
        <f aca="false">IF(D79="","",MOD(ROW()-24,12)+1)</f>
        <v>8</v>
      </c>
      <c r="D79" s="16" t="n">
        <f aca="false" t="array" ref="D79: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0.708834527714966</v>
      </c>
      <c r="E79" s="16" t="n">
        <f aca="false">IF(D79="","",D79*$B$15)</f>
        <v>1.83729909583719</v>
      </c>
      <c r="F79" s="16" t="n">
        <f aca="false" t="array" ref="F79:F79">IF(D79="","",IFERROR(INDEX(Dados_Evap!$C$2:$N$15,MATCH($B$9,Dados_Evap!$A$2:$A$15,0),C79),0))</f>
        <v>268.7</v>
      </c>
      <c r="G79" s="16" t="n">
        <f aca="false">IF(F79="","",F79/1000)</f>
        <v>0.2687</v>
      </c>
      <c r="H79" s="16" t="n">
        <f aca="false">IF(D79="","",MAX(0,MIN($B$8,IFERROR(LOOKUP(2,1/($U$24:U78&lt;&gt;""),$U$24:U78),$B$11))))</f>
        <v>35.9840726444549</v>
      </c>
      <c r="I79" s="16" t="n">
        <f aca="false" t="array" ref="I79: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>5.84817391969007</v>
      </c>
      <c r="J79" s="16" t="n">
        <f aca="false">IF(D79="","",$B$12)</f>
        <v>0.35</v>
      </c>
      <c r="K79" s="16" t="n">
        <f aca="false">IF(J79="","",J79*$B$15)</f>
        <v>0.9072</v>
      </c>
      <c r="L79" s="16" t="n">
        <f aca="false">IF(D79="","",H79+E79-K79-G79*I79)</f>
        <v>35.3427674080714</v>
      </c>
      <c r="M79" s="16" t="n">
        <f aca="false" t="array" ref="M79: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>5.78414423020839</v>
      </c>
      <c r="N79" s="16" t="n">
        <f aca="false">IF(D79="","",(I79+M79)/2)</f>
        <v>5.81615907494923</v>
      </c>
      <c r="O79" s="16" t="n">
        <f aca="false">IF(D79="","",G79*N79)</f>
        <v>1.56280194343886</v>
      </c>
      <c r="P79" s="16" t="n">
        <f aca="false">IF(D79="","",H79+E79-K79-O79)</f>
        <v>35.3513697968533</v>
      </c>
      <c r="Q79" s="16" t="n">
        <f aca="false">IF(D79="","",IF(P79&gt;=0,K79,MAX(0,K79+P79)))</f>
        <v>0.9072</v>
      </c>
      <c r="R79" s="16" t="n">
        <f aca="false">IF(D79="","",Q79/$B$15)</f>
        <v>0.35</v>
      </c>
      <c r="S79" s="16" t="n">
        <f aca="false">IF(D79="","",MAX(0,J79-R79))</f>
        <v>0</v>
      </c>
      <c r="T79" s="16" t="n">
        <f aca="false">IF(D79="","",MAX(0,Z79-$B$8))</f>
        <v>0</v>
      </c>
      <c r="U79" s="16" t="n">
        <f aca="false">IF(D79="","",MAX(0,MIN($B$8,Z79)))</f>
        <v>35.3513697968533</v>
      </c>
      <c r="V79" s="16" t="str">
        <f aca="false">IF(D79="","",IF(S79&gt;0.0000001,"Sim","Não"))</f>
        <v>Não</v>
      </c>
      <c r="W79" s="16" t="n">
        <f aca="false">IF(D79="","",U79-(H79+E79-Q79-O79-T79))</f>
        <v>0</v>
      </c>
      <c r="X79" s="16" t="n">
        <f aca="false">IF(W79="","",ABS(W79))</f>
        <v>0</v>
      </c>
      <c r="Y79" s="16" t="n">
        <f aca="false">IF(U79="","",IF($B$8=0,0,U79/$B$8*100))</f>
        <v>74.8652473461526</v>
      </c>
      <c r="Z79" s="18" t="n">
        <f aca="false">IF(D79="","",MAX(0,IF(P79&gt;=0,P79,IF(K79+P79&gt;=0,0,P79+K79))))</f>
        <v>35.3513697968533</v>
      </c>
      <c r="AA79" s="18" t="n">
        <f aca="false">IF(D79="","",IF(H79&lt;=$B$16,1,IF(H79&gt;=$B$17,$B$21,MATCH(H79,Aux_CAV!$A$2:$A$121,1))))</f>
        <v>13</v>
      </c>
      <c r="AB79" s="18" t="n">
        <f aca="false">IF(D79="","",IF(L79&lt;=$B$16,1,IF(L79&gt;=$B$17,$B$21,MATCH(L79,Aux_CAV!$A$2:$A$121,1))))</f>
        <v>13</v>
      </c>
      <c r="AC79" s="19" t="n">
        <f aca="false">IF(D79="","",COUNT($D$24:D79))</f>
        <v>44</v>
      </c>
    </row>
    <row r="80" customFormat="false" ht="12.75" hidden="false" customHeight="true" outlineLevel="0" collapsed="false">
      <c r="A80" s="14" t="n">
        <f aca="false">IF(D80="","",DATE(B80,C80,1))</f>
        <v>5358</v>
      </c>
      <c r="B80" s="15" t="n">
        <f aca="false" t="array" ref="B80:B80">IF(D80="","",IFERROR(VALUE(INDEX(Vazoes_COLAR!$A$2:$A$200,INT((ROW()-24)/12)+1)),""))</f>
        <v>1914</v>
      </c>
      <c r="C80" s="15" t="n">
        <f aca="false">IF(D80="","",MOD(ROW()-24,12)+1)</f>
        <v>9</v>
      </c>
      <c r="D80" s="16" t="n">
        <f aca="false" t="array" ref="D80: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0.0379000147613207</v>
      </c>
      <c r="E80" s="16" t="n">
        <f aca="false">IF(D80="","",D80*$B$15)</f>
        <v>0.0982368382613433</v>
      </c>
      <c r="F80" s="16" t="n">
        <f aca="false" t="array" ref="F80:F80">IF(D80="","",IFERROR(INDEX(Dados_Evap!$C$2:$N$15,MATCH($B$9,Dados_Evap!$A$2:$A$15,0),C80),0))</f>
        <v>292.8</v>
      </c>
      <c r="G80" s="16" t="n">
        <f aca="false">IF(F80="","",F80/1000)</f>
        <v>0.2928</v>
      </c>
      <c r="H80" s="16" t="n">
        <f aca="false">IF(D80="","",MAX(0,MIN($B$8,IFERROR(LOOKUP(2,1/($U$24:U79&lt;&gt;""),$U$24:U79),$B$11))))</f>
        <v>35.3513697968533</v>
      </c>
      <c r="I80" s="16" t="n">
        <f aca="false" t="array" ref="I80: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>5.78500311650972</v>
      </c>
      <c r="J80" s="16" t="n">
        <f aca="false">IF(D80="","",$B$12)</f>
        <v>0.35</v>
      </c>
      <c r="K80" s="16" t="n">
        <f aca="false">IF(J80="","",J80*$B$15)</f>
        <v>0.9072</v>
      </c>
      <c r="L80" s="16" t="n">
        <f aca="false">IF(D80="","",H80+E80-K80-G80*I80)</f>
        <v>32.8485577226005</v>
      </c>
      <c r="M80" s="16" t="n">
        <f aca="false" t="array" ref="M80: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>5.52844240419248</v>
      </c>
      <c r="N80" s="16" t="n">
        <f aca="false">IF(D80="","",(I80+M80)/2)</f>
        <v>5.6567227603511</v>
      </c>
      <c r="O80" s="16" t="n">
        <f aca="false">IF(D80="","",G80*N80)</f>
        <v>1.6562884242308</v>
      </c>
      <c r="P80" s="16" t="n">
        <f aca="false">IF(D80="","",H80+E80-K80-O80)</f>
        <v>32.8861182108838</v>
      </c>
      <c r="Q80" s="16" t="n">
        <f aca="false">IF(D80="","",IF(P80&gt;=0,K80,MAX(0,K80+P80)))</f>
        <v>0.9072</v>
      </c>
      <c r="R80" s="16" t="n">
        <f aca="false">IF(D80="","",Q80/$B$15)</f>
        <v>0.35</v>
      </c>
      <c r="S80" s="16" t="n">
        <f aca="false">IF(D80="","",MAX(0,J80-R80))</f>
        <v>0</v>
      </c>
      <c r="T80" s="16" t="n">
        <f aca="false">IF(D80="","",MAX(0,Z80-$B$8))</f>
        <v>0</v>
      </c>
      <c r="U80" s="16" t="n">
        <f aca="false">IF(D80="","",MAX(0,MIN($B$8,Z80)))</f>
        <v>32.8861182108838</v>
      </c>
      <c r="V80" s="16" t="str">
        <f aca="false">IF(D80="","",IF(S80&gt;0.0000001,"Sim","Não"))</f>
        <v>Não</v>
      </c>
      <c r="W80" s="16" t="n">
        <f aca="false">IF(D80="","",U80-(H80+E80-Q80-O80-T80))</f>
        <v>0</v>
      </c>
      <c r="X80" s="16" t="n">
        <f aca="false">IF(W80="","",ABS(W80))</f>
        <v>0</v>
      </c>
      <c r="Y80" s="16" t="n">
        <f aca="false">IF(U80="","",IF($B$8=0,0,U80/$B$8*100))</f>
        <v>69.6444688921724</v>
      </c>
      <c r="Z80" s="18" t="n">
        <f aca="false">IF(D80="","",MAX(0,IF(P80&gt;=0,P80,IF(K80+P80&gt;=0,0,P80+K80))))</f>
        <v>32.8861182108838</v>
      </c>
      <c r="AA80" s="18" t="n">
        <f aca="false">IF(D80="","",IF(H80&lt;=$B$16,1,IF(H80&gt;=$B$17,$B$21,MATCH(H80,Aux_CAV!$A$2:$A$121,1))))</f>
        <v>13</v>
      </c>
      <c r="AB80" s="18" t="n">
        <f aca="false">IF(D80="","",IF(L80&lt;=$B$16,1,IF(L80&gt;=$B$17,$B$21,MATCH(L80,Aux_CAV!$A$2:$A$121,1))))</f>
        <v>12</v>
      </c>
      <c r="AC80" s="19" t="n">
        <f aca="false">IF(D80="","",COUNT($D$24:D80))</f>
        <v>45</v>
      </c>
    </row>
    <row r="81" customFormat="false" ht="12.75" hidden="false" customHeight="true" outlineLevel="0" collapsed="false">
      <c r="A81" s="14" t="n">
        <f aca="false">IF(D81="","",DATE(B81,C81,1))</f>
        <v>5388</v>
      </c>
      <c r="B81" s="15" t="n">
        <f aca="false" t="array" ref="B81:B81">IF(D81="","",IFERROR(VALUE(INDEX(Vazoes_COLAR!$A$2:$A$200,INT((ROW()-24)/12)+1)),""))</f>
        <v>1914</v>
      </c>
      <c r="C81" s="15" t="n">
        <f aca="false">IF(D81="","",MOD(ROW()-24,12)+1)</f>
        <v>10</v>
      </c>
      <c r="D81" s="16" t="n">
        <f aca="false" t="array" ref="D81: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0.0770920531119705</v>
      </c>
      <c r="E81" s="16" t="n">
        <f aca="false">IF(D81="","",D81*$B$15)</f>
        <v>0.199822601666228</v>
      </c>
      <c r="F81" s="16" t="n">
        <f aca="false" t="array" ref="F81:F81">IF(D81="","",IFERROR(INDEX(Dados_Evap!$C$2:$N$15,MATCH($B$9,Dados_Evap!$A$2:$A$15,0),C81),0))</f>
        <v>262.9</v>
      </c>
      <c r="G81" s="16" t="n">
        <f aca="false">IF(F81="","",F81/1000)</f>
        <v>0.2629</v>
      </c>
      <c r="H81" s="16" t="n">
        <f aca="false">IF(D81="","",MAX(0,MIN($B$8,IFERROR(LOOKUP(2,1/($U$24:U80&lt;&gt;""),$U$24:U80),$B$11))))</f>
        <v>32.8861182108838</v>
      </c>
      <c r="I81" s="16" t="n">
        <f aca="false" t="array" ref="I81: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>5.53234431899472</v>
      </c>
      <c r="J81" s="16" t="n">
        <f aca="false">IF(D81="","",$B$12)</f>
        <v>0.35</v>
      </c>
      <c r="K81" s="16" t="n">
        <f aca="false">IF(J81="","",J81*$B$15)</f>
        <v>0.9072</v>
      </c>
      <c r="L81" s="16" t="n">
        <f aca="false">IF(D81="","",H81+E81-K81-G81*I81)</f>
        <v>30.7242874910863</v>
      </c>
      <c r="M81" s="16" t="n">
        <f aca="false" t="array" ref="M81: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>5.30776578790897</v>
      </c>
      <c r="N81" s="16" t="n">
        <f aca="false">IF(D81="","",(I81+M81)/2)</f>
        <v>5.42005505345184</v>
      </c>
      <c r="O81" s="16" t="n">
        <f aca="false">IF(D81="","",G81*N81)</f>
        <v>1.42493247355249</v>
      </c>
      <c r="P81" s="16" t="n">
        <f aca="false">IF(D81="","",H81+E81-K81-O81)</f>
        <v>30.7538083389975</v>
      </c>
      <c r="Q81" s="16" t="n">
        <f aca="false">IF(D81="","",IF(P81&gt;=0,K81,MAX(0,K81+P81)))</f>
        <v>0.9072</v>
      </c>
      <c r="R81" s="16" t="n">
        <f aca="false">IF(D81="","",Q81/$B$15)</f>
        <v>0.35</v>
      </c>
      <c r="S81" s="16" t="n">
        <f aca="false">IF(D81="","",MAX(0,J81-R81))</f>
        <v>0</v>
      </c>
      <c r="T81" s="16" t="n">
        <f aca="false">IF(D81="","",MAX(0,Z81-$B$8))</f>
        <v>0</v>
      </c>
      <c r="U81" s="16" t="n">
        <f aca="false">IF(D81="","",MAX(0,MIN($B$8,Z81)))</f>
        <v>30.7538083389975</v>
      </c>
      <c r="V81" s="16" t="str">
        <f aca="false">IF(D81="","",IF(S81&gt;0.0000001,"Sim","Não"))</f>
        <v>Não</v>
      </c>
      <c r="W81" s="16" t="n">
        <f aca="false">IF(D81="","",U81-(H81+E81-Q81-O81-T81))</f>
        <v>0</v>
      </c>
      <c r="X81" s="16" t="n">
        <f aca="false">IF(W81="","",ABS(W81))</f>
        <v>0</v>
      </c>
      <c r="Y81" s="16" t="n">
        <f aca="false">IF(U81="","",IF($B$8=0,0,U81/$B$8*100))</f>
        <v>65.1287766603082</v>
      </c>
      <c r="Z81" s="18" t="n">
        <f aca="false">IF(D81="","",MAX(0,IF(P81&gt;=0,P81,IF(K81+P81&gt;=0,0,P81+K81))))</f>
        <v>30.7538083389975</v>
      </c>
      <c r="AA81" s="18" t="n">
        <f aca="false">IF(D81="","",IF(H81&lt;=$B$16,1,IF(H81&gt;=$B$17,$B$21,MATCH(H81,Aux_CAV!$A$2:$A$121,1))))</f>
        <v>12</v>
      </c>
      <c r="AB81" s="18" t="n">
        <f aca="false">IF(D81="","",IF(L81&lt;=$B$16,1,IF(L81&gt;=$B$17,$B$21,MATCH(L81,Aux_CAV!$A$2:$A$121,1))))</f>
        <v>12</v>
      </c>
      <c r="AC81" s="19" t="n">
        <f aca="false">IF(D81="","",COUNT($D$24:D81))</f>
        <v>46</v>
      </c>
    </row>
    <row r="82" customFormat="false" ht="12.75" hidden="false" customHeight="true" outlineLevel="0" collapsed="false">
      <c r="A82" s="14" t="n">
        <f aca="false">IF(D82="","",DATE(B82,C82,1))</f>
        <v>5419</v>
      </c>
      <c r="B82" s="15" t="n">
        <f aca="false" t="array" ref="B82:B82">IF(D82="","",IFERROR(VALUE(INDEX(Vazoes_COLAR!$A$2:$A$200,INT((ROW()-24)/12)+1)),""))</f>
        <v>1914</v>
      </c>
      <c r="C82" s="15" t="n">
        <f aca="false">IF(D82="","",MOD(ROW()-24,12)+1)</f>
        <v>11</v>
      </c>
      <c r="D82" s="16" t="n">
        <f aca="false" t="array" ref="D82: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0.0199176275433443</v>
      </c>
      <c r="E82" s="16" t="n">
        <f aca="false">IF(D82="","",D82*$B$15)</f>
        <v>0.0516264905923484</v>
      </c>
      <c r="F82" s="16" t="n">
        <f aca="false" t="array" ref="F82:F82">IF(D82="","",IFERROR(INDEX(Dados_Evap!$C$2:$N$15,MATCH($B$9,Dados_Evap!$A$2:$A$15,0),C82),0))</f>
        <v>223.7</v>
      </c>
      <c r="G82" s="16" t="n">
        <f aca="false">IF(F82="","",F82/1000)</f>
        <v>0.2237</v>
      </c>
      <c r="H82" s="16" t="n">
        <f aca="false">IF(D82="","",MAX(0,MIN($B$8,IFERROR(LOOKUP(2,1/($U$24:U81&lt;&gt;""),$U$24:U81),$B$11))))</f>
        <v>30.7538083389975</v>
      </c>
      <c r="I82" s="16" t="n">
        <f aca="false" t="array" ref="I82: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>5.31083251676965</v>
      </c>
      <c r="J82" s="16" t="n">
        <f aca="false">IF(D82="","",$B$12)</f>
        <v>0.35</v>
      </c>
      <c r="K82" s="16" t="n">
        <f aca="false">IF(J82="","",J82*$B$15)</f>
        <v>0.9072</v>
      </c>
      <c r="L82" s="16" t="n">
        <f aca="false">IF(D82="","",H82+E82-K82-G82*I82)</f>
        <v>28.7102015955885</v>
      </c>
      <c r="M82" s="16" t="n">
        <f aca="false" t="array" ref="M82: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>5.09853550556114</v>
      </c>
      <c r="N82" s="16" t="n">
        <f aca="false">IF(D82="","",(I82+M82)/2)</f>
        <v>5.20468401116539</v>
      </c>
      <c r="O82" s="16" t="n">
        <f aca="false">IF(D82="","",G82*N82)</f>
        <v>1.1642878132977</v>
      </c>
      <c r="P82" s="16" t="n">
        <f aca="false">IF(D82="","",H82+E82-K82-O82)</f>
        <v>28.7339470162922</v>
      </c>
      <c r="Q82" s="16" t="n">
        <f aca="false">IF(D82="","",IF(P82&gt;=0,K82,MAX(0,K82+P82)))</f>
        <v>0.9072</v>
      </c>
      <c r="R82" s="16" t="n">
        <f aca="false">IF(D82="","",Q82/$B$15)</f>
        <v>0.35</v>
      </c>
      <c r="S82" s="16" t="n">
        <f aca="false">IF(D82="","",MAX(0,J82-R82))</f>
        <v>0</v>
      </c>
      <c r="T82" s="16" t="n">
        <f aca="false">IF(D82="","",MAX(0,Z82-$B$8))</f>
        <v>0</v>
      </c>
      <c r="U82" s="16" t="n">
        <f aca="false">IF(D82="","",MAX(0,MIN($B$8,Z82)))</f>
        <v>28.7339470162922</v>
      </c>
      <c r="V82" s="16" t="str">
        <f aca="false">IF(D82="","",IF(S82&gt;0.0000001,"Sim","Não"))</f>
        <v>Não</v>
      </c>
      <c r="W82" s="16" t="n">
        <f aca="false">IF(D82="","",U82-(H82+E82-Q82-O82-T82))</f>
        <v>0</v>
      </c>
      <c r="X82" s="16" t="n">
        <f aca="false">IF(W82="","",ABS(W82))</f>
        <v>0</v>
      </c>
      <c r="Y82" s="16" t="n">
        <f aca="false">IF(U82="","",IF($B$8=0,0,U82/$B$8*100))</f>
        <v>60.8512219743587</v>
      </c>
      <c r="Z82" s="18" t="n">
        <f aca="false">IF(D82="","",MAX(0,IF(P82&gt;=0,P82,IF(K82+P82&gt;=0,0,P82+K82))))</f>
        <v>28.7339470162922</v>
      </c>
      <c r="AA82" s="18" t="n">
        <f aca="false">IF(D82="","",IF(H82&lt;=$B$16,1,IF(H82&gt;=$B$17,$B$21,MATCH(H82,Aux_CAV!$A$2:$A$121,1))))</f>
        <v>12</v>
      </c>
      <c r="AB82" s="18" t="n">
        <f aca="false">IF(D82="","",IF(L82&lt;=$B$16,1,IF(L82&gt;=$B$17,$B$21,MATCH(L82,Aux_CAV!$A$2:$A$121,1))))</f>
        <v>12</v>
      </c>
      <c r="AC82" s="19" t="n">
        <f aca="false">IF(D82="","",COUNT($D$24:D82))</f>
        <v>47</v>
      </c>
    </row>
    <row r="83" customFormat="false" ht="12.75" hidden="false" customHeight="true" outlineLevel="0" collapsed="false">
      <c r="A83" s="14" t="n">
        <f aca="false">IF(D83="","",DATE(B83,C83,1))</f>
        <v>5449</v>
      </c>
      <c r="B83" s="15" t="n">
        <f aca="false" t="array" ref="B83:B83">IF(D83="","",IFERROR(VALUE(INDEX(Vazoes_COLAR!$A$2:$A$200,INT((ROW()-24)/12)+1)),""))</f>
        <v>1914</v>
      </c>
      <c r="C83" s="15" t="n">
        <f aca="false">IF(D83="","",MOD(ROW()-24,12)+1)</f>
        <v>12</v>
      </c>
      <c r="D83" s="16" t="n">
        <f aca="false" t="array" ref="D83: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0.0151240127726333</v>
      </c>
      <c r="E83" s="16" t="n">
        <f aca="false">IF(D83="","",D83*$B$15)</f>
        <v>0.0392014411066655</v>
      </c>
      <c r="F83" s="16" t="n">
        <f aca="false" t="array" ref="F83:F83">IF(D83="","",IFERROR(INDEX(Dados_Evap!$C$2:$N$15,MATCH($B$9,Dados_Evap!$A$2:$A$15,0),C83),0))</f>
        <v>216.1</v>
      </c>
      <c r="G83" s="16" t="n">
        <f aca="false">IF(F83="","",F83/1000)</f>
        <v>0.2161</v>
      </c>
      <c r="H83" s="16" t="n">
        <f aca="false">IF(D83="","",MAX(0,MIN($B$8,IFERROR(LOOKUP(2,1/($U$24:U82&lt;&gt;""),$U$24:U82),$B$11))))</f>
        <v>28.7339470162922</v>
      </c>
      <c r="I83" s="16" t="n">
        <f aca="false" t="array" ref="I83: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>5.10100226285754</v>
      </c>
      <c r="J83" s="16" t="n">
        <f aca="false">IF(D83="","",$B$12)</f>
        <v>0.35</v>
      </c>
      <c r="K83" s="16" t="n">
        <f aca="false">IF(J83="","",J83*$B$15)</f>
        <v>0.9072</v>
      </c>
      <c r="L83" s="16" t="n">
        <f aca="false">IF(D83="","",H83+E83-K83-G83*I83)</f>
        <v>26.7636218683953</v>
      </c>
      <c r="M83" s="16" t="n">
        <f aca="false" t="array" ref="M83: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>4.89631799992068</v>
      </c>
      <c r="N83" s="16" t="n">
        <f aca="false">IF(D83="","",(I83+M83)/2)</f>
        <v>4.99866013138911</v>
      </c>
      <c r="O83" s="16" t="n">
        <f aca="false">IF(D83="","",G83*N83)</f>
        <v>1.08021045439319</v>
      </c>
      <c r="P83" s="16" t="n">
        <f aca="false">IF(D83="","",H83+E83-K83-O83)</f>
        <v>26.7857380030057</v>
      </c>
      <c r="Q83" s="16" t="n">
        <f aca="false">IF(D83="","",IF(P83&gt;=0,K83,MAX(0,K83+P83)))</f>
        <v>0.9072</v>
      </c>
      <c r="R83" s="16" t="n">
        <f aca="false">IF(D83="","",Q83/$B$15)</f>
        <v>0.35</v>
      </c>
      <c r="S83" s="16" t="n">
        <f aca="false">IF(D83="","",MAX(0,J83-R83))</f>
        <v>0</v>
      </c>
      <c r="T83" s="16" t="n">
        <f aca="false">IF(D83="","",MAX(0,Z83-$B$8))</f>
        <v>0</v>
      </c>
      <c r="U83" s="16" t="n">
        <f aca="false">IF(D83="","",MAX(0,MIN($B$8,Z83)))</f>
        <v>26.7857380030057</v>
      </c>
      <c r="V83" s="16" t="str">
        <f aca="false">IF(D83="","",IF(S83&gt;0.0000001,"Sim","Não"))</f>
        <v>Não</v>
      </c>
      <c r="W83" s="16" t="n">
        <f aca="false">IF(D83="","",U83-(H83+E83-Q83-O83-T83))</f>
        <v>0</v>
      </c>
      <c r="X83" s="16" t="n">
        <f aca="false">IF(W83="","",ABS(W83))</f>
        <v>0</v>
      </c>
      <c r="Y83" s="16" t="n">
        <f aca="false">IF(U83="","",IF($B$8=0,0,U83/$B$8*100))</f>
        <v>56.7254087314817</v>
      </c>
      <c r="Z83" s="18" t="n">
        <f aca="false">IF(D83="","",MAX(0,IF(P83&gt;=0,P83,IF(K83+P83&gt;=0,0,P83+K83))))</f>
        <v>26.7857380030057</v>
      </c>
      <c r="AA83" s="18" t="n">
        <f aca="false">IF(D83="","",IF(H83&lt;=$B$16,1,IF(H83&gt;=$B$17,$B$21,MATCH(H83,Aux_CAV!$A$2:$A$121,1))))</f>
        <v>12</v>
      </c>
      <c r="AB83" s="18" t="n">
        <f aca="false">IF(D83="","",IF(L83&lt;=$B$16,1,IF(L83&gt;=$B$17,$B$21,MATCH(L83,Aux_CAV!$A$2:$A$121,1))))</f>
        <v>12</v>
      </c>
      <c r="AC83" s="19" t="n">
        <f aca="false">IF(D83="","",COUNT($D$24:D83))</f>
        <v>48</v>
      </c>
    </row>
    <row r="84" customFormat="false" ht="12.75" hidden="false" customHeight="true" outlineLevel="0" collapsed="false">
      <c r="A84" s="14" t="n">
        <f aca="false">IF(D84="","",DATE(B84,C84,1))</f>
        <v>5480</v>
      </c>
      <c r="B84" s="15" t="n">
        <f aca="false" t="array" ref="B84:B84">IF(D84="","",IFERROR(VALUE(INDEX(Vazoes_COLAR!$A$2:$A$200,INT((ROW()-24)/12)+1)),""))</f>
        <v>1915</v>
      </c>
      <c r="C84" s="15" t="n">
        <f aca="false">IF(D84="","",MOD(ROW()-24,12)+1)</f>
        <v>1</v>
      </c>
      <c r="D84" s="16" t="n">
        <f aca="false" t="array" ref="D84: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0.0616072358724131</v>
      </c>
      <c r="E84" s="16" t="n">
        <f aca="false">IF(D84="","",D84*$B$15)</f>
        <v>0.159685955381295</v>
      </c>
      <c r="F84" s="16" t="n">
        <f aca="false" t="array" ref="F84:F84">IF(D84="","",IFERROR(INDEX(Dados_Evap!$C$2:$N$15,MATCH($B$9,Dados_Evap!$A$2:$A$15,0),C84),0))</f>
        <v>160</v>
      </c>
      <c r="G84" s="16" t="n">
        <f aca="false">IF(F84="","",F84/1000)</f>
        <v>0.16</v>
      </c>
      <c r="H84" s="16" t="n">
        <f aca="false">IF(D84="","",MAX(0,MIN($B$8,IFERROR(LOOKUP(2,1/($U$24:U83&lt;&gt;""),$U$24:U83),$B$11))))</f>
        <v>26.7857380030057</v>
      </c>
      <c r="I84" s="16" t="n">
        <f aca="false" t="array" ref="I84: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>4.89861550128311</v>
      </c>
      <c r="J84" s="16" t="n">
        <f aca="false">IF(D84="","",$B$12)</f>
        <v>0.35</v>
      </c>
      <c r="K84" s="16" t="n">
        <f aca="false">IF(J84="","",J84*$B$15)</f>
        <v>0.9072</v>
      </c>
      <c r="L84" s="16" t="n">
        <f aca="false">IF(D84="","",H84+E84-K84-G84*I84)</f>
        <v>25.2544454781817</v>
      </c>
      <c r="M84" s="16" t="n">
        <f aca="false" t="array" ref="M84: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>4.73953948171402</v>
      </c>
      <c r="N84" s="16" t="n">
        <f aca="false">IF(D84="","",(I84+M84)/2)</f>
        <v>4.81907749149856</v>
      </c>
      <c r="O84" s="16" t="n">
        <f aca="false">IF(D84="","",G84*N84)</f>
        <v>0.77105239863977</v>
      </c>
      <c r="P84" s="16" t="n">
        <f aca="false">IF(D84="","",H84+E84-K84-O84)</f>
        <v>25.2671715597472</v>
      </c>
      <c r="Q84" s="16" t="n">
        <f aca="false">IF(D84="","",IF(P84&gt;=0,K84,MAX(0,K84+P84)))</f>
        <v>0.9072</v>
      </c>
      <c r="R84" s="16" t="n">
        <f aca="false">IF(D84="","",Q84/$B$15)</f>
        <v>0.35</v>
      </c>
      <c r="S84" s="16" t="n">
        <f aca="false">IF(D84="","",MAX(0,J84-R84))</f>
        <v>0</v>
      </c>
      <c r="T84" s="16" t="n">
        <f aca="false">IF(D84="","",MAX(0,Z84-$B$8))</f>
        <v>0</v>
      </c>
      <c r="U84" s="16" t="n">
        <f aca="false">IF(D84="","",MAX(0,MIN($B$8,Z84)))</f>
        <v>25.2671715597472</v>
      </c>
      <c r="V84" s="16" t="str">
        <f aca="false">IF(D84="","",IF(S84&gt;0.0000001,"Sim","Não"))</f>
        <v>Não</v>
      </c>
      <c r="W84" s="16" t="n">
        <f aca="false">IF(D84="","",U84-(H84+E84-Q84-O84-T84))</f>
        <v>0</v>
      </c>
      <c r="X84" s="16" t="n">
        <f aca="false">IF(W84="","",ABS(W84))</f>
        <v>0</v>
      </c>
      <c r="Y84" s="16" t="n">
        <f aca="false">IF(U84="","",IF($B$8=0,0,U84/$B$8*100))</f>
        <v>53.5094696309767</v>
      </c>
      <c r="Z84" s="18" t="n">
        <f aca="false">IF(D84="","",MAX(0,IF(P84&gt;=0,P84,IF(K84+P84&gt;=0,0,P84+K84))))</f>
        <v>25.2671715597472</v>
      </c>
      <c r="AA84" s="18" t="n">
        <f aca="false">IF(D84="","",IF(H84&lt;=$B$16,1,IF(H84&gt;=$B$17,$B$21,MATCH(H84,Aux_CAV!$A$2:$A$121,1))))</f>
        <v>12</v>
      </c>
      <c r="AB84" s="18" t="n">
        <f aca="false">IF(D84="","",IF(L84&lt;=$B$16,1,IF(L84&gt;=$B$17,$B$21,MATCH(L84,Aux_CAV!$A$2:$A$121,1))))</f>
        <v>12</v>
      </c>
      <c r="AC84" s="19" t="n">
        <f aca="false">IF(D84="","",COUNT($D$24:D84))</f>
        <v>49</v>
      </c>
    </row>
    <row r="85" customFormat="false" ht="12.75" hidden="false" customHeight="true" outlineLevel="0" collapsed="false">
      <c r="A85" s="14" t="n">
        <f aca="false">IF(D85="","",DATE(B85,C85,1))</f>
        <v>5511</v>
      </c>
      <c r="B85" s="15" t="n">
        <f aca="false" t="array" ref="B85:B85">IF(D85="","",IFERROR(VALUE(INDEX(Vazoes_COLAR!$A$2:$A$200,INT((ROW()-24)/12)+1)),""))</f>
        <v>1915</v>
      </c>
      <c r="C85" s="15" t="n">
        <f aca="false">IF(D85="","",MOD(ROW()-24,12)+1)</f>
        <v>2</v>
      </c>
      <c r="D85" s="16" t="n">
        <f aca="false" t="array" ref="D85: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0.0686849689365793</v>
      </c>
      <c r="E85" s="16" t="n">
        <f aca="false">IF(D85="","",D85*$B$15)</f>
        <v>0.178031439483614</v>
      </c>
      <c r="F85" s="16" t="n">
        <f aca="false" t="array" ref="F85:F85">IF(D85="","",IFERROR(INDEX(Dados_Evap!$C$2:$N$15,MATCH($B$9,Dados_Evap!$A$2:$A$15,0),C85),0))</f>
        <v>124.3</v>
      </c>
      <c r="G85" s="16" t="n">
        <f aca="false">IF(F85="","",F85/1000)</f>
        <v>0.1243</v>
      </c>
      <c r="H85" s="16" t="n">
        <f aca="false">IF(D85="","",MAX(0,MIN($B$8,IFERROR(LOOKUP(2,1/($U$24:U84&lt;&gt;""),$U$24:U84),$B$11))))</f>
        <v>25.2671715597472</v>
      </c>
      <c r="I85" s="16" t="n">
        <f aca="false" t="array" ref="I85: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>4.74086151154655</v>
      </c>
      <c r="J85" s="16" t="n">
        <f aca="false">IF(D85="","",$B$12)</f>
        <v>0.35</v>
      </c>
      <c r="K85" s="16" t="n">
        <f aca="false">IF(J85="","",J85*$B$15)</f>
        <v>0.9072</v>
      </c>
      <c r="L85" s="16" t="n">
        <f aca="false">IF(D85="","",H85+E85-K85-G85*I85)</f>
        <v>23.9487139133456</v>
      </c>
      <c r="M85" s="16" t="n">
        <f aca="false" t="array" ref="M85: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>4.59996824818032</v>
      </c>
      <c r="N85" s="16" t="n">
        <f aca="false">IF(D85="","",(I85+M85)/2)</f>
        <v>4.67041487986344</v>
      </c>
      <c r="O85" s="16" t="n">
        <f aca="false">IF(D85="","",G85*N85)</f>
        <v>0.580532569567025</v>
      </c>
      <c r="P85" s="16" t="n">
        <f aca="false">IF(D85="","",H85+E85-K85-O85)</f>
        <v>23.9574704296638</v>
      </c>
      <c r="Q85" s="16" t="n">
        <f aca="false">IF(D85="","",IF(P85&gt;=0,K85,MAX(0,K85+P85)))</f>
        <v>0.9072</v>
      </c>
      <c r="R85" s="16" t="n">
        <f aca="false">IF(D85="","",Q85/$B$15)</f>
        <v>0.35</v>
      </c>
      <c r="S85" s="16" t="n">
        <f aca="false">IF(D85="","",MAX(0,J85-R85))</f>
        <v>0</v>
      </c>
      <c r="T85" s="16" t="n">
        <f aca="false">IF(D85="","",MAX(0,Z85-$B$8))</f>
        <v>0</v>
      </c>
      <c r="U85" s="16" t="n">
        <f aca="false">IF(D85="","",MAX(0,MIN($B$8,Z85)))</f>
        <v>23.9574704296638</v>
      </c>
      <c r="V85" s="16" t="str">
        <f aca="false">IF(D85="","",IF(S85&gt;0.0000001,"Sim","Não"))</f>
        <v>Não</v>
      </c>
      <c r="W85" s="16" t="n">
        <f aca="false">IF(D85="","",U85-(H85+E85-Q85-O85-T85))</f>
        <v>0</v>
      </c>
      <c r="X85" s="16" t="n">
        <f aca="false">IF(W85="","",ABS(W85))</f>
        <v>0</v>
      </c>
      <c r="Y85" s="16" t="n">
        <f aca="false">IF(U85="","",IF($B$8=0,0,U85/$B$8*100))</f>
        <v>50.7358543618462</v>
      </c>
      <c r="Z85" s="18" t="n">
        <f aca="false">IF(D85="","",MAX(0,IF(P85&gt;=0,P85,IF(K85+P85&gt;=0,0,P85+K85))))</f>
        <v>23.9574704296638</v>
      </c>
      <c r="AA85" s="18" t="n">
        <f aca="false">IF(D85="","",IF(H85&lt;=$B$16,1,IF(H85&gt;=$B$17,$B$21,MATCH(H85,Aux_CAV!$A$2:$A$121,1))))</f>
        <v>12</v>
      </c>
      <c r="AB85" s="18" t="n">
        <f aca="false">IF(D85="","",IF(L85&lt;=$B$16,1,IF(L85&gt;=$B$17,$B$21,MATCH(L85,Aux_CAV!$A$2:$A$121,1))))</f>
        <v>11</v>
      </c>
      <c r="AC85" s="19" t="n">
        <f aca="false">IF(D85="","",COUNT($D$24:D85))</f>
        <v>50</v>
      </c>
    </row>
    <row r="86" customFormat="false" ht="12.75" hidden="false" customHeight="true" outlineLevel="0" collapsed="false">
      <c r="A86" s="14" t="n">
        <f aca="false">IF(D86="","",DATE(B86,C86,1))</f>
        <v>5539</v>
      </c>
      <c r="B86" s="15" t="n">
        <f aca="false" t="array" ref="B86:B86">IF(D86="","",IFERROR(VALUE(INDEX(Vazoes_COLAR!$A$2:$A$200,INT((ROW()-24)/12)+1)),""))</f>
        <v>1915</v>
      </c>
      <c r="C86" s="15" t="n">
        <f aca="false">IF(D86="","",MOD(ROW()-24,12)+1)</f>
        <v>3</v>
      </c>
      <c r="D86" s="16" t="n">
        <f aca="false" t="array" ref="D86: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0.13348821090005</v>
      </c>
      <c r="E86" s="16" t="n">
        <f aca="false">IF(D86="","",D86*$B$15)</f>
        <v>0.34600144265293</v>
      </c>
      <c r="F86" s="16" t="n">
        <f aca="false" t="array" ref="F86:F86">IF(D86="","",IFERROR(INDEX(Dados_Evap!$C$2:$N$15,MATCH($B$9,Dados_Evap!$A$2:$A$15,0),C86),0))</f>
        <v>107.7</v>
      </c>
      <c r="G86" s="16" t="n">
        <f aca="false">IF(F86="","",F86/1000)</f>
        <v>0.1077</v>
      </c>
      <c r="H86" s="16" t="n">
        <f aca="false">IF(D86="","",MAX(0,MIN($B$8,IFERROR(LOOKUP(2,1/($U$24:U85&lt;&gt;""),$U$24:U85),$B$11))))</f>
        <v>23.9574704296638</v>
      </c>
      <c r="I86" s="16" t="n">
        <f aca="false" t="array" ref="I86: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>4.60101475866713</v>
      </c>
      <c r="J86" s="16" t="n">
        <f aca="false">IF(D86="","",$B$12)</f>
        <v>0.35</v>
      </c>
      <c r="K86" s="16" t="n">
        <f aca="false">IF(J86="","",J86*$B$15)</f>
        <v>0.9072</v>
      </c>
      <c r="L86" s="16" t="n">
        <f aca="false">IF(D86="","",H86+E86-K86-G86*I86)</f>
        <v>22.9007425828083</v>
      </c>
      <c r="M86" s="16" t="n">
        <f aca="false" t="array" ref="M86: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>4.47472289404294</v>
      </c>
      <c r="N86" s="16" t="n">
        <f aca="false">IF(D86="","",(I86+M86)/2)</f>
        <v>4.53786882635504</v>
      </c>
      <c r="O86" s="16" t="n">
        <f aca="false">IF(D86="","",G86*N86)</f>
        <v>0.488728472598437</v>
      </c>
      <c r="P86" s="16" t="n">
        <f aca="false">IF(D86="","",H86+E86-K86-O86)</f>
        <v>22.9075433997183</v>
      </c>
      <c r="Q86" s="16" t="n">
        <f aca="false">IF(D86="","",IF(P86&gt;=0,K86,MAX(0,K86+P86)))</f>
        <v>0.9072</v>
      </c>
      <c r="R86" s="16" t="n">
        <f aca="false">IF(D86="","",Q86/$B$15)</f>
        <v>0.35</v>
      </c>
      <c r="S86" s="16" t="n">
        <f aca="false">IF(D86="","",MAX(0,J86-R86))</f>
        <v>0</v>
      </c>
      <c r="T86" s="16" t="n">
        <f aca="false">IF(D86="","",MAX(0,Z86-$B$8))</f>
        <v>0</v>
      </c>
      <c r="U86" s="16" t="n">
        <f aca="false">IF(D86="","",MAX(0,MIN($B$8,Z86)))</f>
        <v>22.9075433997183</v>
      </c>
      <c r="V86" s="16" t="str">
        <f aca="false">IF(D86="","",IF(S86&gt;0.0000001,"Sim","Não"))</f>
        <v>Não</v>
      </c>
      <c r="W86" s="16" t="n">
        <f aca="false">IF(D86="","",U86-(H86+E86-Q86-O86-T86))</f>
        <v>0</v>
      </c>
      <c r="X86" s="16" t="n">
        <f aca="false">IF(W86="","",ABS(W86))</f>
        <v>0</v>
      </c>
      <c r="Y86" s="16" t="n">
        <f aca="false">IF(U86="","",IF($B$8=0,0,U86/$B$8*100))</f>
        <v>48.5123748405724</v>
      </c>
      <c r="Z86" s="18" t="n">
        <f aca="false">IF(D86="","",MAX(0,IF(P86&gt;=0,P86,IF(K86+P86&gt;=0,0,P86+K86))))</f>
        <v>22.9075433997183</v>
      </c>
      <c r="AA86" s="18" t="n">
        <f aca="false">IF(D86="","",IF(H86&lt;=$B$16,1,IF(H86&gt;=$B$17,$B$21,MATCH(H86,Aux_CAV!$A$2:$A$121,1))))</f>
        <v>11</v>
      </c>
      <c r="AB86" s="18" t="n">
        <f aca="false">IF(D86="","",IF(L86&lt;=$B$16,1,IF(L86&gt;=$B$17,$B$21,MATCH(L86,Aux_CAV!$A$2:$A$121,1))))</f>
        <v>11</v>
      </c>
      <c r="AC86" s="19" t="n">
        <f aca="false">IF(D86="","",COUNT($D$24:D86))</f>
        <v>51</v>
      </c>
    </row>
    <row r="87" customFormat="false" ht="12.75" hidden="false" customHeight="true" outlineLevel="0" collapsed="false">
      <c r="A87" s="14" t="n">
        <f aca="false">IF(D87="","",DATE(B87,C87,1))</f>
        <v>5570</v>
      </c>
      <c r="B87" s="15" t="n">
        <f aca="false" t="array" ref="B87:B87">IF(D87="","",IFERROR(VALUE(INDEX(Vazoes_COLAR!$A$2:$A$200,INT((ROW()-24)/12)+1)),""))</f>
        <v>1915</v>
      </c>
      <c r="C87" s="15" t="n">
        <f aca="false">IF(D87="","",MOD(ROW()-24,12)+1)</f>
        <v>4</v>
      </c>
      <c r="D87" s="16" t="n">
        <f aca="false" t="array" ref="D87: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0.393908914796058</v>
      </c>
      <c r="E87" s="16" t="n">
        <f aca="false">IF(D87="","",D87*$B$15)</f>
        <v>1.02101190715138</v>
      </c>
      <c r="F87" s="16" t="n">
        <f aca="false" t="array" ref="F87:F87">IF(D87="","",IFERROR(INDEX(Dados_Evap!$C$2:$N$15,MATCH($B$9,Dados_Evap!$A$2:$A$15,0),C87),0))</f>
        <v>100.5</v>
      </c>
      <c r="G87" s="16" t="n">
        <f aca="false">IF(F87="","",F87/1000)</f>
        <v>0.1005</v>
      </c>
      <c r="H87" s="16" t="n">
        <f aca="false">IF(D87="","",MAX(0,MIN($B$8,IFERROR(LOOKUP(2,1/($U$24:U86&lt;&gt;""),$U$24:U86),$B$11))))</f>
        <v>22.9075433997183</v>
      </c>
      <c r="I87" s="16" t="n">
        <f aca="false" t="array" ref="I87: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>4.47553567460048</v>
      </c>
      <c r="J87" s="16" t="n">
        <f aca="false">IF(D87="","",$B$12)</f>
        <v>0.35</v>
      </c>
      <c r="K87" s="16" t="n">
        <f aca="false">IF(J87="","",J87*$B$15)</f>
        <v>0.9072</v>
      </c>
      <c r="L87" s="16" t="n">
        <f aca="false">IF(D87="","",H87+E87-K87-G87*I87)</f>
        <v>22.5715639715723</v>
      </c>
      <c r="M87" s="16" t="n">
        <f aca="false" t="array" ref="M87: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>4.43538203562693</v>
      </c>
      <c r="N87" s="16" t="n">
        <f aca="false">IF(D87="","",(I87+M87)/2)</f>
        <v>4.4554588551137</v>
      </c>
      <c r="O87" s="16" t="n">
        <f aca="false">IF(D87="","",G87*N87)</f>
        <v>0.447773614938927</v>
      </c>
      <c r="P87" s="16" t="n">
        <f aca="false">IF(D87="","",H87+E87-K87-O87)</f>
        <v>22.5735816919307</v>
      </c>
      <c r="Q87" s="16" t="n">
        <f aca="false">IF(D87="","",IF(P87&gt;=0,K87,MAX(0,K87+P87)))</f>
        <v>0.9072</v>
      </c>
      <c r="R87" s="16" t="n">
        <f aca="false">IF(D87="","",Q87/$B$15)</f>
        <v>0.35</v>
      </c>
      <c r="S87" s="16" t="n">
        <f aca="false">IF(D87="","",MAX(0,J87-R87))</f>
        <v>0</v>
      </c>
      <c r="T87" s="16" t="n">
        <f aca="false">IF(D87="","",MAX(0,Z87-$B$8))</f>
        <v>0</v>
      </c>
      <c r="U87" s="16" t="n">
        <f aca="false">IF(D87="","",MAX(0,MIN($B$8,Z87)))</f>
        <v>22.5735816919307</v>
      </c>
      <c r="V87" s="16" t="str">
        <f aca="false">IF(D87="","",IF(S87&gt;0.0000001,"Sim","Não"))</f>
        <v>Não</v>
      </c>
      <c r="W87" s="16" t="n">
        <f aca="false">IF(D87="","",U87-(H87+E87-Q87-O87-T87))</f>
        <v>0</v>
      </c>
      <c r="X87" s="16" t="n">
        <f aca="false">IF(W87="","",ABS(W87))</f>
        <v>0</v>
      </c>
      <c r="Y87" s="16" t="n">
        <f aca="false">IF(U87="","",IF($B$8=0,0,U87/$B$8*100))</f>
        <v>47.8051285301371</v>
      </c>
      <c r="Z87" s="18" t="n">
        <f aca="false">IF(D87="","",MAX(0,IF(P87&gt;=0,P87,IF(K87+P87&gt;=0,0,P87+K87))))</f>
        <v>22.5735816919307</v>
      </c>
      <c r="AA87" s="18" t="n">
        <f aca="false">IF(D87="","",IF(H87&lt;=$B$16,1,IF(H87&gt;=$B$17,$B$21,MATCH(H87,Aux_CAV!$A$2:$A$121,1))))</f>
        <v>11</v>
      </c>
      <c r="AB87" s="18" t="n">
        <f aca="false">IF(D87="","",IF(L87&lt;=$B$16,1,IF(L87&gt;=$B$17,$B$21,MATCH(L87,Aux_CAV!$A$2:$A$121,1))))</f>
        <v>11</v>
      </c>
      <c r="AC87" s="19" t="n">
        <f aca="false">IF(D87="","",COUNT($D$24:D87))</f>
        <v>52</v>
      </c>
    </row>
    <row r="88" customFormat="false" ht="12.75" hidden="false" customHeight="true" outlineLevel="0" collapsed="false">
      <c r="A88" s="14" t="n">
        <f aca="false">IF(D88="","",DATE(B88,C88,1))</f>
        <v>5600</v>
      </c>
      <c r="B88" s="15" t="n">
        <f aca="false" t="array" ref="B88:B88">IF(D88="","",IFERROR(VALUE(INDEX(Vazoes_COLAR!$A$2:$A$200,INT((ROW()-24)/12)+1)),""))</f>
        <v>1915</v>
      </c>
      <c r="C88" s="15" t="n">
        <f aca="false">IF(D88="","",MOD(ROW()-24,12)+1)</f>
        <v>5</v>
      </c>
      <c r="D88" s="16" t="n">
        <f aca="false" t="array" ref="D88: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0.132670736544658</v>
      </c>
      <c r="E88" s="16" t="n">
        <f aca="false">IF(D88="","",D88*$B$15)</f>
        <v>0.343882549123754</v>
      </c>
      <c r="F88" s="16" t="n">
        <f aca="false" t="array" ref="F88:F88">IF(D88="","",IFERROR(INDEX(Dados_Evap!$C$2:$N$15,MATCH($B$9,Dados_Evap!$A$2:$A$15,0),C88),0))</f>
        <v>145.8</v>
      </c>
      <c r="G88" s="16" t="n">
        <f aca="false">IF(F88="","",F88/1000)</f>
        <v>0.1458</v>
      </c>
      <c r="H88" s="16" t="n">
        <f aca="false">IF(D88="","",MAX(0,MIN($B$8,IFERROR(LOOKUP(2,1/($U$24:U87&lt;&gt;""),$U$24:U87),$B$11))))</f>
        <v>22.5735816919307</v>
      </c>
      <c r="I88" s="16" t="n">
        <f aca="false" t="array" ref="I88: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>4.43562317781611</v>
      </c>
      <c r="J88" s="16" t="n">
        <f aca="false">IF(D88="","",$B$12)</f>
        <v>0.35</v>
      </c>
      <c r="K88" s="16" t="n">
        <f aca="false">IF(J88="","",J88*$B$15)</f>
        <v>0.9072</v>
      </c>
      <c r="L88" s="16" t="n">
        <f aca="false">IF(D88="","",H88+E88-K88-G88*I88)</f>
        <v>21.3635503817289</v>
      </c>
      <c r="M88" s="16" t="n">
        <f aca="false" t="array" ref="M88: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>4.2910096797676</v>
      </c>
      <c r="N88" s="16" t="n">
        <f aca="false">IF(D88="","",(I88+M88)/2)</f>
        <v>4.36331642879185</v>
      </c>
      <c r="O88" s="16" t="n">
        <f aca="false">IF(D88="","",G88*N88)</f>
        <v>0.636171535317852</v>
      </c>
      <c r="P88" s="16" t="n">
        <f aca="false">IF(D88="","",H88+E88-K88-O88)</f>
        <v>21.3740927057366</v>
      </c>
      <c r="Q88" s="16" t="n">
        <f aca="false">IF(D88="","",IF(P88&gt;=0,K88,MAX(0,K88+P88)))</f>
        <v>0.9072</v>
      </c>
      <c r="R88" s="16" t="n">
        <f aca="false">IF(D88="","",Q88/$B$15)</f>
        <v>0.35</v>
      </c>
      <c r="S88" s="16" t="n">
        <f aca="false">IF(D88="","",MAX(0,J88-R88))</f>
        <v>0</v>
      </c>
      <c r="T88" s="16" t="n">
        <f aca="false">IF(D88="","",MAX(0,Z88-$B$8))</f>
        <v>0</v>
      </c>
      <c r="U88" s="16" t="n">
        <f aca="false">IF(D88="","",MAX(0,MIN($B$8,Z88)))</f>
        <v>21.3740927057366</v>
      </c>
      <c r="V88" s="16" t="str">
        <f aca="false">IF(D88="","",IF(S88&gt;0.0000001,"Sim","Não"))</f>
        <v>Não</v>
      </c>
      <c r="W88" s="16" t="n">
        <f aca="false">IF(D88="","",U88-(H88+E88-Q88-O88-T88))</f>
        <v>0</v>
      </c>
      <c r="X88" s="16" t="n">
        <f aca="false">IF(W88="","",ABS(W88))</f>
        <v>0</v>
      </c>
      <c r="Y88" s="16" t="n">
        <f aca="false">IF(U88="","",IF($B$8=0,0,U88/$B$8*100))</f>
        <v>45.264914666956</v>
      </c>
      <c r="Z88" s="18" t="n">
        <f aca="false">IF(D88="","",MAX(0,IF(P88&gt;=0,P88,IF(K88+P88&gt;=0,0,P88+K88))))</f>
        <v>21.3740927057366</v>
      </c>
      <c r="AA88" s="18" t="n">
        <f aca="false">IF(D88="","",IF(H88&lt;=$B$16,1,IF(H88&gt;=$B$17,$B$21,MATCH(H88,Aux_CAV!$A$2:$A$121,1))))</f>
        <v>11</v>
      </c>
      <c r="AB88" s="18" t="n">
        <f aca="false">IF(D88="","",IF(L88&lt;=$B$16,1,IF(L88&gt;=$B$17,$B$21,MATCH(L88,Aux_CAV!$A$2:$A$121,1))))</f>
        <v>11</v>
      </c>
      <c r="AC88" s="19" t="n">
        <f aca="false">IF(D88="","",COUNT($D$24:D88))</f>
        <v>53</v>
      </c>
    </row>
    <row r="89" customFormat="false" ht="12.75" hidden="false" customHeight="true" outlineLevel="0" collapsed="false">
      <c r="A89" s="14" t="n">
        <f aca="false">IF(D89="","",DATE(B89,C89,1))</f>
        <v>5631</v>
      </c>
      <c r="B89" s="15" t="n">
        <f aca="false" t="array" ref="B89:B89">IF(D89="","",IFERROR(VALUE(INDEX(Vazoes_COLAR!$A$2:$A$200,INT((ROW()-24)/12)+1)),""))</f>
        <v>1915</v>
      </c>
      <c r="C89" s="15" t="n">
        <f aca="false">IF(D89="","",MOD(ROW()-24,12)+1)</f>
        <v>6</v>
      </c>
      <c r="D89" s="16" t="n">
        <f aca="false" t="array" ref="D89: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0.0109492781238821</v>
      </c>
      <c r="E89" s="16" t="n">
        <f aca="false">IF(D89="","",D89*$B$15)</f>
        <v>0.0283805288971024</v>
      </c>
      <c r="F89" s="16" t="n">
        <f aca="false" t="array" ref="F89:F89">IF(D89="","",IFERROR(INDEX(Dados_Evap!$C$2:$N$15,MATCH($B$9,Dados_Evap!$A$2:$A$15,0),C89),0))</f>
        <v>161.3</v>
      </c>
      <c r="G89" s="16" t="n">
        <f aca="false">IF(F89="","",F89/1000)</f>
        <v>0.1613</v>
      </c>
      <c r="H89" s="16" t="n">
        <f aca="false">IF(D89="","",MAX(0,MIN($B$8,IFERROR(LOOKUP(2,1/($U$24:U88&lt;&gt;""),$U$24:U88),$B$11))))</f>
        <v>21.3740927057366</v>
      </c>
      <c r="I89" s="16" t="n">
        <f aca="false" t="array" ref="I89: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>4.29226961605145</v>
      </c>
      <c r="J89" s="16" t="n">
        <f aca="false">IF(D89="","",$B$12)</f>
        <v>0.35</v>
      </c>
      <c r="K89" s="16" t="n">
        <f aca="false">IF(J89="","",J89*$B$15)</f>
        <v>0.9072</v>
      </c>
      <c r="L89" s="16" t="n">
        <f aca="false">IF(D89="","",H89+E89-K89-G89*I89)</f>
        <v>19.8029301455646</v>
      </c>
      <c r="M89" s="16" t="n">
        <f aca="false" t="array" ref="M89: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>4.10449652959187</v>
      </c>
      <c r="N89" s="16" t="n">
        <f aca="false">IF(D89="","",(I89+M89)/2)</f>
        <v>4.19838307282166</v>
      </c>
      <c r="O89" s="16" t="n">
        <f aca="false">IF(D89="","",G89*N89)</f>
        <v>0.677199189646134</v>
      </c>
      <c r="P89" s="16" t="n">
        <f aca="false">IF(D89="","",H89+E89-K89-O89)</f>
        <v>19.8180740449876</v>
      </c>
      <c r="Q89" s="16" t="n">
        <f aca="false">IF(D89="","",IF(P89&gt;=0,K89,MAX(0,K89+P89)))</f>
        <v>0.9072</v>
      </c>
      <c r="R89" s="16" t="n">
        <f aca="false">IF(D89="","",Q89/$B$15)</f>
        <v>0.35</v>
      </c>
      <c r="S89" s="16" t="n">
        <f aca="false">IF(D89="","",MAX(0,J89-R89))</f>
        <v>0</v>
      </c>
      <c r="T89" s="16" t="n">
        <f aca="false">IF(D89="","",MAX(0,Z89-$B$8))</f>
        <v>0</v>
      </c>
      <c r="U89" s="16" t="n">
        <f aca="false">IF(D89="","",MAX(0,MIN($B$8,Z89)))</f>
        <v>19.8180740449876</v>
      </c>
      <c r="V89" s="16" t="str">
        <f aca="false">IF(D89="","",IF(S89&gt;0.0000001,"Sim","Não"))</f>
        <v>Não</v>
      </c>
      <c r="W89" s="16" t="n">
        <f aca="false">IF(D89="","",U89-(H89+E89-Q89-O89-T89))</f>
        <v>0</v>
      </c>
      <c r="X89" s="16" t="n">
        <f aca="false">IF(W89="","",ABS(W89))</f>
        <v>0</v>
      </c>
      <c r="Y89" s="16" t="n">
        <f aca="false">IF(U89="","",IF($B$8=0,0,U89/$B$8*100))</f>
        <v>41.9696612557975</v>
      </c>
      <c r="Z89" s="18" t="n">
        <f aca="false">IF(D89="","",MAX(0,IF(P89&gt;=0,P89,IF(K89+P89&gt;=0,0,P89+K89))))</f>
        <v>19.8180740449876</v>
      </c>
      <c r="AA89" s="18" t="n">
        <f aca="false">IF(D89="","",IF(H89&lt;=$B$16,1,IF(H89&gt;=$B$17,$B$21,MATCH(H89,Aux_CAV!$A$2:$A$121,1))))</f>
        <v>11</v>
      </c>
      <c r="AB89" s="18" t="n">
        <f aca="false">IF(D89="","",IF(L89&lt;=$B$16,1,IF(L89&gt;=$B$17,$B$21,MATCH(L89,Aux_CAV!$A$2:$A$121,1))))</f>
        <v>11</v>
      </c>
      <c r="AC89" s="19" t="n">
        <f aca="false">IF(D89="","",COUNT($D$24:D89))</f>
        <v>54</v>
      </c>
    </row>
    <row r="90" customFormat="false" ht="12.75" hidden="false" customHeight="true" outlineLevel="0" collapsed="false">
      <c r="A90" s="14" t="n">
        <f aca="false">IF(D90="","",DATE(B90,C90,1))</f>
        <v>5661</v>
      </c>
      <c r="B90" s="15" t="n">
        <f aca="false" t="array" ref="B90:B90">IF(D90="","",IFERROR(VALUE(INDEX(Vazoes_COLAR!$A$2:$A$200,INT((ROW()-24)/12)+1)),""))</f>
        <v>1915</v>
      </c>
      <c r="C90" s="15" t="n">
        <f aca="false">IF(D90="","",MOD(ROW()-24,12)+1)</f>
        <v>7</v>
      </c>
      <c r="D90" s="16" t="n">
        <f aca="false" t="array" ref="D90: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0.00808219904430907</v>
      </c>
      <c r="E90" s="16" t="n">
        <f aca="false">IF(D90="","",D90*$B$15)</f>
        <v>0.0209490599228491</v>
      </c>
      <c r="F90" s="16" t="n">
        <f aca="false" t="array" ref="F90:F90">IF(D90="","",IFERROR(INDEX(Dados_Evap!$C$2:$N$15,MATCH($B$9,Dados_Evap!$A$2:$A$15,0),C90),0))</f>
        <v>224.8</v>
      </c>
      <c r="G90" s="16" t="n">
        <f aca="false">IF(F90="","",F90/1000)</f>
        <v>0.2248</v>
      </c>
      <c r="H90" s="16" t="n">
        <f aca="false">IF(D90="","",MAX(0,MIN($B$8,IFERROR(LOOKUP(2,1/($U$24:U89&lt;&gt;""),$U$24:U89),$B$11))))</f>
        <v>19.8180740449876</v>
      </c>
      <c r="I90" s="16" t="n">
        <f aca="false" t="array" ref="I90: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>4.10630641025461</v>
      </c>
      <c r="J90" s="16" t="n">
        <f aca="false">IF(D90="","",$B$12)</f>
        <v>0.35</v>
      </c>
      <c r="K90" s="16" t="n">
        <f aca="false">IF(J90="","",J90*$B$15)</f>
        <v>0.9072</v>
      </c>
      <c r="L90" s="16" t="n">
        <f aca="false">IF(D90="","",H90+E90-K90-G90*I90)</f>
        <v>18.0087254238852</v>
      </c>
      <c r="M90" s="16" t="n">
        <f aca="false" t="array" ref="M90: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>3.89006718480579</v>
      </c>
      <c r="N90" s="16" t="n">
        <f aca="false">IF(D90="","",(I90+M90)/2)</f>
        <v>3.9981867975302</v>
      </c>
      <c r="O90" s="16" t="n">
        <f aca="false">IF(D90="","",G90*N90)</f>
        <v>0.89879239208479</v>
      </c>
      <c r="P90" s="16" t="n">
        <f aca="false">IF(D90="","",H90+E90-K90-O90)</f>
        <v>18.0330307128256</v>
      </c>
      <c r="Q90" s="16" t="n">
        <f aca="false">IF(D90="","",IF(P90&gt;=0,K90,MAX(0,K90+P90)))</f>
        <v>0.9072</v>
      </c>
      <c r="R90" s="16" t="n">
        <f aca="false">IF(D90="","",Q90/$B$15)</f>
        <v>0.35</v>
      </c>
      <c r="S90" s="16" t="n">
        <f aca="false">IF(D90="","",MAX(0,J90-R90))</f>
        <v>0</v>
      </c>
      <c r="T90" s="16" t="n">
        <f aca="false">IF(D90="","",MAX(0,Z90-$B$8))</f>
        <v>0</v>
      </c>
      <c r="U90" s="16" t="n">
        <f aca="false">IF(D90="","",MAX(0,MIN($B$8,Z90)))</f>
        <v>18.0330307128256</v>
      </c>
      <c r="V90" s="16" t="str">
        <f aca="false">IF(D90="","",IF(S90&gt;0.0000001,"Sim","Não"))</f>
        <v>Não</v>
      </c>
      <c r="W90" s="16" t="n">
        <f aca="false">IF(D90="","",U90-(H90+E90-Q90-O90-T90))</f>
        <v>0</v>
      </c>
      <c r="X90" s="16" t="n">
        <f aca="false">IF(W90="","",ABS(W90))</f>
        <v>0</v>
      </c>
      <c r="Y90" s="16" t="n">
        <f aca="false">IF(U90="","",IF($B$8=0,0,U90/$B$8*100))</f>
        <v>38.1893915985295</v>
      </c>
      <c r="Z90" s="18" t="n">
        <f aca="false">IF(D90="","",MAX(0,IF(P90&gt;=0,P90,IF(K90+P90&gt;=0,0,P90+K90))))</f>
        <v>18.0330307128256</v>
      </c>
      <c r="AA90" s="18" t="n">
        <f aca="false">IF(D90="","",IF(H90&lt;=$B$16,1,IF(H90&gt;=$B$17,$B$21,MATCH(H90,Aux_CAV!$A$2:$A$121,1))))</f>
        <v>11</v>
      </c>
      <c r="AB90" s="18" t="n">
        <f aca="false">IF(D90="","",IF(L90&lt;=$B$16,1,IF(L90&gt;=$B$17,$B$21,MATCH(L90,Aux_CAV!$A$2:$A$121,1))))</f>
        <v>11</v>
      </c>
      <c r="AC90" s="19" t="n">
        <f aca="false">IF(D90="","",COUNT($D$24:D90))</f>
        <v>55</v>
      </c>
    </row>
    <row r="91" customFormat="false" ht="12.75" hidden="false" customHeight="true" outlineLevel="0" collapsed="false">
      <c r="A91" s="14" t="n">
        <f aca="false">IF(D91="","",DATE(B91,C91,1))</f>
        <v>5692</v>
      </c>
      <c r="B91" s="15" t="n">
        <f aca="false" t="array" ref="B91:B91">IF(D91="","",IFERROR(VALUE(INDEX(Vazoes_COLAR!$A$2:$A$200,INT((ROW()-24)/12)+1)),""))</f>
        <v>1915</v>
      </c>
      <c r="C91" s="15" t="n">
        <f aca="false">IF(D91="","",MOD(ROW()-24,12)+1)</f>
        <v>8</v>
      </c>
      <c r="D91" s="16" t="n">
        <f aca="false" t="array" ref="D91: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0.0064151192256264</v>
      </c>
      <c r="E91" s="16" t="n">
        <f aca="false">IF(D91="","",D91*$B$15)</f>
        <v>0.0166279890328236</v>
      </c>
      <c r="F91" s="16" t="n">
        <f aca="false" t="array" ref="F91:F91">IF(D91="","",IFERROR(INDEX(Dados_Evap!$C$2:$N$15,MATCH($B$9,Dados_Evap!$A$2:$A$15,0),C91),0))</f>
        <v>268.7</v>
      </c>
      <c r="G91" s="16" t="n">
        <f aca="false">IF(F91="","",F91/1000)</f>
        <v>0.2687</v>
      </c>
      <c r="H91" s="16" t="n">
        <f aca="false">IF(D91="","",MAX(0,MIN($B$8,IFERROR(LOOKUP(2,1/($U$24:U90&lt;&gt;""),$U$24:U90),$B$11))))</f>
        <v>18.0330307128256</v>
      </c>
      <c r="I91" s="16" t="n">
        <f aca="false" t="array" ref="I91: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>3.89297196324014</v>
      </c>
      <c r="J91" s="16" t="n">
        <f aca="false">IF(D91="","",$B$12)</f>
        <v>0.35</v>
      </c>
      <c r="K91" s="16" t="n">
        <f aca="false">IF(J91="","",J91*$B$15)</f>
        <v>0.9072</v>
      </c>
      <c r="L91" s="16" t="n">
        <f aca="false">IF(D91="","",H91+E91-K91-G91*I91)</f>
        <v>16.0964171353358</v>
      </c>
      <c r="M91" s="16" t="n">
        <f aca="false" t="array" ref="M91: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>3.66152302349136</v>
      </c>
      <c r="N91" s="16" t="n">
        <f aca="false">IF(D91="","",(I91+M91)/2)</f>
        <v>3.77724749336575</v>
      </c>
      <c r="O91" s="16" t="n">
        <f aca="false">IF(D91="","",G91*N91)</f>
        <v>1.01494640146738</v>
      </c>
      <c r="P91" s="16" t="n">
        <f aca="false">IF(D91="","",H91+E91-K91-O91)</f>
        <v>16.1275123003911</v>
      </c>
      <c r="Q91" s="16" t="n">
        <f aca="false">IF(D91="","",IF(P91&gt;=0,K91,MAX(0,K91+P91)))</f>
        <v>0.9072</v>
      </c>
      <c r="R91" s="16" t="n">
        <f aca="false">IF(D91="","",Q91/$B$15)</f>
        <v>0.35</v>
      </c>
      <c r="S91" s="16" t="n">
        <f aca="false">IF(D91="","",MAX(0,J91-R91))</f>
        <v>0</v>
      </c>
      <c r="T91" s="16" t="n">
        <f aca="false">IF(D91="","",MAX(0,Z91-$B$8))</f>
        <v>0</v>
      </c>
      <c r="U91" s="16" t="n">
        <f aca="false">IF(D91="","",MAX(0,MIN($B$8,Z91)))</f>
        <v>16.1275123003911</v>
      </c>
      <c r="V91" s="16" t="str">
        <f aca="false">IF(D91="","",IF(S91&gt;0.0000001,"Sim","Não"))</f>
        <v>Não</v>
      </c>
      <c r="W91" s="16" t="n">
        <f aca="false">IF(D91="","",U91-(H91+E91-Q91-O91-T91))</f>
        <v>0</v>
      </c>
      <c r="X91" s="16" t="n">
        <f aca="false">IF(W91="","",ABS(W91))</f>
        <v>0</v>
      </c>
      <c r="Y91" s="16" t="n">
        <f aca="false">IF(U91="","",IF($B$8=0,0,U91/$B$8*100))</f>
        <v>34.1539862354746</v>
      </c>
      <c r="Z91" s="18" t="n">
        <f aca="false">IF(D91="","",MAX(0,IF(P91&gt;=0,P91,IF(K91+P91&gt;=0,0,P91+K91))))</f>
        <v>16.1275123003911</v>
      </c>
      <c r="AA91" s="18" t="n">
        <f aca="false">IF(D91="","",IF(H91&lt;=$B$16,1,IF(H91&gt;=$B$17,$B$21,MATCH(H91,Aux_CAV!$A$2:$A$121,1))))</f>
        <v>11</v>
      </c>
      <c r="AB91" s="18" t="n">
        <f aca="false">IF(D91="","",IF(L91&lt;=$B$16,1,IF(L91&gt;=$B$17,$B$21,MATCH(L91,Aux_CAV!$A$2:$A$121,1))))</f>
        <v>11</v>
      </c>
      <c r="AC91" s="19" t="n">
        <f aca="false">IF(D91="","",COUNT($D$24:D91))</f>
        <v>56</v>
      </c>
    </row>
    <row r="92" customFormat="false" ht="12.75" hidden="false" customHeight="true" outlineLevel="0" collapsed="false">
      <c r="A92" s="14" t="n">
        <f aca="false">IF(D92="","",DATE(B92,C92,1))</f>
        <v>5723</v>
      </c>
      <c r="B92" s="15" t="n">
        <f aca="false" t="array" ref="B92:B92">IF(D92="","",IFERROR(VALUE(INDEX(Vazoes_COLAR!$A$2:$A$200,INT((ROW()-24)/12)+1)),""))</f>
        <v>1915</v>
      </c>
      <c r="C92" s="15" t="n">
        <f aca="false">IF(D92="","",MOD(ROW()-24,12)+1)</f>
        <v>9</v>
      </c>
      <c r="D92" s="16" t="n">
        <f aca="false" t="array" ref="D92: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0.00394473265987448</v>
      </c>
      <c r="E92" s="16" t="n">
        <f aca="false">IF(D92="","",D92*$B$15)</f>
        <v>0.0102247470543947</v>
      </c>
      <c r="F92" s="16" t="n">
        <f aca="false" t="array" ref="F92:F92">IF(D92="","",IFERROR(INDEX(Dados_Evap!$C$2:$N$15,MATCH($B$9,Dados_Evap!$A$2:$A$15,0),C92),0))</f>
        <v>292.8</v>
      </c>
      <c r="G92" s="16" t="n">
        <f aca="false">IF(F92="","",F92/1000)</f>
        <v>0.2928</v>
      </c>
      <c r="H92" s="16" t="n">
        <f aca="false">IF(D92="","",MAX(0,MIN($B$8,IFERROR(LOOKUP(2,1/($U$24:U91&lt;&gt;""),$U$24:U91),$B$11))))</f>
        <v>16.1275123003911</v>
      </c>
      <c r="I92" s="16" t="n">
        <f aca="false" t="array" ref="I92: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>3.66523927492479</v>
      </c>
      <c r="J92" s="16" t="n">
        <f aca="false">IF(D92="","",$B$12)</f>
        <v>0.35</v>
      </c>
      <c r="K92" s="16" t="n">
        <f aca="false">IF(J92="","",J92*$B$15)</f>
        <v>0.9072</v>
      </c>
      <c r="L92" s="16" t="n">
        <f aca="false">IF(D92="","",H92+E92-K92-G92*I92)</f>
        <v>14.1573549877475</v>
      </c>
      <c r="M92" s="16" t="n">
        <f aca="false" t="array" ref="M92: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>3.49283321954317</v>
      </c>
      <c r="N92" s="16" t="n">
        <f aca="false">IF(D92="","",(I92+M92)/2)</f>
        <v>3.57903624723398</v>
      </c>
      <c r="O92" s="16" t="n">
        <f aca="false">IF(D92="","",G92*N92)</f>
        <v>1.04794181319011</v>
      </c>
      <c r="P92" s="16" t="n">
        <f aca="false">IF(D92="","",H92+E92-K92-O92)</f>
        <v>14.1825952342554</v>
      </c>
      <c r="Q92" s="16" t="n">
        <f aca="false">IF(D92="","",IF(P92&gt;=0,K92,MAX(0,K92+P92)))</f>
        <v>0.9072</v>
      </c>
      <c r="R92" s="16" t="n">
        <f aca="false">IF(D92="","",Q92/$B$15)</f>
        <v>0.35</v>
      </c>
      <c r="S92" s="16" t="n">
        <f aca="false">IF(D92="","",MAX(0,J92-R92))</f>
        <v>0</v>
      </c>
      <c r="T92" s="16" t="n">
        <f aca="false">IF(D92="","",MAX(0,Z92-$B$8))</f>
        <v>0</v>
      </c>
      <c r="U92" s="16" t="n">
        <f aca="false">IF(D92="","",MAX(0,MIN($B$8,Z92)))</f>
        <v>14.1825952342554</v>
      </c>
      <c r="V92" s="16" t="str">
        <f aca="false">IF(D92="","",IF(S92&gt;0.0000001,"Sim","Não"))</f>
        <v>Não</v>
      </c>
      <c r="W92" s="16" t="n">
        <f aca="false">IF(D92="","",U92-(H92+E92-Q92-O92-T92))</f>
        <v>0</v>
      </c>
      <c r="X92" s="16" t="n">
        <f aca="false">IF(W92="","",ABS(W92))</f>
        <v>0</v>
      </c>
      <c r="Y92" s="16" t="n">
        <f aca="false">IF(U92="","",IF($B$8=0,0,U92/$B$8*100))</f>
        <v>30.0351445028704</v>
      </c>
      <c r="Z92" s="18" t="n">
        <f aca="false">IF(D92="","",MAX(0,IF(P92&gt;=0,P92,IF(K92+P92&gt;=0,0,P92+K92))))</f>
        <v>14.1825952342554</v>
      </c>
      <c r="AA92" s="18" t="n">
        <f aca="false">IF(D92="","",IF(H92&lt;=$B$16,1,IF(H92&gt;=$B$17,$B$21,MATCH(H92,Aux_CAV!$A$2:$A$121,1))))</f>
        <v>11</v>
      </c>
      <c r="AB92" s="18" t="n">
        <f aca="false">IF(D92="","",IF(L92&lt;=$B$16,1,IF(L92&gt;=$B$17,$B$21,MATCH(L92,Aux_CAV!$A$2:$A$121,1))))</f>
        <v>10</v>
      </c>
      <c r="AC92" s="19" t="n">
        <f aca="false">IF(D92="","",COUNT($D$24:D92))</f>
        <v>57</v>
      </c>
    </row>
    <row r="93" customFormat="false" ht="12.75" hidden="false" customHeight="true" outlineLevel="0" collapsed="false">
      <c r="A93" s="14" t="n">
        <f aca="false">IF(D93="","",DATE(B93,C93,1))</f>
        <v>5753</v>
      </c>
      <c r="B93" s="15" t="n">
        <f aca="false" t="array" ref="B93:B93">IF(D93="","",IFERROR(VALUE(INDEX(Vazoes_COLAR!$A$2:$A$200,INT((ROW()-24)/12)+1)),""))</f>
        <v>1915</v>
      </c>
      <c r="C93" s="15" t="n">
        <f aca="false">IF(D93="","",MOD(ROW()-24,12)+1)</f>
        <v>10</v>
      </c>
      <c r="D93" s="16" t="n">
        <f aca="false" t="array" ref="D93: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0.0036487194301372</v>
      </c>
      <c r="E93" s="16" t="n">
        <f aca="false">IF(D93="","",D93*$B$15)</f>
        <v>0.00945748076291562</v>
      </c>
      <c r="F93" s="16" t="n">
        <f aca="false" t="array" ref="F93:F93">IF(D93="","",IFERROR(INDEX(Dados_Evap!$C$2:$N$15,MATCH($B$9,Dados_Evap!$A$2:$A$15,0),C93),0))</f>
        <v>262.9</v>
      </c>
      <c r="G93" s="16" t="n">
        <f aca="false">IF(F93="","",F93/1000)</f>
        <v>0.2629</v>
      </c>
      <c r="H93" s="16" t="n">
        <f aca="false">IF(D93="","",MAX(0,MIN($B$8,IFERROR(LOOKUP(2,1/($U$24:U92&lt;&gt;""),$U$24:U92),$B$11))))</f>
        <v>14.1825952342554</v>
      </c>
      <c r="I93" s="16" t="n">
        <f aca="false" t="array" ref="I93: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>3.49498606409825</v>
      </c>
      <c r="J93" s="16" t="n">
        <f aca="false">IF(D93="","",$B$12)</f>
        <v>0.35</v>
      </c>
      <c r="K93" s="16" t="n">
        <f aca="false">IF(J93="","",J93*$B$15)</f>
        <v>0.9072</v>
      </c>
      <c r="L93" s="16" t="n">
        <f aca="false">IF(D93="","",H93+E93-K93-G93*I93)</f>
        <v>12.3660208787669</v>
      </c>
      <c r="M93" s="16" t="n">
        <f aca="false" t="array" ref="M93: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>3.34004295730659</v>
      </c>
      <c r="N93" s="16" t="n">
        <f aca="false">IF(D93="","",(I93+M93)/2)</f>
        <v>3.41751451070242</v>
      </c>
      <c r="O93" s="16" t="n">
        <f aca="false">IF(D93="","",G93*N93)</f>
        <v>0.898464564863666</v>
      </c>
      <c r="P93" s="16" t="n">
        <f aca="false">IF(D93="","",H93+E93-K93-O93)</f>
        <v>12.3863881501546</v>
      </c>
      <c r="Q93" s="16" t="n">
        <f aca="false">IF(D93="","",IF(P93&gt;=0,K93,MAX(0,K93+P93)))</f>
        <v>0.9072</v>
      </c>
      <c r="R93" s="16" t="n">
        <f aca="false">IF(D93="","",Q93/$B$15)</f>
        <v>0.35</v>
      </c>
      <c r="S93" s="16" t="n">
        <f aca="false">IF(D93="","",MAX(0,J93-R93))</f>
        <v>0</v>
      </c>
      <c r="T93" s="16" t="n">
        <f aca="false">IF(D93="","",MAX(0,Z93-$B$8))</f>
        <v>0</v>
      </c>
      <c r="U93" s="16" t="n">
        <f aca="false">IF(D93="","",MAX(0,MIN($B$8,Z93)))</f>
        <v>12.3863881501546</v>
      </c>
      <c r="V93" s="16" t="str">
        <f aca="false">IF(D93="","",IF(S93&gt;0.0000001,"Sim","Não"))</f>
        <v>Não</v>
      </c>
      <c r="W93" s="16" t="n">
        <f aca="false">IF(D93="","",U93-(H93+E93-Q93-O93-T93))</f>
        <v>0</v>
      </c>
      <c r="X93" s="16" t="n">
        <f aca="false">IF(W93="","",ABS(W93))</f>
        <v>0</v>
      </c>
      <c r="Y93" s="16" t="n">
        <f aca="false">IF(U93="","",IF($B$8=0,0,U93/$B$8*100))</f>
        <v>26.2312328465791</v>
      </c>
      <c r="Z93" s="18" t="n">
        <f aca="false">IF(D93="","",MAX(0,IF(P93&gt;=0,P93,IF(K93+P93&gt;=0,0,P93+K93))))</f>
        <v>12.3863881501546</v>
      </c>
      <c r="AA93" s="18" t="n">
        <f aca="false">IF(D93="","",IF(H93&lt;=$B$16,1,IF(H93&gt;=$B$17,$B$21,MATCH(H93,Aux_CAV!$A$2:$A$121,1))))</f>
        <v>10</v>
      </c>
      <c r="AB93" s="18" t="n">
        <f aca="false">IF(D93="","",IF(L93&lt;=$B$16,1,IF(L93&gt;=$B$17,$B$21,MATCH(L93,Aux_CAV!$A$2:$A$121,1))))</f>
        <v>10</v>
      </c>
      <c r="AC93" s="19" t="n">
        <f aca="false">IF(D93="","",COUNT($D$24:D93))</f>
        <v>58</v>
      </c>
    </row>
    <row r="94" customFormat="false" ht="12.75" hidden="false" customHeight="true" outlineLevel="0" collapsed="false">
      <c r="A94" s="14" t="n">
        <f aca="false">IF(D94="","",DATE(B94,C94,1))</f>
        <v>5784</v>
      </c>
      <c r="B94" s="15" t="n">
        <f aca="false" t="array" ref="B94:B94">IF(D94="","",IFERROR(VALUE(INDEX(Vazoes_COLAR!$A$2:$A$200,INT((ROW()-24)/12)+1)),""))</f>
        <v>1915</v>
      </c>
      <c r="C94" s="15" t="n">
        <f aca="false">IF(D94="","",MOD(ROW()-24,12)+1)</f>
        <v>11</v>
      </c>
      <c r="D94" s="16" t="n">
        <f aca="false" t="array" ref="D94: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0.00368776334922662</v>
      </c>
      <c r="E94" s="16" t="n">
        <f aca="false">IF(D94="","",D94*$B$15)</f>
        <v>0.0095586826011954</v>
      </c>
      <c r="F94" s="16" t="n">
        <f aca="false" t="array" ref="F94:F94">IF(D94="","",IFERROR(INDEX(Dados_Evap!$C$2:$N$15,MATCH($B$9,Dados_Evap!$A$2:$A$15,0),C94),0))</f>
        <v>223.7</v>
      </c>
      <c r="G94" s="16" t="n">
        <f aca="false">IF(F94="","",F94/1000)</f>
        <v>0.2237</v>
      </c>
      <c r="H94" s="16" t="n">
        <f aca="false">IF(D94="","",MAX(0,MIN($B$8,IFERROR(LOOKUP(2,1/($U$24:U93&lt;&gt;""),$U$24:U93),$B$11))))</f>
        <v>12.3863881501546</v>
      </c>
      <c r="I94" s="16" t="n">
        <f aca="false" t="array" ref="I94: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>3.34178016574848</v>
      </c>
      <c r="J94" s="16" t="n">
        <f aca="false">IF(D94="","",$B$12)</f>
        <v>0.35</v>
      </c>
      <c r="K94" s="16" t="n">
        <f aca="false">IF(J94="","",J94*$B$15)</f>
        <v>0.9072</v>
      </c>
      <c r="L94" s="16" t="n">
        <f aca="false">IF(D94="","",H94+E94-K94-G94*I94)</f>
        <v>10.7411906096779</v>
      </c>
      <c r="M94" s="16" t="n">
        <f aca="false" t="array" ref="M94: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>3.20145449317841</v>
      </c>
      <c r="N94" s="16" t="n">
        <f aca="false">IF(D94="","",(I94+M94)/2)</f>
        <v>3.27161732946345</v>
      </c>
      <c r="O94" s="16" t="n">
        <f aca="false">IF(D94="","",G94*N94)</f>
        <v>0.731860796600973</v>
      </c>
      <c r="P94" s="16" t="n">
        <f aca="false">IF(D94="","",H94+E94-K94-O94)</f>
        <v>10.7568860361549</v>
      </c>
      <c r="Q94" s="16" t="n">
        <f aca="false">IF(D94="","",IF(P94&gt;=0,K94,MAX(0,K94+P94)))</f>
        <v>0.9072</v>
      </c>
      <c r="R94" s="16" t="n">
        <f aca="false">IF(D94="","",Q94/$B$15)</f>
        <v>0.35</v>
      </c>
      <c r="S94" s="16" t="n">
        <f aca="false">IF(D94="","",MAX(0,J94-R94))</f>
        <v>0</v>
      </c>
      <c r="T94" s="16" t="n">
        <f aca="false">IF(D94="","",MAX(0,Z94-$B$8))</f>
        <v>0</v>
      </c>
      <c r="U94" s="16" t="n">
        <f aca="false">IF(D94="","",MAX(0,MIN($B$8,Z94)))</f>
        <v>10.7568860361549</v>
      </c>
      <c r="V94" s="16" t="str">
        <f aca="false">IF(D94="","",IF(S94&gt;0.0000001,"Sim","Não"))</f>
        <v>Não</v>
      </c>
      <c r="W94" s="16" t="n">
        <f aca="false">IF(D94="","",U94-(H94+E94-Q94-O94-T94))</f>
        <v>0</v>
      </c>
      <c r="X94" s="16" t="n">
        <f aca="false">IF(W94="","",ABS(W94))</f>
        <v>0</v>
      </c>
      <c r="Y94" s="16" t="n">
        <f aca="false">IF(U94="","",IF($B$8=0,0,U94/$B$8*100))</f>
        <v>22.7803600935088</v>
      </c>
      <c r="Z94" s="18" t="n">
        <f aca="false">IF(D94="","",MAX(0,IF(P94&gt;=0,P94,IF(K94+P94&gt;=0,0,P94+K94))))</f>
        <v>10.7568860361549</v>
      </c>
      <c r="AA94" s="18" t="n">
        <f aca="false">IF(D94="","",IF(H94&lt;=$B$16,1,IF(H94&gt;=$B$17,$B$21,MATCH(H94,Aux_CAV!$A$2:$A$121,1))))</f>
        <v>10</v>
      </c>
      <c r="AB94" s="18" t="n">
        <f aca="false">IF(D94="","",IF(L94&lt;=$B$16,1,IF(L94&gt;=$B$17,$B$21,MATCH(L94,Aux_CAV!$A$2:$A$121,1))))</f>
        <v>10</v>
      </c>
      <c r="AC94" s="19" t="n">
        <f aca="false">IF(D94="","",COUNT($D$24:D94))</f>
        <v>59</v>
      </c>
    </row>
    <row r="95" customFormat="false" ht="12.75" hidden="false" customHeight="true" outlineLevel="0" collapsed="false">
      <c r="A95" s="14" t="n">
        <f aca="false">IF(D95="","",DATE(B95,C95,1))</f>
        <v>5814</v>
      </c>
      <c r="B95" s="15" t="n">
        <f aca="false" t="array" ref="B95:B95">IF(D95="","",IFERROR(VALUE(INDEX(Vazoes_COLAR!$A$2:$A$200,INT((ROW()-24)/12)+1)),""))</f>
        <v>1915</v>
      </c>
      <c r="C95" s="15" t="n">
        <f aca="false">IF(D95="","",MOD(ROW()-24,12)+1)</f>
        <v>12</v>
      </c>
      <c r="D95" s="16" t="n">
        <f aca="false" t="array" ref="D95: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0.0492952763184742</v>
      </c>
      <c r="E95" s="16" t="n">
        <f aca="false">IF(D95="","",D95*$B$15)</f>
        <v>0.127773356217485</v>
      </c>
      <c r="F95" s="16" t="n">
        <f aca="false" t="array" ref="F95:F95">IF(D95="","",IFERROR(INDEX(Dados_Evap!$C$2:$N$15,MATCH($B$9,Dados_Evap!$A$2:$A$15,0),C95),0))</f>
        <v>216.1</v>
      </c>
      <c r="G95" s="16" t="n">
        <f aca="false">IF(F95="","",F95/1000)</f>
        <v>0.2161</v>
      </c>
      <c r="H95" s="16" t="n">
        <f aca="false">IF(D95="","",MAX(0,MIN($B$8,IFERROR(LOOKUP(2,1/($U$24:U94&lt;&gt;""),$U$24:U94),$B$11))))</f>
        <v>10.7568860361549</v>
      </c>
      <c r="I95" s="16" t="n">
        <f aca="false" t="array" ref="I95: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>3.20279322073085</v>
      </c>
      <c r="J95" s="16" t="n">
        <f aca="false">IF(D95="","",$B$12)</f>
        <v>0.35</v>
      </c>
      <c r="K95" s="16" t="n">
        <f aca="false">IF(J95="","",J95*$B$15)</f>
        <v>0.9072</v>
      </c>
      <c r="L95" s="16" t="n">
        <f aca="false">IF(D95="","",H95+E95-K95-G95*I95)</f>
        <v>9.2853357773724</v>
      </c>
      <c r="M95" s="16" t="n">
        <f aca="false" t="array" ref="M95: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>3.0772786398347</v>
      </c>
      <c r="N95" s="16" t="n">
        <f aca="false">IF(D95="","",(I95+M95)/2)</f>
        <v>3.14003593028278</v>
      </c>
      <c r="O95" s="16" t="n">
        <f aca="false">IF(D95="","",G95*N95)</f>
        <v>0.678561764534109</v>
      </c>
      <c r="P95" s="16" t="n">
        <f aca="false">IF(D95="","",H95+E95-K95-O95)</f>
        <v>9.29889762783823</v>
      </c>
      <c r="Q95" s="16" t="n">
        <f aca="false">IF(D95="","",IF(P95&gt;=0,K95,MAX(0,K95+P95)))</f>
        <v>0.9072</v>
      </c>
      <c r="R95" s="16" t="n">
        <f aca="false">IF(D95="","",Q95/$B$15)</f>
        <v>0.35</v>
      </c>
      <c r="S95" s="16" t="n">
        <f aca="false">IF(D95="","",MAX(0,J95-R95))</f>
        <v>0</v>
      </c>
      <c r="T95" s="16" t="n">
        <f aca="false">IF(D95="","",MAX(0,Z95-$B$8))</f>
        <v>0</v>
      </c>
      <c r="U95" s="16" t="n">
        <f aca="false">IF(D95="","",MAX(0,MIN($B$8,Z95)))</f>
        <v>9.29889762783823</v>
      </c>
      <c r="V95" s="16" t="str">
        <f aca="false">IF(D95="","",IF(S95&gt;0.0000001,"Sim","Não"))</f>
        <v>Não</v>
      </c>
      <c r="W95" s="16" t="n">
        <f aca="false">IF(D95="","",U95-(H95+E95-Q95-O95-T95))</f>
        <v>0</v>
      </c>
      <c r="X95" s="16" t="n">
        <f aca="false">IF(W95="","",ABS(W95))</f>
        <v>0</v>
      </c>
      <c r="Y95" s="16" t="n">
        <f aca="false">IF(U95="","",IF($B$8=0,0,U95/$B$8*100))</f>
        <v>19.692709927654</v>
      </c>
      <c r="Z95" s="18" t="n">
        <f aca="false">IF(D95="","",MAX(0,IF(P95&gt;=0,P95,IF(K95+P95&gt;=0,0,P95+K95))))</f>
        <v>9.29889762783823</v>
      </c>
      <c r="AA95" s="18" t="n">
        <f aca="false">IF(D95="","",IF(H95&lt;=$B$16,1,IF(H95&gt;=$B$17,$B$21,MATCH(H95,Aux_CAV!$A$2:$A$121,1))))</f>
        <v>10</v>
      </c>
      <c r="AB95" s="18" t="n">
        <f aca="false">IF(D95="","",IF(L95&lt;=$B$16,1,IF(L95&gt;=$B$17,$B$21,MATCH(L95,Aux_CAV!$A$2:$A$121,1))))</f>
        <v>10</v>
      </c>
      <c r="AC95" s="19" t="n">
        <f aca="false">IF(D95="","",COUNT($D$24:D95))</f>
        <v>60</v>
      </c>
    </row>
    <row r="96" customFormat="false" ht="12.75" hidden="false" customHeight="true" outlineLevel="0" collapsed="false">
      <c r="A96" s="14" t="n">
        <f aca="false">IF(D96="","",DATE(B96,C96,1))</f>
        <v>5845</v>
      </c>
      <c r="B96" s="15" t="n">
        <f aca="false" t="array" ref="B96:B96">IF(D96="","",IFERROR(VALUE(INDEX(Vazoes_COLAR!$A$2:$A$200,INT((ROW()-24)/12)+1)),""))</f>
        <v>1916</v>
      </c>
      <c r="C96" s="15" t="n">
        <f aca="false">IF(D96="","",MOD(ROW()-24,12)+1)</f>
        <v>1</v>
      </c>
      <c r="D96" s="16" t="n">
        <f aca="false" t="array" ref="D96: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0.151352737525385</v>
      </c>
      <c r="E96" s="16" t="n">
        <f aca="false">IF(D96="","",D96*$B$15)</f>
        <v>0.392306295665798</v>
      </c>
      <c r="F96" s="16" t="n">
        <f aca="false" t="array" ref="F96:F96">IF(D96="","",IFERROR(INDEX(Dados_Evap!$C$2:$N$15,MATCH($B$9,Dados_Evap!$A$2:$A$15,0),C96),0))</f>
        <v>160</v>
      </c>
      <c r="G96" s="16" t="n">
        <f aca="false">IF(F96="","",F96/1000)</f>
        <v>0.16</v>
      </c>
      <c r="H96" s="16" t="n">
        <f aca="false">IF(D96="","",MAX(0,MIN($B$8,IFERROR(LOOKUP(2,1/($U$24:U95&lt;&gt;""),$U$24:U95),$B$11))))</f>
        <v>9.29889762783823</v>
      </c>
      <c r="I96" s="16" t="n">
        <f aca="false" t="array" ref="I96: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>3.07843538590385</v>
      </c>
      <c r="J96" s="16" t="n">
        <f aca="false">IF(D96="","",$B$12)</f>
        <v>0.35</v>
      </c>
      <c r="K96" s="16" t="n">
        <f aca="false">IF(J96="","",J96*$B$15)</f>
        <v>0.9072</v>
      </c>
      <c r="L96" s="16" t="n">
        <f aca="false">IF(D96="","",H96+E96-K96-G96*I96)</f>
        <v>8.29145426175941</v>
      </c>
      <c r="M96" s="16" t="n">
        <f aca="false" t="array" ref="M96: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>2.7935701264502</v>
      </c>
      <c r="N96" s="16" t="n">
        <f aca="false">IF(D96="","",(I96+M96)/2)</f>
        <v>2.93600275617703</v>
      </c>
      <c r="O96" s="16" t="n">
        <f aca="false">IF(D96="","",G96*N96)</f>
        <v>0.469760440988324</v>
      </c>
      <c r="P96" s="16" t="n">
        <f aca="false">IF(D96="","",H96+E96-K96-O96)</f>
        <v>8.3142434825157</v>
      </c>
      <c r="Q96" s="16" t="n">
        <f aca="false">IF(D96="","",IF(P96&gt;=0,K96,MAX(0,K96+P96)))</f>
        <v>0.9072</v>
      </c>
      <c r="R96" s="16" t="n">
        <f aca="false">IF(D96="","",Q96/$B$15)</f>
        <v>0.35</v>
      </c>
      <c r="S96" s="16" t="n">
        <f aca="false">IF(D96="","",MAX(0,J96-R96))</f>
        <v>0</v>
      </c>
      <c r="T96" s="16" t="n">
        <f aca="false">IF(D96="","",MAX(0,Z96-$B$8))</f>
        <v>0</v>
      </c>
      <c r="U96" s="16" t="n">
        <f aca="false">IF(D96="","",MAX(0,MIN($B$8,Z96)))</f>
        <v>8.3142434825157</v>
      </c>
      <c r="V96" s="16" t="str">
        <f aca="false">IF(D96="","",IF(S96&gt;0.0000001,"Sim","Não"))</f>
        <v>Não</v>
      </c>
      <c r="W96" s="16" t="n">
        <f aca="false">IF(D96="","",U96-(H96+E96-Q96-O96-T96))</f>
        <v>0</v>
      </c>
      <c r="X96" s="16" t="n">
        <f aca="false">IF(W96="","",ABS(W96))</f>
        <v>0</v>
      </c>
      <c r="Y96" s="16" t="n">
        <f aca="false">IF(U96="","",IF($B$8=0,0,U96/$B$8*100))</f>
        <v>17.6074618435318</v>
      </c>
      <c r="Z96" s="18" t="n">
        <f aca="false">IF(D96="","",MAX(0,IF(P96&gt;=0,P96,IF(K96+P96&gt;=0,0,P96+K96))))</f>
        <v>8.3142434825157</v>
      </c>
      <c r="AA96" s="18" t="n">
        <f aca="false">IF(D96="","",IF(H96&lt;=$B$16,1,IF(H96&gt;=$B$17,$B$21,MATCH(H96,Aux_CAV!$A$2:$A$121,1))))</f>
        <v>10</v>
      </c>
      <c r="AB96" s="18" t="n">
        <f aca="false">IF(D96="","",IF(L96&lt;=$B$16,1,IF(L96&gt;=$B$17,$B$21,MATCH(L96,Aux_CAV!$A$2:$A$121,1))))</f>
        <v>9</v>
      </c>
      <c r="AC96" s="19" t="n">
        <f aca="false">IF(D96="","",COUNT($D$24:D96))</f>
        <v>61</v>
      </c>
    </row>
    <row r="97" customFormat="false" ht="12.75" hidden="false" customHeight="true" outlineLevel="0" collapsed="false">
      <c r="A97" s="14" t="n">
        <f aca="false">IF(D97="","",DATE(B97,C97,1))</f>
        <v>5876</v>
      </c>
      <c r="B97" s="15" t="n">
        <f aca="false" t="array" ref="B97:B97">IF(D97="","",IFERROR(VALUE(INDEX(Vazoes_COLAR!$A$2:$A$200,INT((ROW()-24)/12)+1)),""))</f>
        <v>1916</v>
      </c>
      <c r="C97" s="15" t="n">
        <f aca="false">IF(D97="","",MOD(ROW()-24,12)+1)</f>
        <v>2</v>
      </c>
      <c r="D97" s="16" t="n">
        <f aca="false" t="array" ref="D97: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0.269398709128059</v>
      </c>
      <c r="E97" s="16" t="n">
        <f aca="false">IF(D97="","",D97*$B$15)</f>
        <v>0.698281454059929</v>
      </c>
      <c r="F97" s="16" t="n">
        <f aca="false" t="array" ref="F97:F97">IF(D97="","",IFERROR(INDEX(Dados_Evap!$C$2:$N$15,MATCH($B$9,Dados_Evap!$A$2:$A$15,0),C97),0))</f>
        <v>124.3</v>
      </c>
      <c r="G97" s="16" t="n">
        <f aca="false">IF(F97="","",F97/1000)</f>
        <v>0.1243</v>
      </c>
      <c r="H97" s="16" t="n">
        <f aca="false">IF(D97="","",MAX(0,MIN($B$8,IFERROR(LOOKUP(2,1/($U$24:U96&lt;&gt;""),$U$24:U96),$B$11))))</f>
        <v>8.3142434825157</v>
      </c>
      <c r="I97" s="16" t="n">
        <f aca="false" t="array" ref="I97: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>2.80050386808456</v>
      </c>
      <c r="J97" s="16" t="n">
        <f aca="false">IF(D97="","",$B$12)</f>
        <v>0.35</v>
      </c>
      <c r="K97" s="16" t="n">
        <f aca="false">IF(J97="","",J97*$B$15)</f>
        <v>0.9072</v>
      </c>
      <c r="L97" s="16" t="n">
        <f aca="false">IF(D97="","",H97+E97-K97-G97*I97)</f>
        <v>7.75722230577272</v>
      </c>
      <c r="M97" s="16" t="n">
        <f aca="false" t="array" ref="M97: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>2.63102721218191</v>
      </c>
      <c r="N97" s="16" t="n">
        <f aca="false">IF(D97="","",(I97+M97)/2)</f>
        <v>2.71576554013324</v>
      </c>
      <c r="O97" s="16" t="n">
        <f aca="false">IF(D97="","",G97*N97)</f>
        <v>0.337569656638562</v>
      </c>
      <c r="P97" s="16" t="n">
        <f aca="false">IF(D97="","",H97+E97-K97-O97)</f>
        <v>7.76775527993707</v>
      </c>
      <c r="Q97" s="16" t="n">
        <f aca="false">IF(D97="","",IF(P97&gt;=0,K97,MAX(0,K97+P97)))</f>
        <v>0.9072</v>
      </c>
      <c r="R97" s="16" t="n">
        <f aca="false">IF(D97="","",Q97/$B$15)</f>
        <v>0.35</v>
      </c>
      <c r="S97" s="16" t="n">
        <f aca="false">IF(D97="","",MAX(0,J97-R97))</f>
        <v>0</v>
      </c>
      <c r="T97" s="16" t="n">
        <f aca="false">IF(D97="","",MAX(0,Z97-$B$8))</f>
        <v>0</v>
      </c>
      <c r="U97" s="16" t="n">
        <f aca="false">IF(D97="","",MAX(0,MIN($B$8,Z97)))</f>
        <v>7.76775527993707</v>
      </c>
      <c r="V97" s="16" t="str">
        <f aca="false">IF(D97="","",IF(S97&gt;0.0000001,"Sim","Não"))</f>
        <v>Não</v>
      </c>
      <c r="W97" s="16" t="n">
        <f aca="false">IF(D97="","",U97-(H97+E97-Q97-O97-T97))</f>
        <v>0</v>
      </c>
      <c r="X97" s="16" t="n">
        <f aca="false">IF(W97="","",ABS(W97))</f>
        <v>0</v>
      </c>
      <c r="Y97" s="16" t="n">
        <f aca="false">IF(U97="","",IF($B$8=0,0,U97/$B$8*100))</f>
        <v>16.4501382463724</v>
      </c>
      <c r="Z97" s="18" t="n">
        <f aca="false">IF(D97="","",MAX(0,IF(P97&gt;=0,P97,IF(K97+P97&gt;=0,0,P97+K97))))</f>
        <v>7.76775527993707</v>
      </c>
      <c r="AA97" s="18" t="n">
        <f aca="false">IF(D97="","",IF(H97&lt;=$B$16,1,IF(H97&gt;=$B$17,$B$21,MATCH(H97,Aux_CAV!$A$2:$A$121,1))))</f>
        <v>9</v>
      </c>
      <c r="AB97" s="18" t="n">
        <f aca="false">IF(D97="","",IF(L97&lt;=$B$16,1,IF(L97&gt;=$B$17,$B$21,MATCH(L97,Aux_CAV!$A$2:$A$121,1))))</f>
        <v>9</v>
      </c>
      <c r="AC97" s="19" t="n">
        <f aca="false">IF(D97="","",COUNT($D$24:D97))</f>
        <v>62</v>
      </c>
    </row>
    <row r="98" customFormat="false" ht="12.75" hidden="false" customHeight="true" outlineLevel="0" collapsed="false">
      <c r="A98" s="14" t="n">
        <f aca="false">IF(D98="","",DATE(B98,C98,1))</f>
        <v>5905</v>
      </c>
      <c r="B98" s="15" t="n">
        <f aca="false" t="array" ref="B98:B98">IF(D98="","",IFERROR(VALUE(INDEX(Vazoes_COLAR!$A$2:$A$200,INT((ROW()-24)/12)+1)),""))</f>
        <v>1916</v>
      </c>
      <c r="C98" s="15" t="n">
        <f aca="false">IF(D98="","",MOD(ROW()-24,12)+1)</f>
        <v>3</v>
      </c>
      <c r="D98" s="16" t="n">
        <f aca="false" t="array" ref="D98: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2.00824735383984</v>
      </c>
      <c r="E98" s="16" t="n">
        <f aca="false">IF(D98="","",D98*$B$15)</f>
        <v>5.20537714115287</v>
      </c>
      <c r="F98" s="16" t="n">
        <f aca="false" t="array" ref="F98:F98">IF(D98="","",IFERROR(INDEX(Dados_Evap!$C$2:$N$15,MATCH($B$9,Dados_Evap!$A$2:$A$15,0),C98),0))</f>
        <v>107.7</v>
      </c>
      <c r="G98" s="16" t="n">
        <f aca="false">IF(F98="","",F98/1000)</f>
        <v>0.1077</v>
      </c>
      <c r="H98" s="16" t="n">
        <f aca="false">IF(D98="","",MAX(0,MIN($B$8,IFERROR(LOOKUP(2,1/($U$24:U97&lt;&gt;""),$U$24:U97),$B$11))))</f>
        <v>7.76775527993707</v>
      </c>
      <c r="I98" s="16" t="n">
        <f aca="false" t="array" ref="I98: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>2.63423192559787</v>
      </c>
      <c r="J98" s="16" t="n">
        <f aca="false">IF(D98="","",$B$12)</f>
        <v>0.35</v>
      </c>
      <c r="K98" s="16" t="n">
        <f aca="false">IF(J98="","",J98*$B$15)</f>
        <v>0.9072</v>
      </c>
      <c r="L98" s="16" t="n">
        <f aca="false">IF(D98="","",H98+E98-K98-G98*I98)</f>
        <v>11.782225642703</v>
      </c>
      <c r="M98" s="16" t="n">
        <f aca="false" t="array" ref="M98: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>3.29024865775997</v>
      </c>
      <c r="N98" s="16" t="n">
        <f aca="false">IF(D98="","",(I98+M98)/2)</f>
        <v>2.96224029167892</v>
      </c>
      <c r="O98" s="16" t="n">
        <f aca="false">IF(D98="","",G98*N98)</f>
        <v>0.31903327941382</v>
      </c>
      <c r="P98" s="16" t="n">
        <f aca="false">IF(D98="","",H98+E98-K98-O98)</f>
        <v>11.7468991416761</v>
      </c>
      <c r="Q98" s="16" t="n">
        <f aca="false">IF(D98="","",IF(P98&gt;=0,K98,MAX(0,K98+P98)))</f>
        <v>0.9072</v>
      </c>
      <c r="R98" s="16" t="n">
        <f aca="false">IF(D98="","",Q98/$B$15)</f>
        <v>0.35</v>
      </c>
      <c r="S98" s="16" t="n">
        <f aca="false">IF(D98="","",MAX(0,J98-R98))</f>
        <v>0</v>
      </c>
      <c r="T98" s="16" t="n">
        <f aca="false">IF(D98="","",MAX(0,Z98-$B$8))</f>
        <v>0</v>
      </c>
      <c r="U98" s="16" t="n">
        <f aca="false">IF(D98="","",MAX(0,MIN($B$8,Z98)))</f>
        <v>11.7468991416761</v>
      </c>
      <c r="V98" s="16" t="str">
        <f aca="false">IF(D98="","",IF(S98&gt;0.0000001,"Sim","Não"))</f>
        <v>Não</v>
      </c>
      <c r="W98" s="16" t="n">
        <f aca="false">IF(D98="","",U98-(H98+E98-Q98-O98-T98))</f>
        <v>0</v>
      </c>
      <c r="X98" s="16" t="n">
        <f aca="false">IF(W98="","",ABS(W98))</f>
        <v>0</v>
      </c>
      <c r="Y98" s="16" t="n">
        <f aca="false">IF(U98="","",IF($B$8=0,0,U98/$B$8*100))</f>
        <v>24.8769570980011</v>
      </c>
      <c r="Z98" s="18" t="n">
        <f aca="false">IF(D98="","",MAX(0,IF(P98&gt;=0,P98,IF(K98+P98&gt;=0,0,P98+K98))))</f>
        <v>11.7468991416761</v>
      </c>
      <c r="AA98" s="18" t="n">
        <f aca="false">IF(D98="","",IF(H98&lt;=$B$16,1,IF(H98&gt;=$B$17,$B$21,MATCH(H98,Aux_CAV!$A$2:$A$121,1))))</f>
        <v>9</v>
      </c>
      <c r="AB98" s="18" t="n">
        <f aca="false">IF(D98="","",IF(L98&lt;=$B$16,1,IF(L98&gt;=$B$17,$B$21,MATCH(L98,Aux_CAV!$A$2:$A$121,1))))</f>
        <v>10</v>
      </c>
      <c r="AC98" s="19" t="n">
        <f aca="false">IF(D98="","",COUNT($D$24:D98))</f>
        <v>63</v>
      </c>
    </row>
    <row r="99" customFormat="false" ht="12.75" hidden="false" customHeight="true" outlineLevel="0" collapsed="false">
      <c r="A99" s="14" t="n">
        <f aca="false">IF(D99="","",DATE(B99,C99,1))</f>
        <v>5936</v>
      </c>
      <c r="B99" s="15" t="n">
        <f aca="false" t="array" ref="B99:B99">IF(D99="","",IFERROR(VALUE(INDEX(Vazoes_COLAR!$A$2:$A$200,INT((ROW()-24)/12)+1)),""))</f>
        <v>1916</v>
      </c>
      <c r="C99" s="15" t="n">
        <f aca="false">IF(D99="","",MOD(ROW()-24,12)+1)</f>
        <v>4</v>
      </c>
      <c r="D99" s="16" t="n">
        <f aca="false" t="array" ref="D99: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3.46892372733566</v>
      </c>
      <c r="E99" s="16" t="n">
        <f aca="false">IF(D99="","",D99*$B$15)</f>
        <v>8.99145030125403</v>
      </c>
      <c r="F99" s="16" t="n">
        <f aca="false" t="array" ref="F99:F99">IF(D99="","",IFERROR(INDEX(Dados_Evap!$C$2:$N$15,MATCH($B$9,Dados_Evap!$A$2:$A$15,0),C99),0))</f>
        <v>100.5</v>
      </c>
      <c r="G99" s="16" t="n">
        <f aca="false">IF(F99="","",F99/1000)</f>
        <v>0.1005</v>
      </c>
      <c r="H99" s="16" t="n">
        <f aca="false">IF(D99="","",MAX(0,MIN($B$8,IFERROR(LOOKUP(2,1/($U$24:U98&lt;&gt;""),$U$24:U98),$B$11))))</f>
        <v>11.7468991416761</v>
      </c>
      <c r="I99" s="16" t="n">
        <f aca="false" t="array" ref="I99: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>3.28723551502532</v>
      </c>
      <c r="J99" s="16" t="n">
        <f aca="false">IF(D99="","",$B$12)</f>
        <v>0.35</v>
      </c>
      <c r="K99" s="16" t="n">
        <f aca="false">IF(J99="","",J99*$B$15)</f>
        <v>0.9072</v>
      </c>
      <c r="L99" s="16" t="n">
        <f aca="false">IF(D99="","",H99+E99-K99-G99*I99)</f>
        <v>19.5007822736701</v>
      </c>
      <c r="M99" s="16" t="n">
        <f aca="false" t="array" ref="M99: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>4.06838617417033</v>
      </c>
      <c r="N99" s="16" t="n">
        <f aca="false">IF(D99="","",(I99+M99)/2)</f>
        <v>3.67781084459782</v>
      </c>
      <c r="O99" s="16" t="n">
        <f aca="false">IF(D99="","",G99*N99)</f>
        <v>0.369619989882081</v>
      </c>
      <c r="P99" s="16" t="n">
        <f aca="false">IF(D99="","",H99+E99-K99-O99)</f>
        <v>19.4615294530481</v>
      </c>
      <c r="Q99" s="16" t="n">
        <f aca="false">IF(D99="","",IF(P99&gt;=0,K99,MAX(0,K99+P99)))</f>
        <v>0.9072</v>
      </c>
      <c r="R99" s="16" t="n">
        <f aca="false">IF(D99="","",Q99/$B$15)</f>
        <v>0.35</v>
      </c>
      <c r="S99" s="16" t="n">
        <f aca="false">IF(D99="","",MAX(0,J99-R99))</f>
        <v>0</v>
      </c>
      <c r="T99" s="16" t="n">
        <f aca="false">IF(D99="","",MAX(0,Z99-$B$8))</f>
        <v>0</v>
      </c>
      <c r="U99" s="16" t="n">
        <f aca="false">IF(D99="","",MAX(0,MIN($B$8,Z99)))</f>
        <v>19.4615294530481</v>
      </c>
      <c r="V99" s="16" t="str">
        <f aca="false">IF(D99="","",IF(S99&gt;0.0000001,"Sim","Não"))</f>
        <v>Não</v>
      </c>
      <c r="W99" s="16" t="n">
        <f aca="false">IF(D99="","",U99-(H99+E99-Q99-O99-T99))</f>
        <v>0</v>
      </c>
      <c r="X99" s="16" t="n">
        <f aca="false">IF(W99="","",ABS(W99))</f>
        <v>0</v>
      </c>
      <c r="Y99" s="16" t="n">
        <f aca="false">IF(U99="","",IF($B$8=0,0,U99/$B$8*100))</f>
        <v>41.2145901165779</v>
      </c>
      <c r="Z99" s="18" t="n">
        <f aca="false">IF(D99="","",MAX(0,IF(P99&gt;=0,P99,IF(K99+P99&gt;=0,0,P99+K99))))</f>
        <v>19.4615294530481</v>
      </c>
      <c r="AA99" s="18" t="n">
        <f aca="false">IF(D99="","",IF(H99&lt;=$B$16,1,IF(H99&gt;=$B$17,$B$21,MATCH(H99,Aux_CAV!$A$2:$A$121,1))))</f>
        <v>10</v>
      </c>
      <c r="AB99" s="18" t="n">
        <f aca="false">IF(D99="","",IF(L99&lt;=$B$16,1,IF(L99&gt;=$B$17,$B$21,MATCH(L99,Aux_CAV!$A$2:$A$121,1))))</f>
        <v>11</v>
      </c>
      <c r="AC99" s="19" t="n">
        <f aca="false">IF(D99="","",COUNT($D$24:D99))</f>
        <v>64</v>
      </c>
    </row>
    <row r="100" customFormat="false" ht="12.75" hidden="false" customHeight="true" outlineLevel="0" collapsed="false">
      <c r="A100" s="14" t="n">
        <f aca="false">IF(D100="","",DATE(B100,C100,1))</f>
        <v>5966</v>
      </c>
      <c r="B100" s="15" t="n">
        <f aca="false" t="array" ref="B100:B100">IF(D100="","",IFERROR(VALUE(INDEX(Vazoes_COLAR!$A$2:$A$200,INT((ROW()-24)/12)+1)),""))</f>
        <v>1916</v>
      </c>
      <c r="C100" s="15" t="n">
        <f aca="false">IF(D100="","",MOD(ROW()-24,12)+1)</f>
        <v>5</v>
      </c>
      <c r="D100" s="16" t="n">
        <f aca="false" t="array" ref="D100: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1.67930113930923</v>
      </c>
      <c r="E100" s="16" t="n">
        <f aca="false">IF(D100="","",D100*$B$15)</f>
        <v>4.35274855308952</v>
      </c>
      <c r="F100" s="16" t="n">
        <f aca="false" t="array" ref="F100:F100">IF(D100="","",IFERROR(INDEX(Dados_Evap!$C$2:$N$15,MATCH($B$9,Dados_Evap!$A$2:$A$15,0),C100),0))</f>
        <v>145.8</v>
      </c>
      <c r="G100" s="16" t="n">
        <f aca="false">IF(F100="","",F100/1000)</f>
        <v>0.1458</v>
      </c>
      <c r="H100" s="16" t="n">
        <f aca="false">IF(D100="","",MAX(0,MIN($B$8,IFERROR(LOOKUP(2,1/($U$24:U99&lt;&gt;""),$U$24:U99),$B$11))))</f>
        <v>19.4615294530481</v>
      </c>
      <c r="I100" s="16" t="n">
        <f aca="false" t="array" ref="I100: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>4.06369498341306</v>
      </c>
      <c r="J100" s="16" t="n">
        <f aca="false">IF(D100="","",$B$12)</f>
        <v>0.35</v>
      </c>
      <c r="K100" s="16" t="n">
        <f aca="false">IF(J100="","",J100*$B$15)</f>
        <v>0.9072</v>
      </c>
      <c r="L100" s="16" t="n">
        <f aca="false">IF(D100="","",H100+E100-K100-G100*I100)</f>
        <v>22.314591277556</v>
      </c>
      <c r="M100" s="16" t="n">
        <f aca="false" t="array" ref="M100: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>4.40467066487864</v>
      </c>
      <c r="N100" s="16" t="n">
        <f aca="false">IF(D100="","",(I100+M100)/2)</f>
        <v>4.23418282414585</v>
      </c>
      <c r="O100" s="16" t="n">
        <f aca="false">IF(D100="","",G100*N100)</f>
        <v>0.617343855760465</v>
      </c>
      <c r="P100" s="16" t="n">
        <f aca="false">IF(D100="","",H100+E100-K100-O100)</f>
        <v>22.2897341503771</v>
      </c>
      <c r="Q100" s="16" t="n">
        <f aca="false">IF(D100="","",IF(P100&gt;=0,K100,MAX(0,K100+P100)))</f>
        <v>0.9072</v>
      </c>
      <c r="R100" s="16" t="n">
        <f aca="false">IF(D100="","",Q100/$B$15)</f>
        <v>0.35</v>
      </c>
      <c r="S100" s="16" t="n">
        <f aca="false">IF(D100="","",MAX(0,J100-R100))</f>
        <v>0</v>
      </c>
      <c r="T100" s="16" t="n">
        <f aca="false">IF(D100="","",MAX(0,Z100-$B$8))</f>
        <v>0</v>
      </c>
      <c r="U100" s="16" t="n">
        <f aca="false">IF(D100="","",MAX(0,MIN($B$8,Z100)))</f>
        <v>22.2897341503771</v>
      </c>
      <c r="V100" s="16" t="str">
        <f aca="false">IF(D100="","",IF(S100&gt;0.0000001,"Sim","Não"))</f>
        <v>Não</v>
      </c>
      <c r="W100" s="16" t="n">
        <f aca="false">IF(D100="","",U100-(H100+E100-Q100-O100-T100))</f>
        <v>0</v>
      </c>
      <c r="X100" s="16" t="n">
        <f aca="false">IF(W100="","",ABS(W100))</f>
        <v>0</v>
      </c>
      <c r="Y100" s="16" t="n">
        <f aca="false">IF(U100="","",IF($B$8=0,0,U100/$B$8*100))</f>
        <v>47.2040113307436</v>
      </c>
      <c r="Z100" s="18" t="n">
        <f aca="false">IF(D100="","",MAX(0,IF(P100&gt;=0,P100,IF(K100+P100&gt;=0,0,P100+K100))))</f>
        <v>22.2897341503771</v>
      </c>
      <c r="AA100" s="18" t="n">
        <f aca="false">IF(D100="","",IF(H100&lt;=$B$16,1,IF(H100&gt;=$B$17,$B$21,MATCH(H100,Aux_CAV!$A$2:$A$121,1))))</f>
        <v>11</v>
      </c>
      <c r="AB100" s="18" t="n">
        <f aca="false">IF(D100="","",IF(L100&lt;=$B$16,1,IF(L100&gt;=$B$17,$B$21,MATCH(L100,Aux_CAV!$A$2:$A$121,1))))</f>
        <v>11</v>
      </c>
      <c r="AC100" s="19" t="n">
        <f aca="false">IF(D100="","",COUNT($D$24:D100))</f>
        <v>65</v>
      </c>
    </row>
    <row r="101" customFormat="false" ht="12.75" hidden="false" customHeight="true" outlineLevel="0" collapsed="false">
      <c r="A101" s="14" t="n">
        <f aca="false">IF(D101="","",DATE(B101,C101,1))</f>
        <v>5997</v>
      </c>
      <c r="B101" s="15" t="n">
        <f aca="false" t="array" ref="B101:B101">IF(D101="","",IFERROR(VALUE(INDEX(Vazoes_COLAR!$A$2:$A$200,INT((ROW()-24)/12)+1)),""))</f>
        <v>1916</v>
      </c>
      <c r="C101" s="15" t="n">
        <f aca="false">IF(D101="","",MOD(ROW()-24,12)+1)</f>
        <v>6</v>
      </c>
      <c r="D101" s="16" t="n">
        <f aca="false" t="array" ref="D101: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0.382075621415082</v>
      </c>
      <c r="E101" s="16" t="n">
        <f aca="false">IF(D101="","",D101*$B$15)</f>
        <v>0.990340010707893</v>
      </c>
      <c r="F101" s="16" t="n">
        <f aca="false" t="array" ref="F101:F101">IF(D101="","",IFERROR(INDEX(Dados_Evap!$C$2:$N$15,MATCH($B$9,Dados_Evap!$A$2:$A$15,0),C101),0))</f>
        <v>161.3</v>
      </c>
      <c r="G101" s="16" t="n">
        <f aca="false">IF(F101="","",F101/1000)</f>
        <v>0.1613</v>
      </c>
      <c r="H101" s="16" t="n">
        <f aca="false">IF(D101="","",MAX(0,MIN($B$8,IFERROR(LOOKUP(2,1/($U$24:U100&lt;&gt;""),$U$24:U100),$B$11))))</f>
        <v>22.2897341503771</v>
      </c>
      <c r="I101" s="16" t="n">
        <f aca="false" t="array" ref="I101: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>4.40169993504507</v>
      </c>
      <c r="J101" s="16" t="n">
        <f aca="false">IF(D101="","",$B$12)</f>
        <v>0.35</v>
      </c>
      <c r="K101" s="16" t="n">
        <f aca="false">IF(J101="","",J101*$B$15)</f>
        <v>0.9072</v>
      </c>
      <c r="L101" s="16" t="n">
        <f aca="false">IF(D101="","",H101+E101-K101-G101*I101)</f>
        <v>21.6628799615623</v>
      </c>
      <c r="M101" s="16" t="n">
        <f aca="false" t="array" ref="M101: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>4.32678321491842</v>
      </c>
      <c r="N101" s="16" t="n">
        <f aca="false">IF(D101="","",(I101+M101)/2)</f>
        <v>4.36424157498174</v>
      </c>
      <c r="O101" s="16" t="n">
        <f aca="false">IF(D101="","",G101*N101)</f>
        <v>0.703952166044555</v>
      </c>
      <c r="P101" s="16" t="n">
        <f aca="false">IF(D101="","",H101+E101-K101-O101)</f>
        <v>21.6689219950405</v>
      </c>
      <c r="Q101" s="16" t="n">
        <f aca="false">IF(D101="","",IF(P101&gt;=0,K101,MAX(0,K101+P101)))</f>
        <v>0.9072</v>
      </c>
      <c r="R101" s="16" t="n">
        <f aca="false">IF(D101="","",Q101/$B$15)</f>
        <v>0.35</v>
      </c>
      <c r="S101" s="16" t="n">
        <f aca="false">IF(D101="","",MAX(0,J101-R101))</f>
        <v>0</v>
      </c>
      <c r="T101" s="16" t="n">
        <f aca="false">IF(D101="","",MAX(0,Z101-$B$8))</f>
        <v>0</v>
      </c>
      <c r="U101" s="16" t="n">
        <f aca="false">IF(D101="","",MAX(0,MIN($B$8,Z101)))</f>
        <v>21.6689219950405</v>
      </c>
      <c r="V101" s="16" t="str">
        <f aca="false">IF(D101="","",IF(S101&gt;0.0000001,"Sim","Não"))</f>
        <v>Não</v>
      </c>
      <c r="W101" s="16" t="n">
        <f aca="false">IF(D101="","",U101-(H101+E101-Q101-O101-T101))</f>
        <v>0</v>
      </c>
      <c r="X101" s="16" t="n">
        <f aca="false">IF(W101="","",ABS(W101))</f>
        <v>0</v>
      </c>
      <c r="Y101" s="16" t="n">
        <f aca="false">IF(U101="","",IF($B$8=0,0,U101/$B$8*100))</f>
        <v>45.8892884265999</v>
      </c>
      <c r="Z101" s="18" t="n">
        <f aca="false">IF(D101="","",MAX(0,IF(P101&gt;=0,P101,IF(K101+P101&gt;=0,0,P101+K101))))</f>
        <v>21.6689219950405</v>
      </c>
      <c r="AA101" s="18" t="n">
        <f aca="false">IF(D101="","",IF(H101&lt;=$B$16,1,IF(H101&gt;=$B$17,$B$21,MATCH(H101,Aux_CAV!$A$2:$A$121,1))))</f>
        <v>11</v>
      </c>
      <c r="AB101" s="18" t="n">
        <f aca="false">IF(D101="","",IF(L101&lt;=$B$16,1,IF(L101&gt;=$B$17,$B$21,MATCH(L101,Aux_CAV!$A$2:$A$121,1))))</f>
        <v>11</v>
      </c>
      <c r="AC101" s="19" t="n">
        <f aca="false">IF(D101="","",COUNT($D$24:D101))</f>
        <v>66</v>
      </c>
    </row>
    <row r="102" customFormat="false" ht="12.75" hidden="false" customHeight="true" outlineLevel="0" collapsed="false">
      <c r="A102" s="14" t="n">
        <f aca="false">IF(D102="","",DATE(B102,C102,1))</f>
        <v>6027</v>
      </c>
      <c r="B102" s="15" t="n">
        <f aca="false" t="array" ref="B102:B102">IF(D102="","",IFERROR(VALUE(INDEX(Vazoes_COLAR!$A$2:$A$200,INT((ROW()-24)/12)+1)),""))</f>
        <v>1916</v>
      </c>
      <c r="C102" s="15" t="n">
        <f aca="false">IF(D102="","",MOD(ROW()-24,12)+1)</f>
        <v>7</v>
      </c>
      <c r="D102" s="16" t="n">
        <f aca="false" t="array" ref="D102: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0.0224265206345051</v>
      </c>
      <c r="E102" s="16" t="n">
        <f aca="false">IF(D102="","",D102*$B$15)</f>
        <v>0.0581295414846372</v>
      </c>
      <c r="F102" s="16" t="n">
        <f aca="false" t="array" ref="F102:F102">IF(D102="","",IFERROR(INDEX(Dados_Evap!$C$2:$N$15,MATCH($B$9,Dados_Evap!$A$2:$A$15,0),C102),0))</f>
        <v>224.8</v>
      </c>
      <c r="G102" s="16" t="n">
        <f aca="false">IF(F102="","",F102/1000)</f>
        <v>0.2248</v>
      </c>
      <c r="H102" s="16" t="n">
        <f aca="false">IF(D102="","",MAX(0,MIN($B$8,IFERROR(LOOKUP(2,1/($U$24:U101&lt;&gt;""),$U$24:U101),$B$11))))</f>
        <v>21.6689219950405</v>
      </c>
      <c r="I102" s="16" t="n">
        <f aca="false" t="array" ref="I102: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>4.3275053116024</v>
      </c>
      <c r="J102" s="16" t="n">
        <f aca="false">IF(D102="","",$B$12)</f>
        <v>0.35</v>
      </c>
      <c r="K102" s="16" t="n">
        <f aca="false">IF(J102="","",J102*$B$15)</f>
        <v>0.9072</v>
      </c>
      <c r="L102" s="16" t="n">
        <f aca="false">IF(D102="","",H102+E102-K102-G102*I102)</f>
        <v>19.8470283424769</v>
      </c>
      <c r="M102" s="16" t="n">
        <f aca="false" t="array" ref="M102: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>4.10976680190577</v>
      </c>
      <c r="N102" s="16" t="n">
        <f aca="false">IF(D102="","",(I102+M102)/2)</f>
        <v>4.21863605675409</v>
      </c>
      <c r="O102" s="16" t="n">
        <f aca="false">IF(D102="","",G102*N102)</f>
        <v>0.948349385558319</v>
      </c>
      <c r="P102" s="16" t="n">
        <f aca="false">IF(D102="","",H102+E102-K102-O102)</f>
        <v>19.8715021509668</v>
      </c>
      <c r="Q102" s="16" t="n">
        <f aca="false">IF(D102="","",IF(P102&gt;=0,K102,MAX(0,K102+P102)))</f>
        <v>0.9072</v>
      </c>
      <c r="R102" s="16" t="n">
        <f aca="false">IF(D102="","",Q102/$B$15)</f>
        <v>0.35</v>
      </c>
      <c r="S102" s="16" t="n">
        <f aca="false">IF(D102="","",MAX(0,J102-R102))</f>
        <v>0</v>
      </c>
      <c r="T102" s="16" t="n">
        <f aca="false">IF(D102="","",MAX(0,Z102-$B$8))</f>
        <v>0</v>
      </c>
      <c r="U102" s="16" t="n">
        <f aca="false">IF(D102="","",MAX(0,MIN($B$8,Z102)))</f>
        <v>19.8715021509668</v>
      </c>
      <c r="V102" s="16" t="str">
        <f aca="false">IF(D102="","",IF(S102&gt;0.0000001,"Sim","Não"))</f>
        <v>Não</v>
      </c>
      <c r="W102" s="16" t="n">
        <f aca="false">IF(D102="","",U102-(H102+E102-Q102-O102-T102))</f>
        <v>0</v>
      </c>
      <c r="X102" s="16" t="n">
        <f aca="false">IF(W102="","",ABS(W102))</f>
        <v>0</v>
      </c>
      <c r="Y102" s="16" t="n">
        <f aca="false">IF(U102="","",IF($B$8=0,0,U102/$B$8*100))</f>
        <v>42.0828084518568</v>
      </c>
      <c r="Z102" s="18" t="n">
        <f aca="false">IF(D102="","",MAX(0,IF(P102&gt;=0,P102,IF(K102+P102&gt;=0,0,P102+K102))))</f>
        <v>19.8715021509668</v>
      </c>
      <c r="AA102" s="18" t="n">
        <f aca="false">IF(D102="","",IF(H102&lt;=$B$16,1,IF(H102&gt;=$B$17,$B$21,MATCH(H102,Aux_CAV!$A$2:$A$121,1))))</f>
        <v>11</v>
      </c>
      <c r="AB102" s="18" t="n">
        <f aca="false">IF(D102="","",IF(L102&lt;=$B$16,1,IF(L102&gt;=$B$17,$B$21,MATCH(L102,Aux_CAV!$A$2:$A$121,1))))</f>
        <v>11</v>
      </c>
      <c r="AC102" s="19" t="n">
        <f aca="false">IF(D102="","",COUNT($D$24:D102))</f>
        <v>67</v>
      </c>
    </row>
    <row r="103" customFormat="false" ht="12.75" hidden="false" customHeight="true" outlineLevel="0" collapsed="false">
      <c r="A103" s="14" t="n">
        <f aca="false">IF(D103="","",DATE(B103,C103,1))</f>
        <v>6058</v>
      </c>
      <c r="B103" s="15" t="n">
        <f aca="false" t="array" ref="B103:B103">IF(D103="","",IFERROR(VALUE(INDEX(Vazoes_COLAR!$A$2:$A$200,INT((ROW()-24)/12)+1)),""))</f>
        <v>1916</v>
      </c>
      <c r="C103" s="15" t="n">
        <f aca="false">IF(D103="","",MOD(ROW()-24,12)+1)</f>
        <v>8</v>
      </c>
      <c r="D103" s="16" t="n">
        <f aca="false" t="array" ref="D103: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0.0144430967181447</v>
      </c>
      <c r="E103" s="16" t="n">
        <f aca="false">IF(D103="","",D103*$B$15)</f>
        <v>0.0374365066934311</v>
      </c>
      <c r="F103" s="16" t="n">
        <f aca="false" t="array" ref="F103:F103">IF(D103="","",IFERROR(INDEX(Dados_Evap!$C$2:$N$15,MATCH($B$9,Dados_Evap!$A$2:$A$15,0),C103),0))</f>
        <v>268.7</v>
      </c>
      <c r="G103" s="16" t="n">
        <f aca="false">IF(F103="","",F103/1000)</f>
        <v>0.2687</v>
      </c>
      <c r="H103" s="16" t="n">
        <f aca="false">IF(D103="","",MAX(0,MIN($B$8,IFERROR(LOOKUP(2,1/($U$24:U102&lt;&gt;""),$U$24:U102),$B$11))))</f>
        <v>19.8715021509668</v>
      </c>
      <c r="I103" s="16" t="n">
        <f aca="false" t="array" ref="I103: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>4.1126917204814</v>
      </c>
      <c r="J103" s="16" t="n">
        <f aca="false">IF(D103="","",$B$12)</f>
        <v>0.35</v>
      </c>
      <c r="K103" s="16" t="n">
        <f aca="false">IF(J103="","",J103*$B$15)</f>
        <v>0.9072</v>
      </c>
      <c r="L103" s="16" t="n">
        <f aca="false">IF(D103="","",H103+E103-K103-G103*I103)</f>
        <v>17.8966583923669</v>
      </c>
      <c r="M103" s="16" t="n">
        <f aca="false" t="array" ref="M103: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>3.87667380786824</v>
      </c>
      <c r="N103" s="16" t="n">
        <f aca="false">IF(D103="","",(I103+M103)/2)</f>
        <v>3.99468276417482</v>
      </c>
      <c r="O103" s="16" t="n">
        <f aca="false">IF(D103="","",G103*N103)</f>
        <v>1.07337125873377</v>
      </c>
      <c r="P103" s="16" t="n">
        <f aca="false">IF(D103="","",H103+E103-K103-O103)</f>
        <v>17.9283673989264</v>
      </c>
      <c r="Q103" s="16" t="n">
        <f aca="false">IF(D103="","",IF(P103&gt;=0,K103,MAX(0,K103+P103)))</f>
        <v>0.9072</v>
      </c>
      <c r="R103" s="16" t="n">
        <f aca="false">IF(D103="","",Q103/$B$15)</f>
        <v>0.35</v>
      </c>
      <c r="S103" s="16" t="n">
        <f aca="false">IF(D103="","",MAX(0,J103-R103))</f>
        <v>0</v>
      </c>
      <c r="T103" s="16" t="n">
        <f aca="false">IF(D103="","",MAX(0,Z103-$B$8))</f>
        <v>0</v>
      </c>
      <c r="U103" s="16" t="n">
        <f aca="false">IF(D103="","",MAX(0,MIN($B$8,Z103)))</f>
        <v>17.9283673989264</v>
      </c>
      <c r="V103" s="16" t="str">
        <f aca="false">IF(D103="","",IF(S103&gt;0.0000001,"Sim","Não"))</f>
        <v>Não</v>
      </c>
      <c r="W103" s="16" t="n">
        <f aca="false">IF(D103="","",U103-(H103+E103-Q103-O103-T103))</f>
        <v>0</v>
      </c>
      <c r="X103" s="16" t="n">
        <f aca="false">IF(W103="","",ABS(W103))</f>
        <v>0</v>
      </c>
      <c r="Y103" s="16" t="n">
        <f aca="false">IF(U103="","",IF($B$8=0,0,U103/$B$8*100))</f>
        <v>37.9677412090776</v>
      </c>
      <c r="Z103" s="18" t="n">
        <f aca="false">IF(D103="","",MAX(0,IF(P103&gt;=0,P103,IF(K103+P103&gt;=0,0,P103+K103))))</f>
        <v>17.9283673989264</v>
      </c>
      <c r="AA103" s="18" t="n">
        <f aca="false">IF(D103="","",IF(H103&lt;=$B$16,1,IF(H103&gt;=$B$17,$B$21,MATCH(H103,Aux_CAV!$A$2:$A$121,1))))</f>
        <v>11</v>
      </c>
      <c r="AB103" s="18" t="n">
        <f aca="false">IF(D103="","",IF(L103&lt;=$B$16,1,IF(L103&gt;=$B$17,$B$21,MATCH(L103,Aux_CAV!$A$2:$A$121,1))))</f>
        <v>11</v>
      </c>
      <c r="AC103" s="19" t="n">
        <f aca="false">IF(D103="","",COUNT($D$24:D103))</f>
        <v>68</v>
      </c>
    </row>
    <row r="104" customFormat="false" ht="12.75" hidden="false" customHeight="true" outlineLevel="0" collapsed="false">
      <c r="A104" s="14" t="n">
        <f aca="false">IF(D104="","",DATE(B104,C104,1))</f>
        <v>6089</v>
      </c>
      <c r="B104" s="15" t="n">
        <f aca="false" t="array" ref="B104:B104">IF(D104="","",IFERROR(VALUE(INDEX(Vazoes_COLAR!$A$2:$A$200,INT((ROW()-24)/12)+1)),""))</f>
        <v>1916</v>
      </c>
      <c r="C104" s="15" t="n">
        <f aca="false">IF(D104="","",MOD(ROW()-24,12)+1)</f>
        <v>9</v>
      </c>
      <c r="D104" s="16" t="n">
        <f aca="false" t="array" ref="D104: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0.0138726240180625</v>
      </c>
      <c r="E104" s="16" t="n">
        <f aca="false">IF(D104="","",D104*$B$15)</f>
        <v>0.035957841454818</v>
      </c>
      <c r="F104" s="16" t="n">
        <f aca="false" t="array" ref="F104:F104">IF(D104="","",IFERROR(INDEX(Dados_Evap!$C$2:$N$15,MATCH($B$9,Dados_Evap!$A$2:$A$15,0),C104),0))</f>
        <v>292.8</v>
      </c>
      <c r="G104" s="16" t="n">
        <f aca="false">IF(F104="","",F104/1000)</f>
        <v>0.2928</v>
      </c>
      <c r="H104" s="16" t="n">
        <f aca="false">IF(D104="","",MAX(0,MIN($B$8,IFERROR(LOOKUP(2,1/($U$24:U103&lt;&gt;""),$U$24:U103),$B$11))))</f>
        <v>17.9283673989264</v>
      </c>
      <c r="I104" s="16" t="n">
        <f aca="false" t="array" ref="I104: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>3.88046342084731</v>
      </c>
      <c r="J104" s="16" t="n">
        <f aca="false">IF(D104="","",$B$12)</f>
        <v>0.35</v>
      </c>
      <c r="K104" s="16" t="n">
        <f aca="false">IF(J104="","",J104*$B$15)</f>
        <v>0.9072</v>
      </c>
      <c r="L104" s="16" t="n">
        <f aca="false">IF(D104="","",H104+E104-K104-G104*I104)</f>
        <v>15.9209255507572</v>
      </c>
      <c r="M104" s="16" t="n">
        <f aca="false" t="array" ref="M104: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>3.64325541462341</v>
      </c>
      <c r="N104" s="16" t="n">
        <f aca="false">IF(D104="","",(I104+M104)/2)</f>
        <v>3.76185941773536</v>
      </c>
      <c r="O104" s="16" t="n">
        <f aca="false">IF(D104="","",G104*N104)</f>
        <v>1.10147243751291</v>
      </c>
      <c r="P104" s="16" t="n">
        <f aca="false">IF(D104="","",H104+E104-K104-O104)</f>
        <v>15.9556528028683</v>
      </c>
      <c r="Q104" s="16" t="n">
        <f aca="false">IF(D104="","",IF(P104&gt;=0,K104,MAX(0,K104+P104)))</f>
        <v>0.9072</v>
      </c>
      <c r="R104" s="16" t="n">
        <f aca="false">IF(D104="","",Q104/$B$15)</f>
        <v>0.35</v>
      </c>
      <c r="S104" s="16" t="n">
        <f aca="false">IF(D104="","",MAX(0,J104-R104))</f>
        <v>0</v>
      </c>
      <c r="T104" s="16" t="n">
        <f aca="false">IF(D104="","",MAX(0,Z104-$B$8))</f>
        <v>0</v>
      </c>
      <c r="U104" s="16" t="n">
        <f aca="false">IF(D104="","",MAX(0,MIN($B$8,Z104)))</f>
        <v>15.9556528028683</v>
      </c>
      <c r="V104" s="16" t="str">
        <f aca="false">IF(D104="","",IF(S104&gt;0.0000001,"Sim","Não"))</f>
        <v>Não</v>
      </c>
      <c r="W104" s="16" t="n">
        <f aca="false">IF(D104="","",U104-(H104+E104-Q104-O104-T104))</f>
        <v>0</v>
      </c>
      <c r="X104" s="16" t="n">
        <f aca="false">IF(W104="","",ABS(W104))</f>
        <v>0</v>
      </c>
      <c r="Y104" s="16" t="n">
        <f aca="false">IF(U104="","",IF($B$8=0,0,U104/$B$8*100))</f>
        <v>33.7900313487259</v>
      </c>
      <c r="Z104" s="18" t="n">
        <f aca="false">IF(D104="","",MAX(0,IF(P104&gt;=0,P104,IF(K104+P104&gt;=0,0,P104+K104))))</f>
        <v>15.9556528028683</v>
      </c>
      <c r="AA104" s="18" t="n">
        <f aca="false">IF(D104="","",IF(H104&lt;=$B$16,1,IF(H104&gt;=$B$17,$B$21,MATCH(H104,Aux_CAV!$A$2:$A$121,1))))</f>
        <v>11</v>
      </c>
      <c r="AB104" s="18" t="n">
        <f aca="false">IF(D104="","",IF(L104&lt;=$B$16,1,IF(L104&gt;=$B$17,$B$21,MATCH(L104,Aux_CAV!$A$2:$A$121,1))))</f>
        <v>10</v>
      </c>
      <c r="AC104" s="19" t="n">
        <f aca="false">IF(D104="","",COUNT($D$24:D104))</f>
        <v>69</v>
      </c>
    </row>
    <row r="105" customFormat="false" ht="12.75" hidden="false" customHeight="true" outlineLevel="0" collapsed="false">
      <c r="A105" s="14" t="n">
        <f aca="false">IF(D105="","",DATE(B105,C105,1))</f>
        <v>6119</v>
      </c>
      <c r="B105" s="15" t="n">
        <f aca="false" t="array" ref="B105:B105">IF(D105="","",IFERROR(VALUE(INDEX(Vazoes_COLAR!$A$2:$A$200,INT((ROW()-24)/12)+1)),""))</f>
        <v>1916</v>
      </c>
      <c r="C105" s="15" t="n">
        <f aca="false">IF(D105="","",MOD(ROW()-24,12)+1)</f>
        <v>10</v>
      </c>
      <c r="D105" s="16" t="n">
        <f aca="false" t="array" ref="D105: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0.0142894957054058</v>
      </c>
      <c r="E105" s="16" t="n">
        <f aca="false">IF(D105="","",D105*$B$15)</f>
        <v>0.0370383728684118</v>
      </c>
      <c r="F105" s="16" t="n">
        <f aca="false" t="array" ref="F105:F105">IF(D105="","",IFERROR(INDEX(Dados_Evap!$C$2:$N$15,MATCH($B$9,Dados_Evap!$A$2:$A$15,0),C105),0))</f>
        <v>262.9</v>
      </c>
      <c r="G105" s="16" t="n">
        <f aca="false">IF(F105="","",F105/1000)</f>
        <v>0.2629</v>
      </c>
      <c r="H105" s="16" t="n">
        <f aca="false">IF(D105="","",MAX(0,MIN($B$8,IFERROR(LOOKUP(2,1/($U$24:U104&lt;&gt;""),$U$24:U104),$B$11))))</f>
        <v>15.9556528028683</v>
      </c>
      <c r="I105" s="16" t="n">
        <f aca="false" t="array" ref="I105: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>3.64621744495054</v>
      </c>
      <c r="J105" s="16" t="n">
        <f aca="false">IF(D105="","",$B$12)</f>
        <v>0.35</v>
      </c>
      <c r="K105" s="16" t="n">
        <f aca="false">IF(J105="","",J105*$B$15)</f>
        <v>0.9072</v>
      </c>
      <c r="L105" s="16" t="n">
        <f aca="false">IF(D105="","",H105+E105-K105-G105*I105)</f>
        <v>14.1269006094593</v>
      </c>
      <c r="M105" s="16" t="n">
        <f aca="false" t="array" ref="M105: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>3.49023564021858</v>
      </c>
      <c r="N105" s="16" t="n">
        <f aca="false">IF(D105="","",(I105+M105)/2)</f>
        <v>3.56822654258456</v>
      </c>
      <c r="O105" s="16" t="n">
        <f aca="false">IF(D105="","",G105*N105)</f>
        <v>0.938086758045481</v>
      </c>
      <c r="P105" s="16" t="n">
        <f aca="false">IF(D105="","",H105+E105-K105-O105)</f>
        <v>14.1474044176913</v>
      </c>
      <c r="Q105" s="16" t="n">
        <f aca="false">IF(D105="","",IF(P105&gt;=0,K105,MAX(0,K105+P105)))</f>
        <v>0.9072</v>
      </c>
      <c r="R105" s="16" t="n">
        <f aca="false">IF(D105="","",Q105/$B$15)</f>
        <v>0.35</v>
      </c>
      <c r="S105" s="16" t="n">
        <f aca="false">IF(D105="","",MAX(0,J105-R105))</f>
        <v>0</v>
      </c>
      <c r="T105" s="16" t="n">
        <f aca="false">IF(D105="","",MAX(0,Z105-$B$8))</f>
        <v>0</v>
      </c>
      <c r="U105" s="16" t="n">
        <f aca="false">IF(D105="","",MAX(0,MIN($B$8,Z105)))</f>
        <v>14.1474044176913</v>
      </c>
      <c r="V105" s="16" t="str">
        <f aca="false">IF(D105="","",IF(S105&gt;0.0000001,"Sim","Não"))</f>
        <v>Não</v>
      </c>
      <c r="W105" s="16" t="n">
        <f aca="false">IF(D105="","",U105-(H105+E105-Q105-O105-T105))</f>
        <v>0</v>
      </c>
      <c r="X105" s="16" t="n">
        <f aca="false">IF(W105="","",ABS(W105))</f>
        <v>0</v>
      </c>
      <c r="Y105" s="16" t="n">
        <f aca="false">IF(U105="","",IF($B$8=0,0,U105/$B$8*100))</f>
        <v>29.9606192666058</v>
      </c>
      <c r="Z105" s="18" t="n">
        <f aca="false">IF(D105="","",MAX(0,IF(P105&gt;=0,P105,IF(K105+P105&gt;=0,0,P105+K105))))</f>
        <v>14.1474044176913</v>
      </c>
      <c r="AA105" s="18" t="n">
        <f aca="false">IF(D105="","",IF(H105&lt;=$B$16,1,IF(H105&gt;=$B$17,$B$21,MATCH(H105,Aux_CAV!$A$2:$A$121,1))))</f>
        <v>10</v>
      </c>
      <c r="AB105" s="18" t="n">
        <f aca="false">IF(D105="","",IF(L105&lt;=$B$16,1,IF(L105&gt;=$B$17,$B$21,MATCH(L105,Aux_CAV!$A$2:$A$121,1))))</f>
        <v>10</v>
      </c>
      <c r="AC105" s="19" t="n">
        <f aca="false">IF(D105="","",COUNT($D$24:D105))</f>
        <v>70</v>
      </c>
    </row>
    <row r="106" customFormat="false" ht="12.75" hidden="false" customHeight="true" outlineLevel="0" collapsed="false">
      <c r="A106" s="14" t="n">
        <f aca="false">IF(D106="","",DATE(B106,C106,1))</f>
        <v>6150</v>
      </c>
      <c r="B106" s="15" t="n">
        <f aca="false" t="array" ref="B106:B106">IF(D106="","",IFERROR(VALUE(INDEX(Vazoes_COLAR!$A$2:$A$200,INT((ROW()-24)/12)+1)),""))</f>
        <v>1916</v>
      </c>
      <c r="C106" s="15" t="n">
        <f aca="false">IF(D106="","",MOD(ROW()-24,12)+1)</f>
        <v>11</v>
      </c>
      <c r="D106" s="16" t="n">
        <f aca="false" t="array" ref="D106: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0.0521181713746426</v>
      </c>
      <c r="E106" s="16" t="n">
        <f aca="false">IF(D106="","",D106*$B$15)</f>
        <v>0.135090300203074</v>
      </c>
      <c r="F106" s="16" t="n">
        <f aca="false" t="array" ref="F106:F106">IF(D106="","",IFERROR(INDEX(Dados_Evap!$C$2:$N$15,MATCH($B$9,Dados_Evap!$A$2:$A$15,0),C106),0))</f>
        <v>223.7</v>
      </c>
      <c r="G106" s="16" t="n">
        <f aca="false">IF(F106="","",F106/1000)</f>
        <v>0.2237</v>
      </c>
      <c r="H106" s="16" t="n">
        <f aca="false">IF(D106="","",MAX(0,MIN($B$8,IFERROR(LOOKUP(2,1/($U$24:U105&lt;&gt;""),$U$24:U105),$B$11))))</f>
        <v>14.1474044176913</v>
      </c>
      <c r="I106" s="16" t="n">
        <f aca="false" t="array" ref="I106: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>3.49198449445014</v>
      </c>
      <c r="J106" s="16" t="n">
        <f aca="false">IF(D106="","",$B$12)</f>
        <v>0.35</v>
      </c>
      <c r="K106" s="16" t="n">
        <f aca="false">IF(J106="","",J106*$B$15)</f>
        <v>0.9072</v>
      </c>
      <c r="L106" s="16" t="n">
        <f aca="false">IF(D106="","",H106+E106-K106-G106*I106)</f>
        <v>12.5941377864859</v>
      </c>
      <c r="M106" s="16" t="n">
        <f aca="false" t="array" ref="M106: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>3.35949998767085</v>
      </c>
      <c r="N106" s="16" t="n">
        <f aca="false">IF(D106="","",(I106+M106)/2)</f>
        <v>3.4257422410605</v>
      </c>
      <c r="O106" s="16" t="n">
        <f aca="false">IF(D106="","",G106*N106)</f>
        <v>0.766338539325233</v>
      </c>
      <c r="P106" s="16" t="n">
        <f aca="false">IF(D106="","",H106+E106-K106-O106)</f>
        <v>12.6089561785691</v>
      </c>
      <c r="Q106" s="16" t="n">
        <f aca="false">IF(D106="","",IF(P106&gt;=0,K106,MAX(0,K106+P106)))</f>
        <v>0.9072</v>
      </c>
      <c r="R106" s="16" t="n">
        <f aca="false">IF(D106="","",Q106/$B$15)</f>
        <v>0.35</v>
      </c>
      <c r="S106" s="16" t="n">
        <f aca="false">IF(D106="","",MAX(0,J106-R106))</f>
        <v>0</v>
      </c>
      <c r="T106" s="16" t="n">
        <f aca="false">IF(D106="","",MAX(0,Z106-$B$8))</f>
        <v>0</v>
      </c>
      <c r="U106" s="16" t="n">
        <f aca="false">IF(D106="","",MAX(0,MIN($B$8,Z106)))</f>
        <v>12.6089561785691</v>
      </c>
      <c r="V106" s="16" t="str">
        <f aca="false">IF(D106="","",IF(S106&gt;0.0000001,"Sim","Não"))</f>
        <v>Não</v>
      </c>
      <c r="W106" s="16" t="n">
        <f aca="false">IF(D106="","",U106-(H106+E106-Q106-O106-T106))</f>
        <v>0</v>
      </c>
      <c r="X106" s="16" t="n">
        <f aca="false">IF(W106="","",ABS(W106))</f>
        <v>0</v>
      </c>
      <c r="Y106" s="16" t="n">
        <f aca="false">IF(U106="","",IF($B$8=0,0,U106/$B$8*100))</f>
        <v>26.7025755581726</v>
      </c>
      <c r="Z106" s="18" t="n">
        <f aca="false">IF(D106="","",MAX(0,IF(P106&gt;=0,P106,IF(K106+P106&gt;=0,0,P106+K106))))</f>
        <v>12.6089561785691</v>
      </c>
      <c r="AA106" s="18" t="n">
        <f aca="false">IF(D106="","",IF(H106&lt;=$B$16,1,IF(H106&gt;=$B$17,$B$21,MATCH(H106,Aux_CAV!$A$2:$A$121,1))))</f>
        <v>10</v>
      </c>
      <c r="AB106" s="18" t="n">
        <f aca="false">IF(D106="","",IF(L106&lt;=$B$16,1,IF(L106&gt;=$B$17,$B$21,MATCH(L106,Aux_CAV!$A$2:$A$121,1))))</f>
        <v>10</v>
      </c>
      <c r="AC106" s="19" t="n">
        <f aca="false">IF(D106="","",COUNT($D$24:D106))</f>
        <v>71</v>
      </c>
    </row>
    <row r="107" customFormat="false" ht="12.75" hidden="false" customHeight="true" outlineLevel="0" collapsed="false">
      <c r="A107" s="14" t="n">
        <f aca="false">IF(D107="","",DATE(B107,C107,1))</f>
        <v>6180</v>
      </c>
      <c r="B107" s="15" t="n">
        <f aca="false" t="array" ref="B107:B107">IF(D107="","",IFERROR(VALUE(INDEX(Vazoes_COLAR!$A$2:$A$200,INT((ROW()-24)/12)+1)),""))</f>
        <v>1916</v>
      </c>
      <c r="C107" s="15" t="n">
        <f aca="false">IF(D107="","",MOD(ROW()-24,12)+1)</f>
        <v>12</v>
      </c>
      <c r="D107" s="16" t="n">
        <f aca="false" t="array" ref="D107: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0.11892421202867</v>
      </c>
      <c r="E107" s="16" t="n">
        <f aca="false">IF(D107="","",D107*$B$15)</f>
        <v>0.308251557578313</v>
      </c>
      <c r="F107" s="16" t="n">
        <f aca="false" t="array" ref="F107:F107">IF(D107="","",IFERROR(INDEX(Dados_Evap!$C$2:$N$15,MATCH($B$9,Dados_Evap!$A$2:$A$15,0),C107),0))</f>
        <v>216.1</v>
      </c>
      <c r="G107" s="16" t="n">
        <f aca="false">IF(F107="","",F107/1000)</f>
        <v>0.2161</v>
      </c>
      <c r="H107" s="16" t="n">
        <f aca="false">IF(D107="","",MAX(0,MIN($B$8,IFERROR(LOOKUP(2,1/($U$24:U106&lt;&gt;""),$U$24:U106),$B$11))))</f>
        <v>12.6089561785691</v>
      </c>
      <c r="I107" s="16" t="n">
        <f aca="false" t="array" ref="I107: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>3.36076390934854</v>
      </c>
      <c r="J107" s="16" t="n">
        <f aca="false">IF(D107="","",$B$12)</f>
        <v>0.35</v>
      </c>
      <c r="K107" s="16" t="n">
        <f aca="false">IF(J107="","",J107*$B$15)</f>
        <v>0.9072</v>
      </c>
      <c r="L107" s="16" t="n">
        <f aca="false">IF(D107="","",H107+E107-K107-G107*I107)</f>
        <v>11.2837466553372</v>
      </c>
      <c r="M107" s="16" t="n">
        <f aca="false" t="array" ref="M107: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>3.247731332367</v>
      </c>
      <c r="N107" s="16" t="n">
        <f aca="false">IF(D107="","",(I107+M107)/2)</f>
        <v>3.30424762085777</v>
      </c>
      <c r="O107" s="16" t="n">
        <f aca="false">IF(D107="","",G107*N107)</f>
        <v>0.714047910867364</v>
      </c>
      <c r="P107" s="16" t="n">
        <f aca="false">IF(D107="","",H107+E107-K107-O107)</f>
        <v>11.2959598252801</v>
      </c>
      <c r="Q107" s="16" t="n">
        <f aca="false">IF(D107="","",IF(P107&gt;=0,K107,MAX(0,K107+P107)))</f>
        <v>0.9072</v>
      </c>
      <c r="R107" s="16" t="n">
        <f aca="false">IF(D107="","",Q107/$B$15)</f>
        <v>0.35</v>
      </c>
      <c r="S107" s="16" t="n">
        <f aca="false">IF(D107="","",MAX(0,J107-R107))</f>
        <v>0</v>
      </c>
      <c r="T107" s="16" t="n">
        <f aca="false">IF(D107="","",MAX(0,Z107-$B$8))</f>
        <v>0</v>
      </c>
      <c r="U107" s="16" t="n">
        <f aca="false">IF(D107="","",MAX(0,MIN($B$8,Z107)))</f>
        <v>11.2959598252801</v>
      </c>
      <c r="V107" s="16" t="str">
        <f aca="false">IF(D107="","",IF(S107&gt;0.0000001,"Sim","Não"))</f>
        <v>Não</v>
      </c>
      <c r="W107" s="16" t="n">
        <f aca="false">IF(D107="","",U107-(H107+E107-Q107-O107-T107))</f>
        <v>0</v>
      </c>
      <c r="X107" s="16" t="n">
        <f aca="false">IF(W107="","",ABS(W107))</f>
        <v>0</v>
      </c>
      <c r="Y107" s="16" t="n">
        <f aca="false">IF(U107="","",IF($B$8=0,0,U107/$B$8*100))</f>
        <v>23.921981840915</v>
      </c>
      <c r="Z107" s="18" t="n">
        <f aca="false">IF(D107="","",MAX(0,IF(P107&gt;=0,P107,IF(K107+P107&gt;=0,0,P107+K107))))</f>
        <v>11.2959598252801</v>
      </c>
      <c r="AA107" s="18" t="n">
        <f aca="false">IF(D107="","",IF(H107&lt;=$B$16,1,IF(H107&gt;=$B$17,$B$21,MATCH(H107,Aux_CAV!$A$2:$A$121,1))))</f>
        <v>10</v>
      </c>
      <c r="AB107" s="18" t="n">
        <f aca="false">IF(D107="","",IF(L107&lt;=$B$16,1,IF(L107&gt;=$B$17,$B$21,MATCH(L107,Aux_CAV!$A$2:$A$121,1))))</f>
        <v>10</v>
      </c>
      <c r="AC107" s="19" t="n">
        <f aca="false">IF(D107="","",COUNT($D$24:D107))</f>
        <v>72</v>
      </c>
    </row>
    <row r="108" customFormat="false" ht="12.75" hidden="false" customHeight="true" outlineLevel="0" collapsed="false">
      <c r="A108" s="14" t="n">
        <f aca="false">IF(D108="","",DATE(B108,C108,1))</f>
        <v>6211</v>
      </c>
      <c r="B108" s="15" t="n">
        <f aca="false" t="array" ref="B108:B108">IF(D108="","",IFERROR(VALUE(INDEX(Vazoes_COLAR!$A$2:$A$200,INT((ROW()-24)/12)+1)),""))</f>
        <v>1917</v>
      </c>
      <c r="C108" s="15" t="n">
        <f aca="false">IF(D108="","",MOD(ROW()-24,12)+1)</f>
        <v>1</v>
      </c>
      <c r="D108" s="16" t="n">
        <f aca="false" t="array" ref="D108: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2.29901320182492</v>
      </c>
      <c r="E108" s="16" t="n">
        <f aca="false">IF(D108="","",D108*$B$15)</f>
        <v>5.95904221913019</v>
      </c>
      <c r="F108" s="16" t="n">
        <f aca="false" t="array" ref="F108:F108">IF(D108="","",IFERROR(INDEX(Dados_Evap!$C$2:$N$15,MATCH($B$9,Dados_Evap!$A$2:$A$15,0),C108),0))</f>
        <v>160</v>
      </c>
      <c r="G108" s="16" t="n">
        <f aca="false">IF(F108="","",F108/1000)</f>
        <v>0.16</v>
      </c>
      <c r="H108" s="16" t="n">
        <f aca="false">IF(D108="","",MAX(0,MIN($B$8,IFERROR(LOOKUP(2,1/($U$24:U107&lt;&gt;""),$U$24:U107),$B$11))))</f>
        <v>11.2959598252801</v>
      </c>
      <c r="I108" s="16" t="n">
        <f aca="false" t="array" ref="I108: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>3.24877304392095</v>
      </c>
      <c r="J108" s="16" t="n">
        <f aca="false">IF(D108="","",$B$12)</f>
        <v>0.35</v>
      </c>
      <c r="K108" s="16" t="n">
        <f aca="false">IF(J108="","",J108*$B$15)</f>
        <v>0.9072</v>
      </c>
      <c r="L108" s="16" t="n">
        <f aca="false">IF(D108="","",H108+E108-K108-G108*I108)</f>
        <v>15.8279983573829</v>
      </c>
      <c r="M108" s="16" t="n">
        <f aca="false" t="array" ref="M108: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>3.63532927165913</v>
      </c>
      <c r="N108" s="16" t="n">
        <f aca="false">IF(D108="","",(I108+M108)/2)</f>
        <v>3.44205115779004</v>
      </c>
      <c r="O108" s="16" t="n">
        <f aca="false">IF(D108="","",G108*N108)</f>
        <v>0.550728185246406</v>
      </c>
      <c r="P108" s="16" t="n">
        <f aca="false">IF(D108="","",H108+E108-K108-O108)</f>
        <v>15.7970738591639</v>
      </c>
      <c r="Q108" s="16" t="n">
        <f aca="false">IF(D108="","",IF(P108&gt;=0,K108,MAX(0,K108+P108)))</f>
        <v>0.9072</v>
      </c>
      <c r="R108" s="16" t="n">
        <f aca="false">IF(D108="","",Q108/$B$15)</f>
        <v>0.35</v>
      </c>
      <c r="S108" s="16" t="n">
        <f aca="false">IF(D108="","",MAX(0,J108-R108))</f>
        <v>0</v>
      </c>
      <c r="T108" s="16" t="n">
        <f aca="false">IF(D108="","",MAX(0,Z108-$B$8))</f>
        <v>0</v>
      </c>
      <c r="U108" s="16" t="n">
        <f aca="false">IF(D108="","",MAX(0,MIN($B$8,Z108)))</f>
        <v>15.7970738591639</v>
      </c>
      <c r="V108" s="16" t="str">
        <f aca="false">IF(D108="","",IF(S108&gt;0.0000001,"Sim","Não"))</f>
        <v>Não</v>
      </c>
      <c r="W108" s="16" t="n">
        <f aca="false">IF(D108="","",U108-(H108+E108-Q108-O108-T108))</f>
        <v>0</v>
      </c>
      <c r="X108" s="16" t="n">
        <f aca="false">IF(W108="","",ABS(W108))</f>
        <v>0</v>
      </c>
      <c r="Y108" s="16" t="n">
        <f aca="false">IF(U108="","",IF($B$8=0,0,U108/$B$8*100))</f>
        <v>33.4542013112322</v>
      </c>
      <c r="Z108" s="18" t="n">
        <f aca="false">IF(D108="","",MAX(0,IF(P108&gt;=0,P108,IF(K108+P108&gt;=0,0,P108+K108))))</f>
        <v>15.7970738591639</v>
      </c>
      <c r="AA108" s="18" t="n">
        <f aca="false">IF(D108="","",IF(H108&lt;=$B$16,1,IF(H108&gt;=$B$17,$B$21,MATCH(H108,Aux_CAV!$A$2:$A$121,1))))</f>
        <v>10</v>
      </c>
      <c r="AB108" s="18" t="n">
        <f aca="false">IF(D108="","",IF(L108&lt;=$B$16,1,IF(L108&gt;=$B$17,$B$21,MATCH(L108,Aux_CAV!$A$2:$A$121,1))))</f>
        <v>10</v>
      </c>
      <c r="AC108" s="19" t="n">
        <f aca="false">IF(D108="","",COUNT($D$24:D108))</f>
        <v>73</v>
      </c>
    </row>
    <row r="109" customFormat="false" ht="12.75" hidden="false" customHeight="true" outlineLevel="0" collapsed="false">
      <c r="A109" s="14" t="n">
        <f aca="false">IF(D109="","",DATE(B109,C109,1))</f>
        <v>6242</v>
      </c>
      <c r="B109" s="15" t="n">
        <f aca="false" t="array" ref="B109:B109">IF(D109="","",IFERROR(VALUE(INDEX(Vazoes_COLAR!$A$2:$A$200,INT((ROW()-24)/12)+1)),""))</f>
        <v>1917</v>
      </c>
      <c r="C109" s="15" t="n">
        <f aca="false">IF(D109="","",MOD(ROW()-24,12)+1)</f>
        <v>2</v>
      </c>
      <c r="D109" s="16" t="n">
        <f aca="false" t="array" ref="D109: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9.59970878910989</v>
      </c>
      <c r="E109" s="16" t="n">
        <f aca="false">IF(D109="","",D109*$B$15)</f>
        <v>24.8824451813728</v>
      </c>
      <c r="F109" s="16" t="n">
        <f aca="false" t="array" ref="F109:F109">IF(D109="","",IFERROR(INDEX(Dados_Evap!$C$2:$N$15,MATCH($B$9,Dados_Evap!$A$2:$A$15,0),C109),0))</f>
        <v>124.3</v>
      </c>
      <c r="G109" s="16" t="n">
        <f aca="false">IF(F109="","",F109/1000)</f>
        <v>0.1243</v>
      </c>
      <c r="H109" s="16" t="n">
        <f aca="false">IF(D109="","",MAX(0,MIN($B$8,IFERROR(LOOKUP(2,1/($U$24:U108&lt;&gt;""),$U$24:U108),$B$11))))</f>
        <v>15.7970738591639</v>
      </c>
      <c r="I109" s="16" t="n">
        <f aca="false" t="array" ref="I109: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>3.63269159386986</v>
      </c>
      <c r="J109" s="16" t="n">
        <f aca="false">IF(D109="","",$B$12)</f>
        <v>0.35</v>
      </c>
      <c r="K109" s="16" t="n">
        <f aca="false">IF(J109="","",J109*$B$15)</f>
        <v>0.9072</v>
      </c>
      <c r="L109" s="16" t="n">
        <f aca="false">IF(D109="","",H109+E109-K109-G109*I109)</f>
        <v>39.3207754754187</v>
      </c>
      <c r="M109" s="16" t="n">
        <f aca="false" t="array" ref="M109: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>6.18131956397655</v>
      </c>
      <c r="N109" s="16" t="n">
        <f aca="false">IF(D109="","",(I109+M109)/2)</f>
        <v>4.9070055789232</v>
      </c>
      <c r="O109" s="16" t="n">
        <f aca="false">IF(D109="","",G109*N109)</f>
        <v>0.609940793460154</v>
      </c>
      <c r="P109" s="16" t="n">
        <f aca="false">IF(D109="","",H109+E109-K109-O109)</f>
        <v>39.1623782470765</v>
      </c>
      <c r="Q109" s="16" t="n">
        <f aca="false">IF(D109="","",IF(P109&gt;=0,K109,MAX(0,K109+P109)))</f>
        <v>0.9072</v>
      </c>
      <c r="R109" s="16" t="n">
        <f aca="false">IF(D109="","",Q109/$B$15)</f>
        <v>0.35</v>
      </c>
      <c r="S109" s="16" t="n">
        <f aca="false">IF(D109="","",MAX(0,J109-R109))</f>
        <v>0</v>
      </c>
      <c r="T109" s="16" t="n">
        <f aca="false">IF(D109="","",MAX(0,Z109-$B$8))</f>
        <v>0</v>
      </c>
      <c r="U109" s="16" t="n">
        <f aca="false">IF(D109="","",MAX(0,MIN($B$8,Z109)))</f>
        <v>39.1623782470765</v>
      </c>
      <c r="V109" s="16" t="str">
        <f aca="false">IF(D109="","",IF(S109&gt;0.0000001,"Sim","Não"))</f>
        <v>Não</v>
      </c>
      <c r="W109" s="16" t="n">
        <f aca="false">IF(D109="","",U109-(H109+E109-Q109-O109-T109))</f>
        <v>0</v>
      </c>
      <c r="X109" s="16" t="n">
        <f aca="false">IF(W109="","",ABS(W109))</f>
        <v>0</v>
      </c>
      <c r="Y109" s="16" t="n">
        <f aca="false">IF(U109="","",IF($B$8=0,0,U109/$B$8*100))</f>
        <v>82.9359979819495</v>
      </c>
      <c r="Z109" s="18" t="n">
        <f aca="false">IF(D109="","",MAX(0,IF(P109&gt;=0,P109,IF(K109+P109&gt;=0,0,P109+K109))))</f>
        <v>39.1623782470765</v>
      </c>
      <c r="AA109" s="18" t="n">
        <f aca="false">IF(D109="","",IF(H109&lt;=$B$16,1,IF(H109&gt;=$B$17,$B$21,MATCH(H109,Aux_CAV!$A$2:$A$121,1))))</f>
        <v>10</v>
      </c>
      <c r="AB109" s="18" t="n">
        <f aca="false">IF(D109="","",IF(L109&lt;=$B$16,1,IF(L109&gt;=$B$17,$B$21,MATCH(L109,Aux_CAV!$A$2:$A$121,1))))</f>
        <v>13</v>
      </c>
      <c r="AC109" s="19" t="n">
        <f aca="false">IF(D109="","",COUNT($D$24:D109))</f>
        <v>74</v>
      </c>
    </row>
    <row r="110" customFormat="false" ht="12.75" hidden="false" customHeight="true" outlineLevel="0" collapsed="false">
      <c r="A110" s="14" t="n">
        <f aca="false">IF(D110="","",DATE(B110,C110,1))</f>
        <v>6270</v>
      </c>
      <c r="B110" s="15" t="n">
        <f aca="false" t="array" ref="B110:B110">IF(D110="","",IFERROR(VALUE(INDEX(Vazoes_COLAR!$A$2:$A$200,INT((ROW()-24)/12)+1)),""))</f>
        <v>1917</v>
      </c>
      <c r="C110" s="15" t="n">
        <f aca="false">IF(D110="","",MOD(ROW()-24,12)+1)</f>
        <v>3</v>
      </c>
      <c r="D110" s="16" t="n">
        <f aca="false" t="array" ref="D110: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13.4087875167224</v>
      </c>
      <c r="E110" s="16" t="n">
        <f aca="false">IF(D110="","",D110*$B$15)</f>
        <v>34.7555772433445</v>
      </c>
      <c r="F110" s="16" t="n">
        <f aca="false" t="array" ref="F110:F110">IF(D110="","",IFERROR(INDEX(Dados_Evap!$C$2:$N$15,MATCH($B$9,Dados_Evap!$A$2:$A$15,0),C110),0))</f>
        <v>107.7</v>
      </c>
      <c r="G110" s="16" t="n">
        <f aca="false">IF(F110="","",F110/1000)</f>
        <v>0.1077</v>
      </c>
      <c r="H110" s="16" t="n">
        <f aca="false">IF(D110="","",MAX(0,MIN($B$8,IFERROR(LOOKUP(2,1/($U$24:U109&lt;&gt;""),$U$24:U109),$B$11))))</f>
        <v>39.1623782470765</v>
      </c>
      <c r="I110" s="16" t="n">
        <f aca="false" t="array" ref="I110: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>6.16550474636692</v>
      </c>
      <c r="J110" s="16" t="n">
        <f aca="false">IF(D110="","",$B$12)</f>
        <v>0.35</v>
      </c>
      <c r="K110" s="16" t="n">
        <f aca="false">IF(J110="","",J110*$B$15)</f>
        <v>0.9072</v>
      </c>
      <c r="L110" s="16" t="n">
        <f aca="false">IF(D110="","",H110+E110-K110-G110*I110)</f>
        <v>72.3467306292373</v>
      </c>
      <c r="M110" s="16" t="n">
        <f aca="false" t="array" ref="M110: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>9.91631128511799</v>
      </c>
      <c r="N110" s="16" t="n">
        <f aca="false">IF(D110="","",(I110+M110)/2)</f>
        <v>8.04090801574245</v>
      </c>
      <c r="O110" s="16" t="n">
        <f aca="false">IF(D110="","",G110*N110)</f>
        <v>0.866005793295462</v>
      </c>
      <c r="P110" s="16" t="n">
        <f aca="false">IF(D110="","",H110+E110-K110-O110)</f>
        <v>72.1447496971255</v>
      </c>
      <c r="Q110" s="16" t="n">
        <f aca="false">IF(D110="","",IF(P110&gt;=0,K110,MAX(0,K110+P110)))</f>
        <v>0.9072</v>
      </c>
      <c r="R110" s="16" t="n">
        <f aca="false">IF(D110="","",Q110/$B$15)</f>
        <v>0.35</v>
      </c>
      <c r="S110" s="16" t="n">
        <f aca="false">IF(D110="","",MAX(0,J110-R110))</f>
        <v>0</v>
      </c>
      <c r="T110" s="16" t="n">
        <f aca="false">IF(D110="","",MAX(0,Z110-$B$8))</f>
        <v>24.9247496971255</v>
      </c>
      <c r="U110" s="16" t="n">
        <f aca="false">IF(D110="","",MAX(0,MIN($B$8,Z110)))</f>
        <v>47.22</v>
      </c>
      <c r="V110" s="16" t="str">
        <f aca="false">IF(D110="","",IF(S110&gt;0.0000001,"Sim","Não"))</f>
        <v>Não</v>
      </c>
      <c r="W110" s="16" t="n">
        <f aca="false">IF(D110="","",U110-(H110+E110-Q110-O110-T110))</f>
        <v>0</v>
      </c>
      <c r="X110" s="16" t="n">
        <f aca="false">IF(W110="","",ABS(W110))</f>
        <v>0</v>
      </c>
      <c r="Y110" s="16" t="n">
        <f aca="false">IF(U110="","",IF($B$8=0,0,U110/$B$8*100))</f>
        <v>100</v>
      </c>
      <c r="Z110" s="18" t="n">
        <f aca="false">IF(D110="","",MAX(0,IF(P110&gt;=0,P110,IF(K110+P110&gt;=0,0,P110+K110))))</f>
        <v>72.1447496971255</v>
      </c>
      <c r="AA110" s="18" t="n">
        <f aca="false">IF(D110="","",IF(H110&lt;=$B$16,1,IF(H110&gt;=$B$17,$B$21,MATCH(H110,Aux_CAV!$A$2:$A$121,1))))</f>
        <v>13</v>
      </c>
      <c r="AB110" s="18" t="n">
        <f aca="false">IF(D110="","",IF(L110&lt;=$B$16,1,IF(L110&gt;=$B$17,$B$21,MATCH(L110,Aux_CAV!$A$2:$A$121,1))))</f>
        <v>16</v>
      </c>
      <c r="AC110" s="19" t="n">
        <f aca="false">IF(D110="","",COUNT($D$24:D110))</f>
        <v>75</v>
      </c>
    </row>
    <row r="111" customFormat="false" ht="12.75" hidden="false" customHeight="true" outlineLevel="0" collapsed="false">
      <c r="A111" s="14" t="n">
        <f aca="false">IF(D111="","",DATE(B111,C111,1))</f>
        <v>6301</v>
      </c>
      <c r="B111" s="15" t="n">
        <f aca="false" t="array" ref="B111:B111">IF(D111="","",IFERROR(VALUE(INDEX(Vazoes_COLAR!$A$2:$A$200,INT((ROW()-24)/12)+1)),""))</f>
        <v>1917</v>
      </c>
      <c r="C111" s="15" t="n">
        <f aca="false">IF(D111="","",MOD(ROW()-24,12)+1)</f>
        <v>4</v>
      </c>
      <c r="D111" s="16" t="n">
        <f aca="false" t="array" ref="D111: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8.11801033179061</v>
      </c>
      <c r="E111" s="16" t="n">
        <f aca="false">IF(D111="","",D111*$B$15)</f>
        <v>21.0418827800013</v>
      </c>
      <c r="F111" s="16" t="n">
        <f aca="false" t="array" ref="F111:F111">IF(D111="","",IFERROR(INDEX(Dados_Evap!$C$2:$N$15,MATCH($B$9,Dados_Evap!$A$2:$A$15,0),C111),0))</f>
        <v>100.5</v>
      </c>
      <c r="G111" s="16" t="n">
        <f aca="false">IF(F111="","",F111/1000)</f>
        <v>0.1005</v>
      </c>
      <c r="H111" s="16" t="n">
        <f aca="false">IF(D111="","",MAX(0,MIN($B$8,IFERROR(LOOKUP(2,1/($U$24:U110&lt;&gt;""),$U$24:U110),$B$11))))</f>
        <v>47.22</v>
      </c>
      <c r="I111" s="16" t="n">
        <f aca="false" t="array" ref="I111: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>6.97</v>
      </c>
      <c r="J111" s="16" t="n">
        <f aca="false">IF(D111="","",$B$12)</f>
        <v>0.35</v>
      </c>
      <c r="K111" s="16" t="n">
        <f aca="false">IF(J111="","",J111*$B$15)</f>
        <v>0.9072</v>
      </c>
      <c r="L111" s="16" t="n">
        <f aca="false">IF(D111="","",H111+E111-K111-G111*I111)</f>
        <v>66.6541977800013</v>
      </c>
      <c r="M111" s="16" t="n">
        <f aca="false" t="array" ref="M111: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>9.28515625705771</v>
      </c>
      <c r="N111" s="16" t="n">
        <f aca="false">IF(D111="","",(I111+M111)/2)</f>
        <v>8.12757812852886</v>
      </c>
      <c r="O111" s="16" t="n">
        <f aca="false">IF(D111="","",G111*N111)</f>
        <v>0.81682160191715</v>
      </c>
      <c r="P111" s="16" t="n">
        <f aca="false">IF(D111="","",H111+E111-K111-O111)</f>
        <v>66.5378611780841</v>
      </c>
      <c r="Q111" s="16" t="n">
        <f aca="false">IF(D111="","",IF(P111&gt;=0,K111,MAX(0,K111+P111)))</f>
        <v>0.9072</v>
      </c>
      <c r="R111" s="16" t="n">
        <f aca="false">IF(D111="","",Q111/$B$15)</f>
        <v>0.35</v>
      </c>
      <c r="S111" s="16" t="n">
        <f aca="false">IF(D111="","",MAX(0,J111-R111))</f>
        <v>0</v>
      </c>
      <c r="T111" s="16" t="n">
        <f aca="false">IF(D111="","",MAX(0,Z111-$B$8))</f>
        <v>19.3178611780841</v>
      </c>
      <c r="U111" s="16" t="n">
        <f aca="false">IF(D111="","",MAX(0,MIN($B$8,Z111)))</f>
        <v>47.22</v>
      </c>
      <c r="V111" s="16" t="str">
        <f aca="false">IF(D111="","",IF(S111&gt;0.0000001,"Sim","Não"))</f>
        <v>Não</v>
      </c>
      <c r="W111" s="16" t="n">
        <f aca="false">IF(D111="","",U111-(H111+E111-Q111-O111-T111))</f>
        <v>0</v>
      </c>
      <c r="X111" s="16" t="n">
        <f aca="false">IF(W111="","",ABS(W111))</f>
        <v>0</v>
      </c>
      <c r="Y111" s="16" t="n">
        <f aca="false">IF(U111="","",IF($B$8=0,0,U111/$B$8*100))</f>
        <v>100</v>
      </c>
      <c r="Z111" s="18" t="n">
        <f aca="false">IF(D111="","",MAX(0,IF(P111&gt;=0,P111,IF(K111+P111&gt;=0,0,P111+K111))))</f>
        <v>66.5378611780841</v>
      </c>
      <c r="AA111" s="18" t="n">
        <f aca="false">IF(D111="","",IF(H111&lt;=$B$16,1,IF(H111&gt;=$B$17,$B$21,MATCH(H111,Aux_CAV!$A$2:$A$121,1))))</f>
        <v>14</v>
      </c>
      <c r="AB111" s="18" t="n">
        <f aca="false">IF(D111="","",IF(L111&lt;=$B$16,1,IF(L111&gt;=$B$17,$B$21,MATCH(L111,Aux_CAV!$A$2:$A$121,1))))</f>
        <v>16</v>
      </c>
      <c r="AC111" s="19" t="n">
        <f aca="false">IF(D111="","",COUNT($D$24:D111))</f>
        <v>76</v>
      </c>
    </row>
    <row r="112" customFormat="false" ht="12.75" hidden="false" customHeight="true" outlineLevel="0" collapsed="false">
      <c r="A112" s="14" t="n">
        <f aca="false">IF(D112="","",DATE(B112,C112,1))</f>
        <v>6331</v>
      </c>
      <c r="B112" s="15" t="n">
        <f aca="false" t="array" ref="B112:B112">IF(D112="","",IFERROR(VALUE(INDEX(Vazoes_COLAR!$A$2:$A$200,INT((ROW()-24)/12)+1)),""))</f>
        <v>1917</v>
      </c>
      <c r="C112" s="15" t="n">
        <f aca="false">IF(D112="","",MOD(ROW()-24,12)+1)</f>
        <v>5</v>
      </c>
      <c r="D112" s="16" t="n">
        <f aca="false" t="array" ref="D112: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3.83433894960833</v>
      </c>
      <c r="E112" s="16" t="n">
        <f aca="false">IF(D112="","",D112*$B$15)</f>
        <v>9.93860655738479</v>
      </c>
      <c r="F112" s="16" t="n">
        <f aca="false" t="array" ref="F112:F112">IF(D112="","",IFERROR(INDEX(Dados_Evap!$C$2:$N$15,MATCH($B$9,Dados_Evap!$A$2:$A$15,0),C112),0))</f>
        <v>145.8</v>
      </c>
      <c r="G112" s="16" t="n">
        <f aca="false">IF(F112="","",F112/1000)</f>
        <v>0.1458</v>
      </c>
      <c r="H112" s="16" t="n">
        <f aca="false">IF(D112="","",MAX(0,MIN($B$8,IFERROR(LOOKUP(2,1/($U$24:U111&lt;&gt;""),$U$24:U111),$B$11))))</f>
        <v>47.22</v>
      </c>
      <c r="I112" s="16" t="n">
        <f aca="false" t="array" ref="I112: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>6.97</v>
      </c>
      <c r="J112" s="16" t="n">
        <f aca="false">IF(D112="","",$B$12)</f>
        <v>0.35</v>
      </c>
      <c r="K112" s="16" t="n">
        <f aca="false">IF(J112="","",J112*$B$15)</f>
        <v>0.9072</v>
      </c>
      <c r="L112" s="16" t="n">
        <f aca="false">IF(D112="","",H112+E112-K112-G112*I112)</f>
        <v>55.2351805573848</v>
      </c>
      <c r="M112" s="16" t="n">
        <f aca="false" t="array" ref="M112: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>7.91864140234288</v>
      </c>
      <c r="N112" s="16" t="n">
        <f aca="false">IF(D112="","",(I112+M112)/2)</f>
        <v>7.44432070117144</v>
      </c>
      <c r="O112" s="16" t="n">
        <f aca="false">IF(D112="","",G112*N112)</f>
        <v>1.0853819582308</v>
      </c>
      <c r="P112" s="16" t="n">
        <f aca="false">IF(D112="","",H112+E112-K112-O112)</f>
        <v>55.166024599154</v>
      </c>
      <c r="Q112" s="16" t="n">
        <f aca="false">IF(D112="","",IF(P112&gt;=0,K112,MAX(0,K112+P112)))</f>
        <v>0.9072</v>
      </c>
      <c r="R112" s="16" t="n">
        <f aca="false">IF(D112="","",Q112/$B$15)</f>
        <v>0.35</v>
      </c>
      <c r="S112" s="16" t="n">
        <f aca="false">IF(D112="","",MAX(0,J112-R112))</f>
        <v>0</v>
      </c>
      <c r="T112" s="16" t="n">
        <f aca="false">IF(D112="","",MAX(0,Z112-$B$8))</f>
        <v>7.94602459915399</v>
      </c>
      <c r="U112" s="16" t="n">
        <f aca="false">IF(D112="","",MAX(0,MIN($B$8,Z112)))</f>
        <v>47.22</v>
      </c>
      <c r="V112" s="16" t="str">
        <f aca="false">IF(D112="","",IF(S112&gt;0.0000001,"Sim","Não"))</f>
        <v>Não</v>
      </c>
      <c r="W112" s="16" t="n">
        <f aca="false">IF(D112="","",U112-(H112+E112-Q112-O112-T112))</f>
        <v>0</v>
      </c>
      <c r="X112" s="16" t="n">
        <f aca="false">IF(W112="","",ABS(W112))</f>
        <v>0</v>
      </c>
      <c r="Y112" s="16" t="n">
        <f aca="false">IF(U112="","",IF($B$8=0,0,U112/$B$8*100))</f>
        <v>100</v>
      </c>
      <c r="Z112" s="18" t="n">
        <f aca="false">IF(D112="","",MAX(0,IF(P112&gt;=0,P112,IF(K112+P112&gt;=0,0,P112+K112))))</f>
        <v>55.166024599154</v>
      </c>
      <c r="AA112" s="18" t="n">
        <f aca="false">IF(D112="","",IF(H112&lt;=$B$16,1,IF(H112&gt;=$B$17,$B$21,MATCH(H112,Aux_CAV!$A$2:$A$121,1))))</f>
        <v>14</v>
      </c>
      <c r="AB112" s="18" t="n">
        <f aca="false">IF(D112="","",IF(L112&lt;=$B$16,1,IF(L112&gt;=$B$17,$B$21,MATCH(L112,Aux_CAV!$A$2:$A$121,1))))</f>
        <v>15</v>
      </c>
      <c r="AC112" s="19" t="n">
        <f aca="false">IF(D112="","",COUNT($D$24:D112))</f>
        <v>77</v>
      </c>
    </row>
    <row r="113" customFormat="false" ht="12.75" hidden="false" customHeight="true" outlineLevel="0" collapsed="false">
      <c r="A113" s="14" t="n">
        <f aca="false">IF(D113="","",DATE(B113,C113,1))</f>
        <v>6362</v>
      </c>
      <c r="B113" s="15" t="n">
        <f aca="false" t="array" ref="B113:B113">IF(D113="","",IFERROR(VALUE(INDEX(Vazoes_COLAR!$A$2:$A$200,INT((ROW()-24)/12)+1)),""))</f>
        <v>1917</v>
      </c>
      <c r="C113" s="15" t="n">
        <f aca="false">IF(D113="","",MOD(ROW()-24,12)+1)</f>
        <v>6</v>
      </c>
      <c r="D113" s="16" t="n">
        <f aca="false" t="array" ref="D113: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0.380477263178196</v>
      </c>
      <c r="E113" s="16" t="n">
        <f aca="false">IF(D113="","",D113*$B$15)</f>
        <v>0.986197066157884</v>
      </c>
      <c r="F113" s="16" t="n">
        <f aca="false" t="array" ref="F113:F113">IF(D113="","",IFERROR(INDEX(Dados_Evap!$C$2:$N$15,MATCH($B$9,Dados_Evap!$A$2:$A$15,0),C113),0))</f>
        <v>161.3</v>
      </c>
      <c r="G113" s="16" t="n">
        <f aca="false">IF(F113="","",F113/1000)</f>
        <v>0.1613</v>
      </c>
      <c r="H113" s="16" t="n">
        <f aca="false">IF(D113="","",MAX(0,MIN($B$8,IFERROR(LOOKUP(2,1/($U$24:U112&lt;&gt;""),$U$24:U112),$B$11))))</f>
        <v>47.22</v>
      </c>
      <c r="I113" s="16" t="n">
        <f aca="false" t="array" ref="I113: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>6.97</v>
      </c>
      <c r="J113" s="16" t="n">
        <f aca="false">IF(D113="","",$B$12)</f>
        <v>0.35</v>
      </c>
      <c r="K113" s="16" t="n">
        <f aca="false">IF(J113="","",J113*$B$15)</f>
        <v>0.9072</v>
      </c>
      <c r="L113" s="16" t="n">
        <f aca="false">IF(D113="","",H113+E113-K113-G113*I113)</f>
        <v>46.1747360661579</v>
      </c>
      <c r="M113" s="16" t="n">
        <f aca="false" t="array" ref="M113: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>6.86563795629092</v>
      </c>
      <c r="N113" s="16" t="n">
        <f aca="false">IF(D113="","",(I113+M113)/2)</f>
        <v>6.91781897814546</v>
      </c>
      <c r="O113" s="16" t="n">
        <f aca="false">IF(D113="","",G113*N113)</f>
        <v>1.11584420117486</v>
      </c>
      <c r="P113" s="16" t="n">
        <f aca="false">IF(D113="","",H113+E113-K113-O113)</f>
        <v>46.183152864983</v>
      </c>
      <c r="Q113" s="16" t="n">
        <f aca="false">IF(D113="","",IF(P113&gt;=0,K113,MAX(0,K113+P113)))</f>
        <v>0.9072</v>
      </c>
      <c r="R113" s="16" t="n">
        <f aca="false">IF(D113="","",Q113/$B$15)</f>
        <v>0.35</v>
      </c>
      <c r="S113" s="16" t="n">
        <f aca="false">IF(D113="","",MAX(0,J113-R113))</f>
        <v>0</v>
      </c>
      <c r="T113" s="16" t="n">
        <f aca="false">IF(D113="","",MAX(0,Z113-$B$8))</f>
        <v>0</v>
      </c>
      <c r="U113" s="16" t="n">
        <f aca="false">IF(D113="","",MAX(0,MIN($B$8,Z113)))</f>
        <v>46.183152864983</v>
      </c>
      <c r="V113" s="16" t="str">
        <f aca="false">IF(D113="","",IF(S113&gt;0.0000001,"Sim","Não"))</f>
        <v>Não</v>
      </c>
      <c r="W113" s="16" t="n">
        <f aca="false">IF(D113="","",U113-(H113+E113-Q113-O113-T113))</f>
        <v>0</v>
      </c>
      <c r="X113" s="16" t="n">
        <f aca="false">IF(W113="","",ABS(W113))</f>
        <v>0</v>
      </c>
      <c r="Y113" s="16" t="n">
        <f aca="false">IF(U113="","",IF($B$8=0,0,U113/$B$8*100))</f>
        <v>97.8042203832762</v>
      </c>
      <c r="Z113" s="18" t="n">
        <f aca="false">IF(D113="","",MAX(0,IF(P113&gt;=0,P113,IF(K113+P113&gt;=0,0,P113+K113))))</f>
        <v>46.183152864983</v>
      </c>
      <c r="AA113" s="18" t="n">
        <f aca="false">IF(D113="","",IF(H113&lt;=$B$16,1,IF(H113&gt;=$B$17,$B$21,MATCH(H113,Aux_CAV!$A$2:$A$121,1))))</f>
        <v>14</v>
      </c>
      <c r="AB113" s="18" t="n">
        <f aca="false">IF(D113="","",IF(L113&lt;=$B$16,1,IF(L113&gt;=$B$17,$B$21,MATCH(L113,Aux_CAV!$A$2:$A$121,1))))</f>
        <v>13</v>
      </c>
      <c r="AC113" s="19" t="n">
        <f aca="false">IF(D113="","",COUNT($D$24:D113))</f>
        <v>78</v>
      </c>
    </row>
    <row r="114" customFormat="false" ht="12.75" hidden="false" customHeight="true" outlineLevel="0" collapsed="false">
      <c r="A114" s="14" t="n">
        <f aca="false">IF(D114="","",DATE(B114,C114,1))</f>
        <v>6392</v>
      </c>
      <c r="B114" s="15" t="n">
        <f aca="false" t="array" ref="B114:B114">IF(D114="","",IFERROR(VALUE(INDEX(Vazoes_COLAR!$A$2:$A$200,INT((ROW()-24)/12)+1)),""))</f>
        <v>1917</v>
      </c>
      <c r="C114" s="15" t="n">
        <f aca="false">IF(D114="","",MOD(ROW()-24,12)+1)</f>
        <v>7</v>
      </c>
      <c r="D114" s="16" t="n">
        <f aca="false" t="array" ref="D114: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0.0801790304709531</v>
      </c>
      <c r="E114" s="16" t="n">
        <f aca="false">IF(D114="","",D114*$B$15)</f>
        <v>0.20782404698071</v>
      </c>
      <c r="F114" s="16" t="n">
        <f aca="false" t="array" ref="F114:F114">IF(D114="","",IFERROR(INDEX(Dados_Evap!$C$2:$N$15,MATCH($B$9,Dados_Evap!$A$2:$A$15,0),C114),0))</f>
        <v>224.8</v>
      </c>
      <c r="G114" s="16" t="n">
        <f aca="false">IF(F114="","",F114/1000)</f>
        <v>0.2248</v>
      </c>
      <c r="H114" s="16" t="n">
        <f aca="false">IF(D114="","",MAX(0,MIN($B$8,IFERROR(LOOKUP(2,1/($U$24:U113&lt;&gt;""),$U$24:U113),$B$11))))</f>
        <v>46.183152864983</v>
      </c>
      <c r="I114" s="16" t="n">
        <f aca="false" t="array" ref="I114: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>6.86647831277739</v>
      </c>
      <c r="J114" s="16" t="n">
        <f aca="false">IF(D114="","",$B$12)</f>
        <v>0.35</v>
      </c>
      <c r="K114" s="16" t="n">
        <f aca="false">IF(J114="","",J114*$B$15)</f>
        <v>0.9072</v>
      </c>
      <c r="L114" s="16" t="n">
        <f aca="false">IF(D114="","",H114+E114-K114-G114*I114)</f>
        <v>43.9401925872514</v>
      </c>
      <c r="M114" s="16" t="n">
        <f aca="false" t="array" ref="M114: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>6.64253495171456</v>
      </c>
      <c r="N114" s="16" t="n">
        <f aca="false">IF(D114="","",(I114+M114)/2)</f>
        <v>6.75450663224598</v>
      </c>
      <c r="O114" s="16" t="n">
        <f aca="false">IF(D114="","",G114*N114)</f>
        <v>1.5184130909289</v>
      </c>
      <c r="P114" s="16" t="n">
        <f aca="false">IF(D114="","",H114+E114-K114-O114)</f>
        <v>43.9653638210348</v>
      </c>
      <c r="Q114" s="16" t="n">
        <f aca="false">IF(D114="","",IF(P114&gt;=0,K114,MAX(0,K114+P114)))</f>
        <v>0.9072</v>
      </c>
      <c r="R114" s="16" t="n">
        <f aca="false">IF(D114="","",Q114/$B$15)</f>
        <v>0.35</v>
      </c>
      <c r="S114" s="16" t="n">
        <f aca="false">IF(D114="","",MAX(0,J114-R114))</f>
        <v>0</v>
      </c>
      <c r="T114" s="16" t="n">
        <f aca="false">IF(D114="","",MAX(0,Z114-$B$8))</f>
        <v>0</v>
      </c>
      <c r="U114" s="16" t="n">
        <f aca="false">IF(D114="","",MAX(0,MIN($B$8,Z114)))</f>
        <v>43.9653638210348</v>
      </c>
      <c r="V114" s="16" t="str">
        <f aca="false">IF(D114="","",IF(S114&gt;0.0000001,"Sim","Não"))</f>
        <v>Não</v>
      </c>
      <c r="W114" s="16" t="n">
        <f aca="false">IF(D114="","",U114-(H114+E114-Q114-O114-T114))</f>
        <v>0</v>
      </c>
      <c r="X114" s="16" t="n">
        <f aca="false">IF(W114="","",ABS(W114))</f>
        <v>0</v>
      </c>
      <c r="Y114" s="16" t="n">
        <f aca="false">IF(U114="","",IF($B$8=0,0,U114/$B$8*100))</f>
        <v>93.1075049153639</v>
      </c>
      <c r="Z114" s="18" t="n">
        <f aca="false">IF(D114="","",MAX(0,IF(P114&gt;=0,P114,IF(K114+P114&gt;=0,0,P114+K114))))</f>
        <v>43.9653638210348</v>
      </c>
      <c r="AA114" s="18" t="n">
        <f aca="false">IF(D114="","",IF(H114&lt;=$B$16,1,IF(H114&gt;=$B$17,$B$21,MATCH(H114,Aux_CAV!$A$2:$A$121,1))))</f>
        <v>13</v>
      </c>
      <c r="AB114" s="18" t="n">
        <f aca="false">IF(D114="","",IF(L114&lt;=$B$16,1,IF(L114&gt;=$B$17,$B$21,MATCH(L114,Aux_CAV!$A$2:$A$121,1))))</f>
        <v>13</v>
      </c>
      <c r="AC114" s="19" t="n">
        <f aca="false">IF(D114="","",COUNT($D$24:D114))</f>
        <v>79</v>
      </c>
    </row>
    <row r="115" customFormat="false" ht="12.75" hidden="false" customHeight="true" outlineLevel="0" collapsed="false">
      <c r="A115" s="14" t="n">
        <f aca="false">IF(D115="","",DATE(B115,C115,1))</f>
        <v>6423</v>
      </c>
      <c r="B115" s="15" t="n">
        <f aca="false" t="array" ref="B115:B115">IF(D115="","",IFERROR(VALUE(INDEX(Vazoes_COLAR!$A$2:$A$200,INT((ROW()-24)/12)+1)),""))</f>
        <v>1917</v>
      </c>
      <c r="C115" s="15" t="n">
        <f aca="false">IF(D115="","",MOD(ROW()-24,12)+1)</f>
        <v>8</v>
      </c>
      <c r="D115" s="16" t="n">
        <f aca="false" t="array" ref="D115: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0.0511128492576332</v>
      </c>
      <c r="E115" s="16" t="n">
        <f aca="false">IF(D115="","",D115*$B$15)</f>
        <v>0.132484505275785</v>
      </c>
      <c r="F115" s="16" t="n">
        <f aca="false" t="array" ref="F115:F115">IF(D115="","",IFERROR(INDEX(Dados_Evap!$C$2:$N$15,MATCH($B$9,Dados_Evap!$A$2:$A$15,0),C115),0))</f>
        <v>268.7</v>
      </c>
      <c r="G115" s="16" t="n">
        <f aca="false">IF(F115="","",F115/1000)</f>
        <v>0.2687</v>
      </c>
      <c r="H115" s="16" t="n">
        <f aca="false">IF(D115="","",MAX(0,MIN($B$8,IFERROR(LOOKUP(2,1/($U$24:U114&lt;&gt;""),$U$24:U114),$B$11))))</f>
        <v>43.9653638210348</v>
      </c>
      <c r="I115" s="16" t="n">
        <f aca="false" t="array" ref="I115: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>6.64504811735175</v>
      </c>
      <c r="J115" s="16" t="n">
        <f aca="false">IF(D115="","",$B$12)</f>
        <v>0.35</v>
      </c>
      <c r="K115" s="16" t="n">
        <f aca="false">IF(J115="","",J115*$B$15)</f>
        <v>0.9072</v>
      </c>
      <c r="L115" s="16" t="n">
        <f aca="false">IF(D115="","",H115+E115-K115-G115*I115)</f>
        <v>41.4051238971782</v>
      </c>
      <c r="M115" s="16" t="n">
        <f aca="false" t="array" ref="M115: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>6.38942667841323</v>
      </c>
      <c r="N115" s="16" t="n">
        <f aca="false">IF(D115="","",(I115+M115)/2)</f>
        <v>6.51723739788249</v>
      </c>
      <c r="O115" s="16" t="n">
        <f aca="false">IF(D115="","",G115*N115)</f>
        <v>1.75118168881102</v>
      </c>
      <c r="P115" s="16" t="n">
        <f aca="false">IF(D115="","",H115+E115-K115-O115)</f>
        <v>41.4394666374996</v>
      </c>
      <c r="Q115" s="16" t="n">
        <f aca="false">IF(D115="","",IF(P115&gt;=0,K115,MAX(0,K115+P115)))</f>
        <v>0.9072</v>
      </c>
      <c r="R115" s="16" t="n">
        <f aca="false">IF(D115="","",Q115/$B$15)</f>
        <v>0.35</v>
      </c>
      <c r="S115" s="16" t="n">
        <f aca="false">IF(D115="","",MAX(0,J115-R115))</f>
        <v>0</v>
      </c>
      <c r="T115" s="16" t="n">
        <f aca="false">IF(D115="","",MAX(0,Z115-$B$8))</f>
        <v>0</v>
      </c>
      <c r="U115" s="16" t="n">
        <f aca="false">IF(D115="","",MAX(0,MIN($B$8,Z115)))</f>
        <v>41.4394666374996</v>
      </c>
      <c r="V115" s="16" t="str">
        <f aca="false">IF(D115="","",IF(S115&gt;0.0000001,"Sim","Não"))</f>
        <v>Não</v>
      </c>
      <c r="W115" s="16" t="n">
        <f aca="false">IF(D115="","",U115-(H115+E115-Q115-O115-T115))</f>
        <v>0</v>
      </c>
      <c r="X115" s="16" t="n">
        <f aca="false">IF(W115="","",ABS(W115))</f>
        <v>0</v>
      </c>
      <c r="Y115" s="16" t="n">
        <f aca="false">IF(U115="","",IF($B$8=0,0,U115/$B$8*100))</f>
        <v>87.7582944462084</v>
      </c>
      <c r="Z115" s="18" t="n">
        <f aca="false">IF(D115="","",MAX(0,IF(P115&gt;=0,P115,IF(K115+P115&gt;=0,0,P115+K115))))</f>
        <v>41.4394666374996</v>
      </c>
      <c r="AA115" s="18" t="n">
        <f aca="false">IF(D115="","",IF(H115&lt;=$B$16,1,IF(H115&gt;=$B$17,$B$21,MATCH(H115,Aux_CAV!$A$2:$A$121,1))))</f>
        <v>13</v>
      </c>
      <c r="AB115" s="18" t="n">
        <f aca="false">IF(D115="","",IF(L115&lt;=$B$16,1,IF(L115&gt;=$B$17,$B$21,MATCH(L115,Aux_CAV!$A$2:$A$121,1))))</f>
        <v>13</v>
      </c>
      <c r="AC115" s="19" t="n">
        <f aca="false">IF(D115="","",COUNT($D$24:D115))</f>
        <v>80</v>
      </c>
    </row>
    <row r="116" customFormat="false" ht="12.75" hidden="false" customHeight="true" outlineLevel="0" collapsed="false">
      <c r="A116" s="14" t="n">
        <f aca="false">IF(D116="","",DATE(B116,C116,1))</f>
        <v>6454</v>
      </c>
      <c r="B116" s="15" t="n">
        <f aca="false" t="array" ref="B116:B116">IF(D116="","",IFERROR(VALUE(INDEX(Vazoes_COLAR!$A$2:$A$200,INT((ROW()-24)/12)+1)),""))</f>
        <v>1917</v>
      </c>
      <c r="C116" s="15" t="n">
        <f aca="false">IF(D116="","",MOD(ROW()-24,12)+1)</f>
        <v>9</v>
      </c>
      <c r="D116" s="16" t="n">
        <f aca="false" t="array" ref="D116: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0.0773901043268043</v>
      </c>
      <c r="E116" s="16" t="n">
        <f aca="false">IF(D116="","",D116*$B$15)</f>
        <v>0.200595150415077</v>
      </c>
      <c r="F116" s="16" t="n">
        <f aca="false" t="array" ref="F116:F116">IF(D116="","",IFERROR(INDEX(Dados_Evap!$C$2:$N$15,MATCH($B$9,Dados_Evap!$A$2:$A$15,0),C116),0))</f>
        <v>292.8</v>
      </c>
      <c r="G116" s="16" t="n">
        <f aca="false">IF(F116="","",F116/1000)</f>
        <v>0.2928</v>
      </c>
      <c r="H116" s="16" t="n">
        <f aca="false">IF(D116="","",MAX(0,MIN($B$8,IFERROR(LOOKUP(2,1/($U$24:U115&lt;&gt;""),$U$24:U115),$B$11))))</f>
        <v>41.4394666374996</v>
      </c>
      <c r="I116" s="16" t="n">
        <f aca="false" t="array" ref="I116: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>6.39285555264343</v>
      </c>
      <c r="J116" s="16" t="n">
        <f aca="false">IF(D116="","",$B$12)</f>
        <v>0.35</v>
      </c>
      <c r="K116" s="16" t="n">
        <f aca="false">IF(J116="","",J116*$B$15)</f>
        <v>0.9072</v>
      </c>
      <c r="L116" s="16" t="n">
        <f aca="false">IF(D116="","",H116+E116-K116-G116*I116)</f>
        <v>38.8610336821007</v>
      </c>
      <c r="M116" s="16" t="n">
        <f aca="false" t="array" ref="M116: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>6.13541767109024</v>
      </c>
      <c r="N116" s="16" t="n">
        <f aca="false">IF(D116="","",(I116+M116)/2)</f>
        <v>6.26413661186684</v>
      </c>
      <c r="O116" s="16" t="n">
        <f aca="false">IF(D116="","",G116*N116)</f>
        <v>1.83413919995461</v>
      </c>
      <c r="P116" s="16" t="n">
        <f aca="false">IF(D116="","",H116+E116-K116-O116)</f>
        <v>38.8987225879601</v>
      </c>
      <c r="Q116" s="16" t="n">
        <f aca="false">IF(D116="","",IF(P116&gt;=0,K116,MAX(0,K116+P116)))</f>
        <v>0.9072</v>
      </c>
      <c r="R116" s="16" t="n">
        <f aca="false">IF(D116="","",Q116/$B$15)</f>
        <v>0.35</v>
      </c>
      <c r="S116" s="16" t="n">
        <f aca="false">IF(D116="","",MAX(0,J116-R116))</f>
        <v>0</v>
      </c>
      <c r="T116" s="16" t="n">
        <f aca="false">IF(D116="","",MAX(0,Z116-$B$8))</f>
        <v>0</v>
      </c>
      <c r="U116" s="16" t="n">
        <f aca="false">IF(D116="","",MAX(0,MIN($B$8,Z116)))</f>
        <v>38.8987225879601</v>
      </c>
      <c r="V116" s="16" t="str">
        <f aca="false">IF(D116="","",IF(S116&gt;0.0000001,"Sim","Não"))</f>
        <v>Não</v>
      </c>
      <c r="W116" s="16" t="n">
        <f aca="false">IF(D116="","",U116-(H116+E116-Q116-O116-T116))</f>
        <v>0</v>
      </c>
      <c r="X116" s="16" t="n">
        <f aca="false">IF(W116="","",ABS(W116))</f>
        <v>0</v>
      </c>
      <c r="Y116" s="16" t="n">
        <f aca="false">IF(U116="","",IF($B$8=0,0,U116/$B$8*100))</f>
        <v>82.3776420753072</v>
      </c>
      <c r="Z116" s="18" t="n">
        <f aca="false">IF(D116="","",MAX(0,IF(P116&gt;=0,P116,IF(K116+P116&gt;=0,0,P116+K116))))</f>
        <v>38.8987225879601</v>
      </c>
      <c r="AA116" s="18" t="n">
        <f aca="false">IF(D116="","",IF(H116&lt;=$B$16,1,IF(H116&gt;=$B$17,$B$21,MATCH(H116,Aux_CAV!$A$2:$A$121,1))))</f>
        <v>13</v>
      </c>
      <c r="AB116" s="18" t="n">
        <f aca="false">IF(D116="","",IF(L116&lt;=$B$16,1,IF(L116&gt;=$B$17,$B$21,MATCH(L116,Aux_CAV!$A$2:$A$121,1))))</f>
        <v>13</v>
      </c>
      <c r="AC116" s="19" t="n">
        <f aca="false">IF(D116="","",COUNT($D$24:D116))</f>
        <v>81</v>
      </c>
    </row>
    <row r="117" customFormat="false" ht="12.75" hidden="false" customHeight="true" outlineLevel="0" collapsed="false">
      <c r="A117" s="14" t="n">
        <f aca="false">IF(D117="","",DATE(B117,C117,1))</f>
        <v>6484</v>
      </c>
      <c r="B117" s="15" t="n">
        <f aca="false" t="array" ref="B117:B117">IF(D117="","",IFERROR(VALUE(INDEX(Vazoes_COLAR!$A$2:$A$200,INT((ROW()-24)/12)+1)),""))</f>
        <v>1917</v>
      </c>
      <c r="C117" s="15" t="n">
        <f aca="false">IF(D117="","",MOD(ROW()-24,12)+1)</f>
        <v>10</v>
      </c>
      <c r="D117" s="16" t="n">
        <f aca="false" t="array" ref="D117: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0.0630927559742428</v>
      </c>
      <c r="E117" s="16" t="n">
        <f aca="false">IF(D117="","",D117*$B$15)</f>
        <v>0.163536423485237</v>
      </c>
      <c r="F117" s="16" t="n">
        <f aca="false" t="array" ref="F117:F117">IF(D117="","",IFERROR(INDEX(Dados_Evap!$C$2:$N$15,MATCH($B$9,Dados_Evap!$A$2:$A$15,0),C117),0))</f>
        <v>262.9</v>
      </c>
      <c r="G117" s="16" t="n">
        <f aca="false">IF(F117="","",F117/1000)</f>
        <v>0.2629</v>
      </c>
      <c r="H117" s="16" t="n">
        <f aca="false">IF(D117="","",MAX(0,MIN($B$8,IFERROR(LOOKUP(2,1/($U$24:U116&lt;&gt;""),$U$24:U116),$B$11))))</f>
        <v>38.8987225879601</v>
      </c>
      <c r="I117" s="16" t="n">
        <f aca="false" t="array" ref="I117: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>6.13918063574758</v>
      </c>
      <c r="J117" s="16" t="n">
        <f aca="false">IF(D117="","",$B$12)</f>
        <v>0.35</v>
      </c>
      <c r="K117" s="16" t="n">
        <f aca="false">IF(J117="","",J117*$B$15)</f>
        <v>0.9072</v>
      </c>
      <c r="L117" s="16" t="n">
        <f aca="false">IF(D117="","",H117+E117-K117-G117*I117)</f>
        <v>36.5410684223073</v>
      </c>
      <c r="M117" s="16" t="n">
        <f aca="false" t="array" ref="M117: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>5.90378591952282</v>
      </c>
      <c r="N117" s="16" t="n">
        <f aca="false">IF(D117="","",(I117+M117)/2)</f>
        <v>6.0214832776352</v>
      </c>
      <c r="O117" s="16" t="n">
        <f aca="false">IF(D117="","",G117*N117)</f>
        <v>1.58304795369029</v>
      </c>
      <c r="P117" s="16" t="n">
        <f aca="false">IF(D117="","",H117+E117-K117-O117)</f>
        <v>36.572011057755</v>
      </c>
      <c r="Q117" s="16" t="n">
        <f aca="false">IF(D117="","",IF(P117&gt;=0,K117,MAX(0,K117+P117)))</f>
        <v>0.9072</v>
      </c>
      <c r="R117" s="16" t="n">
        <f aca="false">IF(D117="","",Q117/$B$15)</f>
        <v>0.35</v>
      </c>
      <c r="S117" s="16" t="n">
        <f aca="false">IF(D117="","",MAX(0,J117-R117))</f>
        <v>0</v>
      </c>
      <c r="T117" s="16" t="n">
        <f aca="false">IF(D117="","",MAX(0,Z117-$B$8))</f>
        <v>0</v>
      </c>
      <c r="U117" s="16" t="n">
        <f aca="false">IF(D117="","",MAX(0,MIN($B$8,Z117)))</f>
        <v>36.572011057755</v>
      </c>
      <c r="V117" s="16" t="str">
        <f aca="false">IF(D117="","",IF(S117&gt;0.0000001,"Sim","Não"))</f>
        <v>Não</v>
      </c>
      <c r="W117" s="16" t="n">
        <f aca="false">IF(D117="","",U117-(H117+E117-Q117-O117-T117))</f>
        <v>0</v>
      </c>
      <c r="X117" s="16" t="n">
        <f aca="false">IF(W117="","",ABS(W117))</f>
        <v>0</v>
      </c>
      <c r="Y117" s="16" t="n">
        <f aca="false">IF(U117="","",IF($B$8=0,0,U117/$B$8*100))</f>
        <v>77.4502563696633</v>
      </c>
      <c r="Z117" s="18" t="n">
        <f aca="false">IF(D117="","",MAX(0,IF(P117&gt;=0,P117,IF(K117+P117&gt;=0,0,P117+K117))))</f>
        <v>36.572011057755</v>
      </c>
      <c r="AA117" s="18" t="n">
        <f aca="false">IF(D117="","",IF(H117&lt;=$B$16,1,IF(H117&gt;=$B$17,$B$21,MATCH(H117,Aux_CAV!$A$2:$A$121,1))))</f>
        <v>13</v>
      </c>
      <c r="AB117" s="18" t="n">
        <f aca="false">IF(D117="","",IF(L117&lt;=$B$16,1,IF(L117&gt;=$B$17,$B$21,MATCH(L117,Aux_CAV!$A$2:$A$121,1))))</f>
        <v>13</v>
      </c>
      <c r="AC117" s="19" t="n">
        <f aca="false">IF(D117="","",COUNT($D$24:D117))</f>
        <v>82</v>
      </c>
    </row>
    <row r="118" customFormat="false" ht="12.75" hidden="false" customHeight="true" outlineLevel="0" collapsed="false">
      <c r="A118" s="14" t="n">
        <f aca="false">IF(D118="","",DATE(B118,C118,1))</f>
        <v>6515</v>
      </c>
      <c r="B118" s="15" t="n">
        <f aca="false" t="array" ref="B118:B118">IF(D118="","",IFERROR(VALUE(INDEX(Vazoes_COLAR!$A$2:$A$200,INT((ROW()-24)/12)+1)),""))</f>
        <v>1917</v>
      </c>
      <c r="C118" s="15" t="n">
        <f aca="false">IF(D118="","",MOD(ROW()-24,12)+1)</f>
        <v>11</v>
      </c>
      <c r="D118" s="16" t="n">
        <f aca="false" t="array" ref="D118: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0.198215208056554</v>
      </c>
      <c r="E118" s="16" t="n">
        <f aca="false">IF(D118="","",D118*$B$15)</f>
        <v>0.513773819282588</v>
      </c>
      <c r="F118" s="16" t="n">
        <f aca="false" t="array" ref="F118:F118">IF(D118="","",IFERROR(INDEX(Dados_Evap!$C$2:$N$15,MATCH($B$9,Dados_Evap!$A$2:$A$15,0),C118),0))</f>
        <v>223.7</v>
      </c>
      <c r="G118" s="16" t="n">
        <f aca="false">IF(F118="","",F118/1000)</f>
        <v>0.2237</v>
      </c>
      <c r="H118" s="16" t="n">
        <f aca="false">IF(D118="","",MAX(0,MIN($B$8,IFERROR(LOOKUP(2,1/($U$24:U117&lt;&gt;""),$U$24:U117),$B$11))))</f>
        <v>36.572011057755</v>
      </c>
      <c r="I118" s="16" t="n">
        <f aca="false" t="array" ref="I118: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>5.90687531787334</v>
      </c>
      <c r="J118" s="16" t="n">
        <f aca="false">IF(D118="","",$B$12)</f>
        <v>0.35</v>
      </c>
      <c r="K118" s="16" t="n">
        <f aca="false">IF(J118="","",J118*$B$15)</f>
        <v>0.9072</v>
      </c>
      <c r="L118" s="16" t="n">
        <f aca="false">IF(D118="","",H118+E118-K118-G118*I118)</f>
        <v>34.8572168684293</v>
      </c>
      <c r="M118" s="16" t="n">
        <f aca="false" t="array" ref="M118: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>5.73566552066865</v>
      </c>
      <c r="N118" s="16" t="n">
        <f aca="false">IF(D118="","",(I118+M118)/2)</f>
        <v>5.82127041927099</v>
      </c>
      <c r="O118" s="16" t="n">
        <f aca="false">IF(D118="","",G118*N118)</f>
        <v>1.30221819279092</v>
      </c>
      <c r="P118" s="16" t="n">
        <f aca="false">IF(D118="","",H118+E118-K118-O118)</f>
        <v>34.8763666842467</v>
      </c>
      <c r="Q118" s="16" t="n">
        <f aca="false">IF(D118="","",IF(P118&gt;=0,K118,MAX(0,K118+P118)))</f>
        <v>0.9072</v>
      </c>
      <c r="R118" s="16" t="n">
        <f aca="false">IF(D118="","",Q118/$B$15)</f>
        <v>0.35</v>
      </c>
      <c r="S118" s="16" t="n">
        <f aca="false">IF(D118="","",MAX(0,J118-R118))</f>
        <v>0</v>
      </c>
      <c r="T118" s="16" t="n">
        <f aca="false">IF(D118="","",MAX(0,Z118-$B$8))</f>
        <v>0</v>
      </c>
      <c r="U118" s="16" t="n">
        <f aca="false">IF(D118="","",MAX(0,MIN($B$8,Z118)))</f>
        <v>34.8763666842467</v>
      </c>
      <c r="V118" s="16" t="str">
        <f aca="false">IF(D118="","",IF(S118&gt;0.0000001,"Sim","Não"))</f>
        <v>Não</v>
      </c>
      <c r="W118" s="16" t="n">
        <f aca="false">IF(D118="","",U118-(H118+E118-Q118-O118-T118))</f>
        <v>0</v>
      </c>
      <c r="X118" s="16" t="n">
        <f aca="false">IF(W118="","",ABS(W118))</f>
        <v>0</v>
      </c>
      <c r="Y118" s="16" t="n">
        <f aca="false">IF(U118="","",IF($B$8=0,0,U118/$B$8*100))</f>
        <v>73.8593110636312</v>
      </c>
      <c r="Z118" s="18" t="n">
        <f aca="false">IF(D118="","",MAX(0,IF(P118&gt;=0,P118,IF(K118+P118&gt;=0,0,P118+K118))))</f>
        <v>34.8763666842467</v>
      </c>
      <c r="AA118" s="18" t="n">
        <f aca="false">IF(D118="","",IF(H118&lt;=$B$16,1,IF(H118&gt;=$B$17,$B$21,MATCH(H118,Aux_CAV!$A$2:$A$121,1))))</f>
        <v>13</v>
      </c>
      <c r="AB118" s="18" t="n">
        <f aca="false">IF(D118="","",IF(L118&lt;=$B$16,1,IF(L118&gt;=$B$17,$B$21,MATCH(L118,Aux_CAV!$A$2:$A$121,1))))</f>
        <v>13</v>
      </c>
      <c r="AC118" s="19" t="n">
        <f aca="false">IF(D118="","",COUNT($D$24:D118))</f>
        <v>83</v>
      </c>
    </row>
    <row r="119" customFormat="false" ht="12.75" hidden="false" customHeight="true" outlineLevel="0" collapsed="false">
      <c r="A119" s="14" t="n">
        <f aca="false">IF(D119="","",DATE(B119,C119,1))</f>
        <v>6545</v>
      </c>
      <c r="B119" s="15" t="n">
        <f aca="false" t="array" ref="B119:B119">IF(D119="","",IFERROR(VALUE(INDEX(Vazoes_COLAR!$A$2:$A$200,INT((ROW()-24)/12)+1)),""))</f>
        <v>1917</v>
      </c>
      <c r="C119" s="15" t="n">
        <f aca="false">IF(D119="","",MOD(ROW()-24,12)+1)</f>
        <v>12</v>
      </c>
      <c r="D119" s="16" t="n">
        <f aca="false" t="array" ref="D119: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0.467354893570058</v>
      </c>
      <c r="E119" s="16" t="n">
        <f aca="false">IF(D119="","",D119*$B$15)</f>
        <v>1.21138388413359</v>
      </c>
      <c r="F119" s="16" t="n">
        <f aca="false" t="array" ref="F119:F119">IF(D119="","",IFERROR(INDEX(Dados_Evap!$C$2:$N$15,MATCH($B$9,Dados_Evap!$A$2:$A$15,0),C119),0))</f>
        <v>216.1</v>
      </c>
      <c r="G119" s="16" t="n">
        <f aca="false">IF(F119="","",F119/1000)</f>
        <v>0.2161</v>
      </c>
      <c r="H119" s="16" t="n">
        <f aca="false">IF(D119="","",MAX(0,MIN($B$8,IFERROR(LOOKUP(2,1/($U$24:U118&lt;&gt;""),$U$24:U118),$B$11))))</f>
        <v>34.8763666842467</v>
      </c>
      <c r="I119" s="16" t="n">
        <f aca="false" t="array" ref="I119: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>5.73757749127305</v>
      </c>
      <c r="J119" s="16" t="n">
        <f aca="false">IF(D119="","",$B$12)</f>
        <v>0.35</v>
      </c>
      <c r="K119" s="16" t="n">
        <f aca="false">IF(J119="","",J119*$B$15)</f>
        <v>0.9072</v>
      </c>
      <c r="L119" s="16" t="n">
        <f aca="false">IF(D119="","",H119+E119-K119-G119*I119)</f>
        <v>33.9406600725161</v>
      </c>
      <c r="M119" s="16" t="n">
        <f aca="false" t="array" ref="M119: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>5.64189381335847</v>
      </c>
      <c r="N119" s="16" t="n">
        <f aca="false">IF(D119="","",(I119+M119)/2)</f>
        <v>5.68973565231576</v>
      </c>
      <c r="O119" s="16" t="n">
        <f aca="false">IF(D119="","",G119*N119)</f>
        <v>1.22955187446544</v>
      </c>
      <c r="P119" s="16" t="n">
        <f aca="false">IF(D119="","",H119+E119-K119-O119)</f>
        <v>33.9509986939148</v>
      </c>
      <c r="Q119" s="16" t="n">
        <f aca="false">IF(D119="","",IF(P119&gt;=0,K119,MAX(0,K119+P119)))</f>
        <v>0.9072</v>
      </c>
      <c r="R119" s="16" t="n">
        <f aca="false">IF(D119="","",Q119/$B$15)</f>
        <v>0.35</v>
      </c>
      <c r="S119" s="16" t="n">
        <f aca="false">IF(D119="","",MAX(0,J119-R119))</f>
        <v>0</v>
      </c>
      <c r="T119" s="16" t="n">
        <f aca="false">IF(D119="","",MAX(0,Z119-$B$8))</f>
        <v>0</v>
      </c>
      <c r="U119" s="16" t="n">
        <f aca="false">IF(D119="","",MAX(0,MIN($B$8,Z119)))</f>
        <v>33.9509986939148</v>
      </c>
      <c r="V119" s="16" t="str">
        <f aca="false">IF(D119="","",IF(S119&gt;0.0000001,"Sim","Não"))</f>
        <v>Não</v>
      </c>
      <c r="W119" s="16" t="n">
        <f aca="false">IF(D119="","",U119-(H119+E119-Q119-O119-T119))</f>
        <v>0</v>
      </c>
      <c r="X119" s="16" t="n">
        <f aca="false">IF(W119="","",ABS(W119))</f>
        <v>0</v>
      </c>
      <c r="Y119" s="16" t="n">
        <f aca="false">IF(U119="","",IF($B$8=0,0,U119/$B$8*100))</f>
        <v>71.8996160396332</v>
      </c>
      <c r="Z119" s="18" t="n">
        <f aca="false">IF(D119="","",MAX(0,IF(P119&gt;=0,P119,IF(K119+P119&gt;=0,0,P119+K119))))</f>
        <v>33.9509986939148</v>
      </c>
      <c r="AA119" s="18" t="n">
        <f aca="false">IF(D119="","",IF(H119&lt;=$B$16,1,IF(H119&gt;=$B$17,$B$21,MATCH(H119,Aux_CAV!$A$2:$A$121,1))))</f>
        <v>13</v>
      </c>
      <c r="AB119" s="18" t="n">
        <f aca="false">IF(D119="","",IF(L119&lt;=$B$16,1,IF(L119&gt;=$B$17,$B$21,MATCH(L119,Aux_CAV!$A$2:$A$121,1))))</f>
        <v>12</v>
      </c>
      <c r="AC119" s="19" t="n">
        <f aca="false">IF(D119="","",COUNT($D$24:D119))</f>
        <v>84</v>
      </c>
    </row>
    <row r="120" customFormat="false" ht="12.75" hidden="false" customHeight="true" outlineLevel="0" collapsed="false">
      <c r="A120" s="14" t="n">
        <f aca="false">IF(D120="","",DATE(B120,C120,1))</f>
        <v>6576</v>
      </c>
      <c r="B120" s="15" t="n">
        <f aca="false" t="array" ref="B120:B120">IF(D120="","",IFERROR(VALUE(INDEX(Vazoes_COLAR!$A$2:$A$200,INT((ROW()-24)/12)+1)),""))</f>
        <v>1918</v>
      </c>
      <c r="C120" s="15" t="n">
        <f aca="false">IF(D120="","",MOD(ROW()-24,12)+1)</f>
        <v>1</v>
      </c>
      <c r="D120" s="16" t="n">
        <f aca="false" t="array" ref="D120: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1.94261444623655</v>
      </c>
      <c r="E120" s="16" t="n">
        <f aca="false">IF(D120="","",D120*$B$15)</f>
        <v>5.03525664464514</v>
      </c>
      <c r="F120" s="16" t="n">
        <f aca="false" t="array" ref="F120:F120">IF(D120="","",IFERROR(INDEX(Dados_Evap!$C$2:$N$15,MATCH($B$9,Dados_Evap!$A$2:$A$15,0),C120),0))</f>
        <v>160</v>
      </c>
      <c r="G120" s="16" t="n">
        <f aca="false">IF(F120="","",F120/1000)</f>
        <v>0.16</v>
      </c>
      <c r="H120" s="16" t="n">
        <f aca="false">IF(D120="","",MAX(0,MIN($B$8,IFERROR(LOOKUP(2,1/($U$24:U119&lt;&gt;""),$U$24:U119),$B$11))))</f>
        <v>33.9509986939148</v>
      </c>
      <c r="I120" s="16" t="n">
        <f aca="false" t="array" ref="I120: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>5.64296782548435</v>
      </c>
      <c r="J120" s="16" t="n">
        <f aca="false">IF(D120="","",$B$12)</f>
        <v>0.35</v>
      </c>
      <c r="K120" s="16" t="n">
        <f aca="false">IF(J120="","",J120*$B$15)</f>
        <v>0.9072</v>
      </c>
      <c r="L120" s="16" t="n">
        <f aca="false">IF(D120="","",H120+E120-K120-G120*I120)</f>
        <v>37.1761804864824</v>
      </c>
      <c r="M120" s="16" t="n">
        <f aca="false" t="array" ref="M120: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>5.96719726555289</v>
      </c>
      <c r="N120" s="16" t="n">
        <f aca="false">IF(D120="","",(I120+M120)/2)</f>
        <v>5.80508254551862</v>
      </c>
      <c r="O120" s="16" t="n">
        <f aca="false">IF(D120="","",G120*N120)</f>
        <v>0.928813207282979</v>
      </c>
      <c r="P120" s="16" t="n">
        <f aca="false">IF(D120="","",H120+E120-K120-O120)</f>
        <v>37.150242131277</v>
      </c>
      <c r="Q120" s="16" t="n">
        <f aca="false">IF(D120="","",IF(P120&gt;=0,K120,MAX(0,K120+P120)))</f>
        <v>0.9072</v>
      </c>
      <c r="R120" s="16" t="n">
        <f aca="false">IF(D120="","",Q120/$B$15)</f>
        <v>0.35</v>
      </c>
      <c r="S120" s="16" t="n">
        <f aca="false">IF(D120="","",MAX(0,J120-R120))</f>
        <v>0</v>
      </c>
      <c r="T120" s="16" t="n">
        <f aca="false">IF(D120="","",MAX(0,Z120-$B$8))</f>
        <v>0</v>
      </c>
      <c r="U120" s="16" t="n">
        <f aca="false">IF(D120="","",MAX(0,MIN($B$8,Z120)))</f>
        <v>37.150242131277</v>
      </c>
      <c r="V120" s="16" t="str">
        <f aca="false">IF(D120="","",IF(S120&gt;0.0000001,"Sim","Não"))</f>
        <v>Não</v>
      </c>
      <c r="W120" s="16" t="n">
        <f aca="false">IF(D120="","",U120-(H120+E120-Q120-O120-T120))</f>
        <v>0</v>
      </c>
      <c r="X120" s="16" t="n">
        <f aca="false">IF(W120="","",ABS(W120))</f>
        <v>0</v>
      </c>
      <c r="Y120" s="16" t="n">
        <f aca="false">IF(U120="","",IF($B$8=0,0,U120/$B$8*100))</f>
        <v>78.6748033275666</v>
      </c>
      <c r="Z120" s="18" t="n">
        <f aca="false">IF(D120="","",MAX(0,IF(P120&gt;=0,P120,IF(K120+P120&gt;=0,0,P120+K120))))</f>
        <v>37.150242131277</v>
      </c>
      <c r="AA120" s="18" t="n">
        <f aca="false">IF(D120="","",IF(H120&lt;=$B$16,1,IF(H120&gt;=$B$17,$B$21,MATCH(H120,Aux_CAV!$A$2:$A$121,1))))</f>
        <v>12</v>
      </c>
      <c r="AB120" s="18" t="n">
        <f aca="false">IF(D120="","",IF(L120&lt;=$B$16,1,IF(L120&gt;=$B$17,$B$21,MATCH(L120,Aux_CAV!$A$2:$A$121,1))))</f>
        <v>13</v>
      </c>
      <c r="AC120" s="19" t="n">
        <f aca="false">IF(D120="","",COUNT($D$24:D120))</f>
        <v>85</v>
      </c>
    </row>
    <row r="121" customFormat="false" ht="12.75" hidden="false" customHeight="true" outlineLevel="0" collapsed="false">
      <c r="A121" s="14" t="n">
        <f aca="false">IF(D121="","",DATE(B121,C121,1))</f>
        <v>6607</v>
      </c>
      <c r="B121" s="15" t="n">
        <f aca="false" t="array" ref="B121:B121">IF(D121="","",IFERROR(VALUE(INDEX(Vazoes_COLAR!$A$2:$A$200,INT((ROW()-24)/12)+1)),""))</f>
        <v>1918</v>
      </c>
      <c r="C121" s="15" t="n">
        <f aca="false">IF(D121="","",MOD(ROW()-24,12)+1)</f>
        <v>2</v>
      </c>
      <c r="D121" s="16" t="n">
        <f aca="false" t="array" ref="D121: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1.42784183626761</v>
      </c>
      <c r="E121" s="16" t="n">
        <f aca="false">IF(D121="","",D121*$B$15)</f>
        <v>3.70096603960565</v>
      </c>
      <c r="F121" s="16" t="n">
        <f aca="false" t="array" ref="F121:F121">IF(D121="","",IFERROR(INDEX(Dados_Evap!$C$2:$N$15,MATCH($B$9,Dados_Evap!$A$2:$A$15,0),C121),0))</f>
        <v>124.3</v>
      </c>
      <c r="G121" s="16" t="n">
        <f aca="false">IF(F121="","",F121/1000)</f>
        <v>0.1243</v>
      </c>
      <c r="H121" s="16" t="n">
        <f aca="false">IF(D121="","",MAX(0,MIN($B$8,IFERROR(LOOKUP(2,1/($U$24:U120&lt;&gt;""),$U$24:U120),$B$11))))</f>
        <v>37.150242131277</v>
      </c>
      <c r="I121" s="16" t="n">
        <f aca="false" t="array" ref="I121: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>5.96460750839007</v>
      </c>
      <c r="J121" s="16" t="n">
        <f aca="false">IF(D121="","",$B$12)</f>
        <v>0.35</v>
      </c>
      <c r="K121" s="16" t="n">
        <f aca="false">IF(J121="","",J121*$B$15)</f>
        <v>0.9072</v>
      </c>
      <c r="L121" s="16" t="n">
        <f aca="false">IF(D121="","",H121+E121-K121-G121*I121)</f>
        <v>39.2026074575897</v>
      </c>
      <c r="M121" s="16" t="n">
        <f aca="false" t="array" ref="M121: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>6.16952134207067</v>
      </c>
      <c r="N121" s="16" t="n">
        <f aca="false">IF(D121="","",(I121+M121)/2)</f>
        <v>6.06706442523037</v>
      </c>
      <c r="O121" s="16" t="n">
        <f aca="false">IF(D121="","",G121*N121)</f>
        <v>0.754136108056135</v>
      </c>
      <c r="P121" s="16" t="n">
        <f aca="false">IF(D121="","",H121+E121-K121-O121)</f>
        <v>39.1898720628265</v>
      </c>
      <c r="Q121" s="16" t="n">
        <f aca="false">IF(D121="","",IF(P121&gt;=0,K121,MAX(0,K121+P121)))</f>
        <v>0.9072</v>
      </c>
      <c r="R121" s="16" t="n">
        <f aca="false">IF(D121="","",Q121/$B$15)</f>
        <v>0.35</v>
      </c>
      <c r="S121" s="16" t="n">
        <f aca="false">IF(D121="","",MAX(0,J121-R121))</f>
        <v>0</v>
      </c>
      <c r="T121" s="16" t="n">
        <f aca="false">IF(D121="","",MAX(0,Z121-$B$8))</f>
        <v>0</v>
      </c>
      <c r="U121" s="16" t="n">
        <f aca="false">IF(D121="","",MAX(0,MIN($B$8,Z121)))</f>
        <v>39.1898720628265</v>
      </c>
      <c r="V121" s="16" t="str">
        <f aca="false">IF(D121="","",IF(S121&gt;0.0000001,"Sim","Não"))</f>
        <v>Não</v>
      </c>
      <c r="W121" s="16" t="n">
        <f aca="false">IF(D121="","",U121-(H121+E121-Q121-O121-T121))</f>
        <v>0</v>
      </c>
      <c r="X121" s="16" t="n">
        <f aca="false">IF(W121="","",ABS(W121))</f>
        <v>0</v>
      </c>
      <c r="Y121" s="16" t="n">
        <f aca="false">IF(U121="","",IF($B$8=0,0,U121/$B$8*100))</f>
        <v>82.9942229200052</v>
      </c>
      <c r="Z121" s="18" t="n">
        <f aca="false">IF(D121="","",MAX(0,IF(P121&gt;=0,P121,IF(K121+P121&gt;=0,0,P121+K121))))</f>
        <v>39.1898720628265</v>
      </c>
      <c r="AA121" s="18" t="n">
        <f aca="false">IF(D121="","",IF(H121&lt;=$B$16,1,IF(H121&gt;=$B$17,$B$21,MATCH(H121,Aux_CAV!$A$2:$A$121,1))))</f>
        <v>13</v>
      </c>
      <c r="AB121" s="18" t="n">
        <f aca="false">IF(D121="","",IF(L121&lt;=$B$16,1,IF(L121&gt;=$B$17,$B$21,MATCH(L121,Aux_CAV!$A$2:$A$121,1))))</f>
        <v>13</v>
      </c>
      <c r="AC121" s="19" t="n">
        <f aca="false">IF(D121="","",COUNT($D$24:D121))</f>
        <v>86</v>
      </c>
    </row>
    <row r="122" customFormat="false" ht="12.75" hidden="false" customHeight="true" outlineLevel="0" collapsed="false">
      <c r="A122" s="14" t="n">
        <f aca="false">IF(D122="","",DATE(B122,C122,1))</f>
        <v>6635</v>
      </c>
      <c r="B122" s="15" t="n">
        <f aca="false" t="array" ref="B122:B122">IF(D122="","",IFERROR(VALUE(INDEX(Vazoes_COLAR!$A$2:$A$200,INT((ROW()-24)/12)+1)),""))</f>
        <v>1918</v>
      </c>
      <c r="C122" s="15" t="n">
        <f aca="false">IF(D122="","",MOD(ROW()-24,12)+1)</f>
        <v>3</v>
      </c>
      <c r="D122" s="16" t="n">
        <f aca="false" t="array" ref="D122: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8.44895743238574</v>
      </c>
      <c r="E122" s="16" t="n">
        <f aca="false">IF(D122="","",D122*$B$15)</f>
        <v>21.8996976647438</v>
      </c>
      <c r="F122" s="16" t="n">
        <f aca="false" t="array" ref="F122:F122">IF(D122="","",IFERROR(INDEX(Dados_Evap!$C$2:$N$15,MATCH($B$9,Dados_Evap!$A$2:$A$15,0),C122),0))</f>
        <v>107.7</v>
      </c>
      <c r="G122" s="16" t="n">
        <f aca="false">IF(F122="","",F122/1000)</f>
        <v>0.1077</v>
      </c>
      <c r="H122" s="16" t="n">
        <f aca="false">IF(D122="","",MAX(0,MIN($B$8,IFERROR(LOOKUP(2,1/($U$24:U121&lt;&gt;""),$U$24:U121),$B$11))))</f>
        <v>39.1898720628265</v>
      </c>
      <c r="I122" s="16" t="n">
        <f aca="false" t="array" ref="I122: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>6.16824980501491</v>
      </c>
      <c r="J122" s="16" t="n">
        <f aca="false">IF(D122="","",$B$12)</f>
        <v>0.35</v>
      </c>
      <c r="K122" s="16" t="n">
        <f aca="false">IF(J122="","",J122*$B$15)</f>
        <v>0.9072</v>
      </c>
      <c r="L122" s="16" t="n">
        <f aca="false">IF(D122="","",H122+E122-K122-G122*I122)</f>
        <v>59.5180492235702</v>
      </c>
      <c r="M122" s="16" t="n">
        <f aca="false" t="array" ref="M122: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>8.44890133244203</v>
      </c>
      <c r="N122" s="16" t="n">
        <f aca="false">IF(D122="","",(I122+M122)/2)</f>
        <v>7.30857556872847</v>
      </c>
      <c r="O122" s="16" t="n">
        <f aca="false">IF(D122="","",G122*N122)</f>
        <v>0.787133588752056</v>
      </c>
      <c r="P122" s="16" t="n">
        <f aca="false">IF(D122="","",H122+E122-K122-O122)</f>
        <v>59.3952361388183</v>
      </c>
      <c r="Q122" s="16" t="n">
        <f aca="false">IF(D122="","",IF(P122&gt;=0,K122,MAX(0,K122+P122)))</f>
        <v>0.9072</v>
      </c>
      <c r="R122" s="16" t="n">
        <f aca="false">IF(D122="","",Q122/$B$15)</f>
        <v>0.35</v>
      </c>
      <c r="S122" s="16" t="n">
        <f aca="false">IF(D122="","",MAX(0,J122-R122))</f>
        <v>0</v>
      </c>
      <c r="T122" s="16" t="n">
        <f aca="false">IF(D122="","",MAX(0,Z122-$B$8))</f>
        <v>12.1752361388183</v>
      </c>
      <c r="U122" s="16" t="n">
        <f aca="false">IF(D122="","",MAX(0,MIN($B$8,Z122)))</f>
        <v>47.22</v>
      </c>
      <c r="V122" s="16" t="str">
        <f aca="false">IF(D122="","",IF(S122&gt;0.0000001,"Sim","Não"))</f>
        <v>Não</v>
      </c>
      <c r="W122" s="16" t="n">
        <f aca="false">IF(D122="","",U122-(H122+E122-Q122-O122-T122))</f>
        <v>0</v>
      </c>
      <c r="X122" s="16" t="n">
        <f aca="false">IF(W122="","",ABS(W122))</f>
        <v>0</v>
      </c>
      <c r="Y122" s="16" t="n">
        <f aca="false">IF(U122="","",IF($B$8=0,0,U122/$B$8*100))</f>
        <v>100</v>
      </c>
      <c r="Z122" s="18" t="n">
        <f aca="false">IF(D122="","",MAX(0,IF(P122&gt;=0,P122,IF(K122+P122&gt;=0,0,P122+K122))))</f>
        <v>59.3952361388183</v>
      </c>
      <c r="AA122" s="18" t="n">
        <f aca="false">IF(D122="","",IF(H122&lt;=$B$16,1,IF(H122&gt;=$B$17,$B$21,MATCH(H122,Aux_CAV!$A$2:$A$121,1))))</f>
        <v>13</v>
      </c>
      <c r="AB122" s="18" t="n">
        <f aca="false">IF(D122="","",IF(L122&lt;=$B$16,1,IF(L122&gt;=$B$17,$B$21,MATCH(L122,Aux_CAV!$A$2:$A$121,1))))</f>
        <v>15</v>
      </c>
      <c r="AC122" s="19" t="n">
        <f aca="false">IF(D122="","",COUNT($D$24:D122))</f>
        <v>87</v>
      </c>
    </row>
    <row r="123" customFormat="false" ht="12.75" hidden="false" customHeight="true" outlineLevel="0" collapsed="false">
      <c r="A123" s="14" t="n">
        <f aca="false">IF(D123="","",DATE(B123,C123,1))</f>
        <v>6666</v>
      </c>
      <c r="B123" s="15" t="n">
        <f aca="false" t="array" ref="B123:B123">IF(D123="","",IFERROR(VALUE(INDEX(Vazoes_COLAR!$A$2:$A$200,INT((ROW()-24)/12)+1)),""))</f>
        <v>1918</v>
      </c>
      <c r="C123" s="15" t="n">
        <f aca="false">IF(D123="","",MOD(ROW()-24,12)+1)</f>
        <v>4</v>
      </c>
      <c r="D123" s="16" t="n">
        <f aca="false" t="array" ref="D123: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4.81170274484228</v>
      </c>
      <c r="E123" s="16" t="n">
        <f aca="false">IF(D123="","",D123*$B$15)</f>
        <v>12.4719335146312</v>
      </c>
      <c r="F123" s="16" t="n">
        <f aca="false" t="array" ref="F123:F123">IF(D123="","",IFERROR(INDEX(Dados_Evap!$C$2:$N$15,MATCH($B$9,Dados_Evap!$A$2:$A$15,0),C123),0))</f>
        <v>100.5</v>
      </c>
      <c r="G123" s="16" t="n">
        <f aca="false">IF(F123="","",F123/1000)</f>
        <v>0.1005</v>
      </c>
      <c r="H123" s="16" t="n">
        <f aca="false">IF(D123="","",MAX(0,MIN($B$8,IFERROR(LOOKUP(2,1/($U$24:U122&lt;&gt;""),$U$24:U122),$B$11))))</f>
        <v>47.22</v>
      </c>
      <c r="I123" s="16" t="n">
        <f aca="false" t="array" ref="I123: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>6.97</v>
      </c>
      <c r="J123" s="16" t="n">
        <f aca="false">IF(D123="","",$B$12)</f>
        <v>0.35</v>
      </c>
      <c r="K123" s="16" t="n">
        <f aca="false">IF(J123="","",J123*$B$15)</f>
        <v>0.9072</v>
      </c>
      <c r="L123" s="16" t="n">
        <f aca="false">IF(D123="","",H123+E123-K123-G123*I123)</f>
        <v>58.0842485146312</v>
      </c>
      <c r="M123" s="16" t="n">
        <f aca="false" t="array" ref="M123: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>8.27138314943053</v>
      </c>
      <c r="N123" s="16" t="n">
        <f aca="false">IF(D123="","",(I123+M123)/2)</f>
        <v>7.62069157471527</v>
      </c>
      <c r="O123" s="16" t="n">
        <f aca="false">IF(D123="","",G123*N123)</f>
        <v>0.765879503258884</v>
      </c>
      <c r="P123" s="16" t="n">
        <f aca="false">IF(D123="","",H123+E123-K123-O123)</f>
        <v>58.0188540113723</v>
      </c>
      <c r="Q123" s="16" t="n">
        <f aca="false">IF(D123="","",IF(P123&gt;=0,K123,MAX(0,K123+P123)))</f>
        <v>0.9072</v>
      </c>
      <c r="R123" s="16" t="n">
        <f aca="false">IF(D123="","",Q123/$B$15)</f>
        <v>0.35</v>
      </c>
      <c r="S123" s="16" t="n">
        <f aca="false">IF(D123="","",MAX(0,J123-R123))</f>
        <v>0</v>
      </c>
      <c r="T123" s="16" t="n">
        <f aca="false">IF(D123="","",MAX(0,Z123-$B$8))</f>
        <v>10.7988540113723</v>
      </c>
      <c r="U123" s="16" t="n">
        <f aca="false">IF(D123="","",MAX(0,MIN($B$8,Z123)))</f>
        <v>47.22</v>
      </c>
      <c r="V123" s="16" t="str">
        <f aca="false">IF(D123="","",IF(S123&gt;0.0000001,"Sim","Não"))</f>
        <v>Não</v>
      </c>
      <c r="W123" s="16" t="n">
        <f aca="false">IF(D123="","",U123-(H123+E123-Q123-O123-T123))</f>
        <v>0</v>
      </c>
      <c r="X123" s="16" t="n">
        <f aca="false">IF(W123="","",ABS(W123))</f>
        <v>0</v>
      </c>
      <c r="Y123" s="16" t="n">
        <f aca="false">IF(U123="","",IF($B$8=0,0,U123/$B$8*100))</f>
        <v>100</v>
      </c>
      <c r="Z123" s="18" t="n">
        <f aca="false">IF(D123="","",MAX(0,IF(P123&gt;=0,P123,IF(K123+P123&gt;=0,0,P123+K123))))</f>
        <v>58.0188540113723</v>
      </c>
      <c r="AA123" s="18" t="n">
        <f aca="false">IF(D123="","",IF(H123&lt;=$B$16,1,IF(H123&gt;=$B$17,$B$21,MATCH(H123,Aux_CAV!$A$2:$A$121,1))))</f>
        <v>14</v>
      </c>
      <c r="AB123" s="18" t="n">
        <f aca="false">IF(D123="","",IF(L123&lt;=$B$16,1,IF(L123&gt;=$B$17,$B$21,MATCH(L123,Aux_CAV!$A$2:$A$121,1))))</f>
        <v>15</v>
      </c>
      <c r="AC123" s="19" t="n">
        <f aca="false">IF(D123="","",COUNT($D$24:D123))</f>
        <v>88</v>
      </c>
    </row>
    <row r="124" customFormat="false" ht="12.75" hidden="false" customHeight="true" outlineLevel="0" collapsed="false">
      <c r="A124" s="14" t="n">
        <f aca="false">IF(D124="","",DATE(B124,C124,1))</f>
        <v>6696</v>
      </c>
      <c r="B124" s="15" t="n">
        <f aca="false" t="array" ref="B124:B124">IF(D124="","",IFERROR(VALUE(INDEX(Vazoes_COLAR!$A$2:$A$200,INT((ROW()-24)/12)+1)),""))</f>
        <v>1918</v>
      </c>
      <c r="C124" s="15" t="n">
        <f aca="false">IF(D124="","",MOD(ROW()-24,12)+1)</f>
        <v>5</v>
      </c>
      <c r="D124" s="16" t="n">
        <f aca="false" t="array" ref="D124: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5.57170291265686</v>
      </c>
      <c r="E124" s="16" t="n">
        <f aca="false">IF(D124="","",D124*$B$15)</f>
        <v>14.4418539496066</v>
      </c>
      <c r="F124" s="16" t="n">
        <f aca="false" t="array" ref="F124:F124">IF(D124="","",IFERROR(INDEX(Dados_Evap!$C$2:$N$15,MATCH($B$9,Dados_Evap!$A$2:$A$15,0),C124),0))</f>
        <v>145.8</v>
      </c>
      <c r="G124" s="16" t="n">
        <f aca="false">IF(F124="","",F124/1000)</f>
        <v>0.1458</v>
      </c>
      <c r="H124" s="16" t="n">
        <f aca="false">IF(D124="","",MAX(0,MIN($B$8,IFERROR(LOOKUP(2,1/($U$24:U123&lt;&gt;""),$U$24:U123),$B$11))))</f>
        <v>47.22</v>
      </c>
      <c r="I124" s="16" t="n">
        <f aca="false" t="array" ref="I124: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>6.97</v>
      </c>
      <c r="J124" s="16" t="n">
        <f aca="false">IF(D124="","",$B$12)</f>
        <v>0.35</v>
      </c>
      <c r="K124" s="16" t="n">
        <f aca="false">IF(J124="","",J124*$B$15)</f>
        <v>0.9072</v>
      </c>
      <c r="L124" s="16" t="n">
        <f aca="false">IF(D124="","",H124+E124-K124-G124*I124)</f>
        <v>59.7384279496066</v>
      </c>
      <c r="M124" s="16" t="n">
        <f aca="false" t="array" ref="M124: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>8.47618631757034</v>
      </c>
      <c r="N124" s="16" t="n">
        <f aca="false">IF(D124="","",(I124+M124)/2)</f>
        <v>7.72309315878517</v>
      </c>
      <c r="O124" s="16" t="n">
        <f aca="false">IF(D124="","",G124*N124)</f>
        <v>1.12602698255088</v>
      </c>
      <c r="P124" s="16" t="n">
        <f aca="false">IF(D124="","",H124+E124-K124-O124)</f>
        <v>59.6286269670557</v>
      </c>
      <c r="Q124" s="16" t="n">
        <f aca="false">IF(D124="","",IF(P124&gt;=0,K124,MAX(0,K124+P124)))</f>
        <v>0.9072</v>
      </c>
      <c r="R124" s="16" t="n">
        <f aca="false">IF(D124="","",Q124/$B$15)</f>
        <v>0.35</v>
      </c>
      <c r="S124" s="16" t="n">
        <f aca="false">IF(D124="","",MAX(0,J124-R124))</f>
        <v>0</v>
      </c>
      <c r="T124" s="16" t="n">
        <f aca="false">IF(D124="","",MAX(0,Z124-$B$8))</f>
        <v>12.4086269670557</v>
      </c>
      <c r="U124" s="16" t="n">
        <f aca="false">IF(D124="","",MAX(0,MIN($B$8,Z124)))</f>
        <v>47.22</v>
      </c>
      <c r="V124" s="16" t="str">
        <f aca="false">IF(D124="","",IF(S124&gt;0.0000001,"Sim","Não"))</f>
        <v>Não</v>
      </c>
      <c r="W124" s="16" t="n">
        <f aca="false">IF(D124="","",U124-(H124+E124-Q124-O124-T124))</f>
        <v>0</v>
      </c>
      <c r="X124" s="16" t="n">
        <f aca="false">IF(W124="","",ABS(W124))</f>
        <v>0</v>
      </c>
      <c r="Y124" s="16" t="n">
        <f aca="false">IF(U124="","",IF($B$8=0,0,U124/$B$8*100))</f>
        <v>100</v>
      </c>
      <c r="Z124" s="18" t="n">
        <f aca="false">IF(D124="","",MAX(0,IF(P124&gt;=0,P124,IF(K124+P124&gt;=0,0,P124+K124))))</f>
        <v>59.6286269670557</v>
      </c>
      <c r="AA124" s="18" t="n">
        <f aca="false">IF(D124="","",IF(H124&lt;=$B$16,1,IF(H124&gt;=$B$17,$B$21,MATCH(H124,Aux_CAV!$A$2:$A$121,1))))</f>
        <v>14</v>
      </c>
      <c r="AB124" s="18" t="n">
        <f aca="false">IF(D124="","",IF(L124&lt;=$B$16,1,IF(L124&gt;=$B$17,$B$21,MATCH(L124,Aux_CAV!$A$2:$A$121,1))))</f>
        <v>15</v>
      </c>
      <c r="AC124" s="19" t="n">
        <f aca="false">IF(D124="","",COUNT($D$24:D124))</f>
        <v>89</v>
      </c>
    </row>
    <row r="125" customFormat="false" ht="12.75" hidden="false" customHeight="true" outlineLevel="0" collapsed="false">
      <c r="A125" s="14" t="n">
        <f aca="false">IF(D125="","",DATE(B125,C125,1))</f>
        <v>6727</v>
      </c>
      <c r="B125" s="15" t="n">
        <f aca="false" t="array" ref="B125:B125">IF(D125="","",IFERROR(VALUE(INDEX(Vazoes_COLAR!$A$2:$A$200,INT((ROW()-24)/12)+1)),""))</f>
        <v>1918</v>
      </c>
      <c r="C125" s="15" t="n">
        <f aca="false">IF(D125="","",MOD(ROW()-24,12)+1)</f>
        <v>6</v>
      </c>
      <c r="D125" s="16" t="n">
        <f aca="false" t="array" ref="D125: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1.84439865636676</v>
      </c>
      <c r="E125" s="16" t="n">
        <f aca="false">IF(D125="","",D125*$B$15)</f>
        <v>4.78068131730264</v>
      </c>
      <c r="F125" s="16" t="n">
        <f aca="false" t="array" ref="F125:F125">IF(D125="","",IFERROR(INDEX(Dados_Evap!$C$2:$N$15,MATCH($B$9,Dados_Evap!$A$2:$A$15,0),C125),0))</f>
        <v>161.3</v>
      </c>
      <c r="G125" s="16" t="n">
        <f aca="false">IF(F125="","",F125/1000)</f>
        <v>0.1613</v>
      </c>
      <c r="H125" s="16" t="n">
        <f aca="false">IF(D125="","",MAX(0,MIN($B$8,IFERROR(LOOKUP(2,1/($U$24:U124&lt;&gt;""),$U$24:U124),$B$11))))</f>
        <v>47.22</v>
      </c>
      <c r="I125" s="16" t="n">
        <f aca="false" t="array" ref="I125: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>6.97</v>
      </c>
      <c r="J125" s="16" t="n">
        <f aca="false">IF(D125="","",$B$12)</f>
        <v>0.35</v>
      </c>
      <c r="K125" s="16" t="n">
        <f aca="false">IF(J125="","",J125*$B$15)</f>
        <v>0.9072</v>
      </c>
      <c r="L125" s="16" t="n">
        <f aca="false">IF(D125="","",H125+E125-K125-G125*I125)</f>
        <v>49.9692203173026</v>
      </c>
      <c r="M125" s="16" t="n">
        <f aca="false" t="array" ref="M125: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>7.294095078056</v>
      </c>
      <c r="N125" s="16" t="n">
        <f aca="false">IF(D125="","",(I125+M125)/2)</f>
        <v>7.132047539028</v>
      </c>
      <c r="O125" s="16" t="n">
        <f aca="false">IF(D125="","",G125*N125)</f>
        <v>1.15039926804522</v>
      </c>
      <c r="P125" s="16" t="n">
        <f aca="false">IF(D125="","",H125+E125-K125-O125)</f>
        <v>49.9430820492574</v>
      </c>
      <c r="Q125" s="16" t="n">
        <f aca="false">IF(D125="","",IF(P125&gt;=0,K125,MAX(0,K125+P125)))</f>
        <v>0.9072</v>
      </c>
      <c r="R125" s="16" t="n">
        <f aca="false">IF(D125="","",Q125/$B$15)</f>
        <v>0.35</v>
      </c>
      <c r="S125" s="16" t="n">
        <f aca="false">IF(D125="","",MAX(0,J125-R125))</f>
        <v>0</v>
      </c>
      <c r="T125" s="16" t="n">
        <f aca="false">IF(D125="","",MAX(0,Z125-$B$8))</f>
        <v>2.72308204925742</v>
      </c>
      <c r="U125" s="16" t="n">
        <f aca="false">IF(D125="","",MAX(0,MIN($B$8,Z125)))</f>
        <v>47.22</v>
      </c>
      <c r="V125" s="16" t="str">
        <f aca="false">IF(D125="","",IF(S125&gt;0.0000001,"Sim","Não"))</f>
        <v>Não</v>
      </c>
      <c r="W125" s="16" t="n">
        <f aca="false">IF(D125="","",U125-(H125+E125-Q125-O125-T125))</f>
        <v>0</v>
      </c>
      <c r="X125" s="16" t="n">
        <f aca="false">IF(W125="","",ABS(W125))</f>
        <v>0</v>
      </c>
      <c r="Y125" s="16" t="n">
        <f aca="false">IF(U125="","",IF($B$8=0,0,U125/$B$8*100))</f>
        <v>100</v>
      </c>
      <c r="Z125" s="18" t="n">
        <f aca="false">IF(D125="","",MAX(0,IF(P125&gt;=0,P125,IF(K125+P125&gt;=0,0,P125+K125))))</f>
        <v>49.9430820492574</v>
      </c>
      <c r="AA125" s="18" t="n">
        <f aca="false">IF(D125="","",IF(H125&lt;=$B$16,1,IF(H125&gt;=$B$17,$B$21,MATCH(H125,Aux_CAV!$A$2:$A$121,1))))</f>
        <v>14</v>
      </c>
      <c r="AB125" s="18" t="n">
        <f aca="false">IF(D125="","",IF(L125&lt;=$B$16,1,IF(L125&gt;=$B$17,$B$21,MATCH(L125,Aux_CAV!$A$2:$A$121,1))))</f>
        <v>14</v>
      </c>
      <c r="AC125" s="19" t="n">
        <f aca="false">IF(D125="","",COUNT($D$24:D125))</f>
        <v>90</v>
      </c>
    </row>
    <row r="126" customFormat="false" ht="12.75" hidden="false" customHeight="true" outlineLevel="0" collapsed="false">
      <c r="A126" s="14" t="n">
        <f aca="false">IF(D126="","",DATE(B126,C126,1))</f>
        <v>6757</v>
      </c>
      <c r="B126" s="15" t="n">
        <f aca="false" t="array" ref="B126:B126">IF(D126="","",IFERROR(VALUE(INDEX(Vazoes_COLAR!$A$2:$A$200,INT((ROW()-24)/12)+1)),""))</f>
        <v>1918</v>
      </c>
      <c r="C126" s="15" t="n">
        <f aca="false">IF(D126="","",MOD(ROW()-24,12)+1)</f>
        <v>7</v>
      </c>
      <c r="D126" s="16" t="n">
        <f aca="false" t="array" ref="D126: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0.355886727031841</v>
      </c>
      <c r="E126" s="16" t="n">
        <f aca="false">IF(D126="","",D126*$B$15)</f>
        <v>0.922458396466532</v>
      </c>
      <c r="F126" s="16" t="n">
        <f aca="false" t="array" ref="F126:F126">IF(D126="","",IFERROR(INDEX(Dados_Evap!$C$2:$N$15,MATCH($B$9,Dados_Evap!$A$2:$A$15,0),C126),0))</f>
        <v>224.8</v>
      </c>
      <c r="G126" s="16" t="n">
        <f aca="false">IF(F126="","",F126/1000)</f>
        <v>0.2248</v>
      </c>
      <c r="H126" s="16" t="n">
        <f aca="false">IF(D126="","",MAX(0,MIN($B$8,IFERROR(LOOKUP(2,1/($U$24:U125&lt;&gt;""),$U$24:U125),$B$11))))</f>
        <v>47.22</v>
      </c>
      <c r="I126" s="16" t="n">
        <f aca="false" t="array" ref="I126: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>6.97</v>
      </c>
      <c r="J126" s="16" t="n">
        <f aca="false">IF(D126="","",$B$12)</f>
        <v>0.35</v>
      </c>
      <c r="K126" s="16" t="n">
        <f aca="false">IF(J126="","",J126*$B$15)</f>
        <v>0.9072</v>
      </c>
      <c r="L126" s="16" t="n">
        <f aca="false">IF(D126="","",H126+E126-K126-G126*I126)</f>
        <v>45.6684023964665</v>
      </c>
      <c r="M126" s="16" t="n">
        <f aca="false" t="array" ref="M126: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>6.815084201534</v>
      </c>
      <c r="N126" s="16" t="n">
        <f aca="false">IF(D126="","",(I126+M126)/2)</f>
        <v>6.892542100767</v>
      </c>
      <c r="O126" s="16" t="n">
        <f aca="false">IF(D126="","",G126*N126)</f>
        <v>1.54944346425242</v>
      </c>
      <c r="P126" s="16" t="n">
        <f aca="false">IF(D126="","",H126+E126-K126-O126)</f>
        <v>45.6858149322141</v>
      </c>
      <c r="Q126" s="16" t="n">
        <f aca="false">IF(D126="","",IF(P126&gt;=0,K126,MAX(0,K126+P126)))</f>
        <v>0.9072</v>
      </c>
      <c r="R126" s="16" t="n">
        <f aca="false">IF(D126="","",Q126/$B$15)</f>
        <v>0.35</v>
      </c>
      <c r="S126" s="16" t="n">
        <f aca="false">IF(D126="","",MAX(0,J126-R126))</f>
        <v>0</v>
      </c>
      <c r="T126" s="16" t="n">
        <f aca="false">IF(D126="","",MAX(0,Z126-$B$8))</f>
        <v>0</v>
      </c>
      <c r="U126" s="16" t="n">
        <f aca="false">IF(D126="","",MAX(0,MIN($B$8,Z126)))</f>
        <v>45.6858149322141</v>
      </c>
      <c r="V126" s="16" t="str">
        <f aca="false">IF(D126="","",IF(S126&gt;0.0000001,"Sim","Não"))</f>
        <v>Não</v>
      </c>
      <c r="W126" s="16" t="n">
        <f aca="false">IF(D126="","",U126-(H126+E126-Q126-O126-T126))</f>
        <v>0</v>
      </c>
      <c r="X126" s="16" t="n">
        <f aca="false">IF(W126="","",ABS(W126))</f>
        <v>0</v>
      </c>
      <c r="Y126" s="16" t="n">
        <f aca="false">IF(U126="","",IF($B$8=0,0,U126/$B$8*100))</f>
        <v>96.7509846086703</v>
      </c>
      <c r="Z126" s="18" t="n">
        <f aca="false">IF(D126="","",MAX(0,IF(P126&gt;=0,P126,IF(K126+P126&gt;=0,0,P126+K126))))</f>
        <v>45.6858149322141</v>
      </c>
      <c r="AA126" s="18" t="n">
        <f aca="false">IF(D126="","",IF(H126&lt;=$B$16,1,IF(H126&gt;=$B$17,$B$21,MATCH(H126,Aux_CAV!$A$2:$A$121,1))))</f>
        <v>14</v>
      </c>
      <c r="AB126" s="18" t="n">
        <f aca="false">IF(D126="","",IF(L126&lt;=$B$16,1,IF(L126&gt;=$B$17,$B$21,MATCH(L126,Aux_CAV!$A$2:$A$121,1))))</f>
        <v>13</v>
      </c>
      <c r="AC126" s="19" t="n">
        <f aca="false">IF(D126="","",COUNT($D$24:D126))</f>
        <v>91</v>
      </c>
    </row>
    <row r="127" customFormat="false" ht="12.75" hidden="false" customHeight="true" outlineLevel="0" collapsed="false">
      <c r="A127" s="14" t="n">
        <f aca="false">IF(D127="","",DATE(B127,C127,1))</f>
        <v>6788</v>
      </c>
      <c r="B127" s="15" t="n">
        <f aca="false" t="array" ref="B127:B127">IF(D127="","",IFERROR(VALUE(INDEX(Vazoes_COLAR!$A$2:$A$200,INT((ROW()-24)/12)+1)),""))</f>
        <v>1918</v>
      </c>
      <c r="C127" s="15" t="n">
        <f aca="false">IF(D127="","",MOD(ROW()-24,12)+1)</f>
        <v>8</v>
      </c>
      <c r="D127" s="16" t="n">
        <f aca="false" t="array" ref="D127: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0.230366987541307</v>
      </c>
      <c r="E127" s="16" t="n">
        <f aca="false">IF(D127="","",D127*$B$15)</f>
        <v>0.597111231707068</v>
      </c>
      <c r="F127" s="16" t="n">
        <f aca="false" t="array" ref="F127:F127">IF(D127="","",IFERROR(INDEX(Dados_Evap!$C$2:$N$15,MATCH($B$9,Dados_Evap!$A$2:$A$15,0),C127),0))</f>
        <v>268.7</v>
      </c>
      <c r="G127" s="16" t="n">
        <f aca="false">IF(F127="","",F127/1000)</f>
        <v>0.2687</v>
      </c>
      <c r="H127" s="16" t="n">
        <f aca="false">IF(D127="","",MAX(0,MIN($B$8,IFERROR(LOOKUP(2,1/($U$24:U126&lt;&gt;""),$U$24:U126),$B$11))))</f>
        <v>45.6858149322141</v>
      </c>
      <c r="I127" s="16" t="n">
        <f aca="false" t="array" ref="I127: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>6.81682271728867</v>
      </c>
      <c r="J127" s="16" t="n">
        <f aca="false">IF(D127="","",$B$12)</f>
        <v>0.35</v>
      </c>
      <c r="K127" s="16" t="n">
        <f aca="false">IF(J127="","",J127*$B$15)</f>
        <v>0.9072</v>
      </c>
      <c r="L127" s="16" t="n">
        <f aca="false">IF(D127="","",H127+E127-K127-G127*I127)</f>
        <v>43.5440458997857</v>
      </c>
      <c r="M127" s="16" t="n">
        <f aca="false" t="array" ref="M127: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>6.60298257018301</v>
      </c>
      <c r="N127" s="16" t="n">
        <f aca="false">IF(D127="","",(I127+M127)/2)</f>
        <v>6.70990264373584</v>
      </c>
      <c r="O127" s="16" t="n">
        <f aca="false">IF(D127="","",G127*N127)</f>
        <v>1.80295084037182</v>
      </c>
      <c r="P127" s="16" t="n">
        <f aca="false">IF(D127="","",H127+E127-K127-O127)</f>
        <v>43.5727753235494</v>
      </c>
      <c r="Q127" s="16" t="n">
        <f aca="false">IF(D127="","",IF(P127&gt;=0,K127,MAX(0,K127+P127)))</f>
        <v>0.9072</v>
      </c>
      <c r="R127" s="16" t="n">
        <f aca="false">IF(D127="","",Q127/$B$15)</f>
        <v>0.35</v>
      </c>
      <c r="S127" s="16" t="n">
        <f aca="false">IF(D127="","",MAX(0,J127-R127))</f>
        <v>0</v>
      </c>
      <c r="T127" s="16" t="n">
        <f aca="false">IF(D127="","",MAX(0,Z127-$B$8))</f>
        <v>0</v>
      </c>
      <c r="U127" s="16" t="n">
        <f aca="false">IF(D127="","",MAX(0,MIN($B$8,Z127)))</f>
        <v>43.5727753235494</v>
      </c>
      <c r="V127" s="16" t="str">
        <f aca="false">IF(D127="","",IF(S127&gt;0.0000001,"Sim","Não"))</f>
        <v>Não</v>
      </c>
      <c r="W127" s="16" t="n">
        <f aca="false">IF(D127="","",U127-(H127+E127-Q127-O127-T127))</f>
        <v>0</v>
      </c>
      <c r="X127" s="16" t="n">
        <f aca="false">IF(W127="","",ABS(W127))</f>
        <v>0</v>
      </c>
      <c r="Y127" s="16" t="n">
        <f aca="false">IF(U127="","",IF($B$8=0,0,U127/$B$8*100))</f>
        <v>92.2761019134887</v>
      </c>
      <c r="Z127" s="18" t="n">
        <f aca="false">IF(D127="","",MAX(0,IF(P127&gt;=0,P127,IF(K127+P127&gt;=0,0,P127+K127))))</f>
        <v>43.5727753235494</v>
      </c>
      <c r="AA127" s="18" t="n">
        <f aca="false">IF(D127="","",IF(H127&lt;=$B$16,1,IF(H127&gt;=$B$17,$B$21,MATCH(H127,Aux_CAV!$A$2:$A$121,1))))</f>
        <v>13</v>
      </c>
      <c r="AB127" s="18" t="n">
        <f aca="false">IF(D127="","",IF(L127&lt;=$B$16,1,IF(L127&gt;=$B$17,$B$21,MATCH(L127,Aux_CAV!$A$2:$A$121,1))))</f>
        <v>13</v>
      </c>
      <c r="AC127" s="19" t="n">
        <f aca="false">IF(D127="","",COUNT($D$24:D127))</f>
        <v>92</v>
      </c>
    </row>
    <row r="128" customFormat="false" ht="12.75" hidden="false" customHeight="true" outlineLevel="0" collapsed="false">
      <c r="A128" s="14" t="n">
        <f aca="false">IF(D128="","",DATE(B128,C128,1))</f>
        <v>6819</v>
      </c>
      <c r="B128" s="15" t="n">
        <f aca="false" t="array" ref="B128:B128">IF(D128="","",IFERROR(VALUE(INDEX(Vazoes_COLAR!$A$2:$A$200,INT((ROW()-24)/12)+1)),""))</f>
        <v>1918</v>
      </c>
      <c r="C128" s="15" t="n">
        <f aca="false">IF(D128="","",MOD(ROW()-24,12)+1)</f>
        <v>9</v>
      </c>
      <c r="D128" s="16" t="n">
        <f aca="false" t="array" ref="D128: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0.0656758122310299</v>
      </c>
      <c r="E128" s="16" t="n">
        <f aca="false">IF(D128="","",D128*$B$15)</f>
        <v>0.17023170530283</v>
      </c>
      <c r="F128" s="16" t="n">
        <f aca="false" t="array" ref="F128:F128">IF(D128="","",IFERROR(INDEX(Dados_Evap!$C$2:$N$15,MATCH($B$9,Dados_Evap!$A$2:$A$15,0),C128),0))</f>
        <v>292.8</v>
      </c>
      <c r="G128" s="16" t="n">
        <f aca="false">IF(F128="","",F128/1000)</f>
        <v>0.2928</v>
      </c>
      <c r="H128" s="16" t="n">
        <f aca="false">IF(D128="","",MAX(0,MIN($B$8,IFERROR(LOOKUP(2,1/($U$24:U127&lt;&gt;""),$U$24:U127),$B$11))))</f>
        <v>43.5727753235494</v>
      </c>
      <c r="I128" s="16" t="n">
        <f aca="false" t="array" ref="I128: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>6.60585099535438</v>
      </c>
      <c r="J128" s="16" t="n">
        <f aca="false">IF(D128="","",$B$12)</f>
        <v>0.35</v>
      </c>
      <c r="K128" s="16" t="n">
        <f aca="false">IF(J128="","",J128*$B$15)</f>
        <v>0.9072</v>
      </c>
      <c r="L128" s="16" t="n">
        <f aca="false">IF(D128="","",H128+E128-K128-G128*I128)</f>
        <v>40.9016138574124</v>
      </c>
      <c r="M128" s="16" t="n">
        <f aca="false" t="array" ref="M128: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>6.3391548426819</v>
      </c>
      <c r="N128" s="16" t="n">
        <f aca="false">IF(D128="","",(I128+M128)/2)</f>
        <v>6.47250291901814</v>
      </c>
      <c r="O128" s="16" t="n">
        <f aca="false">IF(D128="","",G128*N128)</f>
        <v>1.89514885468851</v>
      </c>
      <c r="P128" s="16" t="n">
        <f aca="false">IF(D128="","",H128+E128-K128-O128)</f>
        <v>40.9406581741637</v>
      </c>
      <c r="Q128" s="16" t="n">
        <f aca="false">IF(D128="","",IF(P128&gt;=0,K128,MAX(0,K128+P128)))</f>
        <v>0.9072</v>
      </c>
      <c r="R128" s="16" t="n">
        <f aca="false">IF(D128="","",Q128/$B$15)</f>
        <v>0.35</v>
      </c>
      <c r="S128" s="16" t="n">
        <f aca="false">IF(D128="","",MAX(0,J128-R128))</f>
        <v>0</v>
      </c>
      <c r="T128" s="16" t="n">
        <f aca="false">IF(D128="","",MAX(0,Z128-$B$8))</f>
        <v>0</v>
      </c>
      <c r="U128" s="16" t="n">
        <f aca="false">IF(D128="","",MAX(0,MIN($B$8,Z128)))</f>
        <v>40.9406581741637</v>
      </c>
      <c r="V128" s="16" t="str">
        <f aca="false">IF(D128="","",IF(S128&gt;0.0000001,"Sim","Não"))</f>
        <v>Não</v>
      </c>
      <c r="W128" s="16" t="n">
        <f aca="false">IF(D128="","",U128-(H128+E128-Q128-O128-T128))</f>
        <v>0</v>
      </c>
      <c r="X128" s="16" t="n">
        <f aca="false">IF(W128="","",ABS(W128))</f>
        <v>0</v>
      </c>
      <c r="Y128" s="16" t="n">
        <f aca="false">IF(U128="","",IF($B$8=0,0,U128/$B$8*100))</f>
        <v>86.7019444603212</v>
      </c>
      <c r="Z128" s="18" t="n">
        <f aca="false">IF(D128="","",MAX(0,IF(P128&gt;=0,P128,IF(K128+P128&gt;=0,0,P128+K128))))</f>
        <v>40.9406581741637</v>
      </c>
      <c r="AA128" s="18" t="n">
        <f aca="false">IF(D128="","",IF(H128&lt;=$B$16,1,IF(H128&gt;=$B$17,$B$21,MATCH(H128,Aux_CAV!$A$2:$A$121,1))))</f>
        <v>13</v>
      </c>
      <c r="AB128" s="18" t="n">
        <f aca="false">IF(D128="","",IF(L128&lt;=$B$16,1,IF(L128&gt;=$B$17,$B$21,MATCH(L128,Aux_CAV!$A$2:$A$121,1))))</f>
        <v>13</v>
      </c>
      <c r="AC128" s="19" t="n">
        <f aca="false">IF(D128="","",COUNT($D$24:D128))</f>
        <v>93</v>
      </c>
    </row>
    <row r="129" customFormat="false" ht="12.75" hidden="false" customHeight="true" outlineLevel="0" collapsed="false">
      <c r="A129" s="14" t="n">
        <f aca="false">IF(D129="","",DATE(B129,C129,1))</f>
        <v>6849</v>
      </c>
      <c r="B129" s="15" t="n">
        <f aca="false" t="array" ref="B129:B129">IF(D129="","",IFERROR(VALUE(INDEX(Vazoes_COLAR!$A$2:$A$200,INT((ROW()-24)/12)+1)),""))</f>
        <v>1918</v>
      </c>
      <c r="C129" s="15" t="n">
        <f aca="false">IF(D129="","",MOD(ROW()-24,12)+1)</f>
        <v>10</v>
      </c>
      <c r="D129" s="16" t="n">
        <f aca="false" t="array" ref="D129: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0.0740470096931398</v>
      </c>
      <c r="E129" s="16" t="n">
        <f aca="false">IF(D129="","",D129*$B$15)</f>
        <v>0.191929849124618</v>
      </c>
      <c r="F129" s="16" t="n">
        <f aca="false" t="array" ref="F129:F129">IF(D129="","",IFERROR(INDEX(Dados_Evap!$C$2:$N$15,MATCH($B$9,Dados_Evap!$A$2:$A$15,0),C129),0))</f>
        <v>262.9</v>
      </c>
      <c r="G129" s="16" t="n">
        <f aca="false">IF(F129="","",F129/1000)</f>
        <v>0.2629</v>
      </c>
      <c r="H129" s="16" t="n">
        <f aca="false">IF(D129="","",MAX(0,MIN($B$8,IFERROR(LOOKUP(2,1/($U$24:U128&lt;&gt;""),$U$24:U128),$B$11))))</f>
        <v>40.9406581741637</v>
      </c>
      <c r="I129" s="16" t="n">
        <f aca="false" t="array" ref="I129: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>6.34305313531351</v>
      </c>
      <c r="J129" s="16" t="n">
        <f aca="false">IF(D129="","",$B$12)</f>
        <v>0.35</v>
      </c>
      <c r="K129" s="16" t="n">
        <f aca="false">IF(J129="","",J129*$B$15)</f>
        <v>0.9072</v>
      </c>
      <c r="L129" s="16" t="n">
        <f aca="false">IF(D129="","",H129+E129-K129-G129*I129)</f>
        <v>38.5577993540144</v>
      </c>
      <c r="M129" s="16" t="n">
        <f aca="false" t="array" ref="M129: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>6.10514191663508</v>
      </c>
      <c r="N129" s="16" t="n">
        <f aca="false">IF(D129="","",(I129+M129)/2)</f>
        <v>6.2240975259743</v>
      </c>
      <c r="O129" s="16" t="n">
        <f aca="false">IF(D129="","",G129*N129)</f>
        <v>1.63631523957864</v>
      </c>
      <c r="P129" s="16" t="n">
        <f aca="false">IF(D129="","",H129+E129-K129-O129)</f>
        <v>38.5890727837096</v>
      </c>
      <c r="Q129" s="16" t="n">
        <f aca="false">IF(D129="","",IF(P129&gt;=0,K129,MAX(0,K129+P129)))</f>
        <v>0.9072</v>
      </c>
      <c r="R129" s="16" t="n">
        <f aca="false">IF(D129="","",Q129/$B$15)</f>
        <v>0.35</v>
      </c>
      <c r="S129" s="16" t="n">
        <f aca="false">IF(D129="","",MAX(0,J129-R129))</f>
        <v>0</v>
      </c>
      <c r="T129" s="16" t="n">
        <f aca="false">IF(D129="","",MAX(0,Z129-$B$8))</f>
        <v>0</v>
      </c>
      <c r="U129" s="16" t="n">
        <f aca="false">IF(D129="","",MAX(0,MIN($B$8,Z129)))</f>
        <v>38.5890727837096</v>
      </c>
      <c r="V129" s="16" t="str">
        <f aca="false">IF(D129="","",IF(S129&gt;0.0000001,"Sim","Não"))</f>
        <v>Não</v>
      </c>
      <c r="W129" s="16" t="n">
        <f aca="false">IF(D129="","",U129-(H129+E129-Q129-O129-T129))</f>
        <v>0</v>
      </c>
      <c r="X129" s="16" t="n">
        <f aca="false">IF(W129="","",ABS(W129))</f>
        <v>0</v>
      </c>
      <c r="Y129" s="16" t="n">
        <f aca="false">IF(U129="","",IF($B$8=0,0,U129/$B$8*100))</f>
        <v>81.7218822187837</v>
      </c>
      <c r="Z129" s="18" t="n">
        <f aca="false">IF(D129="","",MAX(0,IF(P129&gt;=0,P129,IF(K129+P129&gt;=0,0,P129+K129))))</f>
        <v>38.5890727837096</v>
      </c>
      <c r="AA129" s="18" t="n">
        <f aca="false">IF(D129="","",IF(H129&lt;=$B$16,1,IF(H129&gt;=$B$17,$B$21,MATCH(H129,Aux_CAV!$A$2:$A$121,1))))</f>
        <v>13</v>
      </c>
      <c r="AB129" s="18" t="n">
        <f aca="false">IF(D129="","",IF(L129&lt;=$B$16,1,IF(L129&gt;=$B$17,$B$21,MATCH(L129,Aux_CAV!$A$2:$A$121,1))))</f>
        <v>13</v>
      </c>
      <c r="AC129" s="19" t="n">
        <f aca="false">IF(D129="","",COUNT($D$24:D129))</f>
        <v>94</v>
      </c>
    </row>
    <row r="130" customFormat="false" ht="12.75" hidden="false" customHeight="true" outlineLevel="0" collapsed="false">
      <c r="A130" s="14" t="n">
        <f aca="false">IF(D130="","",DATE(B130,C130,1))</f>
        <v>6880</v>
      </c>
      <c r="B130" s="15" t="n">
        <f aca="false" t="array" ref="B130:B130">IF(D130="","",IFERROR(VALUE(INDEX(Vazoes_COLAR!$A$2:$A$200,INT((ROW()-24)/12)+1)),""))</f>
        <v>1918</v>
      </c>
      <c r="C130" s="15" t="n">
        <f aca="false">IF(D130="","",MOD(ROW()-24,12)+1)</f>
        <v>11</v>
      </c>
      <c r="D130" s="16" t="n">
        <f aca="false" t="array" ref="D130: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0.0890126224754366</v>
      </c>
      <c r="E130" s="16" t="n">
        <f aca="false">IF(D130="","",D130*$B$15)</f>
        <v>0.230720717456332</v>
      </c>
      <c r="F130" s="16" t="n">
        <f aca="false" t="array" ref="F130:F130">IF(D130="","",IFERROR(INDEX(Dados_Evap!$C$2:$N$15,MATCH($B$9,Dados_Evap!$A$2:$A$15,0),C130),0))</f>
        <v>223.7</v>
      </c>
      <c r="G130" s="16" t="n">
        <f aca="false">IF(F130="","",F130/1000)</f>
        <v>0.2237</v>
      </c>
      <c r="H130" s="16" t="n">
        <f aca="false">IF(D130="","",MAX(0,MIN($B$8,IFERROR(LOOKUP(2,1/($U$24:U129&lt;&gt;""),$U$24:U129),$B$11))))</f>
        <v>38.5890727837096</v>
      </c>
      <c r="I130" s="16" t="n">
        <f aca="false" t="array" ref="I130: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>6.10826434239868</v>
      </c>
      <c r="J130" s="16" t="n">
        <f aca="false">IF(D130="","",$B$12)</f>
        <v>0.35</v>
      </c>
      <c r="K130" s="16" t="n">
        <f aca="false">IF(J130="","",J130*$B$15)</f>
        <v>0.9072</v>
      </c>
      <c r="L130" s="16" t="n">
        <f aca="false">IF(D130="","",H130+E130-K130-G130*I130)</f>
        <v>36.5461747677714</v>
      </c>
      <c r="M130" s="16" t="n">
        <f aca="false" t="array" ref="M130: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>5.90429575118472</v>
      </c>
      <c r="N130" s="16" t="n">
        <f aca="false">IF(D130="","",(I130+M130)/2)</f>
        <v>6.0062800467917</v>
      </c>
      <c r="O130" s="16" t="n">
        <f aca="false">IF(D130="","",G130*N130)</f>
        <v>1.3436048464673</v>
      </c>
      <c r="P130" s="16" t="n">
        <f aca="false">IF(D130="","",H130+E130-K130-O130)</f>
        <v>36.5689886546987</v>
      </c>
      <c r="Q130" s="16" t="n">
        <f aca="false">IF(D130="","",IF(P130&gt;=0,K130,MAX(0,K130+P130)))</f>
        <v>0.9072</v>
      </c>
      <c r="R130" s="16" t="n">
        <f aca="false">IF(D130="","",Q130/$B$15)</f>
        <v>0.35</v>
      </c>
      <c r="S130" s="16" t="n">
        <f aca="false">IF(D130="","",MAX(0,J130-R130))</f>
        <v>0</v>
      </c>
      <c r="T130" s="16" t="n">
        <f aca="false">IF(D130="","",MAX(0,Z130-$B$8))</f>
        <v>0</v>
      </c>
      <c r="U130" s="16" t="n">
        <f aca="false">IF(D130="","",MAX(0,MIN($B$8,Z130)))</f>
        <v>36.5689886546987</v>
      </c>
      <c r="V130" s="16" t="str">
        <f aca="false">IF(D130="","",IF(S130&gt;0.0000001,"Sim","Não"))</f>
        <v>Não</v>
      </c>
      <c r="W130" s="16" t="n">
        <f aca="false">IF(D130="","",U130-(H130+E130-Q130-O130-T130))</f>
        <v>0</v>
      </c>
      <c r="X130" s="16" t="n">
        <f aca="false">IF(W130="","",ABS(W130))</f>
        <v>0</v>
      </c>
      <c r="Y130" s="16" t="n">
        <f aca="false">IF(U130="","",IF($B$8=0,0,U130/$B$8*100))</f>
        <v>77.4438556855118</v>
      </c>
      <c r="Z130" s="18" t="n">
        <f aca="false">IF(D130="","",MAX(0,IF(P130&gt;=0,P130,IF(K130+P130&gt;=0,0,P130+K130))))</f>
        <v>36.5689886546987</v>
      </c>
      <c r="AA130" s="18" t="n">
        <f aca="false">IF(D130="","",IF(H130&lt;=$B$16,1,IF(H130&gt;=$B$17,$B$21,MATCH(H130,Aux_CAV!$A$2:$A$121,1))))</f>
        <v>13</v>
      </c>
      <c r="AB130" s="18" t="n">
        <f aca="false">IF(D130="","",IF(L130&lt;=$B$16,1,IF(L130&gt;=$B$17,$B$21,MATCH(L130,Aux_CAV!$A$2:$A$121,1))))</f>
        <v>13</v>
      </c>
      <c r="AC130" s="19" t="n">
        <f aca="false">IF(D130="","",COUNT($D$24:D130))</f>
        <v>95</v>
      </c>
    </row>
    <row r="131" customFormat="false" ht="12.75" hidden="false" customHeight="true" outlineLevel="0" collapsed="false">
      <c r="A131" s="14" t="n">
        <f aca="false">IF(D131="","",DATE(B131,C131,1))</f>
        <v>6910</v>
      </c>
      <c r="B131" s="15" t="n">
        <f aca="false" t="array" ref="B131:B131">IF(D131="","",IFERROR(VALUE(INDEX(Vazoes_COLAR!$A$2:$A$200,INT((ROW()-24)/12)+1)),""))</f>
        <v>1918</v>
      </c>
      <c r="C131" s="15" t="n">
        <f aca="false">IF(D131="","",MOD(ROW()-24,12)+1)</f>
        <v>12</v>
      </c>
      <c r="D131" s="16" t="n">
        <f aca="false" t="array" ref="D131: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0.0965969287549527</v>
      </c>
      <c r="E131" s="16" t="n">
        <f aca="false">IF(D131="","",D131*$B$15)</f>
        <v>0.250379239332837</v>
      </c>
      <c r="F131" s="16" t="n">
        <f aca="false" t="array" ref="F131:F131">IF(D131="","",IFERROR(INDEX(Dados_Evap!$C$2:$N$15,MATCH($B$9,Dados_Evap!$A$2:$A$15,0),C131),0))</f>
        <v>216.1</v>
      </c>
      <c r="G131" s="16" t="n">
        <f aca="false">IF(F131="","",F131/1000)</f>
        <v>0.2161</v>
      </c>
      <c r="H131" s="16" t="n">
        <f aca="false">IF(D131="","",MAX(0,MIN($B$8,IFERROR(LOOKUP(2,1/($U$24:U130&lt;&gt;""),$U$24:U130),$B$11))))</f>
        <v>36.5689886546987</v>
      </c>
      <c r="I131" s="16" t="n">
        <f aca="false" t="array" ref="I131: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>5.90657355278831</v>
      </c>
      <c r="J131" s="16" t="n">
        <f aca="false">IF(D131="","",$B$12)</f>
        <v>0.35</v>
      </c>
      <c r="K131" s="16" t="n">
        <f aca="false">IF(J131="","",J131*$B$15)</f>
        <v>0.9072</v>
      </c>
      <c r="L131" s="16" t="n">
        <f aca="false">IF(D131="","",H131+E131-K131-G131*I131)</f>
        <v>34.635757349274</v>
      </c>
      <c r="M131" s="16" t="n">
        <f aca="false" t="array" ref="M131: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>5.71355438943223</v>
      </c>
      <c r="N131" s="16" t="n">
        <f aca="false">IF(D131="","",(I131+M131)/2)</f>
        <v>5.81006397111027</v>
      </c>
      <c r="O131" s="16" t="n">
        <f aca="false">IF(D131="","",G131*N131)</f>
        <v>1.25555482415693</v>
      </c>
      <c r="P131" s="16" t="n">
        <f aca="false">IF(D131="","",H131+E131-K131-O131)</f>
        <v>34.6566130698746</v>
      </c>
      <c r="Q131" s="16" t="n">
        <f aca="false">IF(D131="","",IF(P131&gt;=0,K131,MAX(0,K131+P131)))</f>
        <v>0.9072</v>
      </c>
      <c r="R131" s="16" t="n">
        <f aca="false">IF(D131="","",Q131/$B$15)</f>
        <v>0.35</v>
      </c>
      <c r="S131" s="16" t="n">
        <f aca="false">IF(D131="","",MAX(0,J131-R131))</f>
        <v>0</v>
      </c>
      <c r="T131" s="16" t="n">
        <f aca="false">IF(D131="","",MAX(0,Z131-$B$8))</f>
        <v>0</v>
      </c>
      <c r="U131" s="16" t="n">
        <f aca="false">IF(D131="","",MAX(0,MIN($B$8,Z131)))</f>
        <v>34.6566130698746</v>
      </c>
      <c r="V131" s="16" t="str">
        <f aca="false">IF(D131="","",IF(S131&gt;0.0000001,"Sim","Não"))</f>
        <v>Não</v>
      </c>
      <c r="W131" s="16" t="n">
        <f aca="false">IF(D131="","",U131-(H131+E131-Q131-O131-T131))</f>
        <v>0</v>
      </c>
      <c r="X131" s="16" t="n">
        <f aca="false">IF(W131="","",ABS(W131))</f>
        <v>0</v>
      </c>
      <c r="Y131" s="16" t="n">
        <f aca="false">IF(U131="","",IF($B$8=0,0,U131/$B$8*100))</f>
        <v>73.3939285681376</v>
      </c>
      <c r="Z131" s="18" t="n">
        <f aca="false">IF(D131="","",MAX(0,IF(P131&gt;=0,P131,IF(K131+P131&gt;=0,0,P131+K131))))</f>
        <v>34.6566130698746</v>
      </c>
      <c r="AA131" s="18" t="n">
        <f aca="false">IF(D131="","",IF(H131&lt;=$B$16,1,IF(H131&gt;=$B$17,$B$21,MATCH(H131,Aux_CAV!$A$2:$A$121,1))))</f>
        <v>13</v>
      </c>
      <c r="AB131" s="18" t="n">
        <f aca="false">IF(D131="","",IF(L131&lt;=$B$16,1,IF(L131&gt;=$B$17,$B$21,MATCH(L131,Aux_CAV!$A$2:$A$121,1))))</f>
        <v>13</v>
      </c>
      <c r="AC131" s="19" t="n">
        <f aca="false">IF(D131="","",COUNT($D$24:D131))</f>
        <v>96</v>
      </c>
    </row>
    <row r="132" customFormat="false" ht="12.75" hidden="false" customHeight="true" outlineLevel="0" collapsed="false">
      <c r="A132" s="14" t="n">
        <f aca="false">IF(D132="","",DATE(B132,C132,1))</f>
        <v>6941</v>
      </c>
      <c r="B132" s="15" t="n">
        <f aca="false" t="array" ref="B132:B132">IF(D132="","",IFERROR(VALUE(INDEX(Vazoes_COLAR!$A$2:$A$200,INT((ROW()-24)/12)+1)),""))</f>
        <v>1919</v>
      </c>
      <c r="C132" s="15" t="n">
        <f aca="false">IF(D132="","",MOD(ROW()-24,12)+1)</f>
        <v>1</v>
      </c>
      <c r="D132" s="16" t="n">
        <f aca="false" t="array" ref="D132: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0.110210244419319</v>
      </c>
      <c r="E132" s="16" t="n">
        <f aca="false">IF(D132="","",D132*$B$15)</f>
        <v>0.285664953534875</v>
      </c>
      <c r="F132" s="16" t="n">
        <f aca="false" t="array" ref="F132:F132">IF(D132="","",IFERROR(INDEX(Dados_Evap!$C$2:$N$15,MATCH($B$9,Dados_Evap!$A$2:$A$15,0),C132),0))</f>
        <v>160</v>
      </c>
      <c r="G132" s="16" t="n">
        <f aca="false">IF(F132="","",F132/1000)</f>
        <v>0.16</v>
      </c>
      <c r="H132" s="16" t="n">
        <f aca="false">IF(D132="","",MAX(0,MIN($B$8,IFERROR(LOOKUP(2,1/($U$24:U131&lt;&gt;""),$U$24:U131),$B$11))))</f>
        <v>34.6566130698746</v>
      </c>
      <c r="I132" s="16" t="n">
        <f aca="false" t="array" ref="I132: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>5.71563668229094</v>
      </c>
      <c r="J132" s="16" t="n">
        <f aca="false">IF(D132="","",$B$12)</f>
        <v>0.35</v>
      </c>
      <c r="K132" s="16" t="n">
        <f aca="false">IF(J132="","",J132*$B$15)</f>
        <v>0.9072</v>
      </c>
      <c r="L132" s="16" t="n">
        <f aca="false">IF(D132="","",H132+E132-K132-G132*I132)</f>
        <v>33.1205761542429</v>
      </c>
      <c r="M132" s="16" t="n">
        <f aca="false" t="array" ref="M132: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>5.55670062961552</v>
      </c>
      <c r="N132" s="16" t="n">
        <f aca="false">IF(D132="","",(I132+M132)/2)</f>
        <v>5.63616865595323</v>
      </c>
      <c r="O132" s="16" t="n">
        <f aca="false">IF(D132="","",G132*N132)</f>
        <v>0.901786984952517</v>
      </c>
      <c r="P132" s="16" t="n">
        <f aca="false">IF(D132="","",H132+E132-K132-O132)</f>
        <v>33.1332910384569</v>
      </c>
      <c r="Q132" s="16" t="n">
        <f aca="false">IF(D132="","",IF(P132&gt;=0,K132,MAX(0,K132+P132)))</f>
        <v>0.9072</v>
      </c>
      <c r="R132" s="16" t="n">
        <f aca="false">IF(D132="","",Q132/$B$15)</f>
        <v>0.35</v>
      </c>
      <c r="S132" s="16" t="n">
        <f aca="false">IF(D132="","",MAX(0,J132-R132))</f>
        <v>0</v>
      </c>
      <c r="T132" s="16" t="n">
        <f aca="false">IF(D132="","",MAX(0,Z132-$B$8))</f>
        <v>0</v>
      </c>
      <c r="U132" s="16" t="n">
        <f aca="false">IF(D132="","",MAX(0,MIN($B$8,Z132)))</f>
        <v>33.1332910384569</v>
      </c>
      <c r="V132" s="16" t="str">
        <f aca="false">IF(D132="","",IF(S132&gt;0.0000001,"Sim","Não"))</f>
        <v>Não</v>
      </c>
      <c r="W132" s="16" t="n">
        <f aca="false">IF(D132="","",U132-(H132+E132-Q132-O132-T132))</f>
        <v>0</v>
      </c>
      <c r="X132" s="16" t="n">
        <f aca="false">IF(W132="","",ABS(W132))</f>
        <v>0</v>
      </c>
      <c r="Y132" s="16" t="n">
        <f aca="false">IF(U132="","",IF($B$8=0,0,U132/$B$8*100))</f>
        <v>70.1679183364188</v>
      </c>
      <c r="Z132" s="18" t="n">
        <f aca="false">IF(D132="","",MAX(0,IF(P132&gt;=0,P132,IF(K132+P132&gt;=0,0,P132+K132))))</f>
        <v>33.1332910384569</v>
      </c>
      <c r="AA132" s="18" t="n">
        <f aca="false">IF(D132="","",IF(H132&lt;=$B$16,1,IF(H132&gt;=$B$17,$B$21,MATCH(H132,Aux_CAV!$A$2:$A$121,1))))</f>
        <v>13</v>
      </c>
      <c r="AB132" s="18" t="n">
        <f aca="false">IF(D132="","",IF(L132&lt;=$B$16,1,IF(L132&gt;=$B$17,$B$21,MATCH(L132,Aux_CAV!$A$2:$A$121,1))))</f>
        <v>12</v>
      </c>
      <c r="AC132" s="19" t="n">
        <f aca="false">IF(D132="","",COUNT($D$24:D132))</f>
        <v>97</v>
      </c>
    </row>
    <row r="133" customFormat="false" ht="12.75" hidden="false" customHeight="true" outlineLevel="0" collapsed="false">
      <c r="A133" s="14" t="n">
        <f aca="false">IF(D133="","",DATE(B133,C133,1))</f>
        <v>6972</v>
      </c>
      <c r="B133" s="15" t="n">
        <f aca="false" t="array" ref="B133:B133">IF(D133="","",IFERROR(VALUE(INDEX(Vazoes_COLAR!$A$2:$A$200,INT((ROW()-24)/12)+1)),""))</f>
        <v>1919</v>
      </c>
      <c r="C133" s="15" t="n">
        <f aca="false">IF(D133="","",MOD(ROW()-24,12)+1)</f>
        <v>2</v>
      </c>
      <c r="D133" s="16" t="n">
        <f aca="false" t="array" ref="D133: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0.256162091404568</v>
      </c>
      <c r="E133" s="16" t="n">
        <f aca="false">IF(D133="","",D133*$B$15)</f>
        <v>0.66397214092064</v>
      </c>
      <c r="F133" s="16" t="n">
        <f aca="false" t="array" ref="F133:F133">IF(D133="","",IFERROR(INDEX(Dados_Evap!$C$2:$N$15,MATCH($B$9,Dados_Evap!$A$2:$A$15,0),C133),0))</f>
        <v>124.3</v>
      </c>
      <c r="G133" s="16" t="n">
        <f aca="false">IF(F133="","",F133/1000)</f>
        <v>0.1243</v>
      </c>
      <c r="H133" s="16" t="n">
        <f aca="false">IF(D133="","",MAX(0,MIN($B$8,IFERROR(LOOKUP(2,1/($U$24:U132&lt;&gt;""),$U$24:U132),$B$11))))</f>
        <v>33.1332910384569</v>
      </c>
      <c r="I133" s="16" t="n">
        <f aca="false" t="array" ref="I133: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>5.55802149622805</v>
      </c>
      <c r="J133" s="16" t="n">
        <f aca="false">IF(D133="","",$B$12)</f>
        <v>0.35</v>
      </c>
      <c r="K133" s="16" t="n">
        <f aca="false">IF(J133="","",J133*$B$15)</f>
        <v>0.9072</v>
      </c>
      <c r="L133" s="16" t="n">
        <f aca="false">IF(D133="","",H133+E133-K133-G133*I133)</f>
        <v>32.1992011073964</v>
      </c>
      <c r="M133" s="16" t="n">
        <f aca="false" t="array" ref="M133: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>5.46098496940914</v>
      </c>
      <c r="N133" s="16" t="n">
        <f aca="false">IF(D133="","",(I133+M133)/2)</f>
        <v>5.5095032328186</v>
      </c>
      <c r="O133" s="16" t="n">
        <f aca="false">IF(D133="","",G133*N133)</f>
        <v>0.684831251839352</v>
      </c>
      <c r="P133" s="16" t="n">
        <f aca="false">IF(D133="","",H133+E133-K133-O133)</f>
        <v>32.2052319275382</v>
      </c>
      <c r="Q133" s="16" t="n">
        <f aca="false">IF(D133="","",IF(P133&gt;=0,K133,MAX(0,K133+P133)))</f>
        <v>0.9072</v>
      </c>
      <c r="R133" s="16" t="n">
        <f aca="false">IF(D133="","",Q133/$B$15)</f>
        <v>0.35</v>
      </c>
      <c r="S133" s="16" t="n">
        <f aca="false">IF(D133="","",MAX(0,J133-R133))</f>
        <v>0</v>
      </c>
      <c r="T133" s="16" t="n">
        <f aca="false">IF(D133="","",MAX(0,Z133-$B$8))</f>
        <v>0</v>
      </c>
      <c r="U133" s="16" t="n">
        <f aca="false">IF(D133="","",MAX(0,MIN($B$8,Z133)))</f>
        <v>32.2052319275382</v>
      </c>
      <c r="V133" s="16" t="str">
        <f aca="false">IF(D133="","",IF(S133&gt;0.0000001,"Sim","Não"))</f>
        <v>Não</v>
      </c>
      <c r="W133" s="16" t="n">
        <f aca="false">IF(D133="","",U133-(H133+E133-Q133-O133-T133))</f>
        <v>0</v>
      </c>
      <c r="X133" s="16" t="n">
        <f aca="false">IF(W133="","",ABS(W133))</f>
        <v>0</v>
      </c>
      <c r="Y133" s="16" t="n">
        <f aca="false">IF(U133="","",IF($B$8=0,0,U133/$B$8*100))</f>
        <v>68.2025242006316</v>
      </c>
      <c r="Z133" s="18" t="n">
        <f aca="false">IF(D133="","",MAX(0,IF(P133&gt;=0,P133,IF(K133+P133&gt;=0,0,P133+K133))))</f>
        <v>32.2052319275382</v>
      </c>
      <c r="AA133" s="18" t="n">
        <f aca="false">IF(D133="","",IF(H133&lt;=$B$16,1,IF(H133&gt;=$B$17,$B$21,MATCH(H133,Aux_CAV!$A$2:$A$121,1))))</f>
        <v>12</v>
      </c>
      <c r="AB133" s="18" t="n">
        <f aca="false">IF(D133="","",IF(L133&lt;=$B$16,1,IF(L133&gt;=$B$17,$B$21,MATCH(L133,Aux_CAV!$A$2:$A$121,1))))</f>
        <v>12</v>
      </c>
      <c r="AC133" s="19" t="n">
        <f aca="false">IF(D133="","",COUNT($D$24:D133))</f>
        <v>98</v>
      </c>
    </row>
    <row r="134" customFormat="false" ht="12.75" hidden="false" customHeight="true" outlineLevel="0" collapsed="false">
      <c r="A134" s="14" t="n">
        <f aca="false">IF(D134="","",DATE(B134,C134,1))</f>
        <v>7000</v>
      </c>
      <c r="B134" s="15" t="n">
        <f aca="false" t="array" ref="B134:B134">IF(D134="","",IFERROR(VALUE(INDEX(Vazoes_COLAR!$A$2:$A$200,INT((ROW()-24)/12)+1)),""))</f>
        <v>1919</v>
      </c>
      <c r="C134" s="15" t="n">
        <f aca="false">IF(D134="","",MOD(ROW()-24,12)+1)</f>
        <v>3</v>
      </c>
      <c r="D134" s="16" t="n">
        <f aca="false" t="array" ref="D134: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0.173312387127934</v>
      </c>
      <c r="E134" s="16" t="n">
        <f aca="false">IF(D134="","",D134*$B$15)</f>
        <v>0.449225707435605</v>
      </c>
      <c r="F134" s="16" t="n">
        <f aca="false" t="array" ref="F134:F134">IF(D134="","",IFERROR(INDEX(Dados_Evap!$C$2:$N$15,MATCH($B$9,Dados_Evap!$A$2:$A$15,0),C134),0))</f>
        <v>107.7</v>
      </c>
      <c r="G134" s="16" t="n">
        <f aca="false">IF(F134="","",F134/1000)</f>
        <v>0.1077</v>
      </c>
      <c r="H134" s="16" t="n">
        <f aca="false">IF(D134="","",MAX(0,MIN($B$8,IFERROR(LOOKUP(2,1/($U$24:U133&lt;&gt;""),$U$24:U133),$B$11))))</f>
        <v>32.2052319275382</v>
      </c>
      <c r="I134" s="16" t="n">
        <f aca="false" t="array" ref="I134: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>5.46161147208407</v>
      </c>
      <c r="J134" s="16" t="n">
        <f aca="false">IF(D134="","",$B$12)</f>
        <v>0.35</v>
      </c>
      <c r="K134" s="16" t="n">
        <f aca="false">IF(J134="","",J134*$B$15)</f>
        <v>0.9072</v>
      </c>
      <c r="L134" s="16" t="n">
        <f aca="false">IF(D134="","",H134+E134-K134-G134*I134)</f>
        <v>31.1590420794304</v>
      </c>
      <c r="M134" s="16" t="n">
        <f aca="false" t="array" ref="M134: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>5.35292961407675</v>
      </c>
      <c r="N134" s="16" t="n">
        <f aca="false">IF(D134="","",(I134+M134)/2)</f>
        <v>5.40727054308041</v>
      </c>
      <c r="O134" s="16" t="n">
        <f aca="false">IF(D134="","",G134*N134)</f>
        <v>0.58236303748976</v>
      </c>
      <c r="P134" s="16" t="n">
        <f aca="false">IF(D134="","",H134+E134-K134-O134)</f>
        <v>31.1648945974841</v>
      </c>
      <c r="Q134" s="16" t="n">
        <f aca="false">IF(D134="","",IF(P134&gt;=0,K134,MAX(0,K134+P134)))</f>
        <v>0.9072</v>
      </c>
      <c r="R134" s="16" t="n">
        <f aca="false">IF(D134="","",Q134/$B$15)</f>
        <v>0.35</v>
      </c>
      <c r="S134" s="16" t="n">
        <f aca="false">IF(D134="","",MAX(0,J134-R134))</f>
        <v>0</v>
      </c>
      <c r="T134" s="16" t="n">
        <f aca="false">IF(D134="","",MAX(0,Z134-$B$8))</f>
        <v>0</v>
      </c>
      <c r="U134" s="16" t="n">
        <f aca="false">IF(D134="","",MAX(0,MIN($B$8,Z134)))</f>
        <v>31.1648945974841</v>
      </c>
      <c r="V134" s="16" t="str">
        <f aca="false">IF(D134="","",IF(S134&gt;0.0000001,"Sim","Não"))</f>
        <v>Não</v>
      </c>
      <c r="W134" s="16" t="n">
        <f aca="false">IF(D134="","",U134-(H134+E134-Q134-O134-T134))</f>
        <v>0</v>
      </c>
      <c r="X134" s="16" t="n">
        <f aca="false">IF(W134="","",ABS(W134))</f>
        <v>0</v>
      </c>
      <c r="Y134" s="16" t="n">
        <f aca="false">IF(U134="","",IF($B$8=0,0,U134/$B$8*100))</f>
        <v>65.9993532348244</v>
      </c>
      <c r="Z134" s="18" t="n">
        <f aca="false">IF(D134="","",MAX(0,IF(P134&gt;=0,P134,IF(K134+P134&gt;=0,0,P134+K134))))</f>
        <v>31.1648945974841</v>
      </c>
      <c r="AA134" s="18" t="n">
        <f aca="false">IF(D134="","",IF(H134&lt;=$B$16,1,IF(H134&gt;=$B$17,$B$21,MATCH(H134,Aux_CAV!$A$2:$A$121,1))))</f>
        <v>12</v>
      </c>
      <c r="AB134" s="18" t="n">
        <f aca="false">IF(D134="","",IF(L134&lt;=$B$16,1,IF(L134&gt;=$B$17,$B$21,MATCH(L134,Aux_CAV!$A$2:$A$121,1))))</f>
        <v>12</v>
      </c>
      <c r="AC134" s="19" t="n">
        <f aca="false">IF(D134="","",COUNT($D$24:D134))</f>
        <v>99</v>
      </c>
    </row>
    <row r="135" customFormat="false" ht="12.75" hidden="false" customHeight="true" outlineLevel="0" collapsed="false">
      <c r="A135" s="14" t="n">
        <f aca="false">IF(D135="","",DATE(B135,C135,1))</f>
        <v>7031</v>
      </c>
      <c r="B135" s="15" t="n">
        <f aca="false" t="array" ref="B135:B135">IF(D135="","",IFERROR(VALUE(INDEX(Vazoes_COLAR!$A$2:$A$200,INT((ROW()-24)/12)+1)),""))</f>
        <v>1919</v>
      </c>
      <c r="C135" s="15" t="n">
        <f aca="false">IF(D135="","",MOD(ROW()-24,12)+1)</f>
        <v>4</v>
      </c>
      <c r="D135" s="16" t="n">
        <f aca="false" t="array" ref="D135: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0.0812075718507794</v>
      </c>
      <c r="E135" s="16" t="n">
        <f aca="false">IF(D135="","",D135*$B$15)</f>
        <v>0.21049002623722</v>
      </c>
      <c r="F135" s="16" t="n">
        <f aca="false" t="array" ref="F135:F135">IF(D135="","",IFERROR(INDEX(Dados_Evap!$C$2:$N$15,MATCH($B$9,Dados_Evap!$A$2:$A$15,0),C135),0))</f>
        <v>100.5</v>
      </c>
      <c r="G135" s="16" t="n">
        <f aca="false">IF(F135="","",F135/1000)</f>
        <v>0.1005</v>
      </c>
      <c r="H135" s="16" t="n">
        <f aca="false">IF(D135="","",MAX(0,MIN($B$8,IFERROR(LOOKUP(2,1/($U$24:U134&lt;&gt;""),$U$24:U134),$B$11))))</f>
        <v>31.1648945974841</v>
      </c>
      <c r="I135" s="16" t="n">
        <f aca="false" t="array" ref="I135: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>5.35353759410757</v>
      </c>
      <c r="J135" s="16" t="n">
        <f aca="false">IF(D135="","",$B$12)</f>
        <v>0.35</v>
      </c>
      <c r="K135" s="16" t="n">
        <f aca="false">IF(J135="","",J135*$B$15)</f>
        <v>0.9072</v>
      </c>
      <c r="L135" s="16" t="n">
        <f aca="false">IF(D135="","",H135+E135-K135-G135*I135)</f>
        <v>29.9301540955135</v>
      </c>
      <c r="M135" s="16" t="n">
        <f aca="false" t="array" ref="M135: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>5.22526843516499</v>
      </c>
      <c r="N135" s="16" t="n">
        <f aca="false">IF(D135="","",(I135+M135)/2)</f>
        <v>5.28940301463628</v>
      </c>
      <c r="O135" s="16" t="n">
        <f aca="false">IF(D135="","",G135*N135)</f>
        <v>0.531585002970946</v>
      </c>
      <c r="P135" s="16" t="n">
        <f aca="false">IF(D135="","",H135+E135-K135-O135)</f>
        <v>29.9365996207503</v>
      </c>
      <c r="Q135" s="16" t="n">
        <f aca="false">IF(D135="","",IF(P135&gt;=0,K135,MAX(0,K135+P135)))</f>
        <v>0.9072</v>
      </c>
      <c r="R135" s="16" t="n">
        <f aca="false">IF(D135="","",Q135/$B$15)</f>
        <v>0.35</v>
      </c>
      <c r="S135" s="16" t="n">
        <f aca="false">IF(D135="","",MAX(0,J135-R135))</f>
        <v>0</v>
      </c>
      <c r="T135" s="16" t="n">
        <f aca="false">IF(D135="","",MAX(0,Z135-$B$8))</f>
        <v>0</v>
      </c>
      <c r="U135" s="16" t="n">
        <f aca="false">IF(D135="","",MAX(0,MIN($B$8,Z135)))</f>
        <v>29.9365996207503</v>
      </c>
      <c r="V135" s="16" t="str">
        <f aca="false">IF(D135="","",IF(S135&gt;0.0000001,"Sim","Não"))</f>
        <v>Não</v>
      </c>
      <c r="W135" s="16" t="n">
        <f aca="false">IF(D135="","",U135-(H135+E135-Q135-O135-T135))</f>
        <v>0</v>
      </c>
      <c r="X135" s="16" t="n">
        <f aca="false">IF(W135="","",ABS(W135))</f>
        <v>0</v>
      </c>
      <c r="Y135" s="16" t="n">
        <f aca="false">IF(U135="","",IF($B$8=0,0,U135/$B$8*100))</f>
        <v>63.3981355797339</v>
      </c>
      <c r="Z135" s="18" t="n">
        <f aca="false">IF(D135="","",MAX(0,IF(P135&gt;=0,P135,IF(K135+P135&gt;=0,0,P135+K135))))</f>
        <v>29.9365996207503</v>
      </c>
      <c r="AA135" s="18" t="n">
        <f aca="false">IF(D135="","",IF(H135&lt;=$B$16,1,IF(H135&gt;=$B$17,$B$21,MATCH(H135,Aux_CAV!$A$2:$A$121,1))))</f>
        <v>12</v>
      </c>
      <c r="AB135" s="18" t="n">
        <f aca="false">IF(D135="","",IF(L135&lt;=$B$16,1,IF(L135&gt;=$B$17,$B$21,MATCH(L135,Aux_CAV!$A$2:$A$121,1))))</f>
        <v>12</v>
      </c>
      <c r="AC135" s="19" t="n">
        <f aca="false">IF(D135="","",COUNT($D$24:D135))</f>
        <v>100</v>
      </c>
    </row>
    <row r="136" customFormat="false" ht="12.75" hidden="false" customHeight="true" outlineLevel="0" collapsed="false">
      <c r="A136" s="14" t="n">
        <f aca="false">IF(D136="","",DATE(B136,C136,1))</f>
        <v>7061</v>
      </c>
      <c r="B136" s="15" t="n">
        <f aca="false" t="array" ref="B136:B136">IF(D136="","",IFERROR(VALUE(INDEX(Vazoes_COLAR!$A$2:$A$200,INT((ROW()-24)/12)+1)),""))</f>
        <v>1919</v>
      </c>
      <c r="C136" s="15" t="n">
        <f aca="false">IF(D136="","",MOD(ROW()-24,12)+1)</f>
        <v>5</v>
      </c>
      <c r="D136" s="16" t="n">
        <f aca="false" t="array" ref="D136: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0.0413902512221053</v>
      </c>
      <c r="E136" s="16" t="n">
        <f aca="false">IF(D136="","",D136*$B$15)</f>
        <v>0.107283531167697</v>
      </c>
      <c r="F136" s="16" t="n">
        <f aca="false" t="array" ref="F136:F136">IF(D136="","",IFERROR(INDEX(Dados_Evap!$C$2:$N$15,MATCH($B$9,Dados_Evap!$A$2:$A$15,0),C136),0))</f>
        <v>145.8</v>
      </c>
      <c r="G136" s="16" t="n">
        <f aca="false">IF(F136="","",F136/1000)</f>
        <v>0.1458</v>
      </c>
      <c r="H136" s="16" t="n">
        <f aca="false">IF(D136="","",MAX(0,MIN($B$8,IFERROR(LOOKUP(2,1/($U$24:U135&lt;&gt;""),$U$24:U135),$B$11))))</f>
        <v>29.9365996207503</v>
      </c>
      <c r="I136" s="16" t="n">
        <f aca="false" t="array" ref="I136: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>5.22593801885465</v>
      </c>
      <c r="J136" s="16" t="n">
        <f aca="false">IF(D136="","",$B$12)</f>
        <v>0.35</v>
      </c>
      <c r="K136" s="16" t="n">
        <f aca="false">IF(J136="","",J136*$B$15)</f>
        <v>0.9072</v>
      </c>
      <c r="L136" s="16" t="n">
        <f aca="false">IF(D136="","",H136+E136-K136-G136*I136)</f>
        <v>28.374741388769</v>
      </c>
      <c r="M136" s="16" t="n">
        <f aca="false" t="array" ref="M136: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>5.06368672679445</v>
      </c>
      <c r="N136" s="16" t="n">
        <f aca="false">IF(D136="","",(I136+M136)/2)</f>
        <v>5.14481237282455</v>
      </c>
      <c r="O136" s="16" t="n">
        <f aca="false">IF(D136="","",G136*N136)</f>
        <v>0.750113643957819</v>
      </c>
      <c r="P136" s="16" t="n">
        <f aca="false">IF(D136="","",H136+E136-K136-O136)</f>
        <v>28.3865695079602</v>
      </c>
      <c r="Q136" s="16" t="n">
        <f aca="false">IF(D136="","",IF(P136&gt;=0,K136,MAX(0,K136+P136)))</f>
        <v>0.9072</v>
      </c>
      <c r="R136" s="16" t="n">
        <f aca="false">IF(D136="","",Q136/$B$15)</f>
        <v>0.35</v>
      </c>
      <c r="S136" s="16" t="n">
        <f aca="false">IF(D136="","",MAX(0,J136-R136))</f>
        <v>0</v>
      </c>
      <c r="T136" s="16" t="n">
        <f aca="false">IF(D136="","",MAX(0,Z136-$B$8))</f>
        <v>0</v>
      </c>
      <c r="U136" s="16" t="n">
        <f aca="false">IF(D136="","",MAX(0,MIN($B$8,Z136)))</f>
        <v>28.3865695079602</v>
      </c>
      <c r="V136" s="16" t="str">
        <f aca="false">IF(D136="","",IF(S136&gt;0.0000001,"Sim","Não"))</f>
        <v>Não</v>
      </c>
      <c r="W136" s="16" t="n">
        <f aca="false">IF(D136="","",U136-(H136+E136-Q136-O136-T136))</f>
        <v>0</v>
      </c>
      <c r="X136" s="16" t="n">
        <f aca="false">IF(W136="","",ABS(W136))</f>
        <v>0</v>
      </c>
      <c r="Y136" s="16" t="n">
        <f aca="false">IF(U136="","",IF($B$8=0,0,U136/$B$8*100))</f>
        <v>60.1155643963579</v>
      </c>
      <c r="Z136" s="18" t="n">
        <f aca="false">IF(D136="","",MAX(0,IF(P136&gt;=0,P136,IF(K136+P136&gt;=0,0,P136+K136))))</f>
        <v>28.3865695079602</v>
      </c>
      <c r="AA136" s="18" t="n">
        <f aca="false">IF(D136="","",IF(H136&lt;=$B$16,1,IF(H136&gt;=$B$17,$B$21,MATCH(H136,Aux_CAV!$A$2:$A$121,1))))</f>
        <v>12</v>
      </c>
      <c r="AB136" s="18" t="n">
        <f aca="false">IF(D136="","",IF(L136&lt;=$B$16,1,IF(L136&gt;=$B$17,$B$21,MATCH(L136,Aux_CAV!$A$2:$A$121,1))))</f>
        <v>12</v>
      </c>
      <c r="AC136" s="19" t="n">
        <f aca="false">IF(D136="","",COUNT($D$24:D136))</f>
        <v>101</v>
      </c>
    </row>
    <row r="137" customFormat="false" ht="12.75" hidden="false" customHeight="true" outlineLevel="0" collapsed="false">
      <c r="A137" s="14" t="n">
        <f aca="false">IF(D137="","",DATE(B137,C137,1))</f>
        <v>7092</v>
      </c>
      <c r="B137" s="15" t="n">
        <f aca="false" t="array" ref="B137:B137">IF(D137="","",IFERROR(VALUE(INDEX(Vazoes_COLAR!$A$2:$A$200,INT((ROW()-24)/12)+1)),""))</f>
        <v>1919</v>
      </c>
      <c r="C137" s="15" t="n">
        <f aca="false">IF(D137="","",MOD(ROW()-24,12)+1)</f>
        <v>6</v>
      </c>
      <c r="D137" s="16" t="n">
        <f aca="false" t="array" ref="D137: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0.0463808114400585</v>
      </c>
      <c r="E137" s="16" t="n">
        <f aca="false">IF(D137="","",D137*$B$15)</f>
        <v>0.120219063252632</v>
      </c>
      <c r="F137" s="16" t="n">
        <f aca="false" t="array" ref="F137:F137">IF(D137="","",IFERROR(INDEX(Dados_Evap!$C$2:$N$15,MATCH($B$9,Dados_Evap!$A$2:$A$15,0),C137),0))</f>
        <v>161.3</v>
      </c>
      <c r="G137" s="16" t="n">
        <f aca="false">IF(F137="","",F137/1000)</f>
        <v>0.1613</v>
      </c>
      <c r="H137" s="16" t="n">
        <f aca="false">IF(D137="","",MAX(0,MIN($B$8,IFERROR(LOOKUP(2,1/($U$24:U136&lt;&gt;""),$U$24:U136),$B$11))))</f>
        <v>28.3865695079602</v>
      </c>
      <c r="I137" s="16" t="n">
        <f aca="false" t="array" ref="I137: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>5.06491547315703</v>
      </c>
      <c r="J137" s="16" t="n">
        <f aca="false">IF(D137="","",$B$12)</f>
        <v>0.35</v>
      </c>
      <c r="K137" s="16" t="n">
        <f aca="false">IF(J137="","",J137*$B$15)</f>
        <v>0.9072</v>
      </c>
      <c r="L137" s="16" t="n">
        <f aca="false">IF(D137="","",H137+E137-K137-G137*I137)</f>
        <v>26.7826177053926</v>
      </c>
      <c r="M137" s="16" t="n">
        <f aca="false" t="array" ref="M137: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>4.89829135386117</v>
      </c>
      <c r="N137" s="16" t="n">
        <f aca="false">IF(D137="","",(I137+M137)/2)</f>
        <v>4.9816034135091</v>
      </c>
      <c r="O137" s="16" t="n">
        <f aca="false">IF(D137="","",G137*N137)</f>
        <v>0.803532630599018</v>
      </c>
      <c r="P137" s="16" t="n">
        <f aca="false">IF(D137="","",H137+E137-K137-O137)</f>
        <v>26.7960559406138</v>
      </c>
      <c r="Q137" s="16" t="n">
        <f aca="false">IF(D137="","",IF(P137&gt;=0,K137,MAX(0,K137+P137)))</f>
        <v>0.9072</v>
      </c>
      <c r="R137" s="16" t="n">
        <f aca="false">IF(D137="","",Q137/$B$15)</f>
        <v>0.35</v>
      </c>
      <c r="S137" s="16" t="n">
        <f aca="false">IF(D137="","",MAX(0,J137-R137))</f>
        <v>0</v>
      </c>
      <c r="T137" s="16" t="n">
        <f aca="false">IF(D137="","",MAX(0,Z137-$B$8))</f>
        <v>0</v>
      </c>
      <c r="U137" s="16" t="n">
        <f aca="false">IF(D137="","",MAX(0,MIN($B$8,Z137)))</f>
        <v>26.7960559406138</v>
      </c>
      <c r="V137" s="16" t="str">
        <f aca="false">IF(D137="","",IF(S137&gt;0.0000001,"Sim","Não"))</f>
        <v>Não</v>
      </c>
      <c r="W137" s="16" t="n">
        <f aca="false">IF(D137="","",U137-(H137+E137-Q137-O137-T137))</f>
        <v>0</v>
      </c>
      <c r="X137" s="16" t="n">
        <f aca="false">IF(W137="","",ABS(W137))</f>
        <v>0</v>
      </c>
      <c r="Y137" s="16" t="n">
        <f aca="false">IF(U137="","",IF($B$8=0,0,U137/$B$8*100))</f>
        <v>56.7472595099827</v>
      </c>
      <c r="Z137" s="18" t="n">
        <f aca="false">IF(D137="","",MAX(0,IF(P137&gt;=0,P137,IF(K137+P137&gt;=0,0,P137+K137))))</f>
        <v>26.7960559406138</v>
      </c>
      <c r="AA137" s="18" t="n">
        <f aca="false">IF(D137="","",IF(H137&lt;=$B$16,1,IF(H137&gt;=$B$17,$B$21,MATCH(H137,Aux_CAV!$A$2:$A$121,1))))</f>
        <v>12</v>
      </c>
      <c r="AB137" s="18" t="n">
        <f aca="false">IF(D137="","",IF(L137&lt;=$B$16,1,IF(L137&gt;=$B$17,$B$21,MATCH(L137,Aux_CAV!$A$2:$A$121,1))))</f>
        <v>12</v>
      </c>
      <c r="AC137" s="19" t="n">
        <f aca="false">IF(D137="","",COUNT($D$24:D137))</f>
        <v>102</v>
      </c>
    </row>
    <row r="138" customFormat="false" ht="12.75" hidden="false" customHeight="true" outlineLevel="0" collapsed="false">
      <c r="A138" s="14" t="n">
        <f aca="false">IF(D138="","",DATE(B138,C138,1))</f>
        <v>7122</v>
      </c>
      <c r="B138" s="15" t="n">
        <f aca="false" t="array" ref="B138:B138">IF(D138="","",IFERROR(VALUE(INDEX(Vazoes_COLAR!$A$2:$A$200,INT((ROW()-24)/12)+1)),""))</f>
        <v>1919</v>
      </c>
      <c r="C138" s="15" t="n">
        <f aca="false">IF(D138="","",MOD(ROW()-24,12)+1)</f>
        <v>7</v>
      </c>
      <c r="D138" s="16" t="n">
        <f aca="false" t="array" ref="D138: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0.0370889887833842</v>
      </c>
      <c r="E138" s="16" t="n">
        <f aca="false">IF(D138="","",D138*$B$15)</f>
        <v>0.0961346589265319</v>
      </c>
      <c r="F138" s="16" t="n">
        <f aca="false" t="array" ref="F138:F138">IF(D138="","",IFERROR(INDEX(Dados_Evap!$C$2:$N$15,MATCH($B$9,Dados_Evap!$A$2:$A$15,0),C138),0))</f>
        <v>224.8</v>
      </c>
      <c r="G138" s="16" t="n">
        <f aca="false">IF(F138="","",F138/1000)</f>
        <v>0.2248</v>
      </c>
      <c r="H138" s="16" t="n">
        <f aca="false">IF(D138="","",MAX(0,MIN($B$8,IFERROR(LOOKUP(2,1/($U$24:U137&lt;&gt;""),$U$24:U137),$B$11))))</f>
        <v>26.7960559406138</v>
      </c>
      <c r="I138" s="16" t="n">
        <f aca="false" t="array" ref="I138: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>4.89968736470454</v>
      </c>
      <c r="J138" s="16" t="n">
        <f aca="false">IF(D138="","",$B$12)</f>
        <v>0.35</v>
      </c>
      <c r="K138" s="16" t="n">
        <f aca="false">IF(J138="","",J138*$B$15)</f>
        <v>0.9072</v>
      </c>
      <c r="L138" s="16" t="n">
        <f aca="false">IF(D138="","",H138+E138-K138-G138*I138)</f>
        <v>24.8835408799548</v>
      </c>
      <c r="M138" s="16" t="n">
        <f aca="false" t="array" ref="M138: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>4.70100861568462</v>
      </c>
      <c r="N138" s="16" t="n">
        <f aca="false">IF(D138="","",(I138+M138)/2)</f>
        <v>4.80034799019458</v>
      </c>
      <c r="O138" s="16" t="n">
        <f aca="false">IF(D138="","",G138*N138)</f>
        <v>1.07911822819574</v>
      </c>
      <c r="P138" s="16" t="n">
        <f aca="false">IF(D138="","",H138+E138-K138-O138)</f>
        <v>24.9058723713446</v>
      </c>
      <c r="Q138" s="16" t="n">
        <f aca="false">IF(D138="","",IF(P138&gt;=0,K138,MAX(0,K138+P138)))</f>
        <v>0.9072</v>
      </c>
      <c r="R138" s="16" t="n">
        <f aca="false">IF(D138="","",Q138/$B$15)</f>
        <v>0.35</v>
      </c>
      <c r="S138" s="16" t="n">
        <f aca="false">IF(D138="","",MAX(0,J138-R138))</f>
        <v>0</v>
      </c>
      <c r="T138" s="16" t="n">
        <f aca="false">IF(D138="","",MAX(0,Z138-$B$8))</f>
        <v>0</v>
      </c>
      <c r="U138" s="16" t="n">
        <f aca="false">IF(D138="","",MAX(0,MIN($B$8,Z138)))</f>
        <v>24.9058723713446</v>
      </c>
      <c r="V138" s="16" t="str">
        <f aca="false">IF(D138="","",IF(S138&gt;0.0000001,"Sim","Não"))</f>
        <v>Não</v>
      </c>
      <c r="W138" s="16" t="n">
        <f aca="false">IF(D138="","",U138-(H138+E138-Q138-O138-T138))</f>
        <v>0</v>
      </c>
      <c r="X138" s="16" t="n">
        <f aca="false">IF(W138="","",ABS(W138))</f>
        <v>0</v>
      </c>
      <c r="Y138" s="16" t="n">
        <f aca="false">IF(U138="","",IF($B$8=0,0,U138/$B$8*100))</f>
        <v>52.7443294607044</v>
      </c>
      <c r="Z138" s="18" t="n">
        <f aca="false">IF(D138="","",MAX(0,IF(P138&gt;=0,P138,IF(K138+P138&gt;=0,0,P138+K138))))</f>
        <v>24.9058723713446</v>
      </c>
      <c r="AA138" s="18" t="n">
        <f aca="false">IF(D138="","",IF(H138&lt;=$B$16,1,IF(H138&gt;=$B$17,$B$21,MATCH(H138,Aux_CAV!$A$2:$A$121,1))))</f>
        <v>12</v>
      </c>
      <c r="AB138" s="18" t="n">
        <f aca="false">IF(D138="","",IF(L138&lt;=$B$16,1,IF(L138&gt;=$B$17,$B$21,MATCH(L138,Aux_CAV!$A$2:$A$121,1))))</f>
        <v>12</v>
      </c>
      <c r="AC138" s="19" t="n">
        <f aca="false">IF(D138="","",COUNT($D$24:D138))</f>
        <v>103</v>
      </c>
    </row>
    <row r="139" customFormat="false" ht="12.75" hidden="false" customHeight="true" outlineLevel="0" collapsed="false">
      <c r="A139" s="14" t="n">
        <f aca="false">IF(D139="","",DATE(B139,C139,1))</f>
        <v>7153</v>
      </c>
      <c r="B139" s="15" t="n">
        <f aca="false" t="array" ref="B139:B139">IF(D139="","",IFERROR(VALUE(INDEX(Vazoes_COLAR!$A$2:$A$200,INT((ROW()-24)/12)+1)),""))</f>
        <v>1919</v>
      </c>
      <c r="C139" s="15" t="n">
        <f aca="false">IF(D139="","",MOD(ROW()-24,12)+1)</f>
        <v>8</v>
      </c>
      <c r="D139" s="16" t="n">
        <f aca="false" t="array" ref="D139: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0.0145636435804146</v>
      </c>
      <c r="E139" s="16" t="n">
        <f aca="false">IF(D139="","",D139*$B$15)</f>
        <v>0.0377489641604346</v>
      </c>
      <c r="F139" s="16" t="n">
        <f aca="false" t="array" ref="F139:F139">IF(D139="","",IFERROR(INDEX(Dados_Evap!$C$2:$N$15,MATCH($B$9,Dados_Evap!$A$2:$A$15,0),C139),0))</f>
        <v>268.7</v>
      </c>
      <c r="G139" s="16" t="n">
        <f aca="false">IF(F139="","",F139/1000)</f>
        <v>0.2687</v>
      </c>
      <c r="H139" s="16" t="n">
        <f aca="false">IF(D139="","",MAX(0,MIN($B$8,IFERROR(LOOKUP(2,1/($U$24:U138&lt;&gt;""),$U$24:U138),$B$11))))</f>
        <v>24.9058723713446</v>
      </c>
      <c r="I139" s="16" t="n">
        <f aca="false" t="array" ref="I139: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>4.70332848906201</v>
      </c>
      <c r="J139" s="16" t="n">
        <f aca="false">IF(D139="","",$B$12)</f>
        <v>0.35</v>
      </c>
      <c r="K139" s="16" t="n">
        <f aca="false">IF(J139="","",J139*$B$15)</f>
        <v>0.9072</v>
      </c>
      <c r="L139" s="16" t="n">
        <f aca="false">IF(D139="","",H139+E139-K139-G139*I139)</f>
        <v>22.7726369704941</v>
      </c>
      <c r="M139" s="16" t="n">
        <f aca="false" t="array" ref="M139: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>4.45941271110783</v>
      </c>
      <c r="N139" s="16" t="n">
        <f aca="false">IF(D139="","",(I139+M139)/2)</f>
        <v>4.58137060008492</v>
      </c>
      <c r="O139" s="16" t="n">
        <f aca="false">IF(D139="","",G139*N139)</f>
        <v>1.23101428024282</v>
      </c>
      <c r="P139" s="16" t="n">
        <f aca="false">IF(D139="","",H139+E139-K139-O139)</f>
        <v>22.8054070552622</v>
      </c>
      <c r="Q139" s="16" t="n">
        <f aca="false">IF(D139="","",IF(P139&gt;=0,K139,MAX(0,K139+P139)))</f>
        <v>0.9072</v>
      </c>
      <c r="R139" s="16" t="n">
        <f aca="false">IF(D139="","",Q139/$B$15)</f>
        <v>0.35</v>
      </c>
      <c r="S139" s="16" t="n">
        <f aca="false">IF(D139="","",MAX(0,J139-R139))</f>
        <v>0</v>
      </c>
      <c r="T139" s="16" t="n">
        <f aca="false">IF(D139="","",MAX(0,Z139-$B$8))</f>
        <v>0</v>
      </c>
      <c r="U139" s="16" t="n">
        <f aca="false">IF(D139="","",MAX(0,MIN($B$8,Z139)))</f>
        <v>22.8054070552622</v>
      </c>
      <c r="V139" s="16" t="str">
        <f aca="false">IF(D139="","",IF(S139&gt;0.0000001,"Sim","Não"))</f>
        <v>Não</v>
      </c>
      <c r="W139" s="16" t="n">
        <f aca="false">IF(D139="","",U139-(H139+E139-Q139-O139-T139))</f>
        <v>0</v>
      </c>
      <c r="X139" s="16" t="n">
        <f aca="false">IF(W139="","",ABS(W139))</f>
        <v>0</v>
      </c>
      <c r="Y139" s="16" t="n">
        <f aca="false">IF(U139="","",IF($B$8=0,0,U139/$B$8*100))</f>
        <v>48.2960759323639</v>
      </c>
      <c r="Z139" s="18" t="n">
        <f aca="false">IF(D139="","",MAX(0,IF(P139&gt;=0,P139,IF(K139+P139&gt;=0,0,P139+K139))))</f>
        <v>22.8054070552622</v>
      </c>
      <c r="AA139" s="18" t="n">
        <f aca="false">IF(D139="","",IF(H139&lt;=$B$16,1,IF(H139&gt;=$B$17,$B$21,MATCH(H139,Aux_CAV!$A$2:$A$121,1))))</f>
        <v>12</v>
      </c>
      <c r="AB139" s="18" t="n">
        <f aca="false">IF(D139="","",IF(L139&lt;=$B$16,1,IF(L139&gt;=$B$17,$B$21,MATCH(L139,Aux_CAV!$A$2:$A$121,1))))</f>
        <v>11</v>
      </c>
      <c r="AC139" s="19" t="n">
        <f aca="false">IF(D139="","",COUNT($D$24:D139))</f>
        <v>104</v>
      </c>
    </row>
    <row r="140" customFormat="false" ht="12.75" hidden="false" customHeight="true" outlineLevel="0" collapsed="false">
      <c r="A140" s="14" t="n">
        <f aca="false">IF(D140="","",DATE(B140,C140,1))</f>
        <v>7184</v>
      </c>
      <c r="B140" s="15" t="n">
        <f aca="false" t="array" ref="B140:B140">IF(D140="","",IFERROR(VALUE(INDEX(Vazoes_COLAR!$A$2:$A$200,INT((ROW()-24)/12)+1)),""))</f>
        <v>1919</v>
      </c>
      <c r="C140" s="15" t="n">
        <f aca="false">IF(D140="","",MOD(ROW()-24,12)+1)</f>
        <v>9</v>
      </c>
      <c r="D140" s="16" t="n">
        <f aca="false" t="array" ref="D140: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0.0078328875961761</v>
      </c>
      <c r="E140" s="16" t="n">
        <f aca="false">IF(D140="","",D140*$B$15)</f>
        <v>0.0203028446492885</v>
      </c>
      <c r="F140" s="16" t="n">
        <f aca="false" t="array" ref="F140:F140">IF(D140="","",IFERROR(INDEX(Dados_Evap!$C$2:$N$15,MATCH($B$9,Dados_Evap!$A$2:$A$15,0),C140),0))</f>
        <v>292.8</v>
      </c>
      <c r="G140" s="16" t="n">
        <f aca="false">IF(F140="","",F140/1000)</f>
        <v>0.2928</v>
      </c>
      <c r="H140" s="16" t="n">
        <f aca="false">IF(D140="","",MAX(0,MIN($B$8,IFERROR(LOOKUP(2,1/($U$24:U139&lt;&gt;""),$U$24:U139),$B$11))))</f>
        <v>22.8054070552622</v>
      </c>
      <c r="I140" s="16" t="n">
        <f aca="false" t="array" ref="I140: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>4.4633291358728</v>
      </c>
      <c r="J140" s="16" t="n">
        <f aca="false">IF(D140="","",$B$12)</f>
        <v>0.35</v>
      </c>
      <c r="K140" s="16" t="n">
        <f aca="false">IF(J140="","",J140*$B$15)</f>
        <v>0.9072</v>
      </c>
      <c r="L140" s="16" t="n">
        <f aca="false">IF(D140="","",H140+E140-K140-G140*I140)</f>
        <v>20.611647128928</v>
      </c>
      <c r="M140" s="16" t="n">
        <f aca="false" t="array" ref="M140: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>4.20114807150603</v>
      </c>
      <c r="N140" s="16" t="n">
        <f aca="false">IF(D140="","",(I140+M140)/2)</f>
        <v>4.33223860368941</v>
      </c>
      <c r="O140" s="16" t="n">
        <f aca="false">IF(D140="","",G140*N140)</f>
        <v>1.26847946316026</v>
      </c>
      <c r="P140" s="16" t="n">
        <f aca="false">IF(D140="","",H140+E140-K140-O140)</f>
        <v>20.6500304367513</v>
      </c>
      <c r="Q140" s="16" t="n">
        <f aca="false">IF(D140="","",IF(P140&gt;=0,K140,MAX(0,K140+P140)))</f>
        <v>0.9072</v>
      </c>
      <c r="R140" s="16" t="n">
        <f aca="false">IF(D140="","",Q140/$B$15)</f>
        <v>0.35</v>
      </c>
      <c r="S140" s="16" t="n">
        <f aca="false">IF(D140="","",MAX(0,J140-R140))</f>
        <v>0</v>
      </c>
      <c r="T140" s="16" t="n">
        <f aca="false">IF(D140="","",MAX(0,Z140-$B$8))</f>
        <v>0</v>
      </c>
      <c r="U140" s="16" t="n">
        <f aca="false">IF(D140="","",MAX(0,MIN($B$8,Z140)))</f>
        <v>20.6500304367513</v>
      </c>
      <c r="V140" s="16" t="str">
        <f aca="false">IF(D140="","",IF(S140&gt;0.0000001,"Sim","Não"))</f>
        <v>Não</v>
      </c>
      <c r="W140" s="16" t="n">
        <f aca="false">IF(D140="","",U140-(H140+E140-Q140-O140-T140))</f>
        <v>0</v>
      </c>
      <c r="X140" s="16" t="n">
        <f aca="false">IF(W140="","",ABS(W140))</f>
        <v>0</v>
      </c>
      <c r="Y140" s="16" t="n">
        <f aca="false">IF(U140="","",IF($B$8=0,0,U140/$B$8*100))</f>
        <v>43.731534173552</v>
      </c>
      <c r="Z140" s="18" t="n">
        <f aca="false">IF(D140="","",MAX(0,IF(P140&gt;=0,P140,IF(K140+P140&gt;=0,0,P140+K140))))</f>
        <v>20.6500304367513</v>
      </c>
      <c r="AA140" s="18" t="n">
        <f aca="false">IF(D140="","",IF(H140&lt;=$B$16,1,IF(H140&gt;=$B$17,$B$21,MATCH(H140,Aux_CAV!$A$2:$A$121,1))))</f>
        <v>11</v>
      </c>
      <c r="AB140" s="18" t="n">
        <f aca="false">IF(D140="","",IF(L140&lt;=$B$16,1,IF(L140&gt;=$B$17,$B$21,MATCH(L140,Aux_CAV!$A$2:$A$121,1))))</f>
        <v>11</v>
      </c>
      <c r="AC140" s="19" t="n">
        <f aca="false">IF(D140="","",COUNT($D$24:D140))</f>
        <v>105</v>
      </c>
    </row>
    <row r="141" customFormat="false" ht="12.75" hidden="false" customHeight="true" outlineLevel="0" collapsed="false">
      <c r="A141" s="14" t="n">
        <f aca="false">IF(D141="","",DATE(B141,C141,1))</f>
        <v>7214</v>
      </c>
      <c r="B141" s="15" t="n">
        <f aca="false" t="array" ref="B141:B141">IF(D141="","",IFERROR(VALUE(INDEX(Vazoes_COLAR!$A$2:$A$200,INT((ROW()-24)/12)+1)),""))</f>
        <v>1919</v>
      </c>
      <c r="C141" s="15" t="n">
        <f aca="false">IF(D141="","",MOD(ROW()-24,12)+1)</f>
        <v>10</v>
      </c>
      <c r="D141" s="16" t="n">
        <f aca="false" t="array" ref="D141: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0.0052930290810644</v>
      </c>
      <c r="E141" s="16" t="n">
        <f aca="false">IF(D141="","",D141*$B$15)</f>
        <v>0.0137195313781189</v>
      </c>
      <c r="F141" s="16" t="n">
        <f aca="false" t="array" ref="F141:F141">IF(D141="","",IFERROR(INDEX(Dados_Evap!$C$2:$N$15,MATCH($B$9,Dados_Evap!$A$2:$A$15,0),C141),0))</f>
        <v>262.9</v>
      </c>
      <c r="G141" s="16" t="n">
        <f aca="false">IF(F141="","",F141/1000)</f>
        <v>0.2629</v>
      </c>
      <c r="H141" s="16" t="n">
        <f aca="false">IF(D141="","",MAX(0,MIN($B$8,IFERROR(LOOKUP(2,1/($U$24:U140&lt;&gt;""),$U$24:U140),$B$11))))</f>
        <v>20.6500304367513</v>
      </c>
      <c r="I141" s="16" t="n">
        <f aca="false" t="array" ref="I141: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>4.20573534488003</v>
      </c>
      <c r="J141" s="16" t="n">
        <f aca="false">IF(D141="","",$B$12)</f>
        <v>0.35</v>
      </c>
      <c r="K141" s="16" t="n">
        <f aca="false">IF(J141="","",J141*$B$15)</f>
        <v>0.9072</v>
      </c>
      <c r="L141" s="16" t="n">
        <f aca="false">IF(D141="","",H141+E141-K141-G141*I141)</f>
        <v>18.6508621459604</v>
      </c>
      <c r="M141" s="16" t="n">
        <f aca="false" t="array" ref="M141: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>3.96681035402942</v>
      </c>
      <c r="N141" s="16" t="n">
        <f aca="false">IF(D141="","",(I141+M141)/2)</f>
        <v>4.08627284945472</v>
      </c>
      <c r="O141" s="16" t="n">
        <f aca="false">IF(D141="","",G141*N141)</f>
        <v>1.07428113212165</v>
      </c>
      <c r="P141" s="16" t="n">
        <f aca="false">IF(D141="","",H141+E141-K141-O141)</f>
        <v>18.6822688360077</v>
      </c>
      <c r="Q141" s="16" t="n">
        <f aca="false">IF(D141="","",IF(P141&gt;=0,K141,MAX(0,K141+P141)))</f>
        <v>0.9072</v>
      </c>
      <c r="R141" s="16" t="n">
        <f aca="false">IF(D141="","",Q141/$B$15)</f>
        <v>0.35</v>
      </c>
      <c r="S141" s="16" t="n">
        <f aca="false">IF(D141="","",MAX(0,J141-R141))</f>
        <v>0</v>
      </c>
      <c r="T141" s="16" t="n">
        <f aca="false">IF(D141="","",MAX(0,Z141-$B$8))</f>
        <v>0</v>
      </c>
      <c r="U141" s="16" t="n">
        <f aca="false">IF(D141="","",MAX(0,MIN($B$8,Z141)))</f>
        <v>18.6822688360077</v>
      </c>
      <c r="V141" s="16" t="str">
        <f aca="false">IF(D141="","",IF(S141&gt;0.0000001,"Sim","Não"))</f>
        <v>Não</v>
      </c>
      <c r="W141" s="16" t="n">
        <f aca="false">IF(D141="","",U141-(H141+E141-Q141-O141-T141))</f>
        <v>0</v>
      </c>
      <c r="X141" s="16" t="n">
        <f aca="false">IF(W141="","",ABS(W141))</f>
        <v>0</v>
      </c>
      <c r="Y141" s="16" t="n">
        <f aca="false">IF(U141="","",IF($B$8=0,0,U141/$B$8*100))</f>
        <v>39.5643135027695</v>
      </c>
      <c r="Z141" s="18" t="n">
        <f aca="false">IF(D141="","",MAX(0,IF(P141&gt;=0,P141,IF(K141+P141&gt;=0,0,P141+K141))))</f>
        <v>18.6822688360077</v>
      </c>
      <c r="AA141" s="18" t="n">
        <f aca="false">IF(D141="","",IF(H141&lt;=$B$16,1,IF(H141&gt;=$B$17,$B$21,MATCH(H141,Aux_CAV!$A$2:$A$121,1))))</f>
        <v>11</v>
      </c>
      <c r="AB141" s="18" t="n">
        <f aca="false">IF(D141="","",IF(L141&lt;=$B$16,1,IF(L141&gt;=$B$17,$B$21,MATCH(L141,Aux_CAV!$A$2:$A$121,1))))</f>
        <v>11</v>
      </c>
      <c r="AC141" s="19" t="n">
        <f aca="false">IF(D141="","",COUNT($D$24:D141))</f>
        <v>106</v>
      </c>
    </row>
    <row r="142" customFormat="false" ht="12.75" hidden="false" customHeight="true" outlineLevel="0" collapsed="false">
      <c r="A142" s="14" t="n">
        <f aca="false">IF(D142="","",DATE(B142,C142,1))</f>
        <v>7245</v>
      </c>
      <c r="B142" s="15" t="n">
        <f aca="false" t="array" ref="B142:B142">IF(D142="","",IFERROR(VALUE(INDEX(Vazoes_COLAR!$A$2:$A$200,INT((ROW()-24)/12)+1)),""))</f>
        <v>1919</v>
      </c>
      <c r="C142" s="15" t="n">
        <f aca="false">IF(D142="","",MOD(ROW()-24,12)+1)</f>
        <v>11</v>
      </c>
      <c r="D142" s="16" t="n">
        <f aca="false" t="array" ref="D142: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0.00367255088405919</v>
      </c>
      <c r="E142" s="16" t="n">
        <f aca="false">IF(D142="","",D142*$B$15)</f>
        <v>0.00951925189148142</v>
      </c>
      <c r="F142" s="16" t="n">
        <f aca="false" t="array" ref="F142:F142">IF(D142="","",IFERROR(INDEX(Dados_Evap!$C$2:$N$15,MATCH($B$9,Dados_Evap!$A$2:$A$15,0),C142),0))</f>
        <v>223.7</v>
      </c>
      <c r="G142" s="16" t="n">
        <f aca="false">IF(F142="","",F142/1000)</f>
        <v>0.2237</v>
      </c>
      <c r="H142" s="16" t="n">
        <f aca="false">IF(D142="","",MAX(0,MIN($B$8,IFERROR(LOOKUP(2,1/($U$24:U141&lt;&gt;""),$U$24:U141),$B$11))))</f>
        <v>18.6822688360077</v>
      </c>
      <c r="I142" s="16" t="n">
        <f aca="false" t="array" ref="I142: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>3.97056383649849</v>
      </c>
      <c r="J142" s="16" t="n">
        <f aca="false">IF(D142="","",$B$12)</f>
        <v>0.35</v>
      </c>
      <c r="K142" s="16" t="n">
        <f aca="false">IF(J142="","",J142*$B$15)</f>
        <v>0.9072</v>
      </c>
      <c r="L142" s="16" t="n">
        <f aca="false">IF(D142="","",H142+E142-K142-G142*I142)</f>
        <v>16.8963729576745</v>
      </c>
      <c r="M142" s="16" t="n">
        <f aca="false" t="array" ref="M142: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>3.75712749981964</v>
      </c>
      <c r="N142" s="16" t="n">
        <f aca="false">IF(D142="","",(I142+M142)/2)</f>
        <v>3.86384566815906</v>
      </c>
      <c r="O142" s="16" t="n">
        <f aca="false">IF(D142="","",G142*N142)</f>
        <v>0.864342275967182</v>
      </c>
      <c r="P142" s="16" t="n">
        <f aca="false">IF(D142="","",H142+E142-K142-O142)</f>
        <v>16.920245811932</v>
      </c>
      <c r="Q142" s="16" t="n">
        <f aca="false">IF(D142="","",IF(P142&gt;=0,K142,MAX(0,K142+P142)))</f>
        <v>0.9072</v>
      </c>
      <c r="R142" s="16" t="n">
        <f aca="false">IF(D142="","",Q142/$B$15)</f>
        <v>0.35</v>
      </c>
      <c r="S142" s="16" t="n">
        <f aca="false">IF(D142="","",MAX(0,J142-R142))</f>
        <v>0</v>
      </c>
      <c r="T142" s="16" t="n">
        <f aca="false">IF(D142="","",MAX(0,Z142-$B$8))</f>
        <v>0</v>
      </c>
      <c r="U142" s="16" t="n">
        <f aca="false">IF(D142="","",MAX(0,MIN($B$8,Z142)))</f>
        <v>16.920245811932</v>
      </c>
      <c r="V142" s="16" t="str">
        <f aca="false">IF(D142="","",IF(S142&gt;0.0000001,"Sim","Não"))</f>
        <v>Não</v>
      </c>
      <c r="W142" s="16" t="n">
        <f aca="false">IF(D142="","",U142-(H142+E142-Q142-O142-T142))</f>
        <v>0</v>
      </c>
      <c r="X142" s="16" t="n">
        <f aca="false">IF(W142="","",ABS(W142))</f>
        <v>0</v>
      </c>
      <c r="Y142" s="16" t="n">
        <f aca="false">IF(U142="","",IF($B$8=0,0,U142/$B$8*100))</f>
        <v>35.8327950273868</v>
      </c>
      <c r="Z142" s="18" t="n">
        <f aca="false">IF(D142="","",MAX(0,IF(P142&gt;=0,P142,IF(K142+P142&gt;=0,0,P142+K142))))</f>
        <v>16.920245811932</v>
      </c>
      <c r="AA142" s="18" t="n">
        <f aca="false">IF(D142="","",IF(H142&lt;=$B$16,1,IF(H142&gt;=$B$17,$B$21,MATCH(H142,Aux_CAV!$A$2:$A$121,1))))</f>
        <v>11</v>
      </c>
      <c r="AB142" s="18" t="n">
        <f aca="false">IF(D142="","",IF(L142&lt;=$B$16,1,IF(L142&gt;=$B$17,$B$21,MATCH(L142,Aux_CAV!$A$2:$A$121,1))))</f>
        <v>11</v>
      </c>
      <c r="AC142" s="19" t="n">
        <f aca="false">IF(D142="","",COUNT($D$24:D142))</f>
        <v>107</v>
      </c>
    </row>
    <row r="143" customFormat="false" ht="12.75" hidden="false" customHeight="true" outlineLevel="0" collapsed="false">
      <c r="A143" s="14" t="n">
        <f aca="false">IF(D143="","",DATE(B143,C143,1))</f>
        <v>7275</v>
      </c>
      <c r="B143" s="15" t="n">
        <f aca="false" t="array" ref="B143:B143">IF(D143="","",IFERROR(VALUE(INDEX(Vazoes_COLAR!$A$2:$A$200,INT((ROW()-24)/12)+1)),""))</f>
        <v>1919</v>
      </c>
      <c r="C143" s="15" t="n">
        <f aca="false">IF(D143="","",MOD(ROW()-24,12)+1)</f>
        <v>12</v>
      </c>
      <c r="D143" s="16" t="n">
        <f aca="false" t="array" ref="D143: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0.00447261938979978</v>
      </c>
      <c r="E143" s="16" t="n">
        <f aca="false">IF(D143="","",D143*$B$15)</f>
        <v>0.011593029458361</v>
      </c>
      <c r="F143" s="16" t="n">
        <f aca="false" t="array" ref="F143:F143">IF(D143="","",IFERROR(INDEX(Dados_Evap!$C$2:$N$15,MATCH($B$9,Dados_Evap!$A$2:$A$15,0),C143),0))</f>
        <v>216.1</v>
      </c>
      <c r="G143" s="16" t="n">
        <f aca="false">IF(F143="","",F143/1000)</f>
        <v>0.2161</v>
      </c>
      <c r="H143" s="16" t="n">
        <f aca="false">IF(D143="","",MAX(0,MIN($B$8,IFERROR(LOOKUP(2,1/($U$24:U142&lt;&gt;""),$U$24:U142),$B$11))))</f>
        <v>16.920245811932</v>
      </c>
      <c r="I143" s="16" t="n">
        <f aca="false" t="array" ref="I143: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>3.75998059703578</v>
      </c>
      <c r="J143" s="16" t="n">
        <f aca="false">IF(D143="","",$B$12)</f>
        <v>0.35</v>
      </c>
      <c r="K143" s="16" t="n">
        <f aca="false">IF(J143="","",J143*$B$15)</f>
        <v>0.9072</v>
      </c>
      <c r="L143" s="16" t="n">
        <f aca="false">IF(D143="","",H143+E143-K143-G143*I143)</f>
        <v>15.212107034371</v>
      </c>
      <c r="M143" s="16" t="n">
        <f aca="false" t="array" ref="M143: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>3.58279736469635</v>
      </c>
      <c r="N143" s="16" t="n">
        <f aca="false">IF(D143="","",(I143+M143)/2)</f>
        <v>3.67138898086606</v>
      </c>
      <c r="O143" s="16" t="n">
        <f aca="false">IF(D143="","",G143*N143)</f>
        <v>0.793387158765156</v>
      </c>
      <c r="P143" s="16" t="n">
        <f aca="false">IF(D143="","",H143+E143-K143-O143)</f>
        <v>15.2312516826252</v>
      </c>
      <c r="Q143" s="16" t="n">
        <f aca="false">IF(D143="","",IF(P143&gt;=0,K143,MAX(0,K143+P143)))</f>
        <v>0.9072</v>
      </c>
      <c r="R143" s="16" t="n">
        <f aca="false">IF(D143="","",Q143/$B$15)</f>
        <v>0.35</v>
      </c>
      <c r="S143" s="16" t="n">
        <f aca="false">IF(D143="","",MAX(0,J143-R143))</f>
        <v>0</v>
      </c>
      <c r="T143" s="16" t="n">
        <f aca="false">IF(D143="","",MAX(0,Z143-$B$8))</f>
        <v>0</v>
      </c>
      <c r="U143" s="16" t="n">
        <f aca="false">IF(D143="","",MAX(0,MIN($B$8,Z143)))</f>
        <v>15.2312516826252</v>
      </c>
      <c r="V143" s="16" t="str">
        <f aca="false">IF(D143="","",IF(S143&gt;0.0000001,"Sim","Não"))</f>
        <v>Não</v>
      </c>
      <c r="W143" s="16" t="n">
        <f aca="false">IF(D143="","",U143-(H143+E143-Q143-O143-T143))</f>
        <v>0</v>
      </c>
      <c r="X143" s="16" t="n">
        <f aca="false">IF(W143="","",ABS(W143))</f>
        <v>0</v>
      </c>
      <c r="Y143" s="16" t="n">
        <f aca="false">IF(U143="","",IF($B$8=0,0,U143/$B$8*100))</f>
        <v>32.2559332541831</v>
      </c>
      <c r="Z143" s="18" t="n">
        <f aca="false">IF(D143="","",MAX(0,IF(P143&gt;=0,P143,IF(K143+P143&gt;=0,0,P143+K143))))</f>
        <v>15.2312516826252</v>
      </c>
      <c r="AA143" s="18" t="n">
        <f aca="false">IF(D143="","",IF(H143&lt;=$B$16,1,IF(H143&gt;=$B$17,$B$21,MATCH(H143,Aux_CAV!$A$2:$A$121,1))))</f>
        <v>11</v>
      </c>
      <c r="AB143" s="18" t="n">
        <f aca="false">IF(D143="","",IF(L143&lt;=$B$16,1,IF(L143&gt;=$B$17,$B$21,MATCH(L143,Aux_CAV!$A$2:$A$121,1))))</f>
        <v>10</v>
      </c>
      <c r="AC143" s="19" t="n">
        <f aca="false">IF(D143="","",COUNT($D$24:D143))</f>
        <v>108</v>
      </c>
    </row>
    <row r="144" customFormat="false" ht="12.75" hidden="false" customHeight="true" outlineLevel="0" collapsed="false">
      <c r="A144" s="14" t="n">
        <f aca="false">IF(D144="","",DATE(B144,C144,1))</f>
        <v>7306</v>
      </c>
      <c r="B144" s="15" t="n">
        <f aca="false" t="array" ref="B144:B144">IF(D144="","",IFERROR(VALUE(INDEX(Vazoes_COLAR!$A$2:$A$200,INT((ROW()-24)/12)+1)),""))</f>
        <v>1920</v>
      </c>
      <c r="C144" s="15" t="n">
        <f aca="false">IF(D144="","",MOD(ROW()-24,12)+1)</f>
        <v>1</v>
      </c>
      <c r="D144" s="16" t="n">
        <f aca="false" t="array" ref="D144: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0.00448811985254529</v>
      </c>
      <c r="E144" s="16" t="n">
        <f aca="false">IF(D144="","",D144*$B$15)</f>
        <v>0.0116332066577974</v>
      </c>
      <c r="F144" s="16" t="n">
        <f aca="false" t="array" ref="F144:F144">IF(D144="","",IFERROR(INDEX(Dados_Evap!$C$2:$N$15,MATCH($B$9,Dados_Evap!$A$2:$A$15,0),C144),0))</f>
        <v>160</v>
      </c>
      <c r="G144" s="16" t="n">
        <f aca="false">IF(F144="","",F144/1000)</f>
        <v>0.16</v>
      </c>
      <c r="H144" s="16" t="n">
        <f aca="false">IF(D144="","",MAX(0,MIN($B$8,IFERROR(LOOKUP(2,1/($U$24:U143&lt;&gt;""),$U$24:U143),$B$11))))</f>
        <v>15.2312516826252</v>
      </c>
      <c r="I144" s="16" t="n">
        <f aca="false" t="array" ref="I144: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>3.58443029057686</v>
      </c>
      <c r="J144" s="16" t="n">
        <f aca="false">IF(D144="","",$B$12)</f>
        <v>0.35</v>
      </c>
      <c r="K144" s="16" t="n">
        <f aca="false">IF(J144="","",J144*$B$15)</f>
        <v>0.9072</v>
      </c>
      <c r="L144" s="16" t="n">
        <f aca="false">IF(D144="","",H144+E144-K144-G144*I144)</f>
        <v>13.7621760427907</v>
      </c>
      <c r="M144" s="16" t="n">
        <f aca="false" t="array" ref="M144: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>3.45912678012039</v>
      </c>
      <c r="N144" s="16" t="n">
        <f aca="false">IF(D144="","",(I144+M144)/2)</f>
        <v>3.52177853534862</v>
      </c>
      <c r="O144" s="16" t="n">
        <f aca="false">IF(D144="","",G144*N144)</f>
        <v>0.56348456565578</v>
      </c>
      <c r="P144" s="16" t="n">
        <f aca="false">IF(D144="","",H144+E144-K144-O144)</f>
        <v>13.7722003236273</v>
      </c>
      <c r="Q144" s="16" t="n">
        <f aca="false">IF(D144="","",IF(P144&gt;=0,K144,MAX(0,K144+P144)))</f>
        <v>0.9072</v>
      </c>
      <c r="R144" s="16" t="n">
        <f aca="false">IF(D144="","",Q144/$B$15)</f>
        <v>0.35</v>
      </c>
      <c r="S144" s="16" t="n">
        <f aca="false">IF(D144="","",MAX(0,J144-R144))</f>
        <v>0</v>
      </c>
      <c r="T144" s="16" t="n">
        <f aca="false">IF(D144="","",MAX(0,Z144-$B$8))</f>
        <v>0</v>
      </c>
      <c r="U144" s="16" t="n">
        <f aca="false">IF(D144="","",MAX(0,MIN($B$8,Z144)))</f>
        <v>13.7722003236273</v>
      </c>
      <c r="V144" s="16" t="str">
        <f aca="false">IF(D144="","",IF(S144&gt;0.0000001,"Sim","Não"))</f>
        <v>Não</v>
      </c>
      <c r="W144" s="16" t="n">
        <f aca="false">IF(D144="","",U144-(H144+E144-Q144-O144-T144))</f>
        <v>0</v>
      </c>
      <c r="X144" s="16" t="n">
        <f aca="false">IF(W144="","",ABS(W144))</f>
        <v>0</v>
      </c>
      <c r="Y144" s="16" t="n">
        <f aca="false">IF(U144="","",IF($B$8=0,0,U144/$B$8*100))</f>
        <v>29.166032028012</v>
      </c>
      <c r="Z144" s="18" t="n">
        <f aca="false">IF(D144="","",MAX(0,IF(P144&gt;=0,P144,IF(K144+P144&gt;=0,0,P144+K144))))</f>
        <v>13.7722003236273</v>
      </c>
      <c r="AA144" s="18" t="n">
        <f aca="false">IF(D144="","",IF(H144&lt;=$B$16,1,IF(H144&gt;=$B$17,$B$21,MATCH(H144,Aux_CAV!$A$2:$A$121,1))))</f>
        <v>10</v>
      </c>
      <c r="AB144" s="18" t="n">
        <f aca="false">IF(D144="","",IF(L144&lt;=$B$16,1,IF(L144&gt;=$B$17,$B$21,MATCH(L144,Aux_CAV!$A$2:$A$121,1))))</f>
        <v>10</v>
      </c>
      <c r="AC144" s="19" t="n">
        <f aca="false">IF(D144="","",COUNT($D$24:D144))</f>
        <v>109</v>
      </c>
    </row>
    <row r="145" customFormat="false" ht="12.75" hidden="false" customHeight="true" outlineLevel="0" collapsed="false">
      <c r="A145" s="14" t="n">
        <f aca="false">IF(D145="","",DATE(B145,C145,1))</f>
        <v>7337</v>
      </c>
      <c r="B145" s="15" t="n">
        <f aca="false" t="array" ref="B145:B145">IF(D145="","",IFERROR(VALUE(INDEX(Vazoes_COLAR!$A$2:$A$200,INT((ROW()-24)/12)+1)),""))</f>
        <v>1920</v>
      </c>
      <c r="C145" s="15" t="n">
        <f aca="false">IF(D145="","",MOD(ROW()-24,12)+1)</f>
        <v>2</v>
      </c>
      <c r="D145" s="16" t="n">
        <f aca="false" t="array" ref="D145: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0.0422603025944122</v>
      </c>
      <c r="E145" s="16" t="n">
        <f aca="false">IF(D145="","",D145*$B$15)</f>
        <v>0.109538704324716</v>
      </c>
      <c r="F145" s="16" t="n">
        <f aca="false" t="array" ref="F145:F145">IF(D145="","",IFERROR(INDEX(Dados_Evap!$C$2:$N$15,MATCH($B$9,Dados_Evap!$A$2:$A$15,0),C145),0))</f>
        <v>124.3</v>
      </c>
      <c r="G145" s="16" t="n">
        <f aca="false">IF(F145="","",F145/1000)</f>
        <v>0.1243</v>
      </c>
      <c r="H145" s="16" t="n">
        <f aca="false">IF(D145="","",MAX(0,MIN($B$8,IFERROR(LOOKUP(2,1/($U$24:U144&lt;&gt;""),$U$24:U144),$B$11))))</f>
        <v>13.7722003236273</v>
      </c>
      <c r="I145" s="16" t="n">
        <f aca="false" t="array" ref="I145: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>3.45998179230938</v>
      </c>
      <c r="J145" s="16" t="n">
        <f aca="false">IF(D145="","",$B$12)</f>
        <v>0.35</v>
      </c>
      <c r="K145" s="16" t="n">
        <f aca="false">IF(J145="","",J145*$B$15)</f>
        <v>0.9072</v>
      </c>
      <c r="L145" s="16" t="n">
        <f aca="false">IF(D145="","",H145+E145-K145-G145*I145)</f>
        <v>12.5444632911679</v>
      </c>
      <c r="M145" s="16" t="n">
        <f aca="false" t="array" ref="M145: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>3.35526304542315</v>
      </c>
      <c r="N145" s="16" t="n">
        <f aca="false">IF(D145="","",(I145+M145)/2)</f>
        <v>3.40762241886627</v>
      </c>
      <c r="O145" s="16" t="n">
        <f aca="false">IF(D145="","",G145*N145)</f>
        <v>0.423567466665077</v>
      </c>
      <c r="P145" s="16" t="n">
        <f aca="false">IF(D145="","",H145+E145-K145-O145)</f>
        <v>12.5509715612869</v>
      </c>
      <c r="Q145" s="16" t="n">
        <f aca="false">IF(D145="","",IF(P145&gt;=0,K145,MAX(0,K145+P145)))</f>
        <v>0.9072</v>
      </c>
      <c r="R145" s="16" t="n">
        <f aca="false">IF(D145="","",Q145/$B$15)</f>
        <v>0.35</v>
      </c>
      <c r="S145" s="16" t="n">
        <f aca="false">IF(D145="","",MAX(0,J145-R145))</f>
        <v>0</v>
      </c>
      <c r="T145" s="16" t="n">
        <f aca="false">IF(D145="","",MAX(0,Z145-$B$8))</f>
        <v>0</v>
      </c>
      <c r="U145" s="16" t="n">
        <f aca="false">IF(D145="","",MAX(0,MIN($B$8,Z145)))</f>
        <v>12.5509715612869</v>
      </c>
      <c r="V145" s="16" t="str">
        <f aca="false">IF(D145="","",IF(S145&gt;0.0000001,"Sim","Não"))</f>
        <v>Não</v>
      </c>
      <c r="W145" s="16" t="n">
        <f aca="false">IF(D145="","",U145-(H145+E145-Q145-O145-T145))</f>
        <v>0</v>
      </c>
      <c r="X145" s="16" t="n">
        <f aca="false">IF(W145="","",ABS(W145))</f>
        <v>0</v>
      </c>
      <c r="Y145" s="16" t="n">
        <f aca="false">IF(U145="","",IF($B$8=0,0,U145/$B$8*100))</f>
        <v>26.5797788252582</v>
      </c>
      <c r="Z145" s="18" t="n">
        <f aca="false">IF(D145="","",MAX(0,IF(P145&gt;=0,P145,IF(K145+P145&gt;=0,0,P145+K145))))</f>
        <v>12.5509715612869</v>
      </c>
      <c r="AA145" s="18" t="n">
        <f aca="false">IF(D145="","",IF(H145&lt;=$B$16,1,IF(H145&gt;=$B$17,$B$21,MATCH(H145,Aux_CAV!$A$2:$A$121,1))))</f>
        <v>10</v>
      </c>
      <c r="AB145" s="18" t="n">
        <f aca="false">IF(D145="","",IF(L145&lt;=$B$16,1,IF(L145&gt;=$B$17,$B$21,MATCH(L145,Aux_CAV!$A$2:$A$121,1))))</f>
        <v>10</v>
      </c>
      <c r="AC145" s="19" t="n">
        <f aca="false">IF(D145="","",COUNT($D$24:D145))</f>
        <v>110</v>
      </c>
    </row>
    <row r="146" customFormat="false" ht="12.75" hidden="false" customHeight="true" outlineLevel="0" collapsed="false">
      <c r="A146" s="14" t="n">
        <f aca="false">IF(D146="","",DATE(B146,C146,1))</f>
        <v>7366</v>
      </c>
      <c r="B146" s="15" t="n">
        <f aca="false" t="array" ref="B146:B146">IF(D146="","",IFERROR(VALUE(INDEX(Vazoes_COLAR!$A$2:$A$200,INT((ROW()-24)/12)+1)),""))</f>
        <v>1920</v>
      </c>
      <c r="C146" s="15" t="n">
        <f aca="false">IF(D146="","",MOD(ROW()-24,12)+1)</f>
        <v>3</v>
      </c>
      <c r="D146" s="16" t="n">
        <f aca="false" t="array" ref="D146: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1.92731556512078</v>
      </c>
      <c r="E146" s="16" t="n">
        <f aca="false">IF(D146="","",D146*$B$15)</f>
        <v>4.99560194479306</v>
      </c>
      <c r="F146" s="16" t="n">
        <f aca="false" t="array" ref="F146:F146">IF(D146="","",IFERROR(INDEX(Dados_Evap!$C$2:$N$15,MATCH($B$9,Dados_Evap!$A$2:$A$15,0),C146),0))</f>
        <v>107.7</v>
      </c>
      <c r="G146" s="16" t="n">
        <f aca="false">IF(F146="","",F146/1000)</f>
        <v>0.1077</v>
      </c>
      <c r="H146" s="16" t="n">
        <f aca="false">IF(D146="","",MAX(0,MIN($B$8,IFERROR(LOOKUP(2,1/($U$24:U145&lt;&gt;""),$U$24:U145),$B$11))))</f>
        <v>12.5509715612869</v>
      </c>
      <c r="I146" s="16" t="n">
        <f aca="false" t="array" ref="I146: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>3.35581816258035</v>
      </c>
      <c r="J146" s="16" t="n">
        <f aca="false">IF(D146="","",$B$12)</f>
        <v>0.35</v>
      </c>
      <c r="K146" s="16" t="n">
        <f aca="false">IF(J146="","",J146*$B$15)</f>
        <v>0.9072</v>
      </c>
      <c r="L146" s="16" t="n">
        <f aca="false">IF(D146="","",H146+E146-K146-G146*I146)</f>
        <v>16.2779518899701</v>
      </c>
      <c r="M146" s="16" t="n">
        <f aca="false" t="array" ref="M146: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>3.68321864050862</v>
      </c>
      <c r="N146" s="16" t="n">
        <f aca="false">IF(D146="","",(I146+M146)/2)</f>
        <v>3.51951840154448</v>
      </c>
      <c r="O146" s="16" t="n">
        <f aca="false">IF(D146="","",G146*N146)</f>
        <v>0.379052131846341</v>
      </c>
      <c r="P146" s="16" t="n">
        <f aca="false">IF(D146="","",H146+E146-K146-O146)</f>
        <v>16.2603213742336</v>
      </c>
      <c r="Q146" s="16" t="n">
        <f aca="false">IF(D146="","",IF(P146&gt;=0,K146,MAX(0,K146+P146)))</f>
        <v>0.9072</v>
      </c>
      <c r="R146" s="16" t="n">
        <f aca="false">IF(D146="","",Q146/$B$15)</f>
        <v>0.35</v>
      </c>
      <c r="S146" s="16" t="n">
        <f aca="false">IF(D146="","",MAX(0,J146-R146))</f>
        <v>0</v>
      </c>
      <c r="T146" s="16" t="n">
        <f aca="false">IF(D146="","",MAX(0,Z146-$B$8))</f>
        <v>0</v>
      </c>
      <c r="U146" s="16" t="n">
        <f aca="false">IF(D146="","",MAX(0,MIN($B$8,Z146)))</f>
        <v>16.2603213742336</v>
      </c>
      <c r="V146" s="16" t="str">
        <f aca="false">IF(D146="","",IF(S146&gt;0.0000001,"Sim","Não"))</f>
        <v>Não</v>
      </c>
      <c r="W146" s="16" t="n">
        <f aca="false">IF(D146="","",U146-(H146+E146-Q146-O146-T146))</f>
        <v>0</v>
      </c>
      <c r="X146" s="16" t="n">
        <f aca="false">IF(W146="","",ABS(W146))</f>
        <v>0</v>
      </c>
      <c r="Y146" s="16" t="n">
        <f aca="false">IF(U146="","",IF($B$8=0,0,U146/$B$8*100))</f>
        <v>34.4352422156578</v>
      </c>
      <c r="Z146" s="18" t="n">
        <f aca="false">IF(D146="","",MAX(0,IF(P146&gt;=0,P146,IF(K146+P146&gt;=0,0,P146+K146))))</f>
        <v>16.2603213742336</v>
      </c>
      <c r="AA146" s="18" t="n">
        <f aca="false">IF(D146="","",IF(H146&lt;=$B$16,1,IF(H146&gt;=$B$17,$B$21,MATCH(H146,Aux_CAV!$A$2:$A$121,1))))</f>
        <v>10</v>
      </c>
      <c r="AB146" s="18" t="n">
        <f aca="false">IF(D146="","",IF(L146&lt;=$B$16,1,IF(L146&gt;=$B$17,$B$21,MATCH(L146,Aux_CAV!$A$2:$A$121,1))))</f>
        <v>11</v>
      </c>
      <c r="AC146" s="19" t="n">
        <f aca="false">IF(D146="","",COUNT($D$24:D146))</f>
        <v>111</v>
      </c>
    </row>
    <row r="147" customFormat="false" ht="12.75" hidden="false" customHeight="true" outlineLevel="0" collapsed="false">
      <c r="A147" s="14" t="n">
        <f aca="false">IF(D147="","",DATE(B147,C147,1))</f>
        <v>7397</v>
      </c>
      <c r="B147" s="15" t="n">
        <f aca="false" t="array" ref="B147:B147">IF(D147="","",IFERROR(VALUE(INDEX(Vazoes_COLAR!$A$2:$A$200,INT((ROW()-24)/12)+1)),""))</f>
        <v>1920</v>
      </c>
      <c r="C147" s="15" t="n">
        <f aca="false">IF(D147="","",MOD(ROW()-24,12)+1)</f>
        <v>4</v>
      </c>
      <c r="D147" s="16" t="n">
        <f aca="false" t="array" ref="D147: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4.13472480964493</v>
      </c>
      <c r="E147" s="16" t="n">
        <f aca="false">IF(D147="","",D147*$B$15)</f>
        <v>10.7172067065997</v>
      </c>
      <c r="F147" s="16" t="n">
        <f aca="false" t="array" ref="F147:F147">IF(D147="","",IFERROR(INDEX(Dados_Evap!$C$2:$N$15,MATCH($B$9,Dados_Evap!$A$2:$A$15,0),C147),0))</f>
        <v>100.5</v>
      </c>
      <c r="G147" s="16" t="n">
        <f aca="false">IF(F147="","",F147/1000)</f>
        <v>0.1005</v>
      </c>
      <c r="H147" s="16" t="n">
        <f aca="false">IF(D147="","",MAX(0,MIN($B$8,IFERROR(LOOKUP(2,1/($U$24:U146&lt;&gt;""),$U$24:U146),$B$11))))</f>
        <v>16.2603213742336</v>
      </c>
      <c r="I147" s="16" t="n">
        <f aca="false" t="array" ref="I147: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>3.68111157887182</v>
      </c>
      <c r="J147" s="16" t="n">
        <f aca="false">IF(D147="","",$B$12)</f>
        <v>0.35</v>
      </c>
      <c r="K147" s="16" t="n">
        <f aca="false">IF(J147="","",J147*$B$15)</f>
        <v>0.9072</v>
      </c>
      <c r="L147" s="16" t="n">
        <f aca="false">IF(D147="","",H147+E147-K147-G147*I147)</f>
        <v>25.7003763671567</v>
      </c>
      <c r="M147" s="16" t="n">
        <f aca="false" t="array" ref="M147: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>4.78586434105414</v>
      </c>
      <c r="N147" s="16" t="n">
        <f aca="false">IF(D147="","",(I147+M147)/2)</f>
        <v>4.23348795996298</v>
      </c>
      <c r="O147" s="16" t="n">
        <f aca="false">IF(D147="","",G147*N147)</f>
        <v>0.42546553997628</v>
      </c>
      <c r="P147" s="16" t="n">
        <f aca="false">IF(D147="","",H147+E147-K147-O147)</f>
        <v>25.644862540857</v>
      </c>
      <c r="Q147" s="16" t="n">
        <f aca="false">IF(D147="","",IF(P147&gt;=0,K147,MAX(0,K147+P147)))</f>
        <v>0.9072</v>
      </c>
      <c r="R147" s="16" t="n">
        <f aca="false">IF(D147="","",Q147/$B$15)</f>
        <v>0.35</v>
      </c>
      <c r="S147" s="16" t="n">
        <f aca="false">IF(D147="","",MAX(0,J147-R147))</f>
        <v>0</v>
      </c>
      <c r="T147" s="16" t="n">
        <f aca="false">IF(D147="","",MAX(0,Z147-$B$8))</f>
        <v>0</v>
      </c>
      <c r="U147" s="16" t="n">
        <f aca="false">IF(D147="","",MAX(0,MIN($B$8,Z147)))</f>
        <v>25.644862540857</v>
      </c>
      <c r="V147" s="16" t="str">
        <f aca="false">IF(D147="","",IF(S147&gt;0.0000001,"Sim","Não"))</f>
        <v>Não</v>
      </c>
      <c r="W147" s="16" t="n">
        <f aca="false">IF(D147="","",U147-(H147+E147-Q147-O147-T147))</f>
        <v>0</v>
      </c>
      <c r="X147" s="16" t="n">
        <f aca="false">IF(W147="","",ABS(W147))</f>
        <v>0</v>
      </c>
      <c r="Y147" s="16" t="n">
        <f aca="false">IF(U147="","",IF($B$8=0,0,U147/$B$8*100))</f>
        <v>54.3093234664486</v>
      </c>
      <c r="Z147" s="18" t="n">
        <f aca="false">IF(D147="","",MAX(0,IF(P147&gt;=0,P147,IF(K147+P147&gt;=0,0,P147+K147))))</f>
        <v>25.644862540857</v>
      </c>
      <c r="AA147" s="18" t="n">
        <f aca="false">IF(D147="","",IF(H147&lt;=$B$16,1,IF(H147&gt;=$B$17,$B$21,MATCH(H147,Aux_CAV!$A$2:$A$121,1))))</f>
        <v>11</v>
      </c>
      <c r="AB147" s="18" t="n">
        <f aca="false">IF(D147="","",IF(L147&lt;=$B$16,1,IF(L147&gt;=$B$17,$B$21,MATCH(L147,Aux_CAV!$A$2:$A$121,1))))</f>
        <v>12</v>
      </c>
      <c r="AC147" s="19" t="n">
        <f aca="false">IF(D147="","",COUNT($D$24:D147))</f>
        <v>112</v>
      </c>
    </row>
    <row r="148" customFormat="false" ht="12.75" hidden="false" customHeight="true" outlineLevel="0" collapsed="false">
      <c r="A148" s="14" t="n">
        <f aca="false">IF(D148="","",DATE(B148,C148,1))</f>
        <v>7427</v>
      </c>
      <c r="B148" s="15" t="n">
        <f aca="false" t="array" ref="B148:B148">IF(D148="","",IFERROR(VALUE(INDEX(Vazoes_COLAR!$A$2:$A$200,INT((ROW()-24)/12)+1)),""))</f>
        <v>1920</v>
      </c>
      <c r="C148" s="15" t="n">
        <f aca="false">IF(D148="","",MOD(ROW()-24,12)+1)</f>
        <v>5</v>
      </c>
      <c r="D148" s="16" t="n">
        <f aca="false" t="array" ref="D148: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0.852068892214193</v>
      </c>
      <c r="E148" s="16" t="n">
        <f aca="false">IF(D148="","",D148*$B$15)</f>
        <v>2.20856256861919</v>
      </c>
      <c r="F148" s="16" t="n">
        <f aca="false" t="array" ref="F148:F148">IF(D148="","",IFERROR(INDEX(Dados_Evap!$C$2:$N$15,MATCH($B$9,Dados_Evap!$A$2:$A$15,0),C148),0))</f>
        <v>145.8</v>
      </c>
      <c r="G148" s="16" t="n">
        <f aca="false">IF(F148="","",F148/1000)</f>
        <v>0.1458</v>
      </c>
      <c r="H148" s="16" t="n">
        <f aca="false">IF(D148="","",MAX(0,MIN($B$8,IFERROR(LOOKUP(2,1/($U$24:U147&lt;&gt;""),$U$24:U147),$B$11))))</f>
        <v>25.644862540857</v>
      </c>
      <c r="I148" s="16" t="n">
        <f aca="false" t="array" ref="I148: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>4.78009737074922</v>
      </c>
      <c r="J148" s="16" t="n">
        <f aca="false">IF(D148="","",$B$12)</f>
        <v>0.35</v>
      </c>
      <c r="K148" s="16" t="n">
        <f aca="false">IF(J148="","",J148*$B$15)</f>
        <v>0.9072</v>
      </c>
      <c r="L148" s="16" t="n">
        <f aca="false">IF(D148="","",H148+E148-K148-G148*I148)</f>
        <v>26.249286912821</v>
      </c>
      <c r="M148" s="16" t="n">
        <f aca="false" t="array" ref="M148: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>4.84288708706004</v>
      </c>
      <c r="N148" s="16" t="n">
        <f aca="false">IF(D148="","",(I148+M148)/2)</f>
        <v>4.81149222890463</v>
      </c>
      <c r="O148" s="16" t="n">
        <f aca="false">IF(D148="","",G148*N148)</f>
        <v>0.701515566974295</v>
      </c>
      <c r="P148" s="16" t="n">
        <f aca="false">IF(D148="","",H148+E148-K148-O148)</f>
        <v>26.2447095425019</v>
      </c>
      <c r="Q148" s="16" t="n">
        <f aca="false">IF(D148="","",IF(P148&gt;=0,K148,MAX(0,K148+P148)))</f>
        <v>0.9072</v>
      </c>
      <c r="R148" s="16" t="n">
        <f aca="false">IF(D148="","",Q148/$B$15)</f>
        <v>0.35</v>
      </c>
      <c r="S148" s="16" t="n">
        <f aca="false">IF(D148="","",MAX(0,J148-R148))</f>
        <v>0</v>
      </c>
      <c r="T148" s="16" t="n">
        <f aca="false">IF(D148="","",MAX(0,Z148-$B$8))</f>
        <v>0</v>
      </c>
      <c r="U148" s="16" t="n">
        <f aca="false">IF(D148="","",MAX(0,MIN($B$8,Z148)))</f>
        <v>26.2447095425019</v>
      </c>
      <c r="V148" s="16" t="str">
        <f aca="false">IF(D148="","",IF(S148&gt;0.0000001,"Sim","Não"))</f>
        <v>Não</v>
      </c>
      <c r="W148" s="16" t="n">
        <f aca="false">IF(D148="","",U148-(H148+E148-Q148-O148-T148))</f>
        <v>0</v>
      </c>
      <c r="X148" s="16" t="n">
        <f aca="false">IF(W148="","",ABS(W148))</f>
        <v>0</v>
      </c>
      <c r="Y148" s="16" t="n">
        <f aca="false">IF(U148="","",IF($B$8=0,0,U148/$B$8*100))</f>
        <v>55.5796474851798</v>
      </c>
      <c r="Z148" s="18" t="n">
        <f aca="false">IF(D148="","",MAX(0,IF(P148&gt;=0,P148,IF(K148+P148&gt;=0,0,P148+K148))))</f>
        <v>26.2447095425019</v>
      </c>
      <c r="AA148" s="18" t="n">
        <f aca="false">IF(D148="","",IF(H148&lt;=$B$16,1,IF(H148&gt;=$B$17,$B$21,MATCH(H148,Aux_CAV!$A$2:$A$121,1))))</f>
        <v>12</v>
      </c>
      <c r="AB148" s="18" t="n">
        <f aca="false">IF(D148="","",IF(L148&lt;=$B$16,1,IF(L148&gt;=$B$17,$B$21,MATCH(L148,Aux_CAV!$A$2:$A$121,1))))</f>
        <v>12</v>
      </c>
      <c r="AC148" s="19" t="n">
        <f aca="false">IF(D148="","",COUNT($D$24:D148))</f>
        <v>113</v>
      </c>
    </row>
    <row r="149" customFormat="false" ht="12.75" hidden="false" customHeight="true" outlineLevel="0" collapsed="false">
      <c r="A149" s="14" t="n">
        <f aca="false">IF(D149="","",DATE(B149,C149,1))</f>
        <v>7458</v>
      </c>
      <c r="B149" s="15" t="n">
        <f aca="false" t="array" ref="B149:B149">IF(D149="","",IFERROR(VALUE(INDEX(Vazoes_COLAR!$A$2:$A$200,INT((ROW()-24)/12)+1)),""))</f>
        <v>1920</v>
      </c>
      <c r="C149" s="15" t="n">
        <f aca="false">IF(D149="","",MOD(ROW()-24,12)+1)</f>
        <v>6</v>
      </c>
      <c r="D149" s="16" t="n">
        <f aca="false" t="array" ref="D149: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0.265976762562258</v>
      </c>
      <c r="E149" s="16" t="n">
        <f aca="false">IF(D149="","",D149*$B$15)</f>
        <v>0.689411768561373</v>
      </c>
      <c r="F149" s="16" t="n">
        <f aca="false" t="array" ref="F149:F149">IF(D149="","",IFERROR(INDEX(Dados_Evap!$C$2:$N$15,MATCH($B$9,Dados_Evap!$A$2:$A$15,0),C149),0))</f>
        <v>161.3</v>
      </c>
      <c r="G149" s="16" t="n">
        <f aca="false">IF(F149="","",F149/1000)</f>
        <v>0.1613</v>
      </c>
      <c r="H149" s="16" t="n">
        <f aca="false">IF(D149="","",MAX(0,MIN($B$8,IFERROR(LOOKUP(2,1/($U$24:U148&lt;&gt;""),$U$24:U148),$B$11))))</f>
        <v>26.2447095425019</v>
      </c>
      <c r="I149" s="16" t="n">
        <f aca="false" t="array" ref="I149: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>4.84241157383272</v>
      </c>
      <c r="J149" s="16" t="n">
        <f aca="false">IF(D149="","",$B$12)</f>
        <v>0.35</v>
      </c>
      <c r="K149" s="16" t="n">
        <f aca="false">IF(J149="","",J149*$B$15)</f>
        <v>0.9072</v>
      </c>
      <c r="L149" s="16" t="n">
        <f aca="false">IF(D149="","",H149+E149-K149-G149*I149)</f>
        <v>25.2458403242041</v>
      </c>
      <c r="M149" s="16" t="n">
        <f aca="false" t="array" ref="M149: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>4.73864554824256</v>
      </c>
      <c r="N149" s="16" t="n">
        <f aca="false">IF(D149="","",(I149+M149)/2)</f>
        <v>4.79052856103764</v>
      </c>
      <c r="O149" s="16" t="n">
        <f aca="false">IF(D149="","",G149*N149)</f>
        <v>0.772712256895371</v>
      </c>
      <c r="P149" s="16" t="n">
        <f aca="false">IF(D149="","",H149+E149-K149-O149)</f>
        <v>25.2542090541679</v>
      </c>
      <c r="Q149" s="16" t="n">
        <f aca="false">IF(D149="","",IF(P149&gt;=0,K149,MAX(0,K149+P149)))</f>
        <v>0.9072</v>
      </c>
      <c r="R149" s="16" t="n">
        <f aca="false">IF(D149="","",Q149/$B$15)</f>
        <v>0.35</v>
      </c>
      <c r="S149" s="16" t="n">
        <f aca="false">IF(D149="","",MAX(0,J149-R149))</f>
        <v>0</v>
      </c>
      <c r="T149" s="16" t="n">
        <f aca="false">IF(D149="","",MAX(0,Z149-$B$8))</f>
        <v>0</v>
      </c>
      <c r="U149" s="16" t="n">
        <f aca="false">IF(D149="","",MAX(0,MIN($B$8,Z149)))</f>
        <v>25.2542090541679</v>
      </c>
      <c r="V149" s="16" t="str">
        <f aca="false">IF(D149="","",IF(S149&gt;0.0000001,"Sim","Não"))</f>
        <v>Não</v>
      </c>
      <c r="W149" s="16" t="n">
        <f aca="false">IF(D149="","",U149-(H149+E149-Q149-O149-T149))</f>
        <v>0</v>
      </c>
      <c r="X149" s="16" t="n">
        <f aca="false">IF(W149="","",ABS(W149))</f>
        <v>0</v>
      </c>
      <c r="Y149" s="16" t="n">
        <f aca="false">IF(U149="","",IF($B$8=0,0,U149/$B$8*100))</f>
        <v>53.4820183273357</v>
      </c>
      <c r="Z149" s="18" t="n">
        <f aca="false">IF(D149="","",MAX(0,IF(P149&gt;=0,P149,IF(K149+P149&gt;=0,0,P149+K149))))</f>
        <v>25.2542090541679</v>
      </c>
      <c r="AA149" s="18" t="n">
        <f aca="false">IF(D149="","",IF(H149&lt;=$B$16,1,IF(H149&gt;=$B$17,$B$21,MATCH(H149,Aux_CAV!$A$2:$A$121,1))))</f>
        <v>12</v>
      </c>
      <c r="AB149" s="18" t="n">
        <f aca="false">IF(D149="","",IF(L149&lt;=$B$16,1,IF(L149&gt;=$B$17,$B$21,MATCH(L149,Aux_CAV!$A$2:$A$121,1))))</f>
        <v>12</v>
      </c>
      <c r="AC149" s="19" t="n">
        <f aca="false">IF(D149="","",COUNT($D$24:D149))</f>
        <v>114</v>
      </c>
    </row>
    <row r="150" customFormat="false" ht="12.75" hidden="false" customHeight="true" outlineLevel="0" collapsed="false">
      <c r="A150" s="14" t="n">
        <f aca="false">IF(D150="","",DATE(B150,C150,1))</f>
        <v>7488</v>
      </c>
      <c r="B150" s="15" t="n">
        <f aca="false" t="array" ref="B150:B150">IF(D150="","",IFERROR(VALUE(INDEX(Vazoes_COLAR!$A$2:$A$200,INT((ROW()-24)/12)+1)),""))</f>
        <v>1920</v>
      </c>
      <c r="C150" s="15" t="n">
        <f aca="false">IF(D150="","",MOD(ROW()-24,12)+1)</f>
        <v>7</v>
      </c>
      <c r="D150" s="16" t="n">
        <f aca="false" t="array" ref="D150: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0.225136735693913</v>
      </c>
      <c r="E150" s="16" t="n">
        <f aca="false">IF(D150="","",D150*$B$15)</f>
        <v>0.583554418918623</v>
      </c>
      <c r="F150" s="16" t="n">
        <f aca="false" t="array" ref="F150:F150">IF(D150="","",IFERROR(INDEX(Dados_Evap!$C$2:$N$15,MATCH($B$9,Dados_Evap!$A$2:$A$15,0),C150),0))</f>
        <v>224.8</v>
      </c>
      <c r="G150" s="16" t="n">
        <f aca="false">IF(F150="","",F150/1000)</f>
        <v>0.2248</v>
      </c>
      <c r="H150" s="16" t="n">
        <f aca="false">IF(D150="","",MAX(0,MIN($B$8,IFERROR(LOOKUP(2,1/($U$24:U149&lt;&gt;""),$U$24:U149),$B$11))))</f>
        <v>25.2542090541679</v>
      </c>
      <c r="I150" s="16" t="n">
        <f aca="false" t="array" ref="I150: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>4.73951492116113</v>
      </c>
      <c r="J150" s="16" t="n">
        <f aca="false">IF(D150="","",$B$12)</f>
        <v>0.35</v>
      </c>
      <c r="K150" s="16" t="n">
        <f aca="false">IF(J150="","",J150*$B$15)</f>
        <v>0.9072</v>
      </c>
      <c r="L150" s="16" t="n">
        <f aca="false">IF(D150="","",H150+E150-K150-G150*I150)</f>
        <v>23.8651205188095</v>
      </c>
      <c r="M150" s="16" t="n">
        <f aca="false" t="array" ref="M150: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>4.58997781810162</v>
      </c>
      <c r="N150" s="16" t="n">
        <f aca="false">IF(D150="","",(I150+M150)/2)</f>
        <v>4.66474636963138</v>
      </c>
      <c r="O150" s="16" t="n">
        <f aca="false">IF(D150="","",G150*N150)</f>
        <v>1.04863498389313</v>
      </c>
      <c r="P150" s="16" t="n">
        <f aca="false">IF(D150="","",H150+E150-K150-O150)</f>
        <v>23.8819284891934</v>
      </c>
      <c r="Q150" s="16" t="n">
        <f aca="false">IF(D150="","",IF(P150&gt;=0,K150,MAX(0,K150+P150)))</f>
        <v>0.9072</v>
      </c>
      <c r="R150" s="16" t="n">
        <f aca="false">IF(D150="","",Q150/$B$15)</f>
        <v>0.35</v>
      </c>
      <c r="S150" s="16" t="n">
        <f aca="false">IF(D150="","",MAX(0,J150-R150))</f>
        <v>0</v>
      </c>
      <c r="T150" s="16" t="n">
        <f aca="false">IF(D150="","",MAX(0,Z150-$B$8))</f>
        <v>0</v>
      </c>
      <c r="U150" s="16" t="n">
        <f aca="false">IF(D150="","",MAX(0,MIN($B$8,Z150)))</f>
        <v>23.8819284891934</v>
      </c>
      <c r="V150" s="16" t="str">
        <f aca="false">IF(D150="","",IF(S150&gt;0.0000001,"Sim","Não"))</f>
        <v>Não</v>
      </c>
      <c r="W150" s="16" t="n">
        <f aca="false">IF(D150="","",U150-(H150+E150-Q150-O150-T150))</f>
        <v>0</v>
      </c>
      <c r="X150" s="16" t="n">
        <f aca="false">IF(W150="","",ABS(W150))</f>
        <v>0</v>
      </c>
      <c r="Y150" s="16" t="n">
        <f aca="false">IF(U150="","",IF($B$8=0,0,U150/$B$8*100))</f>
        <v>50.575875665382</v>
      </c>
      <c r="Z150" s="18" t="n">
        <f aca="false">IF(D150="","",MAX(0,IF(P150&gt;=0,P150,IF(K150+P150&gt;=0,0,P150+K150))))</f>
        <v>23.8819284891934</v>
      </c>
      <c r="AA150" s="18" t="n">
        <f aca="false">IF(D150="","",IF(H150&lt;=$B$16,1,IF(H150&gt;=$B$17,$B$21,MATCH(H150,Aux_CAV!$A$2:$A$121,1))))</f>
        <v>12</v>
      </c>
      <c r="AB150" s="18" t="n">
        <f aca="false">IF(D150="","",IF(L150&lt;=$B$16,1,IF(L150&gt;=$B$17,$B$21,MATCH(L150,Aux_CAV!$A$2:$A$121,1))))</f>
        <v>11</v>
      </c>
      <c r="AC150" s="19" t="n">
        <f aca="false">IF(D150="","",COUNT($D$24:D150))</f>
        <v>115</v>
      </c>
    </row>
    <row r="151" customFormat="false" ht="12.75" hidden="false" customHeight="true" outlineLevel="0" collapsed="false">
      <c r="A151" s="14" t="n">
        <f aca="false">IF(D151="","",DATE(B151,C151,1))</f>
        <v>7519</v>
      </c>
      <c r="B151" s="15" t="n">
        <f aca="false" t="array" ref="B151:B151">IF(D151="","",IFERROR(VALUE(INDEX(Vazoes_COLAR!$A$2:$A$200,INT((ROW()-24)/12)+1)),""))</f>
        <v>1920</v>
      </c>
      <c r="C151" s="15" t="n">
        <f aca="false">IF(D151="","",MOD(ROW()-24,12)+1)</f>
        <v>8</v>
      </c>
      <c r="D151" s="16" t="n">
        <f aca="false" t="array" ref="D151: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0.0272440171639041</v>
      </c>
      <c r="E151" s="16" t="n">
        <f aca="false">IF(D151="","",D151*$B$15)</f>
        <v>0.0706164924888394</v>
      </c>
      <c r="F151" s="16" t="n">
        <f aca="false" t="array" ref="F151:F151">IF(D151="","",IFERROR(INDEX(Dados_Evap!$C$2:$N$15,MATCH($B$9,Dados_Evap!$A$2:$A$15,0),C151),0))</f>
        <v>268.7</v>
      </c>
      <c r="G151" s="16" t="n">
        <f aca="false">IF(F151="","",F151/1000)</f>
        <v>0.2687</v>
      </c>
      <c r="H151" s="16" t="n">
        <f aca="false">IF(D151="","",MAX(0,MIN($B$8,IFERROR(LOOKUP(2,1/($U$24:U150&lt;&gt;""),$U$24:U150),$B$11))))</f>
        <v>23.8819284891934</v>
      </c>
      <c r="I151" s="16" t="n">
        <f aca="false" t="array" ref="I151: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>4.59198657553775</v>
      </c>
      <c r="J151" s="16" t="n">
        <f aca="false">IF(D151="","",$B$12)</f>
        <v>0.35</v>
      </c>
      <c r="K151" s="16" t="n">
        <f aca="false">IF(J151="","",J151*$B$15)</f>
        <v>0.9072</v>
      </c>
      <c r="L151" s="16" t="n">
        <f aca="false">IF(D151="","",H151+E151-K151-G151*I151)</f>
        <v>21.8114781888352</v>
      </c>
      <c r="M151" s="16" t="n">
        <f aca="false" t="array" ref="M151: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>4.34454251525104</v>
      </c>
      <c r="N151" s="16" t="n">
        <f aca="false">IF(D151="","",(I151+M151)/2)</f>
        <v>4.46826454539439</v>
      </c>
      <c r="O151" s="16" t="n">
        <f aca="false">IF(D151="","",G151*N151)</f>
        <v>1.20062268334747</v>
      </c>
      <c r="P151" s="16" t="n">
        <f aca="false">IF(D151="","",H151+E151-K151-O151)</f>
        <v>21.8447222983348</v>
      </c>
      <c r="Q151" s="16" t="n">
        <f aca="false">IF(D151="","",IF(P151&gt;=0,K151,MAX(0,K151+P151)))</f>
        <v>0.9072</v>
      </c>
      <c r="R151" s="16" t="n">
        <f aca="false">IF(D151="","",Q151/$B$15)</f>
        <v>0.35</v>
      </c>
      <c r="S151" s="16" t="n">
        <f aca="false">IF(D151="","",MAX(0,J151-R151))</f>
        <v>0</v>
      </c>
      <c r="T151" s="16" t="n">
        <f aca="false">IF(D151="","",MAX(0,Z151-$B$8))</f>
        <v>0</v>
      </c>
      <c r="U151" s="16" t="n">
        <f aca="false">IF(D151="","",MAX(0,MIN($B$8,Z151)))</f>
        <v>21.8447222983348</v>
      </c>
      <c r="V151" s="16" t="str">
        <f aca="false">IF(D151="","",IF(S151&gt;0.0000001,"Sim","Não"))</f>
        <v>Não</v>
      </c>
      <c r="W151" s="16" t="n">
        <f aca="false">IF(D151="","",U151-(H151+E151-Q151-O151-T151))</f>
        <v>0</v>
      </c>
      <c r="X151" s="16" t="n">
        <f aca="false">IF(W151="","",ABS(W151))</f>
        <v>0</v>
      </c>
      <c r="Y151" s="16" t="n">
        <f aca="false">IF(U151="","",IF($B$8=0,0,U151/$B$8*100))</f>
        <v>46.2615889418356</v>
      </c>
      <c r="Z151" s="18" t="n">
        <f aca="false">IF(D151="","",MAX(0,IF(P151&gt;=0,P151,IF(K151+P151&gt;=0,0,P151+K151))))</f>
        <v>21.8447222983348</v>
      </c>
      <c r="AA151" s="18" t="n">
        <f aca="false">IF(D151="","",IF(H151&lt;=$B$16,1,IF(H151&gt;=$B$17,$B$21,MATCH(H151,Aux_CAV!$A$2:$A$121,1))))</f>
        <v>11</v>
      </c>
      <c r="AB151" s="18" t="n">
        <f aca="false">IF(D151="","",IF(L151&lt;=$B$16,1,IF(L151&gt;=$B$17,$B$21,MATCH(L151,Aux_CAV!$A$2:$A$121,1))))</f>
        <v>11</v>
      </c>
      <c r="AC151" s="19" t="n">
        <f aca="false">IF(D151="","",COUNT($D$24:D151))</f>
        <v>116</v>
      </c>
    </row>
    <row r="152" customFormat="false" ht="12.75" hidden="false" customHeight="true" outlineLevel="0" collapsed="false">
      <c r="A152" s="14" t="n">
        <f aca="false">IF(D152="","",DATE(B152,C152,1))</f>
        <v>7550</v>
      </c>
      <c r="B152" s="15" t="n">
        <f aca="false" t="array" ref="B152:B152">IF(D152="","",IFERROR(VALUE(INDEX(Vazoes_COLAR!$A$2:$A$200,INT((ROW()-24)/12)+1)),""))</f>
        <v>1920</v>
      </c>
      <c r="C152" s="15" t="n">
        <f aca="false">IF(D152="","",MOD(ROW()-24,12)+1)</f>
        <v>9</v>
      </c>
      <c r="D152" s="16" t="n">
        <f aca="false" t="array" ref="D152: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0.0434508528952101</v>
      </c>
      <c r="E152" s="16" t="n">
        <f aca="false">IF(D152="","",D152*$B$15)</f>
        <v>0.112624610704385</v>
      </c>
      <c r="F152" s="16" t="n">
        <f aca="false" t="array" ref="F152:F152">IF(D152="","",IFERROR(INDEX(Dados_Evap!$C$2:$N$15,MATCH($B$9,Dados_Evap!$A$2:$A$15,0),C152),0))</f>
        <v>292.8</v>
      </c>
      <c r="G152" s="16" t="n">
        <f aca="false">IF(F152="","",F152/1000)</f>
        <v>0.2928</v>
      </c>
      <c r="H152" s="16" t="n">
        <f aca="false">IF(D152="","",MAX(0,MIN($B$8,IFERROR(LOOKUP(2,1/($U$24:U151&lt;&gt;""),$U$24:U151),$B$11))))</f>
        <v>21.8447222983348</v>
      </c>
      <c r="I152" s="16" t="n">
        <f aca="false" t="array" ref="I152: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>4.3485155917522</v>
      </c>
      <c r="J152" s="16" t="n">
        <f aca="false">IF(D152="","",$B$12)</f>
        <v>0.35</v>
      </c>
      <c r="K152" s="16" t="n">
        <f aca="false">IF(J152="","",J152*$B$15)</f>
        <v>0.9072</v>
      </c>
      <c r="L152" s="16" t="n">
        <f aca="false">IF(D152="","",H152+E152-K152-G152*I152)</f>
        <v>19.7769015437741</v>
      </c>
      <c r="M152" s="16" t="n">
        <f aca="false" t="array" ref="M152: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>4.10138579425593</v>
      </c>
      <c r="N152" s="16" t="n">
        <f aca="false">IF(D152="","",(I152+M152)/2)</f>
        <v>4.22495069300407</v>
      </c>
      <c r="O152" s="16" t="n">
        <f aca="false">IF(D152="","",G152*N152)</f>
        <v>1.23706556291159</v>
      </c>
      <c r="P152" s="16" t="n">
        <f aca="false">IF(D152="","",H152+E152-K152-O152)</f>
        <v>19.8130813461276</v>
      </c>
      <c r="Q152" s="16" t="n">
        <f aca="false">IF(D152="","",IF(P152&gt;=0,K152,MAX(0,K152+P152)))</f>
        <v>0.9072</v>
      </c>
      <c r="R152" s="16" t="n">
        <f aca="false">IF(D152="","",Q152/$B$15)</f>
        <v>0.35</v>
      </c>
      <c r="S152" s="16" t="n">
        <f aca="false">IF(D152="","",MAX(0,J152-R152))</f>
        <v>0</v>
      </c>
      <c r="T152" s="16" t="n">
        <f aca="false">IF(D152="","",MAX(0,Z152-$B$8))</f>
        <v>0</v>
      </c>
      <c r="U152" s="16" t="n">
        <f aca="false">IF(D152="","",MAX(0,MIN($B$8,Z152)))</f>
        <v>19.8130813461276</v>
      </c>
      <c r="V152" s="16" t="str">
        <f aca="false">IF(D152="","",IF(S152&gt;0.0000001,"Sim","Não"))</f>
        <v>Não</v>
      </c>
      <c r="W152" s="16" t="n">
        <f aca="false">IF(D152="","",U152-(H152+E152-Q152-O152-T152))</f>
        <v>0</v>
      </c>
      <c r="X152" s="16" t="n">
        <f aca="false">IF(W152="","",ABS(W152))</f>
        <v>0</v>
      </c>
      <c r="Y152" s="16" t="n">
        <f aca="false">IF(U152="","",IF($B$8=0,0,U152/$B$8*100))</f>
        <v>41.9590879841753</v>
      </c>
      <c r="Z152" s="18" t="n">
        <f aca="false">IF(D152="","",MAX(0,IF(P152&gt;=0,P152,IF(K152+P152&gt;=0,0,P152+K152))))</f>
        <v>19.8130813461276</v>
      </c>
      <c r="AA152" s="18" t="n">
        <f aca="false">IF(D152="","",IF(H152&lt;=$B$16,1,IF(H152&gt;=$B$17,$B$21,MATCH(H152,Aux_CAV!$A$2:$A$121,1))))</f>
        <v>11</v>
      </c>
      <c r="AB152" s="18" t="n">
        <f aca="false">IF(D152="","",IF(L152&lt;=$B$16,1,IF(L152&gt;=$B$17,$B$21,MATCH(L152,Aux_CAV!$A$2:$A$121,1))))</f>
        <v>11</v>
      </c>
      <c r="AC152" s="19" t="n">
        <f aca="false">IF(D152="","",COUNT($D$24:D152))</f>
        <v>117</v>
      </c>
    </row>
    <row r="153" customFormat="false" ht="12.75" hidden="false" customHeight="true" outlineLevel="0" collapsed="false">
      <c r="A153" s="14" t="n">
        <f aca="false">IF(D153="","",DATE(B153,C153,1))</f>
        <v>7580</v>
      </c>
      <c r="B153" s="15" t="n">
        <f aca="false" t="array" ref="B153:B153">IF(D153="","",IFERROR(VALUE(INDEX(Vazoes_COLAR!$A$2:$A$200,INT((ROW()-24)/12)+1)),""))</f>
        <v>1920</v>
      </c>
      <c r="C153" s="15" t="n">
        <f aca="false">IF(D153="","",MOD(ROW()-24,12)+1)</f>
        <v>10</v>
      </c>
      <c r="D153" s="16" t="n">
        <f aca="false" t="array" ref="D153: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0.0640770267369779</v>
      </c>
      <c r="E153" s="16" t="n">
        <f aca="false">IF(D153="","",D153*$B$15)</f>
        <v>0.166087653302247</v>
      </c>
      <c r="F153" s="16" t="n">
        <f aca="false" t="array" ref="F153:F153">IF(D153="","",IFERROR(INDEX(Dados_Evap!$C$2:$N$15,MATCH($B$9,Dados_Evap!$A$2:$A$15,0),C153),0))</f>
        <v>262.9</v>
      </c>
      <c r="G153" s="16" t="n">
        <f aca="false">IF(F153="","",F153/1000)</f>
        <v>0.2629</v>
      </c>
      <c r="H153" s="16" t="n">
        <f aca="false">IF(D153="","",MAX(0,MIN($B$8,IFERROR(LOOKUP(2,1/($U$24:U152&lt;&gt;""),$U$24:U152),$B$11))))</f>
        <v>19.8130813461276</v>
      </c>
      <c r="I153" s="16" t="n">
        <f aca="false" t="array" ref="I153: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>4.10570972185427</v>
      </c>
      <c r="J153" s="16" t="n">
        <f aca="false">IF(D153="","",$B$12)</f>
        <v>0.35</v>
      </c>
      <c r="K153" s="16" t="n">
        <f aca="false">IF(J153="","",J153*$B$15)</f>
        <v>0.9072</v>
      </c>
      <c r="L153" s="16" t="n">
        <f aca="false">IF(D153="","",H153+E153-K153-G153*I153)</f>
        <v>17.9925779135543</v>
      </c>
      <c r="M153" s="16" t="n">
        <f aca="false" t="array" ref="M153: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>3.88813736040039</v>
      </c>
      <c r="N153" s="16" t="n">
        <f aca="false">IF(D153="","",(I153+M153)/2)</f>
        <v>3.99692354112733</v>
      </c>
      <c r="O153" s="16" t="n">
        <f aca="false">IF(D153="","",G153*N153)</f>
        <v>1.05079119896238</v>
      </c>
      <c r="P153" s="16" t="n">
        <f aca="false">IF(D153="","",H153+E153-K153-O153)</f>
        <v>18.0211778004674</v>
      </c>
      <c r="Q153" s="16" t="n">
        <f aca="false">IF(D153="","",IF(P153&gt;=0,K153,MAX(0,K153+P153)))</f>
        <v>0.9072</v>
      </c>
      <c r="R153" s="16" t="n">
        <f aca="false">IF(D153="","",Q153/$B$15)</f>
        <v>0.35</v>
      </c>
      <c r="S153" s="16" t="n">
        <f aca="false">IF(D153="","",MAX(0,J153-R153))</f>
        <v>0</v>
      </c>
      <c r="T153" s="16" t="n">
        <f aca="false">IF(D153="","",MAX(0,Z153-$B$8))</f>
        <v>0</v>
      </c>
      <c r="U153" s="16" t="n">
        <f aca="false">IF(D153="","",MAX(0,MIN($B$8,Z153)))</f>
        <v>18.0211778004674</v>
      </c>
      <c r="V153" s="16" t="str">
        <f aca="false">IF(D153="","",IF(S153&gt;0.0000001,"Sim","Não"))</f>
        <v>Não</v>
      </c>
      <c r="W153" s="16" t="n">
        <f aca="false">IF(D153="","",U153-(H153+E153-Q153-O153-T153))</f>
        <v>0</v>
      </c>
      <c r="X153" s="16" t="n">
        <f aca="false">IF(W153="","",ABS(W153))</f>
        <v>0</v>
      </c>
      <c r="Y153" s="16" t="n">
        <f aca="false">IF(U153="","",IF($B$8=0,0,U153/$B$8*100))</f>
        <v>38.1642901322902</v>
      </c>
      <c r="Z153" s="18" t="n">
        <f aca="false">IF(D153="","",MAX(0,IF(P153&gt;=0,P153,IF(K153+P153&gt;=0,0,P153+K153))))</f>
        <v>18.0211778004674</v>
      </c>
      <c r="AA153" s="18" t="n">
        <f aca="false">IF(D153="","",IF(H153&lt;=$B$16,1,IF(H153&gt;=$B$17,$B$21,MATCH(H153,Aux_CAV!$A$2:$A$121,1))))</f>
        <v>11</v>
      </c>
      <c r="AB153" s="18" t="n">
        <f aca="false">IF(D153="","",IF(L153&lt;=$B$16,1,IF(L153&gt;=$B$17,$B$21,MATCH(L153,Aux_CAV!$A$2:$A$121,1))))</f>
        <v>11</v>
      </c>
      <c r="AC153" s="19" t="n">
        <f aca="false">IF(D153="","",COUNT($D$24:D153))</f>
        <v>118</v>
      </c>
    </row>
    <row r="154" customFormat="false" ht="12.75" hidden="false" customHeight="true" outlineLevel="0" collapsed="false">
      <c r="A154" s="14" t="n">
        <f aca="false">IF(D154="","",DATE(B154,C154,1))</f>
        <v>7611</v>
      </c>
      <c r="B154" s="15" t="n">
        <f aca="false" t="array" ref="B154:B154">IF(D154="","",IFERROR(VALUE(INDEX(Vazoes_COLAR!$A$2:$A$200,INT((ROW()-24)/12)+1)),""))</f>
        <v>1920</v>
      </c>
      <c r="C154" s="15" t="n">
        <f aca="false">IF(D154="","",MOD(ROW()-24,12)+1)</f>
        <v>11</v>
      </c>
      <c r="D154" s="16" t="n">
        <f aca="false" t="array" ref="D154: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0.0204782792501822</v>
      </c>
      <c r="E154" s="16" t="n">
        <f aca="false">IF(D154="","",D154*$B$15)</f>
        <v>0.0530796998164723</v>
      </c>
      <c r="F154" s="16" t="n">
        <f aca="false" t="array" ref="F154:F154">IF(D154="","",IFERROR(INDEX(Dados_Evap!$C$2:$N$15,MATCH($B$9,Dados_Evap!$A$2:$A$15,0),C154),0))</f>
        <v>223.7</v>
      </c>
      <c r="G154" s="16" t="n">
        <f aca="false">IF(F154="","",F154/1000)</f>
        <v>0.2237</v>
      </c>
      <c r="H154" s="16" t="n">
        <f aca="false">IF(D154="","",MAX(0,MIN($B$8,IFERROR(LOOKUP(2,1/($U$24:U153&lt;&gt;""),$U$24:U153),$B$11))))</f>
        <v>18.0211778004674</v>
      </c>
      <c r="I154" s="16" t="n">
        <f aca="false" t="array" ref="I154: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>3.89155539566562</v>
      </c>
      <c r="J154" s="16" t="n">
        <f aca="false">IF(D154="","",$B$12)</f>
        <v>0.35</v>
      </c>
      <c r="K154" s="16" t="n">
        <f aca="false">IF(J154="","",J154*$B$15)</f>
        <v>0.9072</v>
      </c>
      <c r="L154" s="16" t="n">
        <f aca="false">IF(D154="","",H154+E154-K154-G154*I154)</f>
        <v>16.2965165582735</v>
      </c>
      <c r="M154" s="16" t="n">
        <f aca="false" t="array" ref="M154: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>3.68543734476927</v>
      </c>
      <c r="N154" s="16" t="n">
        <f aca="false">IF(D154="","",(I154+M154)/2)</f>
        <v>3.78849637021745</v>
      </c>
      <c r="O154" s="16" t="n">
        <f aca="false">IF(D154="","",G154*N154)</f>
        <v>0.847486638017642</v>
      </c>
      <c r="P154" s="16" t="n">
        <f aca="false">IF(D154="","",H154+E154-K154-O154)</f>
        <v>16.3195708622663</v>
      </c>
      <c r="Q154" s="16" t="n">
        <f aca="false">IF(D154="","",IF(P154&gt;=0,K154,MAX(0,K154+P154)))</f>
        <v>0.9072</v>
      </c>
      <c r="R154" s="16" t="n">
        <f aca="false">IF(D154="","",Q154/$B$15)</f>
        <v>0.35</v>
      </c>
      <c r="S154" s="16" t="n">
        <f aca="false">IF(D154="","",MAX(0,J154-R154))</f>
        <v>0</v>
      </c>
      <c r="T154" s="16" t="n">
        <f aca="false">IF(D154="","",MAX(0,Z154-$B$8))</f>
        <v>0</v>
      </c>
      <c r="U154" s="16" t="n">
        <f aca="false">IF(D154="","",MAX(0,MIN($B$8,Z154)))</f>
        <v>16.3195708622663</v>
      </c>
      <c r="V154" s="16" t="str">
        <f aca="false">IF(D154="","",IF(S154&gt;0.0000001,"Sim","Não"))</f>
        <v>Não</v>
      </c>
      <c r="W154" s="16" t="n">
        <f aca="false">IF(D154="","",U154-(H154+E154-Q154-O154-T154))</f>
        <v>0</v>
      </c>
      <c r="X154" s="16" t="n">
        <f aca="false">IF(W154="","",ABS(W154))</f>
        <v>0</v>
      </c>
      <c r="Y154" s="16" t="n">
        <f aca="false">IF(U154="","",IF($B$8=0,0,U154/$B$8*100))</f>
        <v>34.560717624452</v>
      </c>
      <c r="Z154" s="18" t="n">
        <f aca="false">IF(D154="","",MAX(0,IF(P154&gt;=0,P154,IF(K154+P154&gt;=0,0,P154+K154))))</f>
        <v>16.3195708622663</v>
      </c>
      <c r="AA154" s="18" t="n">
        <f aca="false">IF(D154="","",IF(H154&lt;=$B$16,1,IF(H154&gt;=$B$17,$B$21,MATCH(H154,Aux_CAV!$A$2:$A$121,1))))</f>
        <v>11</v>
      </c>
      <c r="AB154" s="18" t="n">
        <f aca="false">IF(D154="","",IF(L154&lt;=$B$16,1,IF(L154&gt;=$B$17,$B$21,MATCH(L154,Aux_CAV!$A$2:$A$121,1))))</f>
        <v>11</v>
      </c>
      <c r="AC154" s="19" t="n">
        <f aca="false">IF(D154="","",COUNT($D$24:D154))</f>
        <v>119</v>
      </c>
    </row>
    <row r="155" customFormat="false" ht="12.75" hidden="false" customHeight="true" outlineLevel="0" collapsed="false">
      <c r="A155" s="14" t="n">
        <f aca="false">IF(D155="","",DATE(B155,C155,1))</f>
        <v>7641</v>
      </c>
      <c r="B155" s="15" t="n">
        <f aca="false" t="array" ref="B155:B155">IF(D155="","",IFERROR(VALUE(INDEX(Vazoes_COLAR!$A$2:$A$200,INT((ROW()-24)/12)+1)),""))</f>
        <v>1920</v>
      </c>
      <c r="C155" s="15" t="n">
        <f aca="false">IF(D155="","",MOD(ROW()-24,12)+1)</f>
        <v>12</v>
      </c>
      <c r="D155" s="16" t="n">
        <f aca="false" t="array" ref="D155: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0.202033241656015</v>
      </c>
      <c r="E155" s="16" t="n">
        <f aca="false">IF(D155="","",D155*$B$15)</f>
        <v>0.523670162372391</v>
      </c>
      <c r="F155" s="16" t="n">
        <f aca="false" t="array" ref="F155:F155">IF(D155="","",IFERROR(INDEX(Dados_Evap!$C$2:$N$15,MATCH($B$9,Dados_Evap!$A$2:$A$15,0),C155),0))</f>
        <v>216.1</v>
      </c>
      <c r="G155" s="16" t="n">
        <f aca="false">IF(F155="","",F155/1000)</f>
        <v>0.2161</v>
      </c>
      <c r="H155" s="16" t="n">
        <f aca="false">IF(D155="","",MAX(0,MIN($B$8,IFERROR(LOOKUP(2,1/($U$24:U154&lt;&gt;""),$U$24:U154),$B$11))))</f>
        <v>16.3195708622663</v>
      </c>
      <c r="I155" s="16" t="n">
        <f aca="false" t="array" ref="I155: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>3.68819261524645</v>
      </c>
      <c r="J155" s="16" t="n">
        <f aca="false">IF(D155="","",$B$12)</f>
        <v>0.35</v>
      </c>
      <c r="K155" s="16" t="n">
        <f aca="false">IF(J155="","",J155*$B$15)</f>
        <v>0.9072</v>
      </c>
      <c r="L155" s="16" t="n">
        <f aca="false">IF(D155="","",H155+E155-K155-G155*I155)</f>
        <v>15.1390226004839</v>
      </c>
      <c r="M155" s="16" t="n">
        <f aca="false" t="array" ref="M155: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>3.57656369239421</v>
      </c>
      <c r="N155" s="16" t="n">
        <f aca="false">IF(D155="","",(I155+M155)/2)</f>
        <v>3.63237815382033</v>
      </c>
      <c r="O155" s="16" t="n">
        <f aca="false">IF(D155="","",G155*N155)</f>
        <v>0.784956919040574</v>
      </c>
      <c r="P155" s="16" t="n">
        <f aca="false">IF(D155="","",H155+E155-K155-O155)</f>
        <v>15.1510841055981</v>
      </c>
      <c r="Q155" s="16" t="n">
        <f aca="false">IF(D155="","",IF(P155&gt;=0,K155,MAX(0,K155+P155)))</f>
        <v>0.9072</v>
      </c>
      <c r="R155" s="16" t="n">
        <f aca="false">IF(D155="","",Q155/$B$15)</f>
        <v>0.35</v>
      </c>
      <c r="S155" s="16" t="n">
        <f aca="false">IF(D155="","",MAX(0,J155-R155))</f>
        <v>0</v>
      </c>
      <c r="T155" s="16" t="n">
        <f aca="false">IF(D155="","",MAX(0,Z155-$B$8))</f>
        <v>0</v>
      </c>
      <c r="U155" s="16" t="n">
        <f aca="false">IF(D155="","",MAX(0,MIN($B$8,Z155)))</f>
        <v>15.1510841055981</v>
      </c>
      <c r="V155" s="16" t="str">
        <f aca="false">IF(D155="","",IF(S155&gt;0.0000001,"Sim","Não"))</f>
        <v>Não</v>
      </c>
      <c r="W155" s="16" t="n">
        <f aca="false">IF(D155="","",U155-(H155+E155-Q155-O155-T155))</f>
        <v>0</v>
      </c>
      <c r="X155" s="16" t="n">
        <f aca="false">IF(W155="","",ABS(W155))</f>
        <v>0</v>
      </c>
      <c r="Y155" s="16" t="n">
        <f aca="false">IF(U155="","",IF($B$8=0,0,U155/$B$8*100))</f>
        <v>32.0861586310844</v>
      </c>
      <c r="Z155" s="18" t="n">
        <f aca="false">IF(D155="","",MAX(0,IF(P155&gt;=0,P155,IF(K155+P155&gt;=0,0,P155+K155))))</f>
        <v>15.1510841055981</v>
      </c>
      <c r="AA155" s="18" t="n">
        <f aca="false">IF(D155="","",IF(H155&lt;=$B$16,1,IF(H155&gt;=$B$17,$B$21,MATCH(H155,Aux_CAV!$A$2:$A$121,1))))</f>
        <v>11</v>
      </c>
      <c r="AB155" s="18" t="n">
        <f aca="false">IF(D155="","",IF(L155&lt;=$B$16,1,IF(L155&gt;=$B$17,$B$21,MATCH(L155,Aux_CAV!$A$2:$A$121,1))))</f>
        <v>10</v>
      </c>
      <c r="AC155" s="19" t="n">
        <f aca="false">IF(D155="","",COUNT($D$24:D155))</f>
        <v>120</v>
      </c>
    </row>
    <row r="156" customFormat="false" ht="12.75" hidden="false" customHeight="true" outlineLevel="0" collapsed="false">
      <c r="A156" s="14" t="n">
        <f aca="false">IF(D156="","",DATE(B156,C156,1))</f>
        <v>7672</v>
      </c>
      <c r="B156" s="15" t="n">
        <f aca="false" t="array" ref="B156:B156">IF(D156="","",IFERROR(VALUE(INDEX(Vazoes_COLAR!$A$2:$A$200,INT((ROW()-24)/12)+1)),""))</f>
        <v>1921</v>
      </c>
      <c r="C156" s="15" t="n">
        <f aca="false">IF(D156="","",MOD(ROW()-24,12)+1)</f>
        <v>1</v>
      </c>
      <c r="D156" s="16" t="n">
        <f aca="false" t="array" ref="D156: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0.198169487670724</v>
      </c>
      <c r="E156" s="16" t="n">
        <f aca="false">IF(D156="","",D156*$B$15)</f>
        <v>0.513655312042517</v>
      </c>
      <c r="F156" s="16" t="n">
        <f aca="false" t="array" ref="F156:F156">IF(D156="","",IFERROR(INDEX(Dados_Evap!$C$2:$N$15,MATCH($B$9,Dados_Evap!$A$2:$A$15,0),C156),0))</f>
        <v>160</v>
      </c>
      <c r="G156" s="16" t="n">
        <f aca="false">IF(F156="","",F156/1000)</f>
        <v>0.16</v>
      </c>
      <c r="H156" s="16" t="n">
        <f aca="false">IF(D156="","",MAX(0,MIN($B$8,IFERROR(LOOKUP(2,1/($U$24:U155&lt;&gt;""),$U$24:U155),$B$11))))</f>
        <v>15.1510841055981</v>
      </c>
      <c r="I156" s="16" t="n">
        <f aca="false" t="array" ref="I156: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>3.57759246783042</v>
      </c>
      <c r="J156" s="16" t="n">
        <f aca="false">IF(D156="","",$B$12)</f>
        <v>0.35</v>
      </c>
      <c r="K156" s="16" t="n">
        <f aca="false">IF(J156="","",J156*$B$15)</f>
        <v>0.9072</v>
      </c>
      <c r="L156" s="16" t="n">
        <f aca="false">IF(D156="","",H156+E156-K156-G156*I156)</f>
        <v>14.1851246227877</v>
      </c>
      <c r="M156" s="16" t="n">
        <f aca="false" t="array" ref="M156: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>3.49520180606131</v>
      </c>
      <c r="N156" s="16" t="n">
        <f aca="false">IF(D156="","",(I156+M156)/2)</f>
        <v>3.53639713694586</v>
      </c>
      <c r="O156" s="16" t="n">
        <f aca="false">IF(D156="","",G156*N156)</f>
        <v>0.565823541911338</v>
      </c>
      <c r="P156" s="16" t="n">
        <f aca="false">IF(D156="","",H156+E156-K156-O156)</f>
        <v>14.1917158757292</v>
      </c>
      <c r="Q156" s="16" t="n">
        <f aca="false">IF(D156="","",IF(P156&gt;=0,K156,MAX(0,K156+P156)))</f>
        <v>0.9072</v>
      </c>
      <c r="R156" s="16" t="n">
        <f aca="false">IF(D156="","",Q156/$B$15)</f>
        <v>0.35</v>
      </c>
      <c r="S156" s="16" t="n">
        <f aca="false">IF(D156="","",MAX(0,J156-R156))</f>
        <v>0</v>
      </c>
      <c r="T156" s="16" t="n">
        <f aca="false">IF(D156="","",MAX(0,Z156-$B$8))</f>
        <v>0</v>
      </c>
      <c r="U156" s="16" t="n">
        <f aca="false">IF(D156="","",MAX(0,MIN($B$8,Z156)))</f>
        <v>14.1917158757292</v>
      </c>
      <c r="V156" s="16" t="str">
        <f aca="false">IF(D156="","",IF(S156&gt;0.0000001,"Sim","Não"))</f>
        <v>Não</v>
      </c>
      <c r="W156" s="16" t="n">
        <f aca="false">IF(D156="","",U156-(H156+E156-Q156-O156-T156))</f>
        <v>0</v>
      </c>
      <c r="X156" s="16" t="n">
        <f aca="false">IF(W156="","",ABS(W156))</f>
        <v>0</v>
      </c>
      <c r="Y156" s="16" t="n">
        <f aca="false">IF(U156="","",IF($B$8=0,0,U156/$B$8*100))</f>
        <v>30.0544597114131</v>
      </c>
      <c r="Z156" s="18" t="n">
        <f aca="false">IF(D156="","",MAX(0,IF(P156&gt;=0,P156,IF(K156+P156&gt;=0,0,P156+K156))))</f>
        <v>14.1917158757292</v>
      </c>
      <c r="AA156" s="18" t="n">
        <f aca="false">IF(D156="","",IF(H156&lt;=$B$16,1,IF(H156&gt;=$B$17,$B$21,MATCH(H156,Aux_CAV!$A$2:$A$121,1))))</f>
        <v>10</v>
      </c>
      <c r="AB156" s="18" t="n">
        <f aca="false">IF(D156="","",IF(L156&lt;=$B$16,1,IF(L156&gt;=$B$17,$B$21,MATCH(L156,Aux_CAV!$A$2:$A$121,1))))</f>
        <v>10</v>
      </c>
      <c r="AC156" s="19" t="n">
        <f aca="false">IF(D156="","",COUNT($D$24:D156))</f>
        <v>121</v>
      </c>
    </row>
    <row r="157" customFormat="false" ht="12.75" hidden="false" customHeight="true" outlineLevel="0" collapsed="false">
      <c r="A157" s="14" t="n">
        <f aca="false">IF(D157="","",DATE(B157,C157,1))</f>
        <v>7703</v>
      </c>
      <c r="B157" s="15" t="n">
        <f aca="false" t="array" ref="B157:B157">IF(D157="","",IFERROR(VALUE(INDEX(Vazoes_COLAR!$A$2:$A$200,INT((ROW()-24)/12)+1)),""))</f>
        <v>1921</v>
      </c>
      <c r="C157" s="15" t="n">
        <f aca="false">IF(D157="","",MOD(ROW()-24,12)+1)</f>
        <v>2</v>
      </c>
      <c r="D157" s="16" t="n">
        <f aca="false" t="array" ref="D157: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2.01439502573615</v>
      </c>
      <c r="E157" s="16" t="n">
        <f aca="false">IF(D157="","",D157*$B$15)</f>
        <v>5.2213119067081</v>
      </c>
      <c r="F157" s="16" t="n">
        <f aca="false" t="array" ref="F157:F157">IF(D157="","",IFERROR(INDEX(Dados_Evap!$C$2:$N$15,MATCH($B$9,Dados_Evap!$A$2:$A$15,0),C157),0))</f>
        <v>124.3</v>
      </c>
      <c r="G157" s="16" t="n">
        <f aca="false">IF(F157="","",F157/1000)</f>
        <v>0.1243</v>
      </c>
      <c r="H157" s="16" t="n">
        <f aca="false">IF(D157="","",MAX(0,MIN($B$8,IFERROR(LOOKUP(2,1/($U$24:U156&lt;&gt;""),$U$24:U156),$B$11))))</f>
        <v>14.1917158757292</v>
      </c>
      <c r="I157" s="16" t="n">
        <f aca="false" t="array" ref="I157: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>3.49576400116514</v>
      </c>
      <c r="J157" s="16" t="n">
        <f aca="false">IF(D157="","",$B$12)</f>
        <v>0.35</v>
      </c>
      <c r="K157" s="16" t="n">
        <f aca="false">IF(J157="","",J157*$B$15)</f>
        <v>0.9072</v>
      </c>
      <c r="L157" s="16" t="n">
        <f aca="false">IF(D157="","",H157+E157-K157-G157*I157)</f>
        <v>18.0713043170925</v>
      </c>
      <c r="M157" s="16" t="n">
        <f aca="false" t="array" ref="M157: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>3.8975461257013</v>
      </c>
      <c r="N157" s="16" t="n">
        <f aca="false">IF(D157="","",(I157+M157)/2)</f>
        <v>3.69665506343322</v>
      </c>
      <c r="O157" s="16" t="n">
        <f aca="false">IF(D157="","",G157*N157)</f>
        <v>0.459494224384749</v>
      </c>
      <c r="P157" s="16" t="n">
        <f aca="false">IF(D157="","",H157+E157-K157-O157)</f>
        <v>18.0463335580526</v>
      </c>
      <c r="Q157" s="16" t="n">
        <f aca="false">IF(D157="","",IF(P157&gt;=0,K157,MAX(0,K157+P157)))</f>
        <v>0.9072</v>
      </c>
      <c r="R157" s="16" t="n">
        <f aca="false">IF(D157="","",Q157/$B$15)</f>
        <v>0.35</v>
      </c>
      <c r="S157" s="16" t="n">
        <f aca="false">IF(D157="","",MAX(0,J157-R157))</f>
        <v>0</v>
      </c>
      <c r="T157" s="16" t="n">
        <f aca="false">IF(D157="","",MAX(0,Z157-$B$8))</f>
        <v>0</v>
      </c>
      <c r="U157" s="16" t="n">
        <f aca="false">IF(D157="","",MAX(0,MIN($B$8,Z157)))</f>
        <v>18.0463335580526</v>
      </c>
      <c r="V157" s="16" t="str">
        <f aca="false">IF(D157="","",IF(S157&gt;0.0000001,"Sim","Não"))</f>
        <v>Não</v>
      </c>
      <c r="W157" s="16" t="n">
        <f aca="false">IF(D157="","",U157-(H157+E157-Q157-O157-T157))</f>
        <v>0</v>
      </c>
      <c r="X157" s="16" t="n">
        <f aca="false">IF(W157="","",ABS(W157))</f>
        <v>0</v>
      </c>
      <c r="Y157" s="16" t="n">
        <f aca="false">IF(U157="","",IF($B$8=0,0,U157/$B$8*100))</f>
        <v>38.2175636553422</v>
      </c>
      <c r="Z157" s="18" t="n">
        <f aca="false">IF(D157="","",MAX(0,IF(P157&gt;=0,P157,IF(K157+P157&gt;=0,0,P157+K157))))</f>
        <v>18.0463335580526</v>
      </c>
      <c r="AA157" s="18" t="n">
        <f aca="false">IF(D157="","",IF(H157&lt;=$B$16,1,IF(H157&gt;=$B$17,$B$21,MATCH(H157,Aux_CAV!$A$2:$A$121,1))))</f>
        <v>10</v>
      </c>
      <c r="AB157" s="18" t="n">
        <f aca="false">IF(D157="","",IF(L157&lt;=$B$16,1,IF(L157&gt;=$B$17,$B$21,MATCH(L157,Aux_CAV!$A$2:$A$121,1))))</f>
        <v>11</v>
      </c>
      <c r="AC157" s="19" t="n">
        <f aca="false">IF(D157="","",COUNT($D$24:D157))</f>
        <v>122</v>
      </c>
    </row>
    <row r="158" customFormat="false" ht="12.75" hidden="false" customHeight="true" outlineLevel="0" collapsed="false">
      <c r="A158" s="14" t="n">
        <f aca="false">IF(D158="","",DATE(B158,C158,1))</f>
        <v>7731</v>
      </c>
      <c r="B158" s="15" t="n">
        <f aca="false" t="array" ref="B158:B158">IF(D158="","",IFERROR(VALUE(INDEX(Vazoes_COLAR!$A$2:$A$200,INT((ROW()-24)/12)+1)),""))</f>
        <v>1921</v>
      </c>
      <c r="C158" s="15" t="n">
        <f aca="false">IF(D158="","",MOD(ROW()-24,12)+1)</f>
        <v>3</v>
      </c>
      <c r="D158" s="16" t="n">
        <f aca="false" t="array" ref="D158: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9.81074939202689</v>
      </c>
      <c r="E158" s="16" t="n">
        <f aca="false">IF(D158="","",D158*$B$15)</f>
        <v>25.4294624241337</v>
      </c>
      <c r="F158" s="16" t="n">
        <f aca="false" t="array" ref="F158:F158">IF(D158="","",IFERROR(INDEX(Dados_Evap!$C$2:$N$15,MATCH($B$9,Dados_Evap!$A$2:$A$15,0),C158),0))</f>
        <v>107.7</v>
      </c>
      <c r="G158" s="16" t="n">
        <f aca="false">IF(F158="","",F158/1000)</f>
        <v>0.1077</v>
      </c>
      <c r="H158" s="16" t="n">
        <f aca="false">IF(D158="","",MAX(0,MIN($B$8,IFERROR(LOOKUP(2,1/($U$24:U157&lt;&gt;""),$U$24:U157),$B$11))))</f>
        <v>18.0463335580526</v>
      </c>
      <c r="I158" s="16" t="n">
        <f aca="false" t="array" ref="I158: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>3.89456181547458</v>
      </c>
      <c r="J158" s="16" t="n">
        <f aca="false">IF(D158="","",$B$12)</f>
        <v>0.35</v>
      </c>
      <c r="K158" s="16" t="n">
        <f aca="false">IF(J158="","",J158*$B$15)</f>
        <v>0.9072</v>
      </c>
      <c r="L158" s="16" t="n">
        <f aca="false">IF(D158="","",H158+E158-K158-G158*I158)</f>
        <v>42.1491516746597</v>
      </c>
      <c r="M158" s="16" t="n">
        <f aca="false" t="array" ref="M158: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>6.46371247066178</v>
      </c>
      <c r="N158" s="16" t="n">
        <f aca="false">IF(D158="","",(I158+M158)/2)</f>
        <v>5.17913714306818</v>
      </c>
      <c r="O158" s="16" t="n">
        <f aca="false">IF(D158="","",G158*N158)</f>
        <v>0.557793070308443</v>
      </c>
      <c r="P158" s="16" t="n">
        <f aca="false">IF(D158="","",H158+E158-K158-O158)</f>
        <v>42.0108029118779</v>
      </c>
      <c r="Q158" s="16" t="n">
        <f aca="false">IF(D158="","",IF(P158&gt;=0,K158,MAX(0,K158+P158)))</f>
        <v>0.9072</v>
      </c>
      <c r="R158" s="16" t="n">
        <f aca="false">IF(D158="","",Q158/$B$15)</f>
        <v>0.35</v>
      </c>
      <c r="S158" s="16" t="n">
        <f aca="false">IF(D158="","",MAX(0,J158-R158))</f>
        <v>0</v>
      </c>
      <c r="T158" s="16" t="n">
        <f aca="false">IF(D158="","",MAX(0,Z158-$B$8))</f>
        <v>0</v>
      </c>
      <c r="U158" s="16" t="n">
        <f aca="false">IF(D158="","",MAX(0,MIN($B$8,Z158)))</f>
        <v>42.0108029118779</v>
      </c>
      <c r="V158" s="16" t="str">
        <f aca="false">IF(D158="","",IF(S158&gt;0.0000001,"Sim","Não"))</f>
        <v>Não</v>
      </c>
      <c r="W158" s="16" t="n">
        <f aca="false">IF(D158="","",U158-(H158+E158-Q158-O158-T158))</f>
        <v>0</v>
      </c>
      <c r="X158" s="16" t="n">
        <f aca="false">IF(W158="","",ABS(W158))</f>
        <v>0</v>
      </c>
      <c r="Y158" s="16" t="n">
        <f aca="false">IF(U158="","",IF($B$8=0,0,U158/$B$8*100))</f>
        <v>88.9682399658574</v>
      </c>
      <c r="Z158" s="18" t="n">
        <f aca="false">IF(D158="","",MAX(0,IF(P158&gt;=0,P158,IF(K158+P158&gt;=0,0,P158+K158))))</f>
        <v>42.0108029118779</v>
      </c>
      <c r="AA158" s="18" t="n">
        <f aca="false">IF(D158="","",IF(H158&lt;=$B$16,1,IF(H158&gt;=$B$17,$B$21,MATCH(H158,Aux_CAV!$A$2:$A$121,1))))</f>
        <v>11</v>
      </c>
      <c r="AB158" s="18" t="n">
        <f aca="false">IF(D158="","",IF(L158&lt;=$B$16,1,IF(L158&gt;=$B$17,$B$21,MATCH(L158,Aux_CAV!$A$2:$A$121,1))))</f>
        <v>13</v>
      </c>
      <c r="AC158" s="19" t="n">
        <f aca="false">IF(D158="","",COUNT($D$24:D158))</f>
        <v>123</v>
      </c>
    </row>
    <row r="159" customFormat="false" ht="12.75" hidden="false" customHeight="true" outlineLevel="0" collapsed="false">
      <c r="A159" s="14" t="n">
        <f aca="false">IF(D159="","",DATE(B159,C159,1))</f>
        <v>7762</v>
      </c>
      <c r="B159" s="15" t="n">
        <f aca="false" t="array" ref="B159:B159">IF(D159="","",IFERROR(VALUE(INDEX(Vazoes_COLAR!$A$2:$A$200,INT((ROW()-24)/12)+1)),""))</f>
        <v>1921</v>
      </c>
      <c r="C159" s="15" t="n">
        <f aca="false">IF(D159="","",MOD(ROW()-24,12)+1)</f>
        <v>4</v>
      </c>
      <c r="D159" s="16" t="n">
        <f aca="false" t="array" ref="D159: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6.06110585065312</v>
      </c>
      <c r="E159" s="16" t="n">
        <f aca="false">IF(D159="","",D159*$B$15)</f>
        <v>15.7103863648929</v>
      </c>
      <c r="F159" s="16" t="n">
        <f aca="false" t="array" ref="F159:F159">IF(D159="","",IFERROR(INDEX(Dados_Evap!$C$2:$N$15,MATCH($B$9,Dados_Evap!$A$2:$A$15,0),C159),0))</f>
        <v>100.5</v>
      </c>
      <c r="G159" s="16" t="n">
        <f aca="false">IF(F159="","",F159/1000)</f>
        <v>0.1005</v>
      </c>
      <c r="H159" s="16" t="n">
        <f aca="false">IF(D159="","",MAX(0,MIN($B$8,IFERROR(LOOKUP(2,1/($U$24:U158&lt;&gt;""),$U$24:U158),$B$11))))</f>
        <v>42.0108029118779</v>
      </c>
      <c r="I159" s="16" t="n">
        <f aca="false" t="array" ref="I159: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>6.44989934733372</v>
      </c>
      <c r="J159" s="16" t="n">
        <f aca="false">IF(D159="","",$B$12)</f>
        <v>0.35</v>
      </c>
      <c r="K159" s="16" t="n">
        <f aca="false">IF(J159="","",J159*$B$15)</f>
        <v>0.9072</v>
      </c>
      <c r="L159" s="16" t="n">
        <f aca="false">IF(D159="","",H159+E159-K159-G159*I159)</f>
        <v>56.1657743923637</v>
      </c>
      <c r="M159" s="16" t="n">
        <f aca="false" t="array" ref="M159: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>8.0338577819117</v>
      </c>
      <c r="N159" s="16" t="n">
        <f aca="false">IF(D159="","",(I159+M159)/2)</f>
        <v>7.24187856462271</v>
      </c>
      <c r="O159" s="16" t="n">
        <f aca="false">IF(D159="","",G159*N159)</f>
        <v>0.727808795744582</v>
      </c>
      <c r="P159" s="16" t="n">
        <f aca="false">IF(D159="","",H159+E159-K159-O159)</f>
        <v>56.0861804810262</v>
      </c>
      <c r="Q159" s="16" t="n">
        <f aca="false">IF(D159="","",IF(P159&gt;=0,K159,MAX(0,K159+P159)))</f>
        <v>0.9072</v>
      </c>
      <c r="R159" s="16" t="n">
        <f aca="false">IF(D159="","",Q159/$B$15)</f>
        <v>0.35</v>
      </c>
      <c r="S159" s="16" t="n">
        <f aca="false">IF(D159="","",MAX(0,J159-R159))</f>
        <v>0</v>
      </c>
      <c r="T159" s="16" t="n">
        <f aca="false">IF(D159="","",MAX(0,Z159-$B$8))</f>
        <v>8.86618048102616</v>
      </c>
      <c r="U159" s="16" t="n">
        <f aca="false">IF(D159="","",MAX(0,MIN($B$8,Z159)))</f>
        <v>47.22</v>
      </c>
      <c r="V159" s="16" t="str">
        <f aca="false">IF(D159="","",IF(S159&gt;0.0000001,"Sim","Não"))</f>
        <v>Não</v>
      </c>
      <c r="W159" s="16" t="n">
        <f aca="false">IF(D159="","",U159-(H159+E159-Q159-O159-T159))</f>
        <v>0</v>
      </c>
      <c r="X159" s="16" t="n">
        <f aca="false">IF(W159="","",ABS(W159))</f>
        <v>0</v>
      </c>
      <c r="Y159" s="16" t="n">
        <f aca="false">IF(U159="","",IF($B$8=0,0,U159/$B$8*100))</f>
        <v>100</v>
      </c>
      <c r="Z159" s="18" t="n">
        <f aca="false">IF(D159="","",MAX(0,IF(P159&gt;=0,P159,IF(K159+P159&gt;=0,0,P159+K159))))</f>
        <v>56.0861804810262</v>
      </c>
      <c r="AA159" s="18" t="n">
        <f aca="false">IF(D159="","",IF(H159&lt;=$B$16,1,IF(H159&gt;=$B$17,$B$21,MATCH(H159,Aux_CAV!$A$2:$A$121,1))))</f>
        <v>13</v>
      </c>
      <c r="AB159" s="18" t="n">
        <f aca="false">IF(D159="","",IF(L159&lt;=$B$16,1,IF(L159&gt;=$B$17,$B$21,MATCH(L159,Aux_CAV!$A$2:$A$121,1))))</f>
        <v>15</v>
      </c>
      <c r="AC159" s="19" t="n">
        <f aca="false">IF(D159="","",COUNT($D$24:D159))</f>
        <v>124</v>
      </c>
    </row>
    <row r="160" customFormat="false" ht="12.75" hidden="false" customHeight="true" outlineLevel="0" collapsed="false">
      <c r="A160" s="14" t="n">
        <f aca="false">IF(D160="","",DATE(B160,C160,1))</f>
        <v>7792</v>
      </c>
      <c r="B160" s="15" t="n">
        <f aca="false" t="array" ref="B160:B160">IF(D160="","",IFERROR(VALUE(INDEX(Vazoes_COLAR!$A$2:$A$200,INT((ROW()-24)/12)+1)),""))</f>
        <v>1921</v>
      </c>
      <c r="C160" s="15" t="n">
        <f aca="false">IF(D160="","",MOD(ROW()-24,12)+1)</f>
        <v>5</v>
      </c>
      <c r="D160" s="16" t="n">
        <f aca="false" t="array" ref="D160: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4.81026790598545</v>
      </c>
      <c r="E160" s="16" t="n">
        <f aca="false">IF(D160="","",D160*$B$15)</f>
        <v>12.4682144123143</v>
      </c>
      <c r="F160" s="16" t="n">
        <f aca="false" t="array" ref="F160:F160">IF(D160="","",IFERROR(INDEX(Dados_Evap!$C$2:$N$15,MATCH($B$9,Dados_Evap!$A$2:$A$15,0),C160),0))</f>
        <v>145.8</v>
      </c>
      <c r="G160" s="16" t="n">
        <f aca="false">IF(F160="","",F160/1000)</f>
        <v>0.1458</v>
      </c>
      <c r="H160" s="16" t="n">
        <f aca="false">IF(D160="","",MAX(0,MIN($B$8,IFERROR(LOOKUP(2,1/($U$24:U159&lt;&gt;""),$U$24:U159),$B$11))))</f>
        <v>47.22</v>
      </c>
      <c r="I160" s="16" t="n">
        <f aca="false" t="array" ref="I160: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>6.97</v>
      </c>
      <c r="J160" s="16" t="n">
        <f aca="false">IF(D160="","",$B$12)</f>
        <v>0.35</v>
      </c>
      <c r="K160" s="16" t="n">
        <f aca="false">IF(J160="","",J160*$B$15)</f>
        <v>0.9072</v>
      </c>
      <c r="L160" s="16" t="n">
        <f aca="false">IF(D160="","",H160+E160-K160-G160*I160)</f>
        <v>57.7647884123143</v>
      </c>
      <c r="M160" s="16" t="n">
        <f aca="false" t="array" ref="M160: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>8.23183094628653</v>
      </c>
      <c r="N160" s="16" t="n">
        <f aca="false">IF(D160="","",(I160+M160)/2)</f>
        <v>7.60091547314326</v>
      </c>
      <c r="O160" s="16" t="n">
        <f aca="false">IF(D160="","",G160*N160)</f>
        <v>1.10821347598429</v>
      </c>
      <c r="P160" s="16" t="n">
        <f aca="false">IF(D160="","",H160+E160-K160-O160)</f>
        <v>57.67280093633</v>
      </c>
      <c r="Q160" s="16" t="n">
        <f aca="false">IF(D160="","",IF(P160&gt;=0,K160,MAX(0,K160+P160)))</f>
        <v>0.9072</v>
      </c>
      <c r="R160" s="16" t="n">
        <f aca="false">IF(D160="","",Q160/$B$15)</f>
        <v>0.35</v>
      </c>
      <c r="S160" s="16" t="n">
        <f aca="false">IF(D160="","",MAX(0,J160-R160))</f>
        <v>0</v>
      </c>
      <c r="T160" s="16" t="n">
        <f aca="false">IF(D160="","",MAX(0,Z160-$B$8))</f>
        <v>10.45280093633</v>
      </c>
      <c r="U160" s="16" t="n">
        <f aca="false">IF(D160="","",MAX(0,MIN($B$8,Z160)))</f>
        <v>47.22</v>
      </c>
      <c r="V160" s="16" t="str">
        <f aca="false">IF(D160="","",IF(S160&gt;0.0000001,"Sim","Não"))</f>
        <v>Não</v>
      </c>
      <c r="W160" s="16" t="n">
        <f aca="false">IF(D160="","",U160-(H160+E160-Q160-O160-T160))</f>
        <v>0</v>
      </c>
      <c r="X160" s="16" t="n">
        <f aca="false">IF(W160="","",ABS(W160))</f>
        <v>0</v>
      </c>
      <c r="Y160" s="16" t="n">
        <f aca="false">IF(U160="","",IF($B$8=0,0,U160/$B$8*100))</f>
        <v>100</v>
      </c>
      <c r="Z160" s="18" t="n">
        <f aca="false">IF(D160="","",MAX(0,IF(P160&gt;=0,P160,IF(K160+P160&gt;=0,0,P160+K160))))</f>
        <v>57.67280093633</v>
      </c>
      <c r="AA160" s="18" t="n">
        <f aca="false">IF(D160="","",IF(H160&lt;=$B$16,1,IF(H160&gt;=$B$17,$B$21,MATCH(H160,Aux_CAV!$A$2:$A$121,1))))</f>
        <v>14</v>
      </c>
      <c r="AB160" s="18" t="n">
        <f aca="false">IF(D160="","",IF(L160&lt;=$B$16,1,IF(L160&gt;=$B$17,$B$21,MATCH(L160,Aux_CAV!$A$2:$A$121,1))))</f>
        <v>15</v>
      </c>
      <c r="AC160" s="19" t="n">
        <f aca="false">IF(D160="","",COUNT($D$24:D160))</f>
        <v>125</v>
      </c>
    </row>
    <row r="161" customFormat="false" ht="12.75" hidden="false" customHeight="true" outlineLevel="0" collapsed="false">
      <c r="A161" s="14" t="n">
        <f aca="false">IF(D161="","",DATE(B161,C161,1))</f>
        <v>7823</v>
      </c>
      <c r="B161" s="15" t="n">
        <f aca="false" t="array" ref="B161:B161">IF(D161="","",IFERROR(VALUE(INDEX(Vazoes_COLAR!$A$2:$A$200,INT((ROW()-24)/12)+1)),""))</f>
        <v>1921</v>
      </c>
      <c r="C161" s="15" t="n">
        <f aca="false">IF(D161="","",MOD(ROW()-24,12)+1)</f>
        <v>6</v>
      </c>
      <c r="D161" s="16" t="n">
        <f aca="false" t="array" ref="D161: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0.920292184135386</v>
      </c>
      <c r="E161" s="16" t="n">
        <f aca="false">IF(D161="","",D161*$B$15)</f>
        <v>2.38539734127892</v>
      </c>
      <c r="F161" s="16" t="n">
        <f aca="false" t="array" ref="F161:F161">IF(D161="","",IFERROR(INDEX(Dados_Evap!$C$2:$N$15,MATCH($B$9,Dados_Evap!$A$2:$A$15,0),C161),0))</f>
        <v>161.3</v>
      </c>
      <c r="G161" s="16" t="n">
        <f aca="false">IF(F161="","",F161/1000)</f>
        <v>0.1613</v>
      </c>
      <c r="H161" s="16" t="n">
        <f aca="false">IF(D161="","",MAX(0,MIN($B$8,IFERROR(LOOKUP(2,1/($U$24:U160&lt;&gt;""),$U$24:U160),$B$11))))</f>
        <v>47.22</v>
      </c>
      <c r="I161" s="16" t="n">
        <f aca="false" t="array" ref="I161: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>6.97</v>
      </c>
      <c r="J161" s="16" t="n">
        <f aca="false">IF(D161="","",$B$12)</f>
        <v>0.35</v>
      </c>
      <c r="K161" s="16" t="n">
        <f aca="false">IF(J161="","",J161*$B$15)</f>
        <v>0.9072</v>
      </c>
      <c r="L161" s="16" t="n">
        <f aca="false">IF(D161="","",H161+E161-K161-G161*I161)</f>
        <v>47.5739363412789</v>
      </c>
      <c r="M161" s="16" t="n">
        <f aca="false" t="array" ref="M161: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>7.01172420283369</v>
      </c>
      <c r="N161" s="16" t="n">
        <f aca="false">IF(D161="","",(I161+M161)/2)</f>
        <v>6.99086210141685</v>
      </c>
      <c r="O161" s="16" t="n">
        <f aca="false">IF(D161="","",G161*N161)</f>
        <v>1.12762605695854</v>
      </c>
      <c r="P161" s="16" t="n">
        <f aca="false">IF(D161="","",H161+E161-K161-O161)</f>
        <v>47.5705712843204</v>
      </c>
      <c r="Q161" s="16" t="n">
        <f aca="false">IF(D161="","",IF(P161&gt;=0,K161,MAX(0,K161+P161)))</f>
        <v>0.9072</v>
      </c>
      <c r="R161" s="16" t="n">
        <f aca="false">IF(D161="","",Q161/$B$15)</f>
        <v>0.35</v>
      </c>
      <c r="S161" s="16" t="n">
        <f aca="false">IF(D161="","",MAX(0,J161-R161))</f>
        <v>0</v>
      </c>
      <c r="T161" s="16" t="n">
        <f aca="false">IF(D161="","",MAX(0,Z161-$B$8))</f>
        <v>0.350571284320374</v>
      </c>
      <c r="U161" s="16" t="n">
        <f aca="false">IF(D161="","",MAX(0,MIN($B$8,Z161)))</f>
        <v>47.22</v>
      </c>
      <c r="V161" s="16" t="str">
        <f aca="false">IF(D161="","",IF(S161&gt;0.0000001,"Sim","Não"))</f>
        <v>Não</v>
      </c>
      <c r="W161" s="16" t="n">
        <f aca="false">IF(D161="","",U161-(H161+E161-Q161-O161-T161))</f>
        <v>0</v>
      </c>
      <c r="X161" s="16" t="n">
        <f aca="false">IF(W161="","",ABS(W161))</f>
        <v>0</v>
      </c>
      <c r="Y161" s="16" t="n">
        <f aca="false">IF(U161="","",IF($B$8=0,0,U161/$B$8*100))</f>
        <v>100</v>
      </c>
      <c r="Z161" s="18" t="n">
        <f aca="false">IF(D161="","",MAX(0,IF(P161&gt;=0,P161,IF(K161+P161&gt;=0,0,P161+K161))))</f>
        <v>47.5705712843204</v>
      </c>
      <c r="AA161" s="18" t="n">
        <f aca="false">IF(D161="","",IF(H161&lt;=$B$16,1,IF(H161&gt;=$B$17,$B$21,MATCH(H161,Aux_CAV!$A$2:$A$121,1))))</f>
        <v>14</v>
      </c>
      <c r="AB161" s="18" t="n">
        <f aca="false">IF(D161="","",IF(L161&lt;=$B$16,1,IF(L161&gt;=$B$17,$B$21,MATCH(L161,Aux_CAV!$A$2:$A$121,1))))</f>
        <v>14</v>
      </c>
      <c r="AC161" s="19" t="n">
        <f aca="false">IF(D161="","",COUNT($D$24:D161))</f>
        <v>126</v>
      </c>
    </row>
    <row r="162" customFormat="false" ht="12.75" hidden="false" customHeight="true" outlineLevel="0" collapsed="false">
      <c r="A162" s="14" t="n">
        <f aca="false">IF(D162="","",DATE(B162,C162,1))</f>
        <v>7853</v>
      </c>
      <c r="B162" s="15" t="n">
        <f aca="false" t="array" ref="B162:B162">IF(D162="","",IFERROR(VALUE(INDEX(Vazoes_COLAR!$A$2:$A$200,INT((ROW()-24)/12)+1)),""))</f>
        <v>1921</v>
      </c>
      <c r="C162" s="15" t="n">
        <f aca="false">IF(D162="","",MOD(ROW()-24,12)+1)</f>
        <v>7</v>
      </c>
      <c r="D162" s="16" t="n">
        <f aca="false" t="array" ref="D162: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0.265579989485517</v>
      </c>
      <c r="E162" s="16" t="n">
        <f aca="false">IF(D162="","",D162*$B$15)</f>
        <v>0.68838333274646</v>
      </c>
      <c r="F162" s="16" t="n">
        <f aca="false" t="array" ref="F162:F162">IF(D162="","",IFERROR(INDEX(Dados_Evap!$C$2:$N$15,MATCH($B$9,Dados_Evap!$A$2:$A$15,0),C162),0))</f>
        <v>224.8</v>
      </c>
      <c r="G162" s="16" t="n">
        <f aca="false">IF(F162="","",F162/1000)</f>
        <v>0.2248</v>
      </c>
      <c r="H162" s="16" t="n">
        <f aca="false">IF(D162="","",MAX(0,MIN($B$8,IFERROR(LOOKUP(2,1/($U$24:U161&lt;&gt;""),$U$24:U161),$B$11))))</f>
        <v>47.22</v>
      </c>
      <c r="I162" s="16" t="n">
        <f aca="false" t="array" ref="I162: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>6.97</v>
      </c>
      <c r="J162" s="16" t="n">
        <f aca="false">IF(D162="","",$B$12)</f>
        <v>0.35</v>
      </c>
      <c r="K162" s="16" t="n">
        <f aca="false">IF(J162="","",J162*$B$15)</f>
        <v>0.9072</v>
      </c>
      <c r="L162" s="16" t="n">
        <f aca="false">IF(D162="","",H162+E162-K162-G162*I162)</f>
        <v>45.4343273327465</v>
      </c>
      <c r="M162" s="16" t="n">
        <f aca="false" t="array" ref="M162: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>6.7917134994173</v>
      </c>
      <c r="N162" s="16" t="n">
        <f aca="false">IF(D162="","",(I162+M162)/2)</f>
        <v>6.88085674970865</v>
      </c>
      <c r="O162" s="16" t="n">
        <f aca="false">IF(D162="","",G162*N162)</f>
        <v>1.5468165973345</v>
      </c>
      <c r="P162" s="16" t="n">
        <f aca="false">IF(D162="","",H162+E162-K162-O162)</f>
        <v>45.454366735412</v>
      </c>
      <c r="Q162" s="16" t="n">
        <f aca="false">IF(D162="","",IF(P162&gt;=0,K162,MAX(0,K162+P162)))</f>
        <v>0.9072</v>
      </c>
      <c r="R162" s="16" t="n">
        <f aca="false">IF(D162="","",Q162/$B$15)</f>
        <v>0.35</v>
      </c>
      <c r="S162" s="16" t="n">
        <f aca="false">IF(D162="","",MAX(0,J162-R162))</f>
        <v>0</v>
      </c>
      <c r="T162" s="16" t="n">
        <f aca="false">IF(D162="","",MAX(0,Z162-$B$8))</f>
        <v>0</v>
      </c>
      <c r="U162" s="16" t="n">
        <f aca="false">IF(D162="","",MAX(0,MIN($B$8,Z162)))</f>
        <v>45.454366735412</v>
      </c>
      <c r="V162" s="16" t="str">
        <f aca="false">IF(D162="","",IF(S162&gt;0.0000001,"Sim","Não"))</f>
        <v>Não</v>
      </c>
      <c r="W162" s="16" t="n">
        <f aca="false">IF(D162="","",U162-(H162+E162-Q162-O162-T162))</f>
        <v>0</v>
      </c>
      <c r="X162" s="16" t="n">
        <f aca="false">IF(W162="","",ABS(W162))</f>
        <v>0</v>
      </c>
      <c r="Y162" s="16" t="n">
        <f aca="false">IF(U162="","",IF($B$8=0,0,U162/$B$8*100))</f>
        <v>96.2608359496229</v>
      </c>
      <c r="Z162" s="18" t="n">
        <f aca="false">IF(D162="","",MAX(0,IF(P162&gt;=0,P162,IF(K162+P162&gt;=0,0,P162+K162))))</f>
        <v>45.454366735412</v>
      </c>
      <c r="AA162" s="18" t="n">
        <f aca="false">IF(D162="","",IF(H162&lt;=$B$16,1,IF(H162&gt;=$B$17,$B$21,MATCH(H162,Aux_CAV!$A$2:$A$121,1))))</f>
        <v>14</v>
      </c>
      <c r="AB162" s="18" t="n">
        <f aca="false">IF(D162="","",IF(L162&lt;=$B$16,1,IF(L162&gt;=$B$17,$B$21,MATCH(L162,Aux_CAV!$A$2:$A$121,1))))</f>
        <v>13</v>
      </c>
      <c r="AC162" s="19" t="n">
        <f aca="false">IF(D162="","",COUNT($D$24:D162))</f>
        <v>127</v>
      </c>
    </row>
    <row r="163" customFormat="false" ht="12.75" hidden="false" customHeight="true" outlineLevel="0" collapsed="false">
      <c r="A163" s="14" t="n">
        <f aca="false">IF(D163="","",DATE(B163,C163,1))</f>
        <v>7884</v>
      </c>
      <c r="B163" s="15" t="n">
        <f aca="false" t="array" ref="B163:B163">IF(D163="","",IFERROR(VALUE(INDEX(Vazoes_COLAR!$A$2:$A$200,INT((ROW()-24)/12)+1)),""))</f>
        <v>1921</v>
      </c>
      <c r="C163" s="15" t="n">
        <f aca="false">IF(D163="","",MOD(ROW()-24,12)+1)</f>
        <v>8</v>
      </c>
      <c r="D163" s="16" t="n">
        <f aca="false" t="array" ref="D163: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0.0846285782533084</v>
      </c>
      <c r="E163" s="16" t="n">
        <f aca="false">IF(D163="","",D163*$B$15)</f>
        <v>0.219357274832575</v>
      </c>
      <c r="F163" s="16" t="n">
        <f aca="false" t="array" ref="F163:F163">IF(D163="","",IFERROR(INDEX(Dados_Evap!$C$2:$N$15,MATCH($B$9,Dados_Evap!$A$2:$A$15,0),C163),0))</f>
        <v>268.7</v>
      </c>
      <c r="G163" s="16" t="n">
        <f aca="false">IF(F163="","",F163/1000)</f>
        <v>0.2687</v>
      </c>
      <c r="H163" s="16" t="n">
        <f aca="false">IF(D163="","",MAX(0,MIN($B$8,IFERROR(LOOKUP(2,1/($U$24:U162&lt;&gt;""),$U$24:U162),$B$11))))</f>
        <v>45.454366735412</v>
      </c>
      <c r="I163" s="16" t="n">
        <f aca="false" t="array" ref="I163: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>6.79371428883437</v>
      </c>
      <c r="J163" s="16" t="n">
        <f aca="false">IF(D163="","",$B$12)</f>
        <v>0.35</v>
      </c>
      <c r="K163" s="16" t="n">
        <f aca="false">IF(J163="","",J163*$B$15)</f>
        <v>0.9072</v>
      </c>
      <c r="L163" s="16" t="n">
        <f aca="false">IF(D163="","",H163+E163-K163-G163*I163)</f>
        <v>42.9410529808347</v>
      </c>
      <c r="M163" s="16" t="n">
        <f aca="false" t="array" ref="M163: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>6.54277808849529</v>
      </c>
      <c r="N163" s="16" t="n">
        <f aca="false">IF(D163="","",(I163+M163)/2)</f>
        <v>6.66824618866483</v>
      </c>
      <c r="O163" s="16" t="n">
        <f aca="false">IF(D163="","",G163*N163)</f>
        <v>1.79175775089424</v>
      </c>
      <c r="P163" s="16" t="n">
        <f aca="false">IF(D163="","",H163+E163-K163-O163)</f>
        <v>42.9747662593503</v>
      </c>
      <c r="Q163" s="16" t="n">
        <f aca="false">IF(D163="","",IF(P163&gt;=0,K163,MAX(0,K163+P163)))</f>
        <v>0.9072</v>
      </c>
      <c r="R163" s="16" t="n">
        <f aca="false">IF(D163="","",Q163/$B$15)</f>
        <v>0.35</v>
      </c>
      <c r="S163" s="16" t="n">
        <f aca="false">IF(D163="","",MAX(0,J163-R163))</f>
        <v>0</v>
      </c>
      <c r="T163" s="16" t="n">
        <f aca="false">IF(D163="","",MAX(0,Z163-$B$8))</f>
        <v>0</v>
      </c>
      <c r="U163" s="16" t="n">
        <f aca="false">IF(D163="","",MAX(0,MIN($B$8,Z163)))</f>
        <v>42.9747662593503</v>
      </c>
      <c r="V163" s="16" t="str">
        <f aca="false">IF(D163="","",IF(S163&gt;0.0000001,"Sim","Não"))</f>
        <v>Não</v>
      </c>
      <c r="W163" s="16" t="n">
        <f aca="false">IF(D163="","",U163-(H163+E163-Q163-O163-T163))</f>
        <v>0</v>
      </c>
      <c r="X163" s="16" t="n">
        <f aca="false">IF(W163="","",ABS(W163))</f>
        <v>0</v>
      </c>
      <c r="Y163" s="16" t="n">
        <f aca="false">IF(U163="","",IF($B$8=0,0,U163/$B$8*100))</f>
        <v>91.0096701807503</v>
      </c>
      <c r="Z163" s="18" t="n">
        <f aca="false">IF(D163="","",MAX(0,IF(P163&gt;=0,P163,IF(K163+P163&gt;=0,0,P163+K163))))</f>
        <v>42.9747662593503</v>
      </c>
      <c r="AA163" s="18" t="n">
        <f aca="false">IF(D163="","",IF(H163&lt;=$B$16,1,IF(H163&gt;=$B$17,$B$21,MATCH(H163,Aux_CAV!$A$2:$A$121,1))))</f>
        <v>13</v>
      </c>
      <c r="AB163" s="18" t="n">
        <f aca="false">IF(D163="","",IF(L163&lt;=$B$16,1,IF(L163&gt;=$B$17,$B$21,MATCH(L163,Aux_CAV!$A$2:$A$121,1))))</f>
        <v>13</v>
      </c>
      <c r="AC163" s="19" t="n">
        <f aca="false">IF(D163="","",COUNT($D$24:D163))</f>
        <v>128</v>
      </c>
    </row>
    <row r="164" customFormat="false" ht="12.75" hidden="false" customHeight="true" outlineLevel="0" collapsed="false">
      <c r="A164" s="14" t="n">
        <f aca="false">IF(D164="","",DATE(B164,C164,1))</f>
        <v>7915</v>
      </c>
      <c r="B164" s="15" t="n">
        <f aca="false" t="array" ref="B164:B164">IF(D164="","",IFERROR(VALUE(INDEX(Vazoes_COLAR!$A$2:$A$200,INT((ROW()-24)/12)+1)),""))</f>
        <v>1921</v>
      </c>
      <c r="C164" s="15" t="n">
        <f aca="false">IF(D164="","",MOD(ROW()-24,12)+1)</f>
        <v>9</v>
      </c>
      <c r="D164" s="16" t="n">
        <f aca="false" t="array" ref="D164: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0.0660400288836871</v>
      </c>
      <c r="E164" s="16" t="n">
        <f aca="false">IF(D164="","",D164*$B$15)</f>
        <v>0.171175754866517</v>
      </c>
      <c r="F164" s="16" t="n">
        <f aca="false" t="array" ref="F164:F164">IF(D164="","",IFERROR(INDEX(Dados_Evap!$C$2:$N$15,MATCH($B$9,Dados_Evap!$A$2:$A$15,0),C164),0))</f>
        <v>292.8</v>
      </c>
      <c r="G164" s="16" t="n">
        <f aca="false">IF(F164="","",F164/1000)</f>
        <v>0.2928</v>
      </c>
      <c r="H164" s="16" t="n">
        <f aca="false">IF(D164="","",MAX(0,MIN($B$8,IFERROR(LOOKUP(2,1/($U$24:U163&lt;&gt;""),$U$24:U163),$B$11))))</f>
        <v>42.9747662593503</v>
      </c>
      <c r="I164" s="16" t="n">
        <f aca="false" t="array" ref="I164: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>6.54614411551689</v>
      </c>
      <c r="J164" s="16" t="n">
        <f aca="false">IF(D164="","",$B$12)</f>
        <v>0.35</v>
      </c>
      <c r="K164" s="16" t="n">
        <f aca="false">IF(J164="","",J164*$B$15)</f>
        <v>0.9072</v>
      </c>
      <c r="L164" s="16" t="n">
        <f aca="false">IF(D164="","",H164+E164-K164-G164*I164)</f>
        <v>40.3220310171935</v>
      </c>
      <c r="M164" s="16" t="n">
        <f aca="false" t="array" ref="M164: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>6.2812876880374</v>
      </c>
      <c r="N164" s="16" t="n">
        <f aca="false">IF(D164="","",(I164+M164)/2)</f>
        <v>6.41371590177714</v>
      </c>
      <c r="O164" s="16" t="n">
        <f aca="false">IF(D164="","",G164*N164)</f>
        <v>1.87793601604035</v>
      </c>
      <c r="P164" s="16" t="n">
        <f aca="false">IF(D164="","",H164+E164-K164-O164)</f>
        <v>40.3608059981765</v>
      </c>
      <c r="Q164" s="16" t="n">
        <f aca="false">IF(D164="","",IF(P164&gt;=0,K164,MAX(0,K164+P164)))</f>
        <v>0.9072</v>
      </c>
      <c r="R164" s="16" t="n">
        <f aca="false">IF(D164="","",Q164/$B$15)</f>
        <v>0.35</v>
      </c>
      <c r="S164" s="16" t="n">
        <f aca="false">IF(D164="","",MAX(0,J164-R164))</f>
        <v>0</v>
      </c>
      <c r="T164" s="16" t="n">
        <f aca="false">IF(D164="","",MAX(0,Z164-$B$8))</f>
        <v>0</v>
      </c>
      <c r="U164" s="16" t="n">
        <f aca="false">IF(D164="","",MAX(0,MIN($B$8,Z164)))</f>
        <v>40.3608059981765</v>
      </c>
      <c r="V164" s="16" t="str">
        <f aca="false">IF(D164="","",IF(S164&gt;0.0000001,"Sim","Não"))</f>
        <v>Não</v>
      </c>
      <c r="W164" s="16" t="n">
        <f aca="false">IF(D164="","",U164-(H164+E164-Q164-O164-T164))</f>
        <v>0</v>
      </c>
      <c r="X164" s="16" t="n">
        <f aca="false">IF(W164="","",ABS(W164))</f>
        <v>0</v>
      </c>
      <c r="Y164" s="16" t="n">
        <f aca="false">IF(U164="","",IF($B$8=0,0,U164/$B$8*100))</f>
        <v>85.4739644179933</v>
      </c>
      <c r="Z164" s="18" t="n">
        <f aca="false">IF(D164="","",MAX(0,IF(P164&gt;=0,P164,IF(K164+P164&gt;=0,0,P164+K164))))</f>
        <v>40.3608059981765</v>
      </c>
      <c r="AA164" s="18" t="n">
        <f aca="false">IF(D164="","",IF(H164&lt;=$B$16,1,IF(H164&gt;=$B$17,$B$21,MATCH(H164,Aux_CAV!$A$2:$A$121,1))))</f>
        <v>13</v>
      </c>
      <c r="AB164" s="18" t="n">
        <f aca="false">IF(D164="","",IF(L164&lt;=$B$16,1,IF(L164&gt;=$B$17,$B$21,MATCH(L164,Aux_CAV!$A$2:$A$121,1))))</f>
        <v>13</v>
      </c>
      <c r="AC164" s="19" t="n">
        <f aca="false">IF(D164="","",COUNT($D$24:D164))</f>
        <v>129</v>
      </c>
    </row>
    <row r="165" customFormat="false" ht="12.75" hidden="false" customHeight="true" outlineLevel="0" collapsed="false">
      <c r="A165" s="14" t="n">
        <f aca="false">IF(D165="","",DATE(B165,C165,1))</f>
        <v>7945</v>
      </c>
      <c r="B165" s="15" t="n">
        <f aca="false" t="array" ref="B165:B165">IF(D165="","",IFERROR(VALUE(INDEX(Vazoes_COLAR!$A$2:$A$200,INT((ROW()-24)/12)+1)),""))</f>
        <v>1921</v>
      </c>
      <c r="C165" s="15" t="n">
        <f aca="false">IF(D165="","",MOD(ROW()-24,12)+1)</f>
        <v>10</v>
      </c>
      <c r="D165" s="16" t="n">
        <f aca="false" t="array" ref="D165: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0.104518966277232</v>
      </c>
      <c r="E165" s="16" t="n">
        <f aca="false">IF(D165="","",D165*$B$15)</f>
        <v>0.270913160590585</v>
      </c>
      <c r="F165" s="16" t="n">
        <f aca="false" t="array" ref="F165:F165">IF(D165="","",IFERROR(INDEX(Dados_Evap!$C$2:$N$15,MATCH($B$9,Dados_Evap!$A$2:$A$15,0),C165),0))</f>
        <v>262.9</v>
      </c>
      <c r="G165" s="16" t="n">
        <f aca="false">IF(F165="","",F165/1000)</f>
        <v>0.2629</v>
      </c>
      <c r="H165" s="16" t="n">
        <f aca="false">IF(D165="","",MAX(0,MIN($B$8,IFERROR(LOOKUP(2,1/($U$24:U164&lt;&gt;""),$U$24:U164),$B$11))))</f>
        <v>40.3608059981765</v>
      </c>
      <c r="I165" s="16" t="n">
        <f aca="false" t="array" ref="I165: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>6.28515908944057</v>
      </c>
      <c r="J165" s="16" t="n">
        <f aca="false">IF(D165="","",$B$12)</f>
        <v>0.35</v>
      </c>
      <c r="K165" s="16" t="n">
        <f aca="false">IF(J165="","",J165*$B$15)</f>
        <v>0.9072</v>
      </c>
      <c r="L165" s="16" t="n">
        <f aca="false">IF(D165="","",H165+E165-K165-G165*I165)</f>
        <v>38.0721508341531</v>
      </c>
      <c r="M165" s="16" t="n">
        <f aca="false" t="array" ref="M165: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>6.05665342447912</v>
      </c>
      <c r="N165" s="16" t="n">
        <f aca="false">IF(D165="","",(I165+M165)/2)</f>
        <v>6.17090625695985</v>
      </c>
      <c r="O165" s="16" t="n">
        <f aca="false">IF(D165="","",G165*N165)</f>
        <v>1.62233125495474</v>
      </c>
      <c r="P165" s="16" t="n">
        <f aca="false">IF(D165="","",H165+E165-K165-O165)</f>
        <v>38.1021879038123</v>
      </c>
      <c r="Q165" s="16" t="n">
        <f aca="false">IF(D165="","",IF(P165&gt;=0,K165,MAX(0,K165+P165)))</f>
        <v>0.9072</v>
      </c>
      <c r="R165" s="16" t="n">
        <f aca="false">IF(D165="","",Q165/$B$15)</f>
        <v>0.35</v>
      </c>
      <c r="S165" s="16" t="n">
        <f aca="false">IF(D165="","",MAX(0,J165-R165))</f>
        <v>0</v>
      </c>
      <c r="T165" s="16" t="n">
        <f aca="false">IF(D165="","",MAX(0,Z165-$B$8))</f>
        <v>0</v>
      </c>
      <c r="U165" s="16" t="n">
        <f aca="false">IF(D165="","",MAX(0,MIN($B$8,Z165)))</f>
        <v>38.1021879038123</v>
      </c>
      <c r="V165" s="16" t="str">
        <f aca="false">IF(D165="","",IF(S165&gt;0.0000001,"Sim","Não"))</f>
        <v>Não</v>
      </c>
      <c r="W165" s="16" t="n">
        <f aca="false">IF(D165="","",U165-(H165+E165-Q165-O165-T165))</f>
        <v>0</v>
      </c>
      <c r="X165" s="16" t="n">
        <f aca="false">IF(W165="","",ABS(W165))</f>
        <v>0</v>
      </c>
      <c r="Y165" s="16" t="n">
        <f aca="false">IF(U165="","",IF($B$8=0,0,U165/$B$8*100))</f>
        <v>80.6907833625843</v>
      </c>
      <c r="Z165" s="18" t="n">
        <f aca="false">IF(D165="","",MAX(0,IF(P165&gt;=0,P165,IF(K165+P165&gt;=0,0,P165+K165))))</f>
        <v>38.1021879038123</v>
      </c>
      <c r="AA165" s="18" t="n">
        <f aca="false">IF(D165="","",IF(H165&lt;=$B$16,1,IF(H165&gt;=$B$17,$B$21,MATCH(H165,Aux_CAV!$A$2:$A$121,1))))</f>
        <v>13</v>
      </c>
      <c r="AB165" s="18" t="n">
        <f aca="false">IF(D165="","",IF(L165&lt;=$B$16,1,IF(L165&gt;=$B$17,$B$21,MATCH(L165,Aux_CAV!$A$2:$A$121,1))))</f>
        <v>13</v>
      </c>
      <c r="AC165" s="19" t="n">
        <f aca="false">IF(D165="","",COUNT($D$24:D165))</f>
        <v>130</v>
      </c>
    </row>
    <row r="166" customFormat="false" ht="12.75" hidden="false" customHeight="true" outlineLevel="0" collapsed="false">
      <c r="A166" s="14" t="n">
        <f aca="false">IF(D166="","",DATE(B166,C166,1))</f>
        <v>7976</v>
      </c>
      <c r="B166" s="15" t="n">
        <f aca="false" t="array" ref="B166:B166">IF(D166="","",IFERROR(VALUE(INDEX(Vazoes_COLAR!$A$2:$A$200,INT((ROW()-24)/12)+1)),""))</f>
        <v>1921</v>
      </c>
      <c r="C166" s="15" t="n">
        <f aca="false">IF(D166="","",MOD(ROW()-24,12)+1)</f>
        <v>11</v>
      </c>
      <c r="D166" s="16" t="n">
        <f aca="false" t="array" ref="D166: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0.117367025962075</v>
      </c>
      <c r="E166" s="16" t="n">
        <f aca="false">IF(D166="","",D166*$B$15)</f>
        <v>0.304215331293698</v>
      </c>
      <c r="F166" s="16" t="n">
        <f aca="false" t="array" ref="F166:F166">IF(D166="","",IFERROR(INDEX(Dados_Evap!$C$2:$N$15,MATCH($B$9,Dados_Evap!$A$2:$A$15,0),C166),0))</f>
        <v>223.7</v>
      </c>
      <c r="G166" s="16" t="n">
        <f aca="false">IF(F166="","",F166/1000)</f>
        <v>0.2237</v>
      </c>
      <c r="H166" s="16" t="n">
        <f aca="false">IF(D166="","",MAX(0,MIN($B$8,IFERROR(LOOKUP(2,1/($U$24:U165&lt;&gt;""),$U$24:U165),$B$11))))</f>
        <v>38.1021879038123</v>
      </c>
      <c r="I166" s="16" t="n">
        <f aca="false" t="array" ref="I166: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>6.05965240863535</v>
      </c>
      <c r="J166" s="16" t="n">
        <f aca="false">IF(D166="","",$B$12)</f>
        <v>0.35</v>
      </c>
      <c r="K166" s="16" t="n">
        <f aca="false">IF(J166="","",J166*$B$15)</f>
        <v>0.9072</v>
      </c>
      <c r="L166" s="16" t="n">
        <f aca="false">IF(D166="","",H166+E166-K166-G166*I166)</f>
        <v>36.1436589912943</v>
      </c>
      <c r="M166" s="16" t="n">
        <f aca="false" t="array" ref="M166: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>5.86410746218111</v>
      </c>
      <c r="N166" s="16" t="n">
        <f aca="false">IF(D166="","",(I166+M166)/2)</f>
        <v>5.96187993540823</v>
      </c>
      <c r="O166" s="16" t="n">
        <f aca="false">IF(D166="","",G166*N166)</f>
        <v>1.33367254155082</v>
      </c>
      <c r="P166" s="16" t="n">
        <f aca="false">IF(D166="","",H166+E166-K166-O166)</f>
        <v>36.1655306935552</v>
      </c>
      <c r="Q166" s="16" t="n">
        <f aca="false">IF(D166="","",IF(P166&gt;=0,K166,MAX(0,K166+P166)))</f>
        <v>0.9072</v>
      </c>
      <c r="R166" s="16" t="n">
        <f aca="false">IF(D166="","",Q166/$B$15)</f>
        <v>0.35</v>
      </c>
      <c r="S166" s="16" t="n">
        <f aca="false">IF(D166="","",MAX(0,J166-R166))</f>
        <v>0</v>
      </c>
      <c r="T166" s="16" t="n">
        <f aca="false">IF(D166="","",MAX(0,Z166-$B$8))</f>
        <v>0</v>
      </c>
      <c r="U166" s="16" t="n">
        <f aca="false">IF(D166="","",MAX(0,MIN($B$8,Z166)))</f>
        <v>36.1655306935552</v>
      </c>
      <c r="V166" s="16" t="str">
        <f aca="false">IF(D166="","",IF(S166&gt;0.0000001,"Sim","Não"))</f>
        <v>Não</v>
      </c>
      <c r="W166" s="16" t="n">
        <f aca="false">IF(D166="","",U166-(H166+E166-Q166-O166-T166))</f>
        <v>0</v>
      </c>
      <c r="X166" s="16" t="n">
        <f aca="false">IF(W166="","",ABS(W166))</f>
        <v>0</v>
      </c>
      <c r="Y166" s="16" t="n">
        <f aca="false">IF(U166="","",IF($B$8=0,0,U166/$B$8*100))</f>
        <v>76.5894339126539</v>
      </c>
      <c r="Z166" s="18" t="n">
        <f aca="false">IF(D166="","",MAX(0,IF(P166&gt;=0,P166,IF(K166+P166&gt;=0,0,P166+K166))))</f>
        <v>36.1655306935552</v>
      </c>
      <c r="AA166" s="18" t="n">
        <f aca="false">IF(D166="","",IF(H166&lt;=$B$16,1,IF(H166&gt;=$B$17,$B$21,MATCH(H166,Aux_CAV!$A$2:$A$121,1))))</f>
        <v>13</v>
      </c>
      <c r="AB166" s="18" t="n">
        <f aca="false">IF(D166="","",IF(L166&lt;=$B$16,1,IF(L166&gt;=$B$17,$B$21,MATCH(L166,Aux_CAV!$A$2:$A$121,1))))</f>
        <v>13</v>
      </c>
      <c r="AC166" s="19" t="n">
        <f aca="false">IF(D166="","",COUNT($D$24:D166))</f>
        <v>131</v>
      </c>
    </row>
    <row r="167" customFormat="false" ht="12.75" hidden="false" customHeight="true" outlineLevel="0" collapsed="false">
      <c r="A167" s="14" t="n">
        <f aca="false">IF(D167="","",DATE(B167,C167,1))</f>
        <v>8006</v>
      </c>
      <c r="B167" s="15" t="n">
        <f aca="false" t="array" ref="B167:B167">IF(D167="","",IFERROR(VALUE(INDEX(Vazoes_COLAR!$A$2:$A$200,INT((ROW()-24)/12)+1)),""))</f>
        <v>1921</v>
      </c>
      <c r="C167" s="15" t="n">
        <f aca="false">IF(D167="","",MOD(ROW()-24,12)+1)</f>
        <v>12</v>
      </c>
      <c r="D167" s="16" t="n">
        <f aca="false" t="array" ref="D167: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0.0591678469107378</v>
      </c>
      <c r="E167" s="16" t="n">
        <f aca="false">IF(D167="","",D167*$B$15)</f>
        <v>0.153363059192632</v>
      </c>
      <c r="F167" s="16" t="n">
        <f aca="false" t="array" ref="F167:F167">IF(D167="","",IFERROR(INDEX(Dados_Evap!$C$2:$N$15,MATCH($B$9,Dados_Evap!$A$2:$A$15,0),C167),0))</f>
        <v>216.1</v>
      </c>
      <c r="G167" s="16" t="n">
        <f aca="false">IF(F167="","",F167/1000)</f>
        <v>0.2161</v>
      </c>
      <c r="H167" s="16" t="n">
        <f aca="false">IF(D167="","",MAX(0,MIN($B$8,IFERROR(LOOKUP(2,1/($U$24:U166&lt;&gt;""),$U$24:U166),$B$11))))</f>
        <v>36.1655306935552</v>
      </c>
      <c r="I167" s="16" t="n">
        <f aca="false" t="array" ref="I167: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>5.8662911934603</v>
      </c>
      <c r="J167" s="16" t="n">
        <f aca="false">IF(D167="","",$B$12)</f>
        <v>0.35</v>
      </c>
      <c r="K167" s="16" t="n">
        <f aca="false">IF(J167="","",J167*$B$15)</f>
        <v>0.9072</v>
      </c>
      <c r="L167" s="16" t="n">
        <f aca="false">IF(D167="","",H167+E167-K167-G167*I167)</f>
        <v>34.143988225841</v>
      </c>
      <c r="M167" s="16" t="n">
        <f aca="false" t="array" ref="M167: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>5.66301625258737</v>
      </c>
      <c r="N167" s="16" t="n">
        <f aca="false">IF(D167="","",(I167+M167)/2)</f>
        <v>5.76465372302384</v>
      </c>
      <c r="O167" s="16" t="n">
        <f aca="false">IF(D167="","",G167*N167)</f>
        <v>1.24574166954545</v>
      </c>
      <c r="P167" s="16" t="n">
        <f aca="false">IF(D167="","",H167+E167-K167-O167)</f>
        <v>34.1659520832024</v>
      </c>
      <c r="Q167" s="16" t="n">
        <f aca="false">IF(D167="","",IF(P167&gt;=0,K167,MAX(0,K167+P167)))</f>
        <v>0.9072</v>
      </c>
      <c r="R167" s="16" t="n">
        <f aca="false">IF(D167="","",Q167/$B$15)</f>
        <v>0.35</v>
      </c>
      <c r="S167" s="16" t="n">
        <f aca="false">IF(D167="","",MAX(0,J167-R167))</f>
        <v>0</v>
      </c>
      <c r="T167" s="16" t="n">
        <f aca="false">IF(D167="","",MAX(0,Z167-$B$8))</f>
        <v>0</v>
      </c>
      <c r="U167" s="16" t="n">
        <f aca="false">IF(D167="","",MAX(0,MIN($B$8,Z167)))</f>
        <v>34.1659520832024</v>
      </c>
      <c r="V167" s="16" t="str">
        <f aca="false">IF(D167="","",IF(S167&gt;0.0000001,"Sim","Não"))</f>
        <v>Não</v>
      </c>
      <c r="W167" s="16" t="n">
        <f aca="false">IF(D167="","",U167-(H167+E167-Q167-O167-T167))</f>
        <v>0</v>
      </c>
      <c r="X167" s="16" t="n">
        <f aca="false">IF(W167="","",ABS(W167))</f>
        <v>0</v>
      </c>
      <c r="Y167" s="16" t="n">
        <f aca="false">IF(U167="","",IF($B$8=0,0,U167/$B$8*100))</f>
        <v>72.3548328742108</v>
      </c>
      <c r="Z167" s="18" t="n">
        <f aca="false">IF(D167="","",MAX(0,IF(P167&gt;=0,P167,IF(K167+P167&gt;=0,0,P167+K167))))</f>
        <v>34.1659520832024</v>
      </c>
      <c r="AA167" s="18" t="n">
        <f aca="false">IF(D167="","",IF(H167&lt;=$B$16,1,IF(H167&gt;=$B$17,$B$21,MATCH(H167,Aux_CAV!$A$2:$A$121,1))))</f>
        <v>13</v>
      </c>
      <c r="AB167" s="18" t="n">
        <f aca="false">IF(D167="","",IF(L167&lt;=$B$16,1,IF(L167&gt;=$B$17,$B$21,MATCH(L167,Aux_CAV!$A$2:$A$121,1))))</f>
        <v>12</v>
      </c>
      <c r="AC167" s="19" t="n">
        <f aca="false">IF(D167="","",COUNT($D$24:D167))</f>
        <v>132</v>
      </c>
    </row>
    <row r="168" customFormat="false" ht="12.75" hidden="false" customHeight="true" outlineLevel="0" collapsed="false">
      <c r="A168" s="14" t="n">
        <f aca="false">IF(D168="","",DATE(B168,C168,1))</f>
        <v>8037</v>
      </c>
      <c r="B168" s="15" t="n">
        <f aca="false" t="array" ref="B168:B168">IF(D168="","",IFERROR(VALUE(INDEX(Vazoes_COLAR!$A$2:$A$200,INT((ROW()-24)/12)+1)),""))</f>
        <v>1922</v>
      </c>
      <c r="C168" s="15" t="n">
        <f aca="false">IF(D168="","",MOD(ROW()-24,12)+1)</f>
        <v>1</v>
      </c>
      <c r="D168" s="16" t="n">
        <f aca="false" t="array" ref="D168: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0.138756076228914</v>
      </c>
      <c r="E168" s="16" t="n">
        <f aca="false">IF(D168="","",D168*$B$15)</f>
        <v>0.359655749585345</v>
      </c>
      <c r="F168" s="16" t="n">
        <f aca="false" t="array" ref="F168:F168">IF(D168="","",IFERROR(INDEX(Dados_Evap!$C$2:$N$15,MATCH($B$9,Dados_Evap!$A$2:$A$15,0),C168),0))</f>
        <v>160</v>
      </c>
      <c r="G168" s="16" t="n">
        <f aca="false">IF(F168="","",F168/1000)</f>
        <v>0.16</v>
      </c>
      <c r="H168" s="16" t="n">
        <f aca="false">IF(D168="","",MAX(0,MIN($B$8,IFERROR(LOOKUP(2,1/($U$24:U167&lt;&gt;""),$U$24:U167),$B$11))))</f>
        <v>34.1659520832024</v>
      </c>
      <c r="I168" s="16" t="n">
        <f aca="false" t="array" ref="I168: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>5.66529793485694</v>
      </c>
      <c r="J168" s="16" t="n">
        <f aca="false">IF(D168="","",$B$12)</f>
        <v>0.35</v>
      </c>
      <c r="K168" s="16" t="n">
        <f aca="false">IF(J168="","",J168*$B$15)</f>
        <v>0.9072</v>
      </c>
      <c r="L168" s="16" t="n">
        <f aca="false">IF(D168="","",H168+E168-K168-G168*I168)</f>
        <v>32.7119601632106</v>
      </c>
      <c r="M168" s="16" t="n">
        <f aca="false" t="array" ref="M168: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>5.51425217229469</v>
      </c>
      <c r="N168" s="16" t="n">
        <f aca="false">IF(D168="","",(I168+M168)/2)</f>
        <v>5.58977505357582</v>
      </c>
      <c r="O168" s="16" t="n">
        <f aca="false">IF(D168="","",G168*N168)</f>
        <v>0.894364008572131</v>
      </c>
      <c r="P168" s="16" t="n">
        <f aca="false">IF(D168="","",H168+E168-K168-O168)</f>
        <v>32.7240438242156</v>
      </c>
      <c r="Q168" s="16" t="n">
        <f aca="false">IF(D168="","",IF(P168&gt;=0,K168,MAX(0,K168+P168)))</f>
        <v>0.9072</v>
      </c>
      <c r="R168" s="16" t="n">
        <f aca="false">IF(D168="","",Q168/$B$15)</f>
        <v>0.35</v>
      </c>
      <c r="S168" s="16" t="n">
        <f aca="false">IF(D168="","",MAX(0,J168-R168))</f>
        <v>0</v>
      </c>
      <c r="T168" s="16" t="n">
        <f aca="false">IF(D168="","",MAX(0,Z168-$B$8))</f>
        <v>0</v>
      </c>
      <c r="U168" s="16" t="n">
        <f aca="false">IF(D168="","",MAX(0,MIN($B$8,Z168)))</f>
        <v>32.7240438242156</v>
      </c>
      <c r="V168" s="16" t="str">
        <f aca="false">IF(D168="","",IF(S168&gt;0.0000001,"Sim","Não"))</f>
        <v>Não</v>
      </c>
      <c r="W168" s="16" t="n">
        <f aca="false">IF(D168="","",U168-(H168+E168-Q168-O168-T168))</f>
        <v>0</v>
      </c>
      <c r="X168" s="16" t="n">
        <f aca="false">IF(W168="","",ABS(W168))</f>
        <v>0</v>
      </c>
      <c r="Y168" s="16" t="n">
        <f aca="false">IF(U168="","",IF($B$8=0,0,U168/$B$8*100))</f>
        <v>69.3012363918161</v>
      </c>
      <c r="Z168" s="18" t="n">
        <f aca="false">IF(D168="","",MAX(0,IF(P168&gt;=0,P168,IF(K168+P168&gt;=0,0,P168+K168))))</f>
        <v>32.7240438242156</v>
      </c>
      <c r="AA168" s="18" t="n">
        <f aca="false">IF(D168="","",IF(H168&lt;=$B$16,1,IF(H168&gt;=$B$17,$B$21,MATCH(H168,Aux_CAV!$A$2:$A$121,1))))</f>
        <v>12</v>
      </c>
      <c r="AB168" s="18" t="n">
        <f aca="false">IF(D168="","",IF(L168&lt;=$B$16,1,IF(L168&gt;=$B$17,$B$21,MATCH(L168,Aux_CAV!$A$2:$A$121,1))))</f>
        <v>12</v>
      </c>
      <c r="AC168" s="19" t="n">
        <f aca="false">IF(D168="","",COUNT($D$24:D168))</f>
        <v>133</v>
      </c>
    </row>
    <row r="169" customFormat="false" ht="12.75" hidden="false" customHeight="true" outlineLevel="0" collapsed="false">
      <c r="A169" s="14" t="n">
        <f aca="false">IF(D169="","",DATE(B169,C169,1))</f>
        <v>8068</v>
      </c>
      <c r="B169" s="15" t="n">
        <f aca="false" t="array" ref="B169:B169">IF(D169="","",IFERROR(VALUE(INDEX(Vazoes_COLAR!$A$2:$A$200,INT((ROW()-24)/12)+1)),""))</f>
        <v>1922</v>
      </c>
      <c r="C169" s="15" t="n">
        <f aca="false">IF(D169="","",MOD(ROW()-24,12)+1)</f>
        <v>2</v>
      </c>
      <c r="D169" s="16" t="n">
        <f aca="false" t="array" ref="D169: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0.796501145230457</v>
      </c>
      <c r="E169" s="16" t="n">
        <f aca="false">IF(D169="","",D169*$B$15)</f>
        <v>2.06453096843734</v>
      </c>
      <c r="F169" s="16" t="n">
        <f aca="false" t="array" ref="F169:F169">IF(D169="","",IFERROR(INDEX(Dados_Evap!$C$2:$N$15,MATCH($B$9,Dados_Evap!$A$2:$A$15,0),C169),0))</f>
        <v>124.3</v>
      </c>
      <c r="G169" s="16" t="n">
        <f aca="false">IF(F169="","",F169/1000)</f>
        <v>0.1243</v>
      </c>
      <c r="H169" s="16" t="n">
        <f aca="false">IF(D169="","",MAX(0,MIN($B$8,IFERROR(LOOKUP(2,1/($U$24:U168&lt;&gt;""),$U$24:U168),$B$11))))</f>
        <v>32.7240438242156</v>
      </c>
      <c r="I169" s="16" t="n">
        <f aca="false" t="array" ref="I169: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>5.51550746523404</v>
      </c>
      <c r="J169" s="16" t="n">
        <f aca="false">IF(D169="","",$B$12)</f>
        <v>0.35</v>
      </c>
      <c r="K169" s="16" t="n">
        <f aca="false">IF(J169="","",J169*$B$15)</f>
        <v>0.9072</v>
      </c>
      <c r="L169" s="16" t="n">
        <f aca="false">IF(D169="","",H169+E169-K169-G169*I169)</f>
        <v>33.1957972147243</v>
      </c>
      <c r="M169" s="16" t="n">
        <f aca="false" t="array" ref="M169: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>5.5645148562869</v>
      </c>
      <c r="N169" s="16" t="n">
        <f aca="false">IF(D169="","",(I169+M169)/2)</f>
        <v>5.54001116076047</v>
      </c>
      <c r="O169" s="16" t="n">
        <f aca="false">IF(D169="","",G169*N169)</f>
        <v>0.688623387282526</v>
      </c>
      <c r="P169" s="16" t="n">
        <f aca="false">IF(D169="","",H169+E169-K169-O169)</f>
        <v>33.1927514053704</v>
      </c>
      <c r="Q169" s="16" t="n">
        <f aca="false">IF(D169="","",IF(P169&gt;=0,K169,MAX(0,K169+P169)))</f>
        <v>0.9072</v>
      </c>
      <c r="R169" s="16" t="n">
        <f aca="false">IF(D169="","",Q169/$B$15)</f>
        <v>0.35</v>
      </c>
      <c r="S169" s="16" t="n">
        <f aca="false">IF(D169="","",MAX(0,J169-R169))</f>
        <v>0</v>
      </c>
      <c r="T169" s="16" t="n">
        <f aca="false">IF(D169="","",MAX(0,Z169-$B$8))</f>
        <v>0</v>
      </c>
      <c r="U169" s="16" t="n">
        <f aca="false">IF(D169="","",MAX(0,MIN($B$8,Z169)))</f>
        <v>33.1927514053704</v>
      </c>
      <c r="V169" s="16" t="str">
        <f aca="false">IF(D169="","",IF(S169&gt;0.0000001,"Sim","Não"))</f>
        <v>Não</v>
      </c>
      <c r="W169" s="16" t="n">
        <f aca="false">IF(D169="","",U169-(H169+E169-Q169-O169-T169))</f>
        <v>0</v>
      </c>
      <c r="X169" s="16" t="n">
        <f aca="false">IF(W169="","",ABS(W169))</f>
        <v>0</v>
      </c>
      <c r="Y169" s="16" t="n">
        <f aca="false">IF(U169="","",IF($B$8=0,0,U169/$B$8*100))</f>
        <v>70.2938403332706</v>
      </c>
      <c r="Z169" s="18" t="n">
        <f aca="false">IF(D169="","",MAX(0,IF(P169&gt;=0,P169,IF(K169+P169&gt;=0,0,P169+K169))))</f>
        <v>33.1927514053704</v>
      </c>
      <c r="AA169" s="18" t="n">
        <f aca="false">IF(D169="","",IF(H169&lt;=$B$16,1,IF(H169&gt;=$B$17,$B$21,MATCH(H169,Aux_CAV!$A$2:$A$121,1))))</f>
        <v>12</v>
      </c>
      <c r="AB169" s="18" t="n">
        <f aca="false">IF(D169="","",IF(L169&lt;=$B$16,1,IF(L169&gt;=$B$17,$B$21,MATCH(L169,Aux_CAV!$A$2:$A$121,1))))</f>
        <v>12</v>
      </c>
      <c r="AC169" s="19" t="n">
        <f aca="false">IF(D169="","",COUNT($D$24:D169))</f>
        <v>134</v>
      </c>
    </row>
    <row r="170" customFormat="false" ht="12.75" hidden="false" customHeight="true" outlineLevel="0" collapsed="false">
      <c r="A170" s="14" t="n">
        <f aca="false">IF(D170="","",DATE(B170,C170,1))</f>
        <v>8096</v>
      </c>
      <c r="B170" s="15" t="n">
        <f aca="false" t="array" ref="B170:B170">IF(D170="","",IFERROR(VALUE(INDEX(Vazoes_COLAR!$A$2:$A$200,INT((ROW()-24)/12)+1)),""))</f>
        <v>1922</v>
      </c>
      <c r="C170" s="15" t="n">
        <f aca="false">IF(D170="","",MOD(ROW()-24,12)+1)</f>
        <v>3</v>
      </c>
      <c r="D170" s="16" t="n">
        <f aca="false" t="array" ref="D170: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1.23380774222022</v>
      </c>
      <c r="E170" s="16" t="n">
        <f aca="false">IF(D170="","",D170*$B$15)</f>
        <v>3.19802966783481</v>
      </c>
      <c r="F170" s="16" t="n">
        <f aca="false" t="array" ref="F170:F170">IF(D170="","",IFERROR(INDEX(Dados_Evap!$C$2:$N$15,MATCH($B$9,Dados_Evap!$A$2:$A$15,0),C170),0))</f>
        <v>107.7</v>
      </c>
      <c r="G170" s="16" t="n">
        <f aca="false">IF(F170="","",F170/1000)</f>
        <v>0.1077</v>
      </c>
      <c r="H170" s="16" t="n">
        <f aca="false">IF(D170="","",MAX(0,MIN($B$8,IFERROR(LOOKUP(2,1/($U$24:U169&lt;&gt;""),$U$24:U169),$B$11))))</f>
        <v>33.1927514053704</v>
      </c>
      <c r="I170" s="16" t="n">
        <f aca="false" t="array" ref="I170: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>5.56419844696566</v>
      </c>
      <c r="J170" s="16" t="n">
        <f aca="false">IF(D170="","",$B$12)</f>
        <v>0.35</v>
      </c>
      <c r="K170" s="16" t="n">
        <f aca="false">IF(J170="","",J170*$B$15)</f>
        <v>0.9072</v>
      </c>
      <c r="L170" s="16" t="n">
        <f aca="false">IF(D170="","",H170+E170-K170-G170*I170)</f>
        <v>34.884316900467</v>
      </c>
      <c r="M170" s="16" t="n">
        <f aca="false" t="array" ref="M170: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>5.73837126286109</v>
      </c>
      <c r="N170" s="16" t="n">
        <f aca="false">IF(D170="","",(I170+M170)/2)</f>
        <v>5.65128485491338</v>
      </c>
      <c r="O170" s="16" t="n">
        <f aca="false">IF(D170="","",G170*N170)</f>
        <v>0.608643378874171</v>
      </c>
      <c r="P170" s="16" t="n">
        <f aca="false">IF(D170="","",H170+E170-K170-O170)</f>
        <v>34.874937694331</v>
      </c>
      <c r="Q170" s="16" t="n">
        <f aca="false">IF(D170="","",IF(P170&gt;=0,K170,MAX(0,K170+P170)))</f>
        <v>0.9072</v>
      </c>
      <c r="R170" s="16" t="n">
        <f aca="false">IF(D170="","",Q170/$B$15)</f>
        <v>0.35</v>
      </c>
      <c r="S170" s="16" t="n">
        <f aca="false">IF(D170="","",MAX(0,J170-R170))</f>
        <v>0</v>
      </c>
      <c r="T170" s="16" t="n">
        <f aca="false">IF(D170="","",MAX(0,Z170-$B$8))</f>
        <v>0</v>
      </c>
      <c r="U170" s="16" t="n">
        <f aca="false">IF(D170="","",MAX(0,MIN($B$8,Z170)))</f>
        <v>34.874937694331</v>
      </c>
      <c r="V170" s="16" t="str">
        <f aca="false">IF(D170="","",IF(S170&gt;0.0000001,"Sim","Não"))</f>
        <v>Não</v>
      </c>
      <c r="W170" s="16" t="n">
        <f aca="false">IF(D170="","",U170-(H170+E170-Q170-O170-T170))</f>
        <v>0</v>
      </c>
      <c r="X170" s="16" t="n">
        <f aca="false">IF(W170="","",ABS(W170))</f>
        <v>0</v>
      </c>
      <c r="Y170" s="16" t="n">
        <f aca="false">IF(U170="","",IF($B$8=0,0,U170/$B$8*100))</f>
        <v>73.856284824928</v>
      </c>
      <c r="Z170" s="18" t="n">
        <f aca="false">IF(D170="","",MAX(0,IF(P170&gt;=0,P170,IF(K170+P170&gt;=0,0,P170+K170))))</f>
        <v>34.874937694331</v>
      </c>
      <c r="AA170" s="18" t="n">
        <f aca="false">IF(D170="","",IF(H170&lt;=$B$16,1,IF(H170&gt;=$B$17,$B$21,MATCH(H170,Aux_CAV!$A$2:$A$121,1))))</f>
        <v>12</v>
      </c>
      <c r="AB170" s="18" t="n">
        <f aca="false">IF(D170="","",IF(L170&lt;=$B$16,1,IF(L170&gt;=$B$17,$B$21,MATCH(L170,Aux_CAV!$A$2:$A$121,1))))</f>
        <v>13</v>
      </c>
      <c r="AC170" s="19" t="n">
        <f aca="false">IF(D170="","",COUNT($D$24:D170))</f>
        <v>135</v>
      </c>
    </row>
    <row r="171" customFormat="false" ht="12.75" hidden="false" customHeight="true" outlineLevel="0" collapsed="false">
      <c r="A171" s="14" t="n">
        <f aca="false">IF(D171="","",DATE(B171,C171,1))</f>
        <v>8127</v>
      </c>
      <c r="B171" s="15" t="n">
        <f aca="false" t="array" ref="B171:B171">IF(D171="","",IFERROR(VALUE(INDEX(Vazoes_COLAR!$A$2:$A$200,INT((ROW()-24)/12)+1)),""))</f>
        <v>1922</v>
      </c>
      <c r="C171" s="15" t="n">
        <f aca="false">IF(D171="","",MOD(ROW()-24,12)+1)</f>
        <v>4</v>
      </c>
      <c r="D171" s="16" t="n">
        <f aca="false" t="array" ref="D171: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10.0524586922942</v>
      </c>
      <c r="E171" s="16" t="n">
        <f aca="false">IF(D171="","",D171*$B$15)</f>
        <v>26.0559729304266</v>
      </c>
      <c r="F171" s="16" t="n">
        <f aca="false" t="array" ref="F171:F171">IF(D171="","",IFERROR(INDEX(Dados_Evap!$C$2:$N$15,MATCH($B$9,Dados_Evap!$A$2:$A$15,0),C171),0))</f>
        <v>100.5</v>
      </c>
      <c r="G171" s="16" t="n">
        <f aca="false">IF(F171="","",F171/1000)</f>
        <v>0.1005</v>
      </c>
      <c r="H171" s="16" t="n">
        <f aca="false">IF(D171="","",MAX(0,MIN($B$8,IFERROR(LOOKUP(2,1/($U$24:U170&lt;&gt;""),$U$24:U170),$B$11))))</f>
        <v>34.874937694331</v>
      </c>
      <c r="I171" s="16" t="n">
        <f aca="false" t="array" ref="I171: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>5.73743481696544</v>
      </c>
      <c r="J171" s="16" t="n">
        <f aca="false">IF(D171="","",$B$12)</f>
        <v>0.35</v>
      </c>
      <c r="K171" s="16" t="n">
        <f aca="false">IF(J171="","",J171*$B$15)</f>
        <v>0.9072</v>
      </c>
      <c r="L171" s="16" t="n">
        <f aca="false">IF(D171="","",H171+E171-K171-G171*I171)</f>
        <v>59.4470984256525</v>
      </c>
      <c r="M171" s="16" t="n">
        <f aca="false" t="array" ref="M171: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>8.44011694793793</v>
      </c>
      <c r="N171" s="16" t="n">
        <f aca="false">IF(D171="","",(I171+M171)/2)</f>
        <v>7.08877588245169</v>
      </c>
      <c r="O171" s="16" t="n">
        <f aca="false">IF(D171="","",G171*N171)</f>
        <v>0.712421976186395</v>
      </c>
      <c r="P171" s="16" t="n">
        <f aca="false">IF(D171="","",H171+E171-K171-O171)</f>
        <v>59.3112886485712</v>
      </c>
      <c r="Q171" s="16" t="n">
        <f aca="false">IF(D171="","",IF(P171&gt;=0,K171,MAX(0,K171+P171)))</f>
        <v>0.9072</v>
      </c>
      <c r="R171" s="16" t="n">
        <f aca="false">IF(D171="","",Q171/$B$15)</f>
        <v>0.35</v>
      </c>
      <c r="S171" s="16" t="n">
        <f aca="false">IF(D171="","",MAX(0,J171-R171))</f>
        <v>0</v>
      </c>
      <c r="T171" s="16" t="n">
        <f aca="false">IF(D171="","",MAX(0,Z171-$B$8))</f>
        <v>12.0912886485712</v>
      </c>
      <c r="U171" s="16" t="n">
        <f aca="false">IF(D171="","",MAX(0,MIN($B$8,Z171)))</f>
        <v>47.22</v>
      </c>
      <c r="V171" s="16" t="str">
        <f aca="false">IF(D171="","",IF(S171&gt;0.0000001,"Sim","Não"))</f>
        <v>Não</v>
      </c>
      <c r="W171" s="16" t="n">
        <f aca="false">IF(D171="","",U171-(H171+E171-Q171-O171-T171))</f>
        <v>0</v>
      </c>
      <c r="X171" s="16" t="n">
        <f aca="false">IF(W171="","",ABS(W171))</f>
        <v>0</v>
      </c>
      <c r="Y171" s="16" t="n">
        <f aca="false">IF(U171="","",IF($B$8=0,0,U171/$B$8*100))</f>
        <v>100</v>
      </c>
      <c r="Z171" s="18" t="n">
        <f aca="false">IF(D171="","",MAX(0,IF(P171&gt;=0,P171,IF(K171+P171&gt;=0,0,P171+K171))))</f>
        <v>59.3112886485712</v>
      </c>
      <c r="AA171" s="18" t="n">
        <f aca="false">IF(D171="","",IF(H171&lt;=$B$16,1,IF(H171&gt;=$B$17,$B$21,MATCH(H171,Aux_CAV!$A$2:$A$121,1))))</f>
        <v>13</v>
      </c>
      <c r="AB171" s="18" t="n">
        <f aca="false">IF(D171="","",IF(L171&lt;=$B$16,1,IF(L171&gt;=$B$17,$B$21,MATCH(L171,Aux_CAV!$A$2:$A$121,1))))</f>
        <v>15</v>
      </c>
      <c r="AC171" s="19" t="n">
        <f aca="false">IF(D171="","",COUNT($D$24:D171))</f>
        <v>136</v>
      </c>
    </row>
    <row r="172" customFormat="false" ht="12.75" hidden="false" customHeight="true" outlineLevel="0" collapsed="false">
      <c r="A172" s="14" t="n">
        <f aca="false">IF(D172="","",DATE(B172,C172,1))</f>
        <v>8157</v>
      </c>
      <c r="B172" s="15" t="n">
        <f aca="false" t="array" ref="B172:B172">IF(D172="","",IFERROR(VALUE(INDEX(Vazoes_COLAR!$A$2:$A$200,INT((ROW()-24)/12)+1)),""))</f>
        <v>1922</v>
      </c>
      <c r="C172" s="15" t="n">
        <f aca="false">IF(D172="","",MOD(ROW()-24,12)+1)</f>
        <v>5</v>
      </c>
      <c r="D172" s="16" t="n">
        <f aca="false" t="array" ref="D172: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5.47752383380181</v>
      </c>
      <c r="E172" s="16" t="n">
        <f aca="false">IF(D172="","",D172*$B$15)</f>
        <v>14.1977417772143</v>
      </c>
      <c r="F172" s="16" t="n">
        <f aca="false" t="array" ref="F172:F172">IF(D172="","",IFERROR(INDEX(Dados_Evap!$C$2:$N$15,MATCH($B$9,Dados_Evap!$A$2:$A$15,0),C172),0))</f>
        <v>145.8</v>
      </c>
      <c r="G172" s="16" t="n">
        <f aca="false">IF(F172="","",F172/1000)</f>
        <v>0.1458</v>
      </c>
      <c r="H172" s="16" t="n">
        <f aca="false">IF(D172="","",MAX(0,MIN($B$8,IFERROR(LOOKUP(2,1/($U$24:U171&lt;&gt;""),$U$24:U171),$B$11))))</f>
        <v>47.22</v>
      </c>
      <c r="I172" s="16" t="n">
        <f aca="false" t="array" ref="I172: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>6.97</v>
      </c>
      <c r="J172" s="16" t="n">
        <f aca="false">IF(D172="","",$B$12)</f>
        <v>0.35</v>
      </c>
      <c r="K172" s="16" t="n">
        <f aca="false">IF(J172="","",J172*$B$15)</f>
        <v>0.9072</v>
      </c>
      <c r="L172" s="16" t="n">
        <f aca="false">IF(D172="","",H172+E172-K172-G172*I172)</f>
        <v>59.4943157772143</v>
      </c>
      <c r="M172" s="16" t="n">
        <f aca="false" t="array" ref="M172: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>8.44596290575034</v>
      </c>
      <c r="N172" s="16" t="n">
        <f aca="false">IF(D172="","",(I172+M172)/2)</f>
        <v>7.70798145287517</v>
      </c>
      <c r="O172" s="16" t="n">
        <f aca="false">IF(D172="","",G172*N172)</f>
        <v>1.1238236958292</v>
      </c>
      <c r="P172" s="16" t="n">
        <f aca="false">IF(D172="","",H172+E172-K172-O172)</f>
        <v>59.3867180813851</v>
      </c>
      <c r="Q172" s="16" t="n">
        <f aca="false">IF(D172="","",IF(P172&gt;=0,K172,MAX(0,K172+P172)))</f>
        <v>0.9072</v>
      </c>
      <c r="R172" s="16" t="n">
        <f aca="false">IF(D172="","",Q172/$B$15)</f>
        <v>0.35</v>
      </c>
      <c r="S172" s="16" t="n">
        <f aca="false">IF(D172="","",MAX(0,J172-R172))</f>
        <v>0</v>
      </c>
      <c r="T172" s="16" t="n">
        <f aca="false">IF(D172="","",MAX(0,Z172-$B$8))</f>
        <v>12.1667180813851</v>
      </c>
      <c r="U172" s="16" t="n">
        <f aca="false">IF(D172="","",MAX(0,MIN($B$8,Z172)))</f>
        <v>47.22</v>
      </c>
      <c r="V172" s="16" t="str">
        <f aca="false">IF(D172="","",IF(S172&gt;0.0000001,"Sim","Não"))</f>
        <v>Não</v>
      </c>
      <c r="W172" s="16" t="n">
        <f aca="false">IF(D172="","",U172-(H172+E172-Q172-O172-T172))</f>
        <v>0</v>
      </c>
      <c r="X172" s="16" t="n">
        <f aca="false">IF(W172="","",ABS(W172))</f>
        <v>0</v>
      </c>
      <c r="Y172" s="16" t="n">
        <f aca="false">IF(U172="","",IF($B$8=0,0,U172/$B$8*100))</f>
        <v>100</v>
      </c>
      <c r="Z172" s="18" t="n">
        <f aca="false">IF(D172="","",MAX(0,IF(P172&gt;=0,P172,IF(K172+P172&gt;=0,0,P172+K172))))</f>
        <v>59.3867180813851</v>
      </c>
      <c r="AA172" s="18" t="n">
        <f aca="false">IF(D172="","",IF(H172&lt;=$B$16,1,IF(H172&gt;=$B$17,$B$21,MATCH(H172,Aux_CAV!$A$2:$A$121,1))))</f>
        <v>14</v>
      </c>
      <c r="AB172" s="18" t="n">
        <f aca="false">IF(D172="","",IF(L172&lt;=$B$16,1,IF(L172&gt;=$B$17,$B$21,MATCH(L172,Aux_CAV!$A$2:$A$121,1))))</f>
        <v>15</v>
      </c>
      <c r="AC172" s="19" t="n">
        <f aca="false">IF(D172="","",COUNT($D$24:D172))</f>
        <v>137</v>
      </c>
    </row>
    <row r="173" customFormat="false" ht="12.75" hidden="false" customHeight="true" outlineLevel="0" collapsed="false">
      <c r="A173" s="14" t="n">
        <f aca="false">IF(D173="","",DATE(B173,C173,1))</f>
        <v>8188</v>
      </c>
      <c r="B173" s="15" t="n">
        <f aca="false" t="array" ref="B173:B173">IF(D173="","",IFERROR(VALUE(INDEX(Vazoes_COLAR!$A$2:$A$200,INT((ROW()-24)/12)+1)),""))</f>
        <v>1922</v>
      </c>
      <c r="C173" s="15" t="n">
        <f aca="false">IF(D173="","",MOD(ROW()-24,12)+1)</f>
        <v>6</v>
      </c>
      <c r="D173" s="16" t="n">
        <f aca="false" t="array" ref="D173: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4.36632406047077</v>
      </c>
      <c r="E173" s="16" t="n">
        <f aca="false">IF(D173="","",D173*$B$15)</f>
        <v>11.3175119647402</v>
      </c>
      <c r="F173" s="16" t="n">
        <f aca="false" t="array" ref="F173:F173">IF(D173="","",IFERROR(INDEX(Dados_Evap!$C$2:$N$15,MATCH($B$9,Dados_Evap!$A$2:$A$15,0),C173),0))</f>
        <v>161.3</v>
      </c>
      <c r="G173" s="16" t="n">
        <f aca="false">IF(F173="","",F173/1000)</f>
        <v>0.1613</v>
      </c>
      <c r="H173" s="16" t="n">
        <f aca="false">IF(D173="","",MAX(0,MIN($B$8,IFERROR(LOOKUP(2,1/($U$24:U172&lt;&gt;""),$U$24:U172),$B$11))))</f>
        <v>47.22</v>
      </c>
      <c r="I173" s="16" t="n">
        <f aca="false" t="array" ref="I173: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>6.97</v>
      </c>
      <c r="J173" s="16" t="n">
        <f aca="false">IF(D173="","",$B$12)</f>
        <v>0.35</v>
      </c>
      <c r="K173" s="16" t="n">
        <f aca="false">IF(J173="","",J173*$B$15)</f>
        <v>0.9072</v>
      </c>
      <c r="L173" s="16" t="n">
        <f aca="false">IF(D173="","",H173+E173-K173-G173*I173)</f>
        <v>56.5060509647402</v>
      </c>
      <c r="M173" s="16" t="n">
        <f aca="false" t="array" ref="M173: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>8.07598726230117</v>
      </c>
      <c r="N173" s="16" t="n">
        <f aca="false">IF(D173="","",(I173+M173)/2)</f>
        <v>7.52299363115059</v>
      </c>
      <c r="O173" s="16" t="n">
        <f aca="false">IF(D173="","",G173*N173)</f>
        <v>1.21345887270459</v>
      </c>
      <c r="P173" s="16" t="n">
        <f aca="false">IF(D173="","",H173+E173-K173-O173)</f>
        <v>56.4168530920356</v>
      </c>
      <c r="Q173" s="16" t="n">
        <f aca="false">IF(D173="","",IF(P173&gt;=0,K173,MAX(0,K173+P173)))</f>
        <v>0.9072</v>
      </c>
      <c r="R173" s="16" t="n">
        <f aca="false">IF(D173="","",Q173/$B$15)</f>
        <v>0.35</v>
      </c>
      <c r="S173" s="16" t="n">
        <f aca="false">IF(D173="","",MAX(0,J173-R173))</f>
        <v>0</v>
      </c>
      <c r="T173" s="16" t="n">
        <f aca="false">IF(D173="","",MAX(0,Z173-$B$8))</f>
        <v>9.19685309203564</v>
      </c>
      <c r="U173" s="16" t="n">
        <f aca="false">IF(D173="","",MAX(0,MIN($B$8,Z173)))</f>
        <v>47.22</v>
      </c>
      <c r="V173" s="16" t="str">
        <f aca="false">IF(D173="","",IF(S173&gt;0.0000001,"Sim","Não"))</f>
        <v>Não</v>
      </c>
      <c r="W173" s="16" t="n">
        <f aca="false">IF(D173="","",U173-(H173+E173-Q173-O173-T173))</f>
        <v>0</v>
      </c>
      <c r="X173" s="16" t="n">
        <f aca="false">IF(W173="","",ABS(W173))</f>
        <v>0</v>
      </c>
      <c r="Y173" s="16" t="n">
        <f aca="false">IF(U173="","",IF($B$8=0,0,U173/$B$8*100))</f>
        <v>100</v>
      </c>
      <c r="Z173" s="18" t="n">
        <f aca="false">IF(D173="","",MAX(0,IF(P173&gt;=0,P173,IF(K173+P173&gt;=0,0,P173+K173))))</f>
        <v>56.4168530920356</v>
      </c>
      <c r="AA173" s="18" t="n">
        <f aca="false">IF(D173="","",IF(H173&lt;=$B$16,1,IF(H173&gt;=$B$17,$B$21,MATCH(H173,Aux_CAV!$A$2:$A$121,1))))</f>
        <v>14</v>
      </c>
      <c r="AB173" s="18" t="n">
        <f aca="false">IF(D173="","",IF(L173&lt;=$B$16,1,IF(L173&gt;=$B$17,$B$21,MATCH(L173,Aux_CAV!$A$2:$A$121,1))))</f>
        <v>15</v>
      </c>
      <c r="AC173" s="19" t="n">
        <f aca="false">IF(D173="","",COUNT($D$24:D173))</f>
        <v>138</v>
      </c>
    </row>
    <row r="174" customFormat="false" ht="12.75" hidden="false" customHeight="true" outlineLevel="0" collapsed="false">
      <c r="A174" s="14" t="n">
        <f aca="false">IF(D174="","",DATE(B174,C174,1))</f>
        <v>8218</v>
      </c>
      <c r="B174" s="15" t="n">
        <f aca="false" t="array" ref="B174:B174">IF(D174="","",IFERROR(VALUE(INDEX(Vazoes_COLAR!$A$2:$A$200,INT((ROW()-24)/12)+1)),""))</f>
        <v>1922</v>
      </c>
      <c r="C174" s="15" t="n">
        <f aca="false">IF(D174="","",MOD(ROW()-24,12)+1)</f>
        <v>7</v>
      </c>
      <c r="D174" s="16" t="n">
        <f aca="false" t="array" ref="D174: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0.975733019555347</v>
      </c>
      <c r="E174" s="16" t="n">
        <f aca="false">IF(D174="","",D174*$B$15)</f>
        <v>2.52909998668746</v>
      </c>
      <c r="F174" s="16" t="n">
        <f aca="false" t="array" ref="F174:F174">IF(D174="","",IFERROR(INDEX(Dados_Evap!$C$2:$N$15,MATCH($B$9,Dados_Evap!$A$2:$A$15,0),C174),0))</f>
        <v>224.8</v>
      </c>
      <c r="G174" s="16" t="n">
        <f aca="false">IF(F174="","",F174/1000)</f>
        <v>0.2248</v>
      </c>
      <c r="H174" s="16" t="n">
        <f aca="false">IF(D174="","",MAX(0,MIN($B$8,IFERROR(LOOKUP(2,1/($U$24:U173&lt;&gt;""),$U$24:U173),$B$11))))</f>
        <v>47.22</v>
      </c>
      <c r="I174" s="16" t="n">
        <f aca="false" t="array" ref="I174: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>6.97</v>
      </c>
      <c r="J174" s="16" t="n">
        <f aca="false">IF(D174="","",$B$12)</f>
        <v>0.35</v>
      </c>
      <c r="K174" s="16" t="n">
        <f aca="false">IF(J174="","",J174*$B$15)</f>
        <v>0.9072</v>
      </c>
      <c r="L174" s="16" t="n">
        <f aca="false">IF(D174="","",H174+E174-K174-G174*I174)</f>
        <v>47.2750439866875</v>
      </c>
      <c r="M174" s="16" t="n">
        <f aca="false" t="array" ref="M174: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>6.9764889252599</v>
      </c>
      <c r="N174" s="16" t="n">
        <f aca="false">IF(D174="","",(I174+M174)/2)</f>
        <v>6.97324446262995</v>
      </c>
      <c r="O174" s="16" t="n">
        <f aca="false">IF(D174="","",G174*N174)</f>
        <v>1.56758535519921</v>
      </c>
      <c r="P174" s="16" t="n">
        <f aca="false">IF(D174="","",H174+E174-K174-O174)</f>
        <v>47.2743146314882</v>
      </c>
      <c r="Q174" s="16" t="n">
        <f aca="false">IF(D174="","",IF(P174&gt;=0,K174,MAX(0,K174+P174)))</f>
        <v>0.9072</v>
      </c>
      <c r="R174" s="16" t="n">
        <f aca="false">IF(D174="","",Q174/$B$15)</f>
        <v>0.35</v>
      </c>
      <c r="S174" s="16" t="n">
        <f aca="false">IF(D174="","",MAX(0,J174-R174))</f>
        <v>0</v>
      </c>
      <c r="T174" s="16" t="n">
        <f aca="false">IF(D174="","",MAX(0,Z174-$B$8))</f>
        <v>0.0543146314882392</v>
      </c>
      <c r="U174" s="16" t="n">
        <f aca="false">IF(D174="","",MAX(0,MIN($B$8,Z174)))</f>
        <v>47.22</v>
      </c>
      <c r="V174" s="16" t="str">
        <f aca="false">IF(D174="","",IF(S174&gt;0.0000001,"Sim","Não"))</f>
        <v>Não</v>
      </c>
      <c r="W174" s="16" t="n">
        <f aca="false">IF(D174="","",U174-(H174+E174-Q174-O174-T174))</f>
        <v>0</v>
      </c>
      <c r="X174" s="16" t="n">
        <f aca="false">IF(W174="","",ABS(W174))</f>
        <v>0</v>
      </c>
      <c r="Y174" s="16" t="n">
        <f aca="false">IF(U174="","",IF($B$8=0,0,U174/$B$8*100))</f>
        <v>100</v>
      </c>
      <c r="Z174" s="18" t="n">
        <f aca="false">IF(D174="","",MAX(0,IF(P174&gt;=0,P174,IF(K174+P174&gt;=0,0,P174+K174))))</f>
        <v>47.2743146314882</v>
      </c>
      <c r="AA174" s="18" t="n">
        <f aca="false">IF(D174="","",IF(H174&lt;=$B$16,1,IF(H174&gt;=$B$17,$B$21,MATCH(H174,Aux_CAV!$A$2:$A$121,1))))</f>
        <v>14</v>
      </c>
      <c r="AB174" s="18" t="n">
        <f aca="false">IF(D174="","",IF(L174&lt;=$B$16,1,IF(L174&gt;=$B$17,$B$21,MATCH(L174,Aux_CAV!$A$2:$A$121,1))))</f>
        <v>14</v>
      </c>
      <c r="AC174" s="19" t="n">
        <f aca="false">IF(D174="","",COUNT($D$24:D174))</f>
        <v>139</v>
      </c>
    </row>
    <row r="175" customFormat="false" ht="12.75" hidden="false" customHeight="true" outlineLevel="0" collapsed="false">
      <c r="A175" s="14" t="n">
        <f aca="false">IF(D175="","",DATE(B175,C175,1))</f>
        <v>8249</v>
      </c>
      <c r="B175" s="15" t="n">
        <f aca="false" t="array" ref="B175:B175">IF(D175="","",IFERROR(VALUE(INDEX(Vazoes_COLAR!$A$2:$A$200,INT((ROW()-24)/12)+1)),""))</f>
        <v>1922</v>
      </c>
      <c r="C175" s="15" t="n">
        <f aca="false">IF(D175="","",MOD(ROW()-24,12)+1)</f>
        <v>8</v>
      </c>
      <c r="D175" s="16" t="n">
        <f aca="false" t="array" ref="D175: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0.190271494423481</v>
      </c>
      <c r="E175" s="16" t="n">
        <f aca="false">IF(D175="","",D175*$B$15)</f>
        <v>0.493183713545663</v>
      </c>
      <c r="F175" s="16" t="n">
        <f aca="false" t="array" ref="F175:F175">IF(D175="","",IFERROR(INDEX(Dados_Evap!$C$2:$N$15,MATCH($B$9,Dados_Evap!$A$2:$A$15,0),C175),0))</f>
        <v>268.7</v>
      </c>
      <c r="G175" s="16" t="n">
        <f aca="false">IF(F175="","",F175/1000)</f>
        <v>0.2687</v>
      </c>
      <c r="H175" s="16" t="n">
        <f aca="false">IF(D175="","",MAX(0,MIN($B$8,IFERROR(LOOKUP(2,1/($U$24:U174&lt;&gt;""),$U$24:U174),$B$11))))</f>
        <v>47.22</v>
      </c>
      <c r="I175" s="16" t="n">
        <f aca="false" t="array" ref="I175: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>6.97</v>
      </c>
      <c r="J175" s="16" t="n">
        <f aca="false">IF(D175="","",$B$12)</f>
        <v>0.35</v>
      </c>
      <c r="K175" s="16" t="n">
        <f aca="false">IF(J175="","",J175*$B$15)</f>
        <v>0.9072</v>
      </c>
      <c r="L175" s="16" t="n">
        <f aca="false">IF(D175="","",H175+E175-K175-G175*I175)</f>
        <v>44.9331447135457</v>
      </c>
      <c r="M175" s="16" t="n">
        <f aca="false" t="array" ref="M175: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>6.74167403979583</v>
      </c>
      <c r="N175" s="16" t="n">
        <f aca="false">IF(D175="","",(I175+M175)/2)</f>
        <v>6.85583701989792</v>
      </c>
      <c r="O175" s="16" t="n">
        <f aca="false">IF(D175="","",G175*N175)</f>
        <v>1.84216340724657</v>
      </c>
      <c r="P175" s="16" t="n">
        <f aca="false">IF(D175="","",H175+E175-K175-O175)</f>
        <v>44.9638203062991</v>
      </c>
      <c r="Q175" s="16" t="n">
        <f aca="false">IF(D175="","",IF(P175&gt;=0,K175,MAX(0,K175+P175)))</f>
        <v>0.9072</v>
      </c>
      <c r="R175" s="16" t="n">
        <f aca="false">IF(D175="","",Q175/$B$15)</f>
        <v>0.35</v>
      </c>
      <c r="S175" s="16" t="n">
        <f aca="false">IF(D175="","",MAX(0,J175-R175))</f>
        <v>0</v>
      </c>
      <c r="T175" s="16" t="n">
        <f aca="false">IF(D175="","",MAX(0,Z175-$B$8))</f>
        <v>0</v>
      </c>
      <c r="U175" s="16" t="n">
        <f aca="false">IF(D175="","",MAX(0,MIN($B$8,Z175)))</f>
        <v>44.9638203062991</v>
      </c>
      <c r="V175" s="16" t="str">
        <f aca="false">IF(D175="","",IF(S175&gt;0.0000001,"Sim","Não"))</f>
        <v>Não</v>
      </c>
      <c r="W175" s="16" t="n">
        <f aca="false">IF(D175="","",U175-(H175+E175-Q175-O175-T175))</f>
        <v>0</v>
      </c>
      <c r="X175" s="16" t="n">
        <f aca="false">IF(W175="","",ABS(W175))</f>
        <v>0</v>
      </c>
      <c r="Y175" s="16" t="n">
        <f aca="false">IF(U175="","",IF($B$8=0,0,U175/$B$8*100))</f>
        <v>95.2219828595915</v>
      </c>
      <c r="Z175" s="18" t="n">
        <f aca="false">IF(D175="","",MAX(0,IF(P175&gt;=0,P175,IF(K175+P175&gt;=0,0,P175+K175))))</f>
        <v>44.9638203062991</v>
      </c>
      <c r="AA175" s="18" t="n">
        <f aca="false">IF(D175="","",IF(H175&lt;=$B$16,1,IF(H175&gt;=$B$17,$B$21,MATCH(H175,Aux_CAV!$A$2:$A$121,1))))</f>
        <v>14</v>
      </c>
      <c r="AB175" s="18" t="n">
        <f aca="false">IF(D175="","",IF(L175&lt;=$B$16,1,IF(L175&gt;=$B$17,$B$21,MATCH(L175,Aux_CAV!$A$2:$A$121,1))))</f>
        <v>13</v>
      </c>
      <c r="AC175" s="19" t="n">
        <f aca="false">IF(D175="","",COUNT($D$24:D175))</f>
        <v>140</v>
      </c>
    </row>
    <row r="176" customFormat="false" ht="12.75" hidden="false" customHeight="true" outlineLevel="0" collapsed="false">
      <c r="A176" s="14" t="n">
        <f aca="false">IF(D176="","",DATE(B176,C176,1))</f>
        <v>8280</v>
      </c>
      <c r="B176" s="15" t="n">
        <f aca="false" t="array" ref="B176:B176">IF(D176="","",IFERROR(VALUE(INDEX(Vazoes_COLAR!$A$2:$A$200,INT((ROW()-24)/12)+1)),""))</f>
        <v>1922</v>
      </c>
      <c r="C176" s="15" t="n">
        <f aca="false">IF(D176="","",MOD(ROW()-24,12)+1)</f>
        <v>9</v>
      </c>
      <c r="D176" s="16" t="n">
        <f aca="false" t="array" ref="D176: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0.034379029513866</v>
      </c>
      <c r="E176" s="16" t="n">
        <f aca="false">IF(D176="","",D176*$B$15)</f>
        <v>0.0891104444999407</v>
      </c>
      <c r="F176" s="16" t="n">
        <f aca="false" t="array" ref="F176:F176">IF(D176="","",IFERROR(INDEX(Dados_Evap!$C$2:$N$15,MATCH($B$9,Dados_Evap!$A$2:$A$15,0),C176),0))</f>
        <v>292.8</v>
      </c>
      <c r="G176" s="16" t="n">
        <f aca="false">IF(F176="","",F176/1000)</f>
        <v>0.2928</v>
      </c>
      <c r="H176" s="16" t="n">
        <f aca="false">IF(D176="","",MAX(0,MIN($B$8,IFERROR(LOOKUP(2,1/($U$24:U175&lt;&gt;""),$U$24:U175),$B$11))))</f>
        <v>44.9638203062991</v>
      </c>
      <c r="I176" s="16" t="n">
        <f aca="false" t="array" ref="I176: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>6.74473677586477</v>
      </c>
      <c r="J176" s="16" t="n">
        <f aca="false">IF(D176="","",$B$12)</f>
        <v>0.35</v>
      </c>
      <c r="K176" s="16" t="n">
        <f aca="false">IF(J176="","",J176*$B$15)</f>
        <v>0.9072</v>
      </c>
      <c r="L176" s="16" t="n">
        <f aca="false">IF(D176="","",H176+E176-K176-G176*I176)</f>
        <v>42.1708718228258</v>
      </c>
      <c r="M176" s="16" t="n">
        <f aca="false" t="array" ref="M176: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>6.46588107036076</v>
      </c>
      <c r="N176" s="16" t="n">
        <f aca="false">IF(D176="","",(I176+M176)/2)</f>
        <v>6.60530892311276</v>
      </c>
      <c r="O176" s="16" t="n">
        <f aca="false">IF(D176="","",G176*N176)</f>
        <v>1.93403445268742</v>
      </c>
      <c r="P176" s="16" t="n">
        <f aca="false">IF(D176="","",H176+E176-K176-O176)</f>
        <v>42.2116962981116</v>
      </c>
      <c r="Q176" s="16" t="n">
        <f aca="false">IF(D176="","",IF(P176&gt;=0,K176,MAX(0,K176+P176)))</f>
        <v>0.9072</v>
      </c>
      <c r="R176" s="16" t="n">
        <f aca="false">IF(D176="","",Q176/$B$15)</f>
        <v>0.35</v>
      </c>
      <c r="S176" s="16" t="n">
        <f aca="false">IF(D176="","",MAX(0,J176-R176))</f>
        <v>0</v>
      </c>
      <c r="T176" s="16" t="n">
        <f aca="false">IF(D176="","",MAX(0,Z176-$B$8))</f>
        <v>0</v>
      </c>
      <c r="U176" s="16" t="n">
        <f aca="false">IF(D176="","",MAX(0,MIN($B$8,Z176)))</f>
        <v>42.2116962981116</v>
      </c>
      <c r="V176" s="16" t="str">
        <f aca="false">IF(D176="","",IF(S176&gt;0.0000001,"Sim","Não"))</f>
        <v>Não</v>
      </c>
      <c r="W176" s="16" t="n">
        <f aca="false">IF(D176="","",U176-(H176+E176-Q176-O176-T176))</f>
        <v>0</v>
      </c>
      <c r="X176" s="16" t="n">
        <f aca="false">IF(W176="","",ABS(W176))</f>
        <v>0</v>
      </c>
      <c r="Y176" s="16" t="n">
        <f aca="false">IF(U176="","",IF($B$8=0,0,U176/$B$8*100))</f>
        <v>89.3936812751199</v>
      </c>
      <c r="Z176" s="18" t="n">
        <f aca="false">IF(D176="","",MAX(0,IF(P176&gt;=0,P176,IF(K176+P176&gt;=0,0,P176+K176))))</f>
        <v>42.2116962981116</v>
      </c>
      <c r="AA176" s="18" t="n">
        <f aca="false">IF(D176="","",IF(H176&lt;=$B$16,1,IF(H176&gt;=$B$17,$B$21,MATCH(H176,Aux_CAV!$A$2:$A$121,1))))</f>
        <v>13</v>
      </c>
      <c r="AB176" s="18" t="n">
        <f aca="false">IF(D176="","",IF(L176&lt;=$B$16,1,IF(L176&gt;=$B$17,$B$21,MATCH(L176,Aux_CAV!$A$2:$A$121,1))))</f>
        <v>13</v>
      </c>
      <c r="AC176" s="19" t="n">
        <f aca="false">IF(D176="","",COUNT($D$24:D176))</f>
        <v>141</v>
      </c>
    </row>
    <row r="177" customFormat="false" ht="12.75" hidden="false" customHeight="true" outlineLevel="0" collapsed="false">
      <c r="A177" s="14" t="n">
        <f aca="false">IF(D177="","",DATE(B177,C177,1))</f>
        <v>8310</v>
      </c>
      <c r="B177" s="15" t="n">
        <f aca="false" t="array" ref="B177:B177">IF(D177="","",IFERROR(VALUE(INDEX(Vazoes_COLAR!$A$2:$A$200,INT((ROW()-24)/12)+1)),""))</f>
        <v>1922</v>
      </c>
      <c r="C177" s="15" t="n">
        <f aca="false">IF(D177="","",MOD(ROW()-24,12)+1)</f>
        <v>10</v>
      </c>
      <c r="D177" s="16" t="n">
        <f aca="false" t="array" ref="D177: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0.0969086800204502</v>
      </c>
      <c r="E177" s="16" t="n">
        <f aca="false">IF(D177="","",D177*$B$15)</f>
        <v>0.251187298613007</v>
      </c>
      <c r="F177" s="16" t="n">
        <f aca="false" t="array" ref="F177:F177">IF(D177="","",IFERROR(INDEX(Dados_Evap!$C$2:$N$15,MATCH($B$9,Dados_Evap!$A$2:$A$15,0),C177),0))</f>
        <v>262.9</v>
      </c>
      <c r="G177" s="16" t="n">
        <f aca="false">IF(F177="","",F177/1000)</f>
        <v>0.2629</v>
      </c>
      <c r="H177" s="16" t="n">
        <f aca="false">IF(D177="","",MAX(0,MIN($B$8,IFERROR(LOOKUP(2,1/($U$24:U176&lt;&gt;""),$U$24:U176),$B$11))))</f>
        <v>42.2116962981116</v>
      </c>
      <c r="I177" s="16" t="n">
        <f aca="false" t="array" ref="I177: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>6.46995709894668</v>
      </c>
      <c r="J177" s="16" t="n">
        <f aca="false">IF(D177="","",$B$12)</f>
        <v>0.35</v>
      </c>
      <c r="K177" s="16" t="n">
        <f aca="false">IF(J177="","",J177*$B$15)</f>
        <v>0.9072</v>
      </c>
      <c r="L177" s="16" t="n">
        <f aca="false">IF(D177="","",H177+E177-K177-G177*I177)</f>
        <v>39.8547318754115</v>
      </c>
      <c r="M177" s="16" t="n">
        <f aca="false" t="array" ref="M177: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>6.23463124856703</v>
      </c>
      <c r="N177" s="16" t="n">
        <f aca="false">IF(D177="","",(I177+M177)/2)</f>
        <v>6.35229417375686</v>
      </c>
      <c r="O177" s="16" t="n">
        <f aca="false">IF(D177="","",G177*N177)</f>
        <v>1.67001813828068</v>
      </c>
      <c r="P177" s="16" t="n">
        <f aca="false">IF(D177="","",H177+E177-K177-O177)</f>
        <v>39.8856654584439</v>
      </c>
      <c r="Q177" s="16" t="n">
        <f aca="false">IF(D177="","",IF(P177&gt;=0,K177,MAX(0,K177+P177)))</f>
        <v>0.9072</v>
      </c>
      <c r="R177" s="16" t="n">
        <f aca="false">IF(D177="","",Q177/$B$15)</f>
        <v>0.35</v>
      </c>
      <c r="S177" s="16" t="n">
        <f aca="false">IF(D177="","",MAX(0,J177-R177))</f>
        <v>0</v>
      </c>
      <c r="T177" s="16" t="n">
        <f aca="false">IF(D177="","",MAX(0,Z177-$B$8))</f>
        <v>0</v>
      </c>
      <c r="U177" s="16" t="n">
        <f aca="false">IF(D177="","",MAX(0,MIN($B$8,Z177)))</f>
        <v>39.8856654584439</v>
      </c>
      <c r="V177" s="16" t="str">
        <f aca="false">IF(D177="","",IF(S177&gt;0.0000001,"Sim","Não"))</f>
        <v>Não</v>
      </c>
      <c r="W177" s="16" t="n">
        <f aca="false">IF(D177="","",U177-(H177+E177-Q177-O177-T177))</f>
        <v>0</v>
      </c>
      <c r="X177" s="16" t="n">
        <f aca="false">IF(W177="","",ABS(W177))</f>
        <v>0</v>
      </c>
      <c r="Y177" s="16" t="n">
        <f aca="false">IF(U177="","",IF($B$8=0,0,U177/$B$8*100))</f>
        <v>84.4677370996272</v>
      </c>
      <c r="Z177" s="18" t="n">
        <f aca="false">IF(D177="","",MAX(0,IF(P177&gt;=0,P177,IF(K177+P177&gt;=0,0,P177+K177))))</f>
        <v>39.8856654584439</v>
      </c>
      <c r="AA177" s="18" t="n">
        <f aca="false">IF(D177="","",IF(H177&lt;=$B$16,1,IF(H177&gt;=$B$17,$B$21,MATCH(H177,Aux_CAV!$A$2:$A$121,1))))</f>
        <v>13</v>
      </c>
      <c r="AB177" s="18" t="n">
        <f aca="false">IF(D177="","",IF(L177&lt;=$B$16,1,IF(L177&gt;=$B$17,$B$21,MATCH(L177,Aux_CAV!$A$2:$A$121,1))))</f>
        <v>13</v>
      </c>
      <c r="AC177" s="19" t="n">
        <f aca="false">IF(D177="","",COUNT($D$24:D177))</f>
        <v>142</v>
      </c>
    </row>
    <row r="178" customFormat="false" ht="12.75" hidden="false" customHeight="true" outlineLevel="0" collapsed="false">
      <c r="A178" s="14" t="n">
        <f aca="false">IF(D178="","",DATE(B178,C178,1))</f>
        <v>8341</v>
      </c>
      <c r="B178" s="15" t="n">
        <f aca="false" t="array" ref="B178:B178">IF(D178="","",IFERROR(VALUE(INDEX(Vazoes_COLAR!$A$2:$A$200,INT((ROW()-24)/12)+1)),""))</f>
        <v>1922</v>
      </c>
      <c r="C178" s="15" t="n">
        <f aca="false">IF(D178="","",MOD(ROW()-24,12)+1)</f>
        <v>11</v>
      </c>
      <c r="D178" s="16" t="n">
        <f aca="false" t="array" ref="D178: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0.316448717539385</v>
      </c>
      <c r="E178" s="16" t="n">
        <f aca="false">IF(D178="","",D178*$B$15)</f>
        <v>0.820235075862086</v>
      </c>
      <c r="F178" s="16" t="n">
        <f aca="false" t="array" ref="F178:F178">IF(D178="","",IFERROR(INDEX(Dados_Evap!$C$2:$N$15,MATCH($B$9,Dados_Evap!$A$2:$A$15,0),C178),0))</f>
        <v>223.7</v>
      </c>
      <c r="G178" s="16" t="n">
        <f aca="false">IF(F178="","",F178/1000)</f>
        <v>0.2237</v>
      </c>
      <c r="H178" s="16" t="n">
        <f aca="false">IF(D178="","",MAX(0,MIN($B$8,IFERROR(LOOKUP(2,1/($U$24:U177&lt;&gt;""),$U$24:U177),$B$11))))</f>
        <v>39.8856654584439</v>
      </c>
      <c r="I178" s="16" t="n">
        <f aca="false" t="array" ref="I178: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>6.23771974309936</v>
      </c>
      <c r="J178" s="16" t="n">
        <f aca="false">IF(D178="","",$B$12)</f>
        <v>0.35</v>
      </c>
      <c r="K178" s="16" t="n">
        <f aca="false">IF(J178="","",J178*$B$15)</f>
        <v>0.9072</v>
      </c>
      <c r="L178" s="16" t="n">
        <f aca="false">IF(D178="","",H178+E178-K178-G178*I178)</f>
        <v>38.4033226277747</v>
      </c>
      <c r="M178" s="16" t="n">
        <f aca="false" t="array" ref="M178: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>6.08971853280455</v>
      </c>
      <c r="N178" s="16" t="n">
        <f aca="false">IF(D178="","",(I178+M178)/2)</f>
        <v>6.16371913795195</v>
      </c>
      <c r="O178" s="16" t="n">
        <f aca="false">IF(D178="","",G178*N178)</f>
        <v>1.37882397115985</v>
      </c>
      <c r="P178" s="16" t="n">
        <f aca="false">IF(D178="","",H178+E178-K178-O178)</f>
        <v>38.4198765631462</v>
      </c>
      <c r="Q178" s="16" t="n">
        <f aca="false">IF(D178="","",IF(P178&gt;=0,K178,MAX(0,K178+P178)))</f>
        <v>0.9072</v>
      </c>
      <c r="R178" s="16" t="n">
        <f aca="false">IF(D178="","",Q178/$B$15)</f>
        <v>0.35</v>
      </c>
      <c r="S178" s="16" t="n">
        <f aca="false">IF(D178="","",MAX(0,J178-R178))</f>
        <v>0</v>
      </c>
      <c r="T178" s="16" t="n">
        <f aca="false">IF(D178="","",MAX(0,Z178-$B$8))</f>
        <v>0</v>
      </c>
      <c r="U178" s="16" t="n">
        <f aca="false">IF(D178="","",MAX(0,MIN($B$8,Z178)))</f>
        <v>38.4198765631462</v>
      </c>
      <c r="V178" s="16" t="str">
        <f aca="false">IF(D178="","",IF(S178&gt;0.0000001,"Sim","Não"))</f>
        <v>Não</v>
      </c>
      <c r="W178" s="16" t="n">
        <f aca="false">IF(D178="","",U178-(H178+E178-Q178-O178-T178))</f>
        <v>0</v>
      </c>
      <c r="X178" s="16" t="n">
        <f aca="false">IF(W178="","",ABS(W178))</f>
        <v>0</v>
      </c>
      <c r="Y178" s="16" t="n">
        <f aca="false">IF(U178="","",IF($B$8=0,0,U178/$B$8*100))</f>
        <v>81.3635674780732</v>
      </c>
      <c r="Z178" s="18" t="n">
        <f aca="false">IF(D178="","",MAX(0,IF(P178&gt;=0,P178,IF(K178+P178&gt;=0,0,P178+K178))))</f>
        <v>38.4198765631462</v>
      </c>
      <c r="AA178" s="18" t="n">
        <f aca="false">IF(D178="","",IF(H178&lt;=$B$16,1,IF(H178&gt;=$B$17,$B$21,MATCH(H178,Aux_CAV!$A$2:$A$121,1))))</f>
        <v>13</v>
      </c>
      <c r="AB178" s="18" t="n">
        <f aca="false">IF(D178="","",IF(L178&lt;=$B$16,1,IF(L178&gt;=$B$17,$B$21,MATCH(L178,Aux_CAV!$A$2:$A$121,1))))</f>
        <v>13</v>
      </c>
      <c r="AC178" s="19" t="n">
        <f aca="false">IF(D178="","",COUNT($D$24:D178))</f>
        <v>143</v>
      </c>
    </row>
    <row r="179" customFormat="false" ht="12.75" hidden="false" customHeight="true" outlineLevel="0" collapsed="false">
      <c r="A179" s="14" t="n">
        <f aca="false">IF(D179="","",DATE(B179,C179,1))</f>
        <v>8371</v>
      </c>
      <c r="B179" s="15" t="n">
        <f aca="false" t="array" ref="B179:B179">IF(D179="","",IFERROR(VALUE(INDEX(Vazoes_COLAR!$A$2:$A$200,INT((ROW()-24)/12)+1)),""))</f>
        <v>1922</v>
      </c>
      <c r="C179" s="15" t="n">
        <f aca="false">IF(D179="","",MOD(ROW()-24,12)+1)</f>
        <v>12</v>
      </c>
      <c r="D179" s="16" t="n">
        <f aca="false" t="array" ref="D179: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0.154631145118944</v>
      </c>
      <c r="E179" s="16" t="n">
        <f aca="false">IF(D179="","",D179*$B$15)</f>
        <v>0.400803928148303</v>
      </c>
      <c r="F179" s="16" t="n">
        <f aca="false" t="array" ref="F179:F179">IF(D179="","",IFERROR(INDEX(Dados_Evap!$C$2:$N$15,MATCH($B$9,Dados_Evap!$A$2:$A$15,0),C179),0))</f>
        <v>216.1</v>
      </c>
      <c r="G179" s="16" t="n">
        <f aca="false">IF(F179="","",F179/1000)</f>
        <v>0.2161</v>
      </c>
      <c r="H179" s="16" t="n">
        <f aca="false">IF(D179="","",MAX(0,MIN($B$8,IFERROR(LOOKUP(2,1/($U$24:U178&lt;&gt;""),$U$24:U178),$B$11))))</f>
        <v>38.4198765631462</v>
      </c>
      <c r="I179" s="16" t="n">
        <f aca="false" t="array" ref="I179: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>6.09137132352167</v>
      </c>
      <c r="J179" s="16" t="n">
        <f aca="false">IF(D179="","",$B$12)</f>
        <v>0.35</v>
      </c>
      <c r="K179" s="16" t="n">
        <f aca="false">IF(J179="","",J179*$B$15)</f>
        <v>0.9072</v>
      </c>
      <c r="L179" s="16" t="n">
        <f aca="false">IF(D179="","",H179+E179-K179-G179*I179)</f>
        <v>36.5971351482814</v>
      </c>
      <c r="M179" s="16" t="n">
        <f aca="false" t="array" ref="M179: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>5.90938377659728</v>
      </c>
      <c r="N179" s="16" t="n">
        <f aca="false">IF(D179="","",(I179+M179)/2)</f>
        <v>6.00037755005948</v>
      </c>
      <c r="O179" s="16" t="n">
        <f aca="false">IF(D179="","",G179*N179)</f>
        <v>1.29668158856785</v>
      </c>
      <c r="P179" s="16" t="n">
        <f aca="false">IF(D179="","",H179+E179-K179-O179)</f>
        <v>36.6167989027266</v>
      </c>
      <c r="Q179" s="16" t="n">
        <f aca="false">IF(D179="","",IF(P179&gt;=0,K179,MAX(0,K179+P179)))</f>
        <v>0.9072</v>
      </c>
      <c r="R179" s="16" t="n">
        <f aca="false">IF(D179="","",Q179/$B$15)</f>
        <v>0.35</v>
      </c>
      <c r="S179" s="16" t="n">
        <f aca="false">IF(D179="","",MAX(0,J179-R179))</f>
        <v>0</v>
      </c>
      <c r="T179" s="16" t="n">
        <f aca="false">IF(D179="","",MAX(0,Z179-$B$8))</f>
        <v>0</v>
      </c>
      <c r="U179" s="16" t="n">
        <f aca="false">IF(D179="","",MAX(0,MIN($B$8,Z179)))</f>
        <v>36.6167989027266</v>
      </c>
      <c r="V179" s="16" t="str">
        <f aca="false">IF(D179="","",IF(S179&gt;0.0000001,"Sim","Não"))</f>
        <v>Não</v>
      </c>
      <c r="W179" s="16" t="n">
        <f aca="false">IF(D179="","",U179-(H179+E179-Q179-O179-T179))</f>
        <v>0</v>
      </c>
      <c r="X179" s="16" t="n">
        <f aca="false">IF(W179="","",ABS(W179))</f>
        <v>0</v>
      </c>
      <c r="Y179" s="16" t="n">
        <f aca="false">IF(U179="","",IF($B$8=0,0,U179/$B$8*100))</f>
        <v>77.5451056813355</v>
      </c>
      <c r="Z179" s="18" t="n">
        <f aca="false">IF(D179="","",MAX(0,IF(P179&gt;=0,P179,IF(K179+P179&gt;=0,0,P179+K179))))</f>
        <v>36.6167989027266</v>
      </c>
      <c r="AA179" s="18" t="n">
        <f aca="false">IF(D179="","",IF(H179&lt;=$B$16,1,IF(H179&gt;=$B$17,$B$21,MATCH(H179,Aux_CAV!$A$2:$A$121,1))))</f>
        <v>13</v>
      </c>
      <c r="AB179" s="18" t="n">
        <f aca="false">IF(D179="","",IF(L179&lt;=$B$16,1,IF(L179&gt;=$B$17,$B$21,MATCH(L179,Aux_CAV!$A$2:$A$121,1))))</f>
        <v>13</v>
      </c>
      <c r="AC179" s="19" t="n">
        <f aca="false">IF(D179="","",COUNT($D$24:D179))</f>
        <v>144</v>
      </c>
    </row>
    <row r="180" customFormat="false" ht="12.75" hidden="false" customHeight="true" outlineLevel="0" collapsed="false">
      <c r="A180" s="14" t="n">
        <f aca="false">IF(D180="","",DATE(B180,C180,1))</f>
        <v>8402</v>
      </c>
      <c r="B180" s="15" t="n">
        <f aca="false" t="array" ref="B180:B180">IF(D180="","",IFERROR(VALUE(INDEX(Vazoes_COLAR!$A$2:$A$200,INT((ROW()-24)/12)+1)),""))</f>
        <v>1923</v>
      </c>
      <c r="C180" s="15" t="n">
        <f aca="false">IF(D180="","",MOD(ROW()-24,12)+1)</f>
        <v>1</v>
      </c>
      <c r="D180" s="16" t="n">
        <f aca="false" t="array" ref="D180: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0.411791899695247</v>
      </c>
      <c r="E180" s="16" t="n">
        <f aca="false">IF(D180="","",D180*$B$15)</f>
        <v>1.06736460401008</v>
      </c>
      <c r="F180" s="16" t="n">
        <f aca="false" t="array" ref="F180:F180">IF(D180="","",IFERROR(INDEX(Dados_Evap!$C$2:$N$15,MATCH($B$9,Dados_Evap!$A$2:$A$15,0),C180),0))</f>
        <v>160</v>
      </c>
      <c r="G180" s="16" t="n">
        <f aca="false">IF(F180="","",F180/1000)</f>
        <v>0.16</v>
      </c>
      <c r="H180" s="16" t="n">
        <f aca="false">IF(D180="","",MAX(0,MIN($B$8,IFERROR(LOOKUP(2,1/($U$24:U179&lt;&gt;""),$U$24:U179),$B$11))))</f>
        <v>36.6167989027266</v>
      </c>
      <c r="I180" s="16" t="n">
        <f aca="false" t="array" ref="I180: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>5.91134706025651</v>
      </c>
      <c r="J180" s="16" t="n">
        <f aca="false">IF(D180="","",$B$12)</f>
        <v>0.35</v>
      </c>
      <c r="K180" s="16" t="n">
        <f aca="false">IF(J180="","",J180*$B$15)</f>
        <v>0.9072</v>
      </c>
      <c r="L180" s="16" t="n">
        <f aca="false">IF(D180="","",H180+E180-K180-G180*I180)</f>
        <v>35.8311479770957</v>
      </c>
      <c r="M180" s="16" t="n">
        <f aca="false" t="array" ref="M180: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>5.83290549771317</v>
      </c>
      <c r="N180" s="16" t="n">
        <f aca="false">IF(D180="","",(I180+M180)/2)</f>
        <v>5.87212627898484</v>
      </c>
      <c r="O180" s="16" t="n">
        <f aca="false">IF(D180="","",G180*N180)</f>
        <v>0.939540204637574</v>
      </c>
      <c r="P180" s="16" t="n">
        <f aca="false">IF(D180="","",H180+E180-K180-O180)</f>
        <v>35.8374233020991</v>
      </c>
      <c r="Q180" s="16" t="n">
        <f aca="false">IF(D180="","",IF(P180&gt;=0,K180,MAX(0,K180+P180)))</f>
        <v>0.9072</v>
      </c>
      <c r="R180" s="16" t="n">
        <f aca="false">IF(D180="","",Q180/$B$15)</f>
        <v>0.35</v>
      </c>
      <c r="S180" s="16" t="n">
        <f aca="false">IF(D180="","",MAX(0,J180-R180))</f>
        <v>0</v>
      </c>
      <c r="T180" s="16" t="n">
        <f aca="false">IF(D180="","",MAX(0,Z180-$B$8))</f>
        <v>0</v>
      </c>
      <c r="U180" s="16" t="n">
        <f aca="false">IF(D180="","",MAX(0,MIN($B$8,Z180)))</f>
        <v>35.8374233020991</v>
      </c>
      <c r="V180" s="16" t="str">
        <f aca="false">IF(D180="","",IF(S180&gt;0.0000001,"Sim","Não"))</f>
        <v>Não</v>
      </c>
      <c r="W180" s="16" t="n">
        <f aca="false">IF(D180="","",U180-(H180+E180-Q180-O180-T180))</f>
        <v>0</v>
      </c>
      <c r="X180" s="16" t="n">
        <f aca="false">IF(W180="","",ABS(W180))</f>
        <v>0</v>
      </c>
      <c r="Y180" s="16" t="n">
        <f aca="false">IF(U180="","",IF($B$8=0,0,U180/$B$8*100))</f>
        <v>75.8945855614128</v>
      </c>
      <c r="Z180" s="18" t="n">
        <f aca="false">IF(D180="","",MAX(0,IF(P180&gt;=0,P180,IF(K180+P180&gt;=0,0,P180+K180))))</f>
        <v>35.8374233020991</v>
      </c>
      <c r="AA180" s="18" t="n">
        <f aca="false">IF(D180="","",IF(H180&lt;=$B$16,1,IF(H180&gt;=$B$17,$B$21,MATCH(H180,Aux_CAV!$A$2:$A$121,1))))</f>
        <v>13</v>
      </c>
      <c r="AB180" s="18" t="n">
        <f aca="false">IF(D180="","",IF(L180&lt;=$B$16,1,IF(L180&gt;=$B$17,$B$21,MATCH(L180,Aux_CAV!$A$2:$A$121,1))))</f>
        <v>13</v>
      </c>
      <c r="AC180" s="19" t="n">
        <f aca="false">IF(D180="","",COUNT($D$24:D180))</f>
        <v>145</v>
      </c>
    </row>
    <row r="181" customFormat="false" ht="12.75" hidden="false" customHeight="true" outlineLevel="0" collapsed="false">
      <c r="A181" s="14" t="n">
        <f aca="false">IF(D181="","",DATE(B181,C181,1))</f>
        <v>8433</v>
      </c>
      <c r="B181" s="15" t="n">
        <f aca="false" t="array" ref="B181:B181">IF(D181="","",IFERROR(VALUE(INDEX(Vazoes_COLAR!$A$2:$A$200,INT((ROW()-24)/12)+1)),""))</f>
        <v>1923</v>
      </c>
      <c r="C181" s="15" t="n">
        <f aca="false">IF(D181="","",MOD(ROW()-24,12)+1)</f>
        <v>2</v>
      </c>
      <c r="D181" s="16" t="n">
        <f aca="false" t="array" ref="D181: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3.80727905659156</v>
      </c>
      <c r="E181" s="16" t="n">
        <f aca="false">IF(D181="","",D181*$B$15)</f>
        <v>9.86846731468532</v>
      </c>
      <c r="F181" s="16" t="n">
        <f aca="false" t="array" ref="F181:F181">IF(D181="","",IFERROR(INDEX(Dados_Evap!$C$2:$N$15,MATCH($B$9,Dados_Evap!$A$2:$A$15,0),C181),0))</f>
        <v>124.3</v>
      </c>
      <c r="G181" s="16" t="n">
        <f aca="false">IF(F181="","",F181/1000)</f>
        <v>0.1243</v>
      </c>
      <c r="H181" s="16" t="n">
        <f aca="false">IF(D181="","",MAX(0,MIN($B$8,IFERROR(LOOKUP(2,1/($U$24:U180&lt;&gt;""),$U$24:U180),$B$11))))</f>
        <v>35.8374233020991</v>
      </c>
      <c r="I181" s="16" t="n">
        <f aca="false" t="array" ref="I181: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>5.83353204352719</v>
      </c>
      <c r="J181" s="16" t="n">
        <f aca="false">IF(D181="","",$B$12)</f>
        <v>0.35</v>
      </c>
      <c r="K181" s="16" t="n">
        <f aca="false">IF(J181="","",J181*$B$15)</f>
        <v>0.9072</v>
      </c>
      <c r="L181" s="16" t="n">
        <f aca="false">IF(D181="","",H181+E181-K181-G181*I181)</f>
        <v>44.073582583774</v>
      </c>
      <c r="M181" s="16" t="n">
        <f aca="false" t="array" ref="M181: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>6.65585297809693</v>
      </c>
      <c r="N181" s="16" t="n">
        <f aca="false">IF(D181="","",(I181+M181)/2)</f>
        <v>6.24469251081206</v>
      </c>
      <c r="O181" s="16" t="n">
        <f aca="false">IF(D181="","",G181*N181)</f>
        <v>0.77621527909394</v>
      </c>
      <c r="P181" s="16" t="n">
        <f aca="false">IF(D181="","",H181+E181-K181-O181)</f>
        <v>44.0224753376905</v>
      </c>
      <c r="Q181" s="16" t="n">
        <f aca="false">IF(D181="","",IF(P181&gt;=0,K181,MAX(0,K181+P181)))</f>
        <v>0.9072</v>
      </c>
      <c r="R181" s="16" t="n">
        <f aca="false">IF(D181="","",Q181/$B$15)</f>
        <v>0.35</v>
      </c>
      <c r="S181" s="16" t="n">
        <f aca="false">IF(D181="","",MAX(0,J181-R181))</f>
        <v>0</v>
      </c>
      <c r="T181" s="16" t="n">
        <f aca="false">IF(D181="","",MAX(0,Z181-$B$8))</f>
        <v>0</v>
      </c>
      <c r="U181" s="16" t="n">
        <f aca="false">IF(D181="","",MAX(0,MIN($B$8,Z181)))</f>
        <v>44.0224753376905</v>
      </c>
      <c r="V181" s="16" t="str">
        <f aca="false">IF(D181="","",IF(S181&gt;0.0000001,"Sim","Não"))</f>
        <v>Não</v>
      </c>
      <c r="W181" s="16" t="n">
        <f aca="false">IF(D181="","",U181-(H181+E181-Q181-O181-T181))</f>
        <v>0</v>
      </c>
      <c r="X181" s="16" t="n">
        <f aca="false">IF(W181="","",ABS(W181))</f>
        <v>0</v>
      </c>
      <c r="Y181" s="16" t="n">
        <f aca="false">IF(U181="","",IF($B$8=0,0,U181/$B$8*100))</f>
        <v>93.2284526422925</v>
      </c>
      <c r="Z181" s="18" t="n">
        <f aca="false">IF(D181="","",MAX(0,IF(P181&gt;=0,P181,IF(K181+P181&gt;=0,0,P181+K181))))</f>
        <v>44.0224753376905</v>
      </c>
      <c r="AA181" s="18" t="n">
        <f aca="false">IF(D181="","",IF(H181&lt;=$B$16,1,IF(H181&gt;=$B$17,$B$21,MATCH(H181,Aux_CAV!$A$2:$A$121,1))))</f>
        <v>13</v>
      </c>
      <c r="AB181" s="18" t="n">
        <f aca="false">IF(D181="","",IF(L181&lt;=$B$16,1,IF(L181&gt;=$B$17,$B$21,MATCH(L181,Aux_CAV!$A$2:$A$121,1))))</f>
        <v>13</v>
      </c>
      <c r="AC181" s="19" t="n">
        <f aca="false">IF(D181="","",COUNT($D$24:D181))</f>
        <v>146</v>
      </c>
    </row>
    <row r="182" customFormat="false" ht="12.75" hidden="false" customHeight="true" outlineLevel="0" collapsed="false">
      <c r="A182" s="14" t="n">
        <f aca="false">IF(D182="","",DATE(B182,C182,1))</f>
        <v>8461</v>
      </c>
      <c r="B182" s="15" t="n">
        <f aca="false" t="array" ref="B182:B182">IF(D182="","",IFERROR(VALUE(INDEX(Vazoes_COLAR!$A$2:$A$200,INT((ROW()-24)/12)+1)),""))</f>
        <v>1923</v>
      </c>
      <c r="C182" s="15" t="n">
        <f aca="false">IF(D182="","",MOD(ROW()-24,12)+1)</f>
        <v>3</v>
      </c>
      <c r="D182" s="16" t="n">
        <f aca="false" t="array" ref="D182: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3.46155346537617</v>
      </c>
      <c r="E182" s="16" t="n">
        <f aca="false">IF(D182="","",D182*$B$15)</f>
        <v>8.97234658225503</v>
      </c>
      <c r="F182" s="16" t="n">
        <f aca="false" t="array" ref="F182:F182">IF(D182="","",IFERROR(INDEX(Dados_Evap!$C$2:$N$15,MATCH($B$9,Dados_Evap!$A$2:$A$15,0),C182),0))</f>
        <v>107.7</v>
      </c>
      <c r="G182" s="16" t="n">
        <f aca="false">IF(F182="","",F182/1000)</f>
        <v>0.1077</v>
      </c>
      <c r="H182" s="16" t="n">
        <f aca="false">IF(D182="","",MAX(0,MIN($B$8,IFERROR(LOOKUP(2,1/($U$24:U181&lt;&gt;""),$U$24:U181),$B$11))))</f>
        <v>44.0224753376905</v>
      </c>
      <c r="I182" s="16" t="n">
        <f aca="false" t="array" ref="I182: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>6.6507502892191</v>
      </c>
      <c r="J182" s="16" t="n">
        <f aca="false">IF(D182="","",$B$12)</f>
        <v>0.35</v>
      </c>
      <c r="K182" s="16" t="n">
        <f aca="false">IF(J182="","",J182*$B$15)</f>
        <v>0.9072</v>
      </c>
      <c r="L182" s="16" t="n">
        <f aca="false">IF(D182="","",H182+E182-K182-G182*I182)</f>
        <v>51.3713361137966</v>
      </c>
      <c r="M182" s="16" t="n">
        <f aca="false" t="array" ref="M182: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>7.45938515162643</v>
      </c>
      <c r="N182" s="16" t="n">
        <f aca="false">IF(D182="","",(I182+M182)/2)</f>
        <v>7.05506772042277</v>
      </c>
      <c r="O182" s="16" t="n">
        <f aca="false">IF(D182="","",G182*N182)</f>
        <v>0.759830793489532</v>
      </c>
      <c r="P182" s="16" t="n">
        <f aca="false">IF(D182="","",H182+E182-K182-O182)</f>
        <v>51.327791126456</v>
      </c>
      <c r="Q182" s="16" t="n">
        <f aca="false">IF(D182="","",IF(P182&gt;=0,K182,MAX(0,K182+P182)))</f>
        <v>0.9072</v>
      </c>
      <c r="R182" s="16" t="n">
        <f aca="false">IF(D182="","",Q182/$B$15)</f>
        <v>0.35</v>
      </c>
      <c r="S182" s="16" t="n">
        <f aca="false">IF(D182="","",MAX(0,J182-R182))</f>
        <v>0</v>
      </c>
      <c r="T182" s="16" t="n">
        <f aca="false">IF(D182="","",MAX(0,Z182-$B$8))</f>
        <v>4.10779112645601</v>
      </c>
      <c r="U182" s="16" t="n">
        <f aca="false">IF(D182="","",MAX(0,MIN($B$8,Z182)))</f>
        <v>47.22</v>
      </c>
      <c r="V182" s="16" t="str">
        <f aca="false">IF(D182="","",IF(S182&gt;0.0000001,"Sim","Não"))</f>
        <v>Não</v>
      </c>
      <c r="W182" s="16" t="n">
        <f aca="false">IF(D182="","",U182-(H182+E182-Q182-O182-T182))</f>
        <v>0</v>
      </c>
      <c r="X182" s="16" t="n">
        <f aca="false">IF(W182="","",ABS(W182))</f>
        <v>0</v>
      </c>
      <c r="Y182" s="16" t="n">
        <f aca="false">IF(U182="","",IF($B$8=0,0,U182/$B$8*100))</f>
        <v>100</v>
      </c>
      <c r="Z182" s="18" t="n">
        <f aca="false">IF(D182="","",MAX(0,IF(P182&gt;=0,P182,IF(K182+P182&gt;=0,0,P182+K182))))</f>
        <v>51.327791126456</v>
      </c>
      <c r="AA182" s="18" t="n">
        <f aca="false">IF(D182="","",IF(H182&lt;=$B$16,1,IF(H182&gt;=$B$17,$B$21,MATCH(H182,Aux_CAV!$A$2:$A$121,1))))</f>
        <v>13</v>
      </c>
      <c r="AB182" s="18" t="n">
        <f aca="false">IF(D182="","",IF(L182&lt;=$B$16,1,IF(L182&gt;=$B$17,$B$21,MATCH(L182,Aux_CAV!$A$2:$A$121,1))))</f>
        <v>14</v>
      </c>
      <c r="AC182" s="19" t="n">
        <f aca="false">IF(D182="","",COUNT($D$24:D182))</f>
        <v>147</v>
      </c>
    </row>
    <row r="183" customFormat="false" ht="12.75" hidden="false" customHeight="true" outlineLevel="0" collapsed="false">
      <c r="A183" s="14" t="n">
        <f aca="false">IF(D183="","",DATE(B183,C183,1))</f>
        <v>8492</v>
      </c>
      <c r="B183" s="15" t="n">
        <f aca="false" t="array" ref="B183:B183">IF(D183="","",IFERROR(VALUE(INDEX(Vazoes_COLAR!$A$2:$A$200,INT((ROW()-24)/12)+1)),""))</f>
        <v>1923</v>
      </c>
      <c r="C183" s="15" t="n">
        <f aca="false">IF(D183="","",MOD(ROW()-24,12)+1)</f>
        <v>4</v>
      </c>
      <c r="D183" s="16" t="n">
        <f aca="false" t="array" ref="D183: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4.98977273849407</v>
      </c>
      <c r="E183" s="16" t="n">
        <f aca="false">IF(D183="","",D183*$B$15)</f>
        <v>12.9334909381766</v>
      </c>
      <c r="F183" s="16" t="n">
        <f aca="false" t="array" ref="F183:F183">IF(D183="","",IFERROR(INDEX(Dados_Evap!$C$2:$N$15,MATCH($B$9,Dados_Evap!$A$2:$A$15,0),C183),0))</f>
        <v>100.5</v>
      </c>
      <c r="G183" s="16" t="n">
        <f aca="false">IF(F183="","",F183/1000)</f>
        <v>0.1005</v>
      </c>
      <c r="H183" s="16" t="n">
        <f aca="false">IF(D183="","",MAX(0,MIN($B$8,IFERROR(LOOKUP(2,1/($U$24:U182&lt;&gt;""),$U$24:U182),$B$11))))</f>
        <v>47.22</v>
      </c>
      <c r="I183" s="16" t="n">
        <f aca="false" t="array" ref="I183: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>6.97</v>
      </c>
      <c r="J183" s="16" t="n">
        <f aca="false">IF(D183="","",$B$12)</f>
        <v>0.35</v>
      </c>
      <c r="K183" s="16" t="n">
        <f aca="false">IF(J183="","",J183*$B$15)</f>
        <v>0.9072</v>
      </c>
      <c r="L183" s="16" t="n">
        <f aca="false">IF(D183="","",H183+E183-K183-G183*I183)</f>
        <v>58.5458059381766</v>
      </c>
      <c r="M183" s="16" t="n">
        <f aca="false" t="array" ref="M183: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>8.32852835425044</v>
      </c>
      <c r="N183" s="16" t="n">
        <f aca="false">IF(D183="","",(I183+M183)/2)</f>
        <v>7.64926417712522</v>
      </c>
      <c r="O183" s="16" t="n">
        <f aca="false">IF(D183="","",G183*N183)</f>
        <v>0.768751049801085</v>
      </c>
      <c r="P183" s="16" t="n">
        <f aca="false">IF(D183="","",H183+E183-K183-O183)</f>
        <v>58.4775398883755</v>
      </c>
      <c r="Q183" s="16" t="n">
        <f aca="false">IF(D183="","",IF(P183&gt;=0,K183,MAX(0,K183+P183)))</f>
        <v>0.9072</v>
      </c>
      <c r="R183" s="16" t="n">
        <f aca="false">IF(D183="","",Q183/$B$15)</f>
        <v>0.35</v>
      </c>
      <c r="S183" s="16" t="n">
        <f aca="false">IF(D183="","",MAX(0,J183-R183))</f>
        <v>0</v>
      </c>
      <c r="T183" s="16" t="n">
        <f aca="false">IF(D183="","",MAX(0,Z183-$B$8))</f>
        <v>11.2575398883755</v>
      </c>
      <c r="U183" s="16" t="n">
        <f aca="false">IF(D183="","",MAX(0,MIN($B$8,Z183)))</f>
        <v>47.22</v>
      </c>
      <c r="V183" s="16" t="str">
        <f aca="false">IF(D183="","",IF(S183&gt;0.0000001,"Sim","Não"))</f>
        <v>Não</v>
      </c>
      <c r="W183" s="16" t="n">
        <f aca="false">IF(D183="","",U183-(H183+E183-Q183-O183-T183))</f>
        <v>0</v>
      </c>
      <c r="X183" s="16" t="n">
        <f aca="false">IF(W183="","",ABS(W183))</f>
        <v>0</v>
      </c>
      <c r="Y183" s="16" t="n">
        <f aca="false">IF(U183="","",IF($B$8=0,0,U183/$B$8*100))</f>
        <v>100</v>
      </c>
      <c r="Z183" s="18" t="n">
        <f aca="false">IF(D183="","",MAX(0,IF(P183&gt;=0,P183,IF(K183+P183&gt;=0,0,P183+K183))))</f>
        <v>58.4775398883755</v>
      </c>
      <c r="AA183" s="18" t="n">
        <f aca="false">IF(D183="","",IF(H183&lt;=$B$16,1,IF(H183&gt;=$B$17,$B$21,MATCH(H183,Aux_CAV!$A$2:$A$121,1))))</f>
        <v>14</v>
      </c>
      <c r="AB183" s="18" t="n">
        <f aca="false">IF(D183="","",IF(L183&lt;=$B$16,1,IF(L183&gt;=$B$17,$B$21,MATCH(L183,Aux_CAV!$A$2:$A$121,1))))</f>
        <v>15</v>
      </c>
      <c r="AC183" s="19" t="n">
        <f aca="false">IF(D183="","",COUNT($D$24:D183))</f>
        <v>148</v>
      </c>
    </row>
    <row r="184" customFormat="false" ht="12.75" hidden="false" customHeight="true" outlineLevel="0" collapsed="false">
      <c r="A184" s="14" t="n">
        <f aca="false">IF(D184="","",DATE(B184,C184,1))</f>
        <v>8522</v>
      </c>
      <c r="B184" s="15" t="n">
        <f aca="false" t="array" ref="B184:B184">IF(D184="","",IFERROR(VALUE(INDEX(Vazoes_COLAR!$A$2:$A$200,INT((ROW()-24)/12)+1)),""))</f>
        <v>1923</v>
      </c>
      <c r="C184" s="15" t="n">
        <f aca="false">IF(D184="","",MOD(ROW()-24,12)+1)</f>
        <v>5</v>
      </c>
      <c r="D184" s="16" t="n">
        <f aca="false" t="array" ref="D184: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2.76093797998685</v>
      </c>
      <c r="E184" s="16" t="n">
        <f aca="false">IF(D184="","",D184*$B$15)</f>
        <v>7.15635124412592</v>
      </c>
      <c r="F184" s="16" t="n">
        <f aca="false" t="array" ref="F184:F184">IF(D184="","",IFERROR(INDEX(Dados_Evap!$C$2:$N$15,MATCH($B$9,Dados_Evap!$A$2:$A$15,0),C184),0))</f>
        <v>145.8</v>
      </c>
      <c r="G184" s="16" t="n">
        <f aca="false">IF(F184="","",F184/1000)</f>
        <v>0.1458</v>
      </c>
      <c r="H184" s="16" t="n">
        <f aca="false">IF(D184="","",MAX(0,MIN($B$8,IFERROR(LOOKUP(2,1/($U$24:U183&lt;&gt;""),$U$24:U183),$B$11))))</f>
        <v>47.22</v>
      </c>
      <c r="I184" s="16" t="n">
        <f aca="false" t="array" ref="I184: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>6.97</v>
      </c>
      <c r="J184" s="16" t="n">
        <f aca="false">IF(D184="","",$B$12)</f>
        <v>0.35</v>
      </c>
      <c r="K184" s="16" t="n">
        <f aca="false">IF(J184="","",J184*$B$15)</f>
        <v>0.9072</v>
      </c>
      <c r="L184" s="16" t="n">
        <f aca="false">IF(D184="","",H184+E184-K184-G184*I184)</f>
        <v>52.4529252441259</v>
      </c>
      <c r="M184" s="16" t="n">
        <f aca="false" t="array" ref="M184: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>7.5868895612994</v>
      </c>
      <c r="N184" s="16" t="n">
        <f aca="false">IF(D184="","",(I184+M184)/2)</f>
        <v>7.2784447806497</v>
      </c>
      <c r="O184" s="16" t="n">
        <f aca="false">IF(D184="","",G184*N184)</f>
        <v>1.06119724901873</v>
      </c>
      <c r="P184" s="16" t="n">
        <f aca="false">IF(D184="","",H184+E184-K184-O184)</f>
        <v>52.4079539951072</v>
      </c>
      <c r="Q184" s="16" t="n">
        <f aca="false">IF(D184="","",IF(P184&gt;=0,K184,MAX(0,K184+P184)))</f>
        <v>0.9072</v>
      </c>
      <c r="R184" s="16" t="n">
        <f aca="false">IF(D184="","",Q184/$B$15)</f>
        <v>0.35</v>
      </c>
      <c r="S184" s="16" t="n">
        <f aca="false">IF(D184="","",MAX(0,J184-R184))</f>
        <v>0</v>
      </c>
      <c r="T184" s="16" t="n">
        <f aca="false">IF(D184="","",MAX(0,Z184-$B$8))</f>
        <v>5.18795399510719</v>
      </c>
      <c r="U184" s="16" t="n">
        <f aca="false">IF(D184="","",MAX(0,MIN($B$8,Z184)))</f>
        <v>47.22</v>
      </c>
      <c r="V184" s="16" t="str">
        <f aca="false">IF(D184="","",IF(S184&gt;0.0000001,"Sim","Não"))</f>
        <v>Não</v>
      </c>
      <c r="W184" s="16" t="n">
        <f aca="false">IF(D184="","",U184-(H184+E184-Q184-O184-T184))</f>
        <v>0</v>
      </c>
      <c r="X184" s="16" t="n">
        <f aca="false">IF(W184="","",ABS(W184))</f>
        <v>0</v>
      </c>
      <c r="Y184" s="16" t="n">
        <f aca="false">IF(U184="","",IF($B$8=0,0,U184/$B$8*100))</f>
        <v>100</v>
      </c>
      <c r="Z184" s="18" t="n">
        <f aca="false">IF(D184="","",MAX(0,IF(P184&gt;=0,P184,IF(K184+P184&gt;=0,0,P184+K184))))</f>
        <v>52.4079539951072</v>
      </c>
      <c r="AA184" s="18" t="n">
        <f aca="false">IF(D184="","",IF(H184&lt;=$B$16,1,IF(H184&gt;=$B$17,$B$21,MATCH(H184,Aux_CAV!$A$2:$A$121,1))))</f>
        <v>14</v>
      </c>
      <c r="AB184" s="18" t="n">
        <f aca="false">IF(D184="","",IF(L184&lt;=$B$16,1,IF(L184&gt;=$B$17,$B$21,MATCH(L184,Aux_CAV!$A$2:$A$121,1))))</f>
        <v>14</v>
      </c>
      <c r="AC184" s="19" t="n">
        <f aca="false">IF(D184="","",COUNT($D$24:D184))</f>
        <v>149</v>
      </c>
    </row>
    <row r="185" customFormat="false" ht="12.75" hidden="false" customHeight="true" outlineLevel="0" collapsed="false">
      <c r="A185" s="14" t="n">
        <f aca="false">IF(D185="","",DATE(B185,C185,1))</f>
        <v>8553</v>
      </c>
      <c r="B185" s="15" t="n">
        <f aca="false" t="array" ref="B185:B185">IF(D185="","",IFERROR(VALUE(INDEX(Vazoes_COLAR!$A$2:$A$200,INT((ROW()-24)/12)+1)),""))</f>
        <v>1923</v>
      </c>
      <c r="C185" s="15" t="n">
        <f aca="false">IF(D185="","",MOD(ROW()-24,12)+1)</f>
        <v>6</v>
      </c>
      <c r="D185" s="16" t="n">
        <f aca="false" t="array" ref="D185: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0.845249857588099</v>
      </c>
      <c r="E185" s="16" t="n">
        <f aca="false">IF(D185="","",D185*$B$15)</f>
        <v>2.19088763086835</v>
      </c>
      <c r="F185" s="16" t="n">
        <f aca="false" t="array" ref="F185:F185">IF(D185="","",IFERROR(INDEX(Dados_Evap!$C$2:$N$15,MATCH($B$9,Dados_Evap!$A$2:$A$15,0),C185),0))</f>
        <v>161.3</v>
      </c>
      <c r="G185" s="16" t="n">
        <f aca="false">IF(F185="","",F185/1000)</f>
        <v>0.1613</v>
      </c>
      <c r="H185" s="16" t="n">
        <f aca="false">IF(D185="","",MAX(0,MIN($B$8,IFERROR(LOOKUP(2,1/($U$24:U184&lt;&gt;""),$U$24:U184),$B$11))))</f>
        <v>47.22</v>
      </c>
      <c r="I185" s="16" t="n">
        <f aca="false" t="array" ref="I185: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>6.97</v>
      </c>
      <c r="J185" s="16" t="n">
        <f aca="false">IF(D185="","",$B$12)</f>
        <v>0.35</v>
      </c>
      <c r="K185" s="16" t="n">
        <f aca="false">IF(J185="","",J185*$B$15)</f>
        <v>0.9072</v>
      </c>
      <c r="L185" s="16" t="n">
        <f aca="false">IF(D185="","",H185+E185-K185-G185*I185)</f>
        <v>47.3794266308684</v>
      </c>
      <c r="M185" s="16" t="n">
        <f aca="false" t="array" ref="M185: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>6.98879419632188</v>
      </c>
      <c r="N185" s="16" t="n">
        <f aca="false">IF(D185="","",(I185+M185)/2)</f>
        <v>6.97939709816094</v>
      </c>
      <c r="O185" s="16" t="n">
        <f aca="false">IF(D185="","",G185*N185)</f>
        <v>1.12577675193336</v>
      </c>
      <c r="P185" s="16" t="n">
        <f aca="false">IF(D185="","",H185+E185-K185-O185)</f>
        <v>47.377910878935</v>
      </c>
      <c r="Q185" s="16" t="n">
        <f aca="false">IF(D185="","",IF(P185&gt;=0,K185,MAX(0,K185+P185)))</f>
        <v>0.9072</v>
      </c>
      <c r="R185" s="16" t="n">
        <f aca="false">IF(D185="","",Q185/$B$15)</f>
        <v>0.35</v>
      </c>
      <c r="S185" s="16" t="n">
        <f aca="false">IF(D185="","",MAX(0,J185-R185))</f>
        <v>0</v>
      </c>
      <c r="T185" s="16" t="n">
        <f aca="false">IF(D185="","",MAX(0,Z185-$B$8))</f>
        <v>0.157910878934992</v>
      </c>
      <c r="U185" s="16" t="n">
        <f aca="false">IF(D185="","",MAX(0,MIN($B$8,Z185)))</f>
        <v>47.22</v>
      </c>
      <c r="V185" s="16" t="str">
        <f aca="false">IF(D185="","",IF(S185&gt;0.0000001,"Sim","Não"))</f>
        <v>Não</v>
      </c>
      <c r="W185" s="16" t="n">
        <f aca="false">IF(D185="","",U185-(H185+E185-Q185-O185-T185))</f>
        <v>0</v>
      </c>
      <c r="X185" s="16" t="n">
        <f aca="false">IF(W185="","",ABS(W185))</f>
        <v>0</v>
      </c>
      <c r="Y185" s="16" t="n">
        <f aca="false">IF(U185="","",IF($B$8=0,0,U185/$B$8*100))</f>
        <v>100</v>
      </c>
      <c r="Z185" s="18" t="n">
        <f aca="false">IF(D185="","",MAX(0,IF(P185&gt;=0,P185,IF(K185+P185&gt;=0,0,P185+K185))))</f>
        <v>47.377910878935</v>
      </c>
      <c r="AA185" s="18" t="n">
        <f aca="false">IF(D185="","",IF(H185&lt;=$B$16,1,IF(H185&gt;=$B$17,$B$21,MATCH(H185,Aux_CAV!$A$2:$A$121,1))))</f>
        <v>14</v>
      </c>
      <c r="AB185" s="18" t="n">
        <f aca="false">IF(D185="","",IF(L185&lt;=$B$16,1,IF(L185&gt;=$B$17,$B$21,MATCH(L185,Aux_CAV!$A$2:$A$121,1))))</f>
        <v>14</v>
      </c>
      <c r="AC185" s="19" t="n">
        <f aca="false">IF(D185="","",COUNT($D$24:D185))</f>
        <v>150</v>
      </c>
    </row>
    <row r="186" customFormat="false" ht="12.75" hidden="false" customHeight="true" outlineLevel="0" collapsed="false">
      <c r="A186" s="14" t="n">
        <f aca="false">IF(D186="","",DATE(B186,C186,1))</f>
        <v>8583</v>
      </c>
      <c r="B186" s="15" t="n">
        <f aca="false" t="array" ref="B186:B186">IF(D186="","",IFERROR(VALUE(INDEX(Vazoes_COLAR!$A$2:$A$200,INT((ROW()-24)/12)+1)),""))</f>
        <v>1923</v>
      </c>
      <c r="C186" s="15" t="n">
        <f aca="false">IF(D186="","",MOD(ROW()-24,12)+1)</f>
        <v>7</v>
      </c>
      <c r="D186" s="16" t="n">
        <f aca="false" t="array" ref="D186: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0.252367810999267</v>
      </c>
      <c r="E186" s="16" t="n">
        <f aca="false">IF(D186="","",D186*$B$15)</f>
        <v>0.6541373661101</v>
      </c>
      <c r="F186" s="16" t="n">
        <f aca="false" t="array" ref="F186:F186">IF(D186="","",IFERROR(INDEX(Dados_Evap!$C$2:$N$15,MATCH($B$9,Dados_Evap!$A$2:$A$15,0),C186),0))</f>
        <v>224.8</v>
      </c>
      <c r="G186" s="16" t="n">
        <f aca="false">IF(F186="","",F186/1000)</f>
        <v>0.2248</v>
      </c>
      <c r="H186" s="16" t="n">
        <f aca="false">IF(D186="","",MAX(0,MIN($B$8,IFERROR(LOOKUP(2,1/($U$24:U185&lt;&gt;""),$U$24:U185),$B$11))))</f>
        <v>47.22</v>
      </c>
      <c r="I186" s="16" t="n">
        <f aca="false" t="array" ref="I186: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>6.97</v>
      </c>
      <c r="J186" s="16" t="n">
        <f aca="false">IF(D186="","",$B$12)</f>
        <v>0.35</v>
      </c>
      <c r="K186" s="16" t="n">
        <f aca="false">IF(J186="","",J186*$B$15)</f>
        <v>0.9072</v>
      </c>
      <c r="L186" s="16" t="n">
        <f aca="false">IF(D186="","",H186+E186-K186-G186*I186)</f>
        <v>45.4000813661101</v>
      </c>
      <c r="M186" s="16" t="n">
        <f aca="false" t="array" ref="M186: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>6.78829428733961</v>
      </c>
      <c r="N186" s="16" t="n">
        <f aca="false">IF(D186="","",(I186+M186)/2)</f>
        <v>6.87914714366981</v>
      </c>
      <c r="O186" s="16" t="n">
        <f aca="false">IF(D186="","",G186*N186)</f>
        <v>1.54643227789697</v>
      </c>
      <c r="P186" s="16" t="n">
        <f aca="false">IF(D186="","",H186+E186-K186-O186)</f>
        <v>45.4205050882131</v>
      </c>
      <c r="Q186" s="16" t="n">
        <f aca="false">IF(D186="","",IF(P186&gt;=0,K186,MAX(0,K186+P186)))</f>
        <v>0.9072</v>
      </c>
      <c r="R186" s="16" t="n">
        <f aca="false">IF(D186="","",Q186/$B$15)</f>
        <v>0.35</v>
      </c>
      <c r="S186" s="16" t="n">
        <f aca="false">IF(D186="","",MAX(0,J186-R186))</f>
        <v>0</v>
      </c>
      <c r="T186" s="16" t="n">
        <f aca="false">IF(D186="","",MAX(0,Z186-$B$8))</f>
        <v>0</v>
      </c>
      <c r="U186" s="16" t="n">
        <f aca="false">IF(D186="","",MAX(0,MIN($B$8,Z186)))</f>
        <v>45.4205050882131</v>
      </c>
      <c r="V186" s="16" t="str">
        <f aca="false">IF(D186="","",IF(S186&gt;0.0000001,"Sim","Não"))</f>
        <v>Não</v>
      </c>
      <c r="W186" s="16" t="n">
        <f aca="false">IF(D186="","",U186-(H186+E186-Q186-O186-T186))</f>
        <v>0</v>
      </c>
      <c r="X186" s="16" t="n">
        <f aca="false">IF(W186="","",ABS(W186))</f>
        <v>0</v>
      </c>
      <c r="Y186" s="16" t="n">
        <f aca="false">IF(U186="","",IF($B$8=0,0,U186/$B$8*100))</f>
        <v>96.1891255574187</v>
      </c>
      <c r="Z186" s="18" t="n">
        <f aca="false">IF(D186="","",MAX(0,IF(P186&gt;=0,P186,IF(K186+P186&gt;=0,0,P186+K186))))</f>
        <v>45.4205050882131</v>
      </c>
      <c r="AA186" s="18" t="n">
        <f aca="false">IF(D186="","",IF(H186&lt;=$B$16,1,IF(H186&gt;=$B$17,$B$21,MATCH(H186,Aux_CAV!$A$2:$A$121,1))))</f>
        <v>14</v>
      </c>
      <c r="AB186" s="18" t="n">
        <f aca="false">IF(D186="","",IF(L186&lt;=$B$16,1,IF(L186&gt;=$B$17,$B$21,MATCH(L186,Aux_CAV!$A$2:$A$121,1))))</f>
        <v>13</v>
      </c>
      <c r="AC186" s="19" t="n">
        <f aca="false">IF(D186="","",COUNT($D$24:D186))</f>
        <v>151</v>
      </c>
    </row>
    <row r="187" customFormat="false" ht="12.75" hidden="false" customHeight="true" outlineLevel="0" collapsed="false">
      <c r="A187" s="14" t="n">
        <f aca="false">IF(D187="","",DATE(B187,C187,1))</f>
        <v>8614</v>
      </c>
      <c r="B187" s="15" t="n">
        <f aca="false" t="array" ref="B187:B187">IF(D187="","",IFERROR(VALUE(INDEX(Vazoes_COLAR!$A$2:$A$200,INT((ROW()-24)/12)+1)),""))</f>
        <v>1923</v>
      </c>
      <c r="C187" s="15" t="n">
        <f aca="false">IF(D187="","",MOD(ROW()-24,12)+1)</f>
        <v>8</v>
      </c>
      <c r="D187" s="16" t="n">
        <f aca="false" t="array" ref="D187: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0.0463108849704867</v>
      </c>
      <c r="E187" s="16" t="n">
        <f aca="false">IF(D187="","",D187*$B$15)</f>
        <v>0.120037813843502</v>
      </c>
      <c r="F187" s="16" t="n">
        <f aca="false" t="array" ref="F187:F187">IF(D187="","",IFERROR(INDEX(Dados_Evap!$C$2:$N$15,MATCH($B$9,Dados_Evap!$A$2:$A$15,0),C187),0))</f>
        <v>268.7</v>
      </c>
      <c r="G187" s="16" t="n">
        <f aca="false">IF(F187="","",F187/1000)</f>
        <v>0.2687</v>
      </c>
      <c r="H187" s="16" t="n">
        <f aca="false">IF(D187="","",MAX(0,MIN($B$8,IFERROR(LOOKUP(2,1/($U$24:U186&lt;&gt;""),$U$24:U186),$B$11))))</f>
        <v>45.4205050882131</v>
      </c>
      <c r="I187" s="16" t="n">
        <f aca="false" t="array" ref="I187: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>6.79033344827285</v>
      </c>
      <c r="J187" s="16" t="n">
        <f aca="false">IF(D187="","",$B$12)</f>
        <v>0.35</v>
      </c>
      <c r="K187" s="16" t="n">
        <f aca="false">IF(J187="","",J187*$B$15)</f>
        <v>0.9072</v>
      </c>
      <c r="L187" s="16" t="n">
        <f aca="false">IF(D187="","",H187+E187-K187-G187*I187)</f>
        <v>42.8087803045057</v>
      </c>
      <c r="M187" s="16" t="n">
        <f aca="false" t="array" ref="M187: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>6.52957161845301</v>
      </c>
      <c r="N187" s="16" t="n">
        <f aca="false">IF(D187="","",(I187+M187)/2)</f>
        <v>6.65995253336293</v>
      </c>
      <c r="O187" s="16" t="n">
        <f aca="false">IF(D187="","",G187*N187)</f>
        <v>1.78952924571462</v>
      </c>
      <c r="P187" s="16" t="n">
        <f aca="false">IF(D187="","",H187+E187-K187-O187)</f>
        <v>42.843813656342</v>
      </c>
      <c r="Q187" s="16" t="n">
        <f aca="false">IF(D187="","",IF(P187&gt;=0,K187,MAX(0,K187+P187)))</f>
        <v>0.9072</v>
      </c>
      <c r="R187" s="16" t="n">
        <f aca="false">IF(D187="","",Q187/$B$15)</f>
        <v>0.35</v>
      </c>
      <c r="S187" s="16" t="n">
        <f aca="false">IF(D187="","",MAX(0,J187-R187))</f>
        <v>0</v>
      </c>
      <c r="T187" s="16" t="n">
        <f aca="false">IF(D187="","",MAX(0,Z187-$B$8))</f>
        <v>0</v>
      </c>
      <c r="U187" s="16" t="n">
        <f aca="false">IF(D187="","",MAX(0,MIN($B$8,Z187)))</f>
        <v>42.843813656342</v>
      </c>
      <c r="V187" s="16" t="str">
        <f aca="false">IF(D187="","",IF(S187&gt;0.0000001,"Sim","Não"))</f>
        <v>Não</v>
      </c>
      <c r="W187" s="16" t="n">
        <f aca="false">IF(D187="","",U187-(H187+E187-Q187-O187-T187))</f>
        <v>0</v>
      </c>
      <c r="X187" s="16" t="n">
        <f aca="false">IF(W187="","",ABS(W187))</f>
        <v>0</v>
      </c>
      <c r="Y187" s="16" t="n">
        <f aca="false">IF(U187="","",IF($B$8=0,0,U187/$B$8*100))</f>
        <v>90.7323457355824</v>
      </c>
      <c r="Z187" s="18" t="n">
        <f aca="false">IF(D187="","",MAX(0,IF(P187&gt;=0,P187,IF(K187+P187&gt;=0,0,P187+K187))))</f>
        <v>42.843813656342</v>
      </c>
      <c r="AA187" s="18" t="n">
        <f aca="false">IF(D187="","",IF(H187&lt;=$B$16,1,IF(H187&gt;=$B$17,$B$21,MATCH(H187,Aux_CAV!$A$2:$A$121,1))))</f>
        <v>13</v>
      </c>
      <c r="AB187" s="18" t="n">
        <f aca="false">IF(D187="","",IF(L187&lt;=$B$16,1,IF(L187&gt;=$B$17,$B$21,MATCH(L187,Aux_CAV!$A$2:$A$121,1))))</f>
        <v>13</v>
      </c>
      <c r="AC187" s="19" t="n">
        <f aca="false">IF(D187="","",COUNT($D$24:D187))</f>
        <v>152</v>
      </c>
    </row>
    <row r="188" customFormat="false" ht="12.75" hidden="false" customHeight="true" outlineLevel="0" collapsed="false">
      <c r="A188" s="14" t="n">
        <f aca="false">IF(D188="","",DATE(B188,C188,1))</f>
        <v>8645</v>
      </c>
      <c r="B188" s="15" t="n">
        <f aca="false" t="array" ref="B188:B188">IF(D188="","",IFERROR(VALUE(INDEX(Vazoes_COLAR!$A$2:$A$200,INT((ROW()-24)/12)+1)),""))</f>
        <v>1923</v>
      </c>
      <c r="C188" s="15" t="n">
        <f aca="false">IF(D188="","",MOD(ROW()-24,12)+1)</f>
        <v>9</v>
      </c>
      <c r="D188" s="16" t="n">
        <f aca="false" t="array" ref="D188: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0.0259146092459666</v>
      </c>
      <c r="E188" s="16" t="n">
        <f aca="false">IF(D188="","",D188*$B$15)</f>
        <v>0.0671706671655454</v>
      </c>
      <c r="F188" s="16" t="n">
        <f aca="false" t="array" ref="F188:F188">IF(D188="","",IFERROR(INDEX(Dados_Evap!$C$2:$N$15,MATCH($B$9,Dados_Evap!$A$2:$A$15,0),C188),0))</f>
        <v>292.8</v>
      </c>
      <c r="G188" s="16" t="n">
        <f aca="false">IF(F188="","",F188/1000)</f>
        <v>0.2928</v>
      </c>
      <c r="H188" s="16" t="n">
        <f aca="false">IF(D188="","",MAX(0,MIN($B$8,IFERROR(LOOKUP(2,1/($U$24:U187&lt;&gt;""),$U$24:U187),$B$11))))</f>
        <v>42.843813656342</v>
      </c>
      <c r="I188" s="16" t="n">
        <f aca="false" t="array" ref="I188: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>6.53306944524798</v>
      </c>
      <c r="J188" s="16" t="n">
        <f aca="false">IF(D188="","",$B$12)</f>
        <v>0.35</v>
      </c>
      <c r="K188" s="16" t="n">
        <f aca="false">IF(J188="","",J188*$B$15)</f>
        <v>0.9072</v>
      </c>
      <c r="L188" s="16" t="n">
        <f aca="false">IF(D188="","",H188+E188-K188-G188*I188)</f>
        <v>40.0909015899389</v>
      </c>
      <c r="M188" s="16" t="n">
        <f aca="false" t="array" ref="M188: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>6.25821108641686</v>
      </c>
      <c r="N188" s="16" t="n">
        <f aca="false">IF(D188="","",(I188+M188)/2)</f>
        <v>6.39564026583242</v>
      </c>
      <c r="O188" s="16" t="n">
        <f aca="false">IF(D188="","",G188*N188)</f>
        <v>1.87264346983573</v>
      </c>
      <c r="P188" s="16" t="n">
        <f aca="false">IF(D188="","",H188+E188-K188-O188)</f>
        <v>40.1311408536718</v>
      </c>
      <c r="Q188" s="16" t="n">
        <f aca="false">IF(D188="","",IF(P188&gt;=0,K188,MAX(0,K188+P188)))</f>
        <v>0.9072</v>
      </c>
      <c r="R188" s="16" t="n">
        <f aca="false">IF(D188="","",Q188/$B$15)</f>
        <v>0.35</v>
      </c>
      <c r="S188" s="16" t="n">
        <f aca="false">IF(D188="","",MAX(0,J188-R188))</f>
        <v>0</v>
      </c>
      <c r="T188" s="16" t="n">
        <f aca="false">IF(D188="","",MAX(0,Z188-$B$8))</f>
        <v>0</v>
      </c>
      <c r="U188" s="16" t="n">
        <f aca="false">IF(D188="","",MAX(0,MIN($B$8,Z188)))</f>
        <v>40.1311408536718</v>
      </c>
      <c r="V188" s="16" t="str">
        <f aca="false">IF(D188="","",IF(S188&gt;0.0000001,"Sim","Não"))</f>
        <v>Não</v>
      </c>
      <c r="W188" s="16" t="n">
        <f aca="false">IF(D188="","",U188-(H188+E188-Q188-O188-T188))</f>
        <v>0</v>
      </c>
      <c r="X188" s="16" t="n">
        <f aca="false">IF(W188="","",ABS(W188))</f>
        <v>0</v>
      </c>
      <c r="Y188" s="16" t="n">
        <f aca="false">IF(U188="","",IF($B$8=0,0,U188/$B$8*100))</f>
        <v>84.9875918120962</v>
      </c>
      <c r="Z188" s="18" t="n">
        <f aca="false">IF(D188="","",MAX(0,IF(P188&gt;=0,P188,IF(K188+P188&gt;=0,0,P188+K188))))</f>
        <v>40.1311408536718</v>
      </c>
      <c r="AA188" s="18" t="n">
        <f aca="false">IF(D188="","",IF(H188&lt;=$B$16,1,IF(H188&gt;=$B$17,$B$21,MATCH(H188,Aux_CAV!$A$2:$A$121,1))))</f>
        <v>13</v>
      </c>
      <c r="AB188" s="18" t="n">
        <f aca="false">IF(D188="","",IF(L188&lt;=$B$16,1,IF(L188&gt;=$B$17,$B$21,MATCH(L188,Aux_CAV!$A$2:$A$121,1))))</f>
        <v>13</v>
      </c>
      <c r="AC188" s="19" t="n">
        <f aca="false">IF(D188="","",COUNT($D$24:D188))</f>
        <v>153</v>
      </c>
    </row>
    <row r="189" customFormat="false" ht="12.75" hidden="false" customHeight="true" outlineLevel="0" collapsed="false">
      <c r="A189" s="14" t="n">
        <f aca="false">IF(D189="","",DATE(B189,C189,1))</f>
        <v>8675</v>
      </c>
      <c r="B189" s="15" t="n">
        <f aca="false" t="array" ref="B189:B189">IF(D189="","",IFERROR(VALUE(INDEX(Vazoes_COLAR!$A$2:$A$200,INT((ROW()-24)/12)+1)),""))</f>
        <v>1923</v>
      </c>
      <c r="C189" s="15" t="n">
        <f aca="false">IF(D189="","",MOD(ROW()-24,12)+1)</f>
        <v>10</v>
      </c>
      <c r="D189" s="16" t="n">
        <f aca="false" t="array" ref="D189: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0.0680518965795114</v>
      </c>
      <c r="E189" s="16" t="n">
        <f aca="false">IF(D189="","",D189*$B$15)</f>
        <v>0.176390515934094</v>
      </c>
      <c r="F189" s="16" t="n">
        <f aca="false" t="array" ref="F189:F189">IF(D189="","",IFERROR(INDEX(Dados_Evap!$C$2:$N$15,MATCH($B$9,Dados_Evap!$A$2:$A$15,0),C189),0))</f>
        <v>262.9</v>
      </c>
      <c r="G189" s="16" t="n">
        <f aca="false">IF(F189="","",F189/1000)</f>
        <v>0.2629</v>
      </c>
      <c r="H189" s="16" t="n">
        <f aca="false">IF(D189="","",MAX(0,MIN($B$8,IFERROR(LOOKUP(2,1/($U$24:U188&lt;&gt;""),$U$24:U188),$B$11))))</f>
        <v>40.1311408536718</v>
      </c>
      <c r="I189" s="16" t="n">
        <f aca="false" t="array" ref="I189: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>6.26222868586189</v>
      </c>
      <c r="J189" s="16" t="n">
        <f aca="false">IF(D189="","",$B$12)</f>
        <v>0.35</v>
      </c>
      <c r="K189" s="16" t="n">
        <f aca="false">IF(J189="","",J189*$B$15)</f>
        <v>0.9072</v>
      </c>
      <c r="L189" s="16" t="n">
        <f aca="false">IF(D189="","",H189+E189-K189-G189*I189)</f>
        <v>37.7539914480928</v>
      </c>
      <c r="M189" s="16" t="n">
        <f aca="false" t="array" ref="M189: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>6.0248875109338</v>
      </c>
      <c r="N189" s="16" t="n">
        <f aca="false">IF(D189="","",(I189+M189)/2)</f>
        <v>6.14355809839784</v>
      </c>
      <c r="O189" s="16" t="n">
        <f aca="false">IF(D189="","",G189*N189)</f>
        <v>1.61514142406879</v>
      </c>
      <c r="P189" s="16" t="n">
        <f aca="false">IF(D189="","",H189+E189-K189-O189)</f>
        <v>37.7851899455371</v>
      </c>
      <c r="Q189" s="16" t="n">
        <f aca="false">IF(D189="","",IF(P189&gt;=0,K189,MAX(0,K189+P189)))</f>
        <v>0.9072</v>
      </c>
      <c r="R189" s="16" t="n">
        <f aca="false">IF(D189="","",Q189/$B$15)</f>
        <v>0.35</v>
      </c>
      <c r="S189" s="16" t="n">
        <f aca="false">IF(D189="","",MAX(0,J189-R189))</f>
        <v>0</v>
      </c>
      <c r="T189" s="16" t="n">
        <f aca="false">IF(D189="","",MAX(0,Z189-$B$8))</f>
        <v>0</v>
      </c>
      <c r="U189" s="16" t="n">
        <f aca="false">IF(D189="","",MAX(0,MIN($B$8,Z189)))</f>
        <v>37.7851899455371</v>
      </c>
      <c r="V189" s="16" t="str">
        <f aca="false">IF(D189="","",IF(S189&gt;0.0000001,"Sim","Não"))</f>
        <v>Não</v>
      </c>
      <c r="W189" s="16" t="n">
        <f aca="false">IF(D189="","",U189-(H189+E189-Q189-O189-T189))</f>
        <v>0</v>
      </c>
      <c r="X189" s="16" t="n">
        <f aca="false">IF(W189="","",ABS(W189))</f>
        <v>0</v>
      </c>
      <c r="Y189" s="16" t="n">
        <f aca="false">IF(U189="","",IF($B$8=0,0,U189/$B$8*100))</f>
        <v>80.0194619769952</v>
      </c>
      <c r="Z189" s="18" t="n">
        <f aca="false">IF(D189="","",MAX(0,IF(P189&gt;=0,P189,IF(K189+P189&gt;=0,0,P189+K189))))</f>
        <v>37.7851899455371</v>
      </c>
      <c r="AA189" s="18" t="n">
        <f aca="false">IF(D189="","",IF(H189&lt;=$B$16,1,IF(H189&gt;=$B$17,$B$21,MATCH(H189,Aux_CAV!$A$2:$A$121,1))))</f>
        <v>13</v>
      </c>
      <c r="AB189" s="18" t="n">
        <f aca="false">IF(D189="","",IF(L189&lt;=$B$16,1,IF(L189&gt;=$B$17,$B$21,MATCH(L189,Aux_CAV!$A$2:$A$121,1))))</f>
        <v>13</v>
      </c>
      <c r="AC189" s="19" t="n">
        <f aca="false">IF(D189="","",COUNT($D$24:D189))</f>
        <v>154</v>
      </c>
    </row>
    <row r="190" customFormat="false" ht="12.75" hidden="false" customHeight="true" outlineLevel="0" collapsed="false">
      <c r="A190" s="14" t="n">
        <f aca="false">IF(D190="","",DATE(B190,C190,1))</f>
        <v>8706</v>
      </c>
      <c r="B190" s="15" t="n">
        <f aca="false" t="array" ref="B190:B190">IF(D190="","",IFERROR(VALUE(INDEX(Vazoes_COLAR!$A$2:$A$200,INT((ROW()-24)/12)+1)),""))</f>
        <v>1923</v>
      </c>
      <c r="C190" s="15" t="n">
        <f aca="false">IF(D190="","",MOD(ROW()-24,12)+1)</f>
        <v>11</v>
      </c>
      <c r="D190" s="16" t="n">
        <f aca="false" t="array" ref="D190: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0.055667892862209</v>
      </c>
      <c r="E190" s="16" t="n">
        <f aca="false">IF(D190="","",D190*$B$15)</f>
        <v>0.144291178298846</v>
      </c>
      <c r="F190" s="16" t="n">
        <f aca="false" t="array" ref="F190:F190">IF(D190="","",IFERROR(INDEX(Dados_Evap!$C$2:$N$15,MATCH($B$9,Dados_Evap!$A$2:$A$15,0),C190),0))</f>
        <v>223.7</v>
      </c>
      <c r="G190" s="16" t="n">
        <f aca="false">IF(F190="","",F190/1000)</f>
        <v>0.2237</v>
      </c>
      <c r="H190" s="16" t="n">
        <f aca="false">IF(D190="","",MAX(0,MIN($B$8,IFERROR(LOOKUP(2,1/($U$24:U189&lt;&gt;""),$U$24:U189),$B$11))))</f>
        <v>37.7851899455371</v>
      </c>
      <c r="I190" s="16" t="n">
        <f aca="false" t="array" ref="I190: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>6.0280024552541</v>
      </c>
      <c r="J190" s="16" t="n">
        <f aca="false">IF(D190="","",$B$12)</f>
        <v>0.35</v>
      </c>
      <c r="K190" s="16" t="n">
        <f aca="false">IF(J190="","",J190*$B$15)</f>
        <v>0.9072</v>
      </c>
      <c r="L190" s="16" t="n">
        <f aca="false">IF(D190="","",H190+E190-K190-G190*I190)</f>
        <v>35.6738169745956</v>
      </c>
      <c r="M190" s="16" t="n">
        <f aca="false" t="array" ref="M190: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>5.81719713504217</v>
      </c>
      <c r="N190" s="16" t="n">
        <f aca="false">IF(D190="","",(I190+M190)/2)</f>
        <v>5.92259979514814</v>
      </c>
      <c r="O190" s="16" t="n">
        <f aca="false">IF(D190="","",G190*N190)</f>
        <v>1.32488557417464</v>
      </c>
      <c r="P190" s="16" t="n">
        <f aca="false">IF(D190="","",H190+E190-K190-O190)</f>
        <v>35.6973955496613</v>
      </c>
      <c r="Q190" s="16" t="n">
        <f aca="false">IF(D190="","",IF(P190&gt;=0,K190,MAX(0,K190+P190)))</f>
        <v>0.9072</v>
      </c>
      <c r="R190" s="16" t="n">
        <f aca="false">IF(D190="","",Q190/$B$15)</f>
        <v>0.35</v>
      </c>
      <c r="S190" s="16" t="n">
        <f aca="false">IF(D190="","",MAX(0,J190-R190))</f>
        <v>0</v>
      </c>
      <c r="T190" s="16" t="n">
        <f aca="false">IF(D190="","",MAX(0,Z190-$B$8))</f>
        <v>0</v>
      </c>
      <c r="U190" s="16" t="n">
        <f aca="false">IF(D190="","",MAX(0,MIN($B$8,Z190)))</f>
        <v>35.6973955496613</v>
      </c>
      <c r="V190" s="16" t="str">
        <f aca="false">IF(D190="","",IF(S190&gt;0.0000001,"Sim","Não"))</f>
        <v>Não</v>
      </c>
      <c r="W190" s="16" t="n">
        <f aca="false">IF(D190="","",U190-(H190+E190-Q190-O190-T190))</f>
        <v>0</v>
      </c>
      <c r="X190" s="16" t="n">
        <f aca="false">IF(W190="","",ABS(W190))</f>
        <v>0</v>
      </c>
      <c r="Y190" s="16" t="n">
        <f aca="false">IF(U190="","",IF($B$8=0,0,U190/$B$8*100))</f>
        <v>75.5980422483298</v>
      </c>
      <c r="Z190" s="18" t="n">
        <f aca="false">IF(D190="","",MAX(0,IF(P190&gt;=0,P190,IF(K190+P190&gt;=0,0,P190+K190))))</f>
        <v>35.6973955496613</v>
      </c>
      <c r="AA190" s="18" t="n">
        <f aca="false">IF(D190="","",IF(H190&lt;=$B$16,1,IF(H190&gt;=$B$17,$B$21,MATCH(H190,Aux_CAV!$A$2:$A$121,1))))</f>
        <v>13</v>
      </c>
      <c r="AB190" s="18" t="n">
        <f aca="false">IF(D190="","",IF(L190&lt;=$B$16,1,IF(L190&gt;=$B$17,$B$21,MATCH(L190,Aux_CAV!$A$2:$A$121,1))))</f>
        <v>13</v>
      </c>
      <c r="AC190" s="19" t="n">
        <f aca="false">IF(D190="","",COUNT($D$24:D190))</f>
        <v>155</v>
      </c>
    </row>
    <row r="191" customFormat="false" ht="12.75" hidden="false" customHeight="true" outlineLevel="0" collapsed="false">
      <c r="A191" s="14" t="n">
        <f aca="false">IF(D191="","",DATE(B191,C191,1))</f>
        <v>8736</v>
      </c>
      <c r="B191" s="15" t="n">
        <f aca="false" t="array" ref="B191:B191">IF(D191="","",IFERROR(VALUE(INDEX(Vazoes_COLAR!$A$2:$A$200,INT((ROW()-24)/12)+1)),""))</f>
        <v>1923</v>
      </c>
      <c r="C191" s="15" t="n">
        <f aca="false">IF(D191="","",MOD(ROW()-24,12)+1)</f>
        <v>12</v>
      </c>
      <c r="D191" s="16" t="n">
        <f aca="false" t="array" ref="D191: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0.0218922405309716</v>
      </c>
      <c r="E191" s="16" t="n">
        <f aca="false">IF(D191="","",D191*$B$15)</f>
        <v>0.0567446874562784</v>
      </c>
      <c r="F191" s="16" t="n">
        <f aca="false" t="array" ref="F191:F191">IF(D191="","",IFERROR(INDEX(Dados_Evap!$C$2:$N$15,MATCH($B$9,Dados_Evap!$A$2:$A$15,0),C191),0))</f>
        <v>216.1</v>
      </c>
      <c r="G191" s="16" t="n">
        <f aca="false">IF(F191="","",F191/1000)</f>
        <v>0.2161</v>
      </c>
      <c r="H191" s="16" t="n">
        <f aca="false">IF(D191="","",MAX(0,MIN($B$8,IFERROR(LOOKUP(2,1/($U$24:U190&lt;&gt;""),$U$24:U190),$B$11))))</f>
        <v>35.6973955496613</v>
      </c>
      <c r="I191" s="16" t="n">
        <f aca="false" t="array" ref="I191: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>5.81955128522562</v>
      </c>
      <c r="J191" s="16" t="n">
        <f aca="false">IF(D191="","",$B$12)</f>
        <v>0.35</v>
      </c>
      <c r="K191" s="16" t="n">
        <f aca="false">IF(J191="","",J191*$B$15)</f>
        <v>0.9072</v>
      </c>
      <c r="L191" s="16" t="n">
        <f aca="false">IF(D191="","",H191+E191-K191-G191*I191)</f>
        <v>33.5893352043803</v>
      </c>
      <c r="M191" s="16" t="n">
        <f aca="false" t="array" ref="M191: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>5.60539695812495</v>
      </c>
      <c r="N191" s="16" t="n">
        <f aca="false">IF(D191="","",(I191+M191)/2)</f>
        <v>5.71247412167528</v>
      </c>
      <c r="O191" s="16" t="n">
        <f aca="false">IF(D191="","",G191*N191)</f>
        <v>1.23446565769403</v>
      </c>
      <c r="P191" s="16" t="n">
        <f aca="false">IF(D191="","",H191+E191-K191-O191)</f>
        <v>33.6124745794236</v>
      </c>
      <c r="Q191" s="16" t="n">
        <f aca="false">IF(D191="","",IF(P191&gt;=0,K191,MAX(0,K191+P191)))</f>
        <v>0.9072</v>
      </c>
      <c r="R191" s="16" t="n">
        <f aca="false">IF(D191="","",Q191/$B$15)</f>
        <v>0.35</v>
      </c>
      <c r="S191" s="16" t="n">
        <f aca="false">IF(D191="","",MAX(0,J191-R191))</f>
        <v>0</v>
      </c>
      <c r="T191" s="16" t="n">
        <f aca="false">IF(D191="","",MAX(0,Z191-$B$8))</f>
        <v>0</v>
      </c>
      <c r="U191" s="16" t="n">
        <f aca="false">IF(D191="","",MAX(0,MIN($B$8,Z191)))</f>
        <v>33.6124745794236</v>
      </c>
      <c r="V191" s="16" t="str">
        <f aca="false">IF(D191="","",IF(S191&gt;0.0000001,"Sim","Não"))</f>
        <v>Não</v>
      </c>
      <c r="W191" s="16" t="n">
        <f aca="false">IF(D191="","",U191-(H191+E191-Q191-O191-T191))</f>
        <v>0</v>
      </c>
      <c r="X191" s="16" t="n">
        <f aca="false">IF(W191="","",ABS(W191))</f>
        <v>0</v>
      </c>
      <c r="Y191" s="16" t="n">
        <f aca="false">IF(U191="","",IF($B$8=0,0,U191/$B$8*100))</f>
        <v>71.1827077073773</v>
      </c>
      <c r="Z191" s="18" t="n">
        <f aca="false">IF(D191="","",MAX(0,IF(P191&gt;=0,P191,IF(K191+P191&gt;=0,0,P191+K191))))</f>
        <v>33.6124745794236</v>
      </c>
      <c r="AA191" s="18" t="n">
        <f aca="false">IF(D191="","",IF(H191&lt;=$B$16,1,IF(H191&gt;=$B$17,$B$21,MATCH(H191,Aux_CAV!$A$2:$A$121,1))))</f>
        <v>13</v>
      </c>
      <c r="AB191" s="18" t="n">
        <f aca="false">IF(D191="","",IF(L191&lt;=$B$16,1,IF(L191&gt;=$B$17,$B$21,MATCH(L191,Aux_CAV!$A$2:$A$121,1))))</f>
        <v>12</v>
      </c>
      <c r="AC191" s="19" t="n">
        <f aca="false">IF(D191="","",COUNT($D$24:D191))</f>
        <v>156</v>
      </c>
    </row>
    <row r="192" customFormat="false" ht="12.75" hidden="false" customHeight="true" outlineLevel="0" collapsed="false">
      <c r="A192" s="14" t="n">
        <f aca="false">IF(D192="","",DATE(B192,C192,1))</f>
        <v>8767</v>
      </c>
      <c r="B192" s="15" t="n">
        <f aca="false" t="array" ref="B192:B192">IF(D192="","",IFERROR(VALUE(INDEX(Vazoes_COLAR!$A$2:$A$200,INT((ROW()-24)/12)+1)),""))</f>
        <v>1924</v>
      </c>
      <c r="C192" s="15" t="n">
        <f aca="false">IF(D192="","",MOD(ROW()-24,12)+1)</f>
        <v>1</v>
      </c>
      <c r="D192" s="16" t="n">
        <f aca="false" t="array" ref="D192: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0.15321348945818</v>
      </c>
      <c r="E192" s="16" t="n">
        <f aca="false">IF(D192="","",D192*$B$15)</f>
        <v>0.397129364675603</v>
      </c>
      <c r="F192" s="16" t="n">
        <f aca="false" t="array" ref="F192:F192">IF(D192="","",IFERROR(INDEX(Dados_Evap!$C$2:$N$15,MATCH($B$9,Dados_Evap!$A$2:$A$15,0),C192),0))</f>
        <v>160</v>
      </c>
      <c r="G192" s="16" t="n">
        <f aca="false">IF(F192="","",F192/1000)</f>
        <v>0.16</v>
      </c>
      <c r="H192" s="16" t="n">
        <f aca="false">IF(D192="","",MAX(0,MIN($B$8,IFERROR(LOOKUP(2,1/($U$24:U191&lt;&gt;""),$U$24:U191),$B$11))))</f>
        <v>33.6124745794236</v>
      </c>
      <c r="I192" s="16" t="n">
        <f aca="false" t="array" ref="I192: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>5.60780075727992</v>
      </c>
      <c r="J192" s="16" t="n">
        <f aca="false">IF(D192="","",$B$12)</f>
        <v>0.35</v>
      </c>
      <c r="K192" s="16" t="n">
        <f aca="false">IF(J192="","",J192*$B$15)</f>
        <v>0.9072</v>
      </c>
      <c r="L192" s="16" t="n">
        <f aca="false">IF(D192="","",H192+E192-K192-G192*I192)</f>
        <v>32.2051558229344</v>
      </c>
      <c r="M192" s="16" t="n">
        <f aca="false" t="array" ref="M192: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>5.46160356607182</v>
      </c>
      <c r="N192" s="16" t="n">
        <f aca="false">IF(D192="","",(I192+M192)/2)</f>
        <v>5.53470216167587</v>
      </c>
      <c r="O192" s="16" t="n">
        <f aca="false">IF(D192="","",G192*N192)</f>
        <v>0.88555234586814</v>
      </c>
      <c r="P192" s="16" t="n">
        <f aca="false">IF(D192="","",H192+E192-K192-O192)</f>
        <v>32.216851598231</v>
      </c>
      <c r="Q192" s="16" t="n">
        <f aca="false">IF(D192="","",IF(P192&gt;=0,K192,MAX(0,K192+P192)))</f>
        <v>0.9072</v>
      </c>
      <c r="R192" s="16" t="n">
        <f aca="false">IF(D192="","",Q192/$B$15)</f>
        <v>0.35</v>
      </c>
      <c r="S192" s="16" t="n">
        <f aca="false">IF(D192="","",MAX(0,J192-R192))</f>
        <v>0</v>
      </c>
      <c r="T192" s="16" t="n">
        <f aca="false">IF(D192="","",MAX(0,Z192-$B$8))</f>
        <v>0</v>
      </c>
      <c r="U192" s="16" t="n">
        <f aca="false">IF(D192="","",MAX(0,MIN($B$8,Z192)))</f>
        <v>32.216851598231</v>
      </c>
      <c r="V192" s="16" t="str">
        <f aca="false">IF(D192="","",IF(S192&gt;0.0000001,"Sim","Não"))</f>
        <v>Não</v>
      </c>
      <c r="W192" s="16" t="n">
        <f aca="false">IF(D192="","",U192-(H192+E192-Q192-O192-T192))</f>
        <v>0</v>
      </c>
      <c r="X192" s="16" t="n">
        <f aca="false">IF(W192="","",ABS(W192))</f>
        <v>0</v>
      </c>
      <c r="Y192" s="16" t="n">
        <f aca="false">IF(U192="","",IF($B$8=0,0,U192/$B$8*100))</f>
        <v>68.2271317200996</v>
      </c>
      <c r="Z192" s="18" t="n">
        <f aca="false">IF(D192="","",MAX(0,IF(P192&gt;=0,P192,IF(K192+P192&gt;=0,0,P192+K192))))</f>
        <v>32.216851598231</v>
      </c>
      <c r="AA192" s="18" t="n">
        <f aca="false">IF(D192="","",IF(H192&lt;=$B$16,1,IF(H192&gt;=$B$17,$B$21,MATCH(H192,Aux_CAV!$A$2:$A$121,1))))</f>
        <v>12</v>
      </c>
      <c r="AB192" s="18" t="n">
        <f aca="false">IF(D192="","",IF(L192&lt;=$B$16,1,IF(L192&gt;=$B$17,$B$21,MATCH(L192,Aux_CAV!$A$2:$A$121,1))))</f>
        <v>12</v>
      </c>
      <c r="AC192" s="19" t="n">
        <f aca="false">IF(D192="","",COUNT($D$24:D192))</f>
        <v>157</v>
      </c>
    </row>
    <row r="193" customFormat="false" ht="12.75" hidden="false" customHeight="true" outlineLevel="0" collapsed="false">
      <c r="A193" s="14" t="n">
        <f aca="false">IF(D193="","",DATE(B193,C193,1))</f>
        <v>8798</v>
      </c>
      <c r="B193" s="15" t="n">
        <f aca="false" t="array" ref="B193:B193">IF(D193="","",IFERROR(VALUE(INDEX(Vazoes_COLAR!$A$2:$A$200,INT((ROW()-24)/12)+1)),""))</f>
        <v>1924</v>
      </c>
      <c r="C193" s="15" t="n">
        <f aca="false">IF(D193="","",MOD(ROW()-24,12)+1)</f>
        <v>2</v>
      </c>
      <c r="D193" s="16" t="n">
        <f aca="false" t="array" ref="D193: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2.60845707909655</v>
      </c>
      <c r="E193" s="16" t="n">
        <f aca="false">IF(D193="","",D193*$B$15)</f>
        <v>6.76112074901826</v>
      </c>
      <c r="F193" s="16" t="n">
        <f aca="false" t="array" ref="F193:F193">IF(D193="","",IFERROR(INDEX(Dados_Evap!$C$2:$N$15,MATCH($B$9,Dados_Evap!$A$2:$A$15,0),C193),0))</f>
        <v>124.3</v>
      </c>
      <c r="G193" s="16" t="n">
        <f aca="false">IF(F193="","",F193/1000)</f>
        <v>0.1243</v>
      </c>
      <c r="H193" s="16" t="n">
        <f aca="false">IF(D193="","",MAX(0,MIN($B$8,IFERROR(LOOKUP(2,1/($U$24:U192&lt;&gt;""),$U$24:U192),$B$11))))</f>
        <v>32.216851598231</v>
      </c>
      <c r="I193" s="16" t="n">
        <f aca="false" t="array" ref="I193: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>5.46281856408808</v>
      </c>
      <c r="J193" s="16" t="n">
        <f aca="false">IF(D193="","",$B$12)</f>
        <v>0.35</v>
      </c>
      <c r="K193" s="16" t="n">
        <f aca="false">IF(J193="","",J193*$B$15)</f>
        <v>0.9072</v>
      </c>
      <c r="L193" s="16" t="n">
        <f aca="false">IF(D193="","",H193+E193-K193-G193*I193)</f>
        <v>37.3917439997331</v>
      </c>
      <c r="M193" s="16" t="n">
        <f aca="false" t="array" ref="M193: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>5.9887197232438</v>
      </c>
      <c r="N193" s="16" t="n">
        <f aca="false">IF(D193="","",(I193+M193)/2)</f>
        <v>5.72576914366594</v>
      </c>
      <c r="O193" s="16" t="n">
        <f aca="false">IF(D193="","",G193*N193)</f>
        <v>0.711713104557676</v>
      </c>
      <c r="P193" s="16" t="n">
        <f aca="false">IF(D193="","",H193+E193-K193-O193)</f>
        <v>37.3590592426916</v>
      </c>
      <c r="Q193" s="16" t="n">
        <f aca="false">IF(D193="","",IF(P193&gt;=0,K193,MAX(0,K193+P193)))</f>
        <v>0.9072</v>
      </c>
      <c r="R193" s="16" t="n">
        <f aca="false">IF(D193="","",Q193/$B$15)</f>
        <v>0.35</v>
      </c>
      <c r="S193" s="16" t="n">
        <f aca="false">IF(D193="","",MAX(0,J193-R193))</f>
        <v>0</v>
      </c>
      <c r="T193" s="16" t="n">
        <f aca="false">IF(D193="","",MAX(0,Z193-$B$8))</f>
        <v>0</v>
      </c>
      <c r="U193" s="16" t="n">
        <f aca="false">IF(D193="","",MAX(0,MIN($B$8,Z193)))</f>
        <v>37.3590592426916</v>
      </c>
      <c r="V193" s="16" t="str">
        <f aca="false">IF(D193="","",IF(S193&gt;0.0000001,"Sim","Não"))</f>
        <v>Não</v>
      </c>
      <c r="W193" s="16" t="n">
        <f aca="false">IF(D193="","",U193-(H193+E193-Q193-O193-T193))</f>
        <v>0</v>
      </c>
      <c r="X193" s="16" t="n">
        <f aca="false">IF(W193="","",ABS(W193))</f>
        <v>0</v>
      </c>
      <c r="Y193" s="16" t="n">
        <f aca="false">IF(U193="","",IF($B$8=0,0,U193/$B$8*100))</f>
        <v>79.1170250798213</v>
      </c>
      <c r="Z193" s="18" t="n">
        <f aca="false">IF(D193="","",MAX(0,IF(P193&gt;=0,P193,IF(K193+P193&gt;=0,0,P193+K193))))</f>
        <v>37.3590592426916</v>
      </c>
      <c r="AA193" s="18" t="n">
        <f aca="false">IF(D193="","",IF(H193&lt;=$B$16,1,IF(H193&gt;=$B$17,$B$21,MATCH(H193,Aux_CAV!$A$2:$A$121,1))))</f>
        <v>12</v>
      </c>
      <c r="AB193" s="18" t="n">
        <f aca="false">IF(D193="","",IF(L193&lt;=$B$16,1,IF(L193&gt;=$B$17,$B$21,MATCH(L193,Aux_CAV!$A$2:$A$121,1))))</f>
        <v>13</v>
      </c>
      <c r="AC193" s="19" t="n">
        <f aca="false">IF(D193="","",COUNT($D$24:D193))</f>
        <v>158</v>
      </c>
    </row>
    <row r="194" customFormat="false" ht="12.75" hidden="false" customHeight="true" outlineLevel="0" collapsed="false">
      <c r="A194" s="14" t="n">
        <f aca="false">IF(D194="","",DATE(B194,C194,1))</f>
        <v>8827</v>
      </c>
      <c r="B194" s="15" t="n">
        <f aca="false" t="array" ref="B194:B194">IF(D194="","",IFERROR(VALUE(INDEX(Vazoes_COLAR!$A$2:$A$200,INT((ROW()-24)/12)+1)),""))</f>
        <v>1924</v>
      </c>
      <c r="C194" s="15" t="n">
        <f aca="false">IF(D194="","",MOD(ROW()-24,12)+1)</f>
        <v>3</v>
      </c>
      <c r="D194" s="16" t="n">
        <f aca="false" t="array" ref="D194: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15.2185304061331</v>
      </c>
      <c r="E194" s="16" t="n">
        <f aca="false">IF(D194="","",D194*$B$15)</f>
        <v>39.446430812697</v>
      </c>
      <c r="F194" s="16" t="n">
        <f aca="false" t="array" ref="F194:F194">IF(D194="","",IFERROR(INDEX(Dados_Evap!$C$2:$N$15,MATCH($B$9,Dados_Evap!$A$2:$A$15,0),C194),0))</f>
        <v>107.7</v>
      </c>
      <c r="G194" s="16" t="n">
        <f aca="false">IF(F194="","",F194/1000)</f>
        <v>0.1077</v>
      </c>
      <c r="H194" s="16" t="n">
        <f aca="false">IF(D194="","",MAX(0,MIN($B$8,IFERROR(LOOKUP(2,1/($U$24:U193&lt;&gt;""),$U$24:U193),$B$11))))</f>
        <v>37.3590592426916</v>
      </c>
      <c r="I194" s="16" t="n">
        <f aca="false" t="array" ref="I194: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>5.98545638665239</v>
      </c>
      <c r="J194" s="16" t="n">
        <f aca="false">IF(D194="","",$B$12)</f>
        <v>0.35</v>
      </c>
      <c r="K194" s="16" t="n">
        <f aca="false">IF(J194="","",J194*$B$15)</f>
        <v>0.9072</v>
      </c>
      <c r="L194" s="16" t="n">
        <f aca="false">IF(D194="","",H194+E194-K194-G194*I194)</f>
        <v>75.2536564025461</v>
      </c>
      <c r="M194" s="16" t="n">
        <f aca="false" t="array" ref="M194: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>10.2068140747263</v>
      </c>
      <c r="N194" s="16" t="n">
        <f aca="false">IF(D194="","",(I194+M194)/2)</f>
        <v>8.09613523068934</v>
      </c>
      <c r="O194" s="16" t="n">
        <f aca="false">IF(D194="","",G194*N194)</f>
        <v>0.871953764345242</v>
      </c>
      <c r="P194" s="16" t="n">
        <f aca="false">IF(D194="","",H194+E194-K194-O194)</f>
        <v>75.0263362910434</v>
      </c>
      <c r="Q194" s="16" t="n">
        <f aca="false">IF(D194="","",IF(P194&gt;=0,K194,MAX(0,K194+P194)))</f>
        <v>0.9072</v>
      </c>
      <c r="R194" s="16" t="n">
        <f aca="false">IF(D194="","",Q194/$B$15)</f>
        <v>0.35</v>
      </c>
      <c r="S194" s="16" t="n">
        <f aca="false">IF(D194="","",MAX(0,J194-R194))</f>
        <v>0</v>
      </c>
      <c r="T194" s="16" t="n">
        <f aca="false">IF(D194="","",MAX(0,Z194-$B$8))</f>
        <v>27.8063362910434</v>
      </c>
      <c r="U194" s="16" t="n">
        <f aca="false">IF(D194="","",MAX(0,MIN($B$8,Z194)))</f>
        <v>47.22</v>
      </c>
      <c r="V194" s="16" t="str">
        <f aca="false">IF(D194="","",IF(S194&gt;0.0000001,"Sim","Não"))</f>
        <v>Não</v>
      </c>
      <c r="W194" s="16" t="n">
        <f aca="false">IF(D194="","",U194-(H194+E194-Q194-O194-T194))</f>
        <v>0</v>
      </c>
      <c r="X194" s="16" t="n">
        <f aca="false">IF(W194="","",ABS(W194))</f>
        <v>0</v>
      </c>
      <c r="Y194" s="16" t="n">
        <f aca="false">IF(U194="","",IF($B$8=0,0,U194/$B$8*100))</f>
        <v>100</v>
      </c>
      <c r="Z194" s="18" t="n">
        <f aca="false">IF(D194="","",MAX(0,IF(P194&gt;=0,P194,IF(K194+P194&gt;=0,0,P194+K194))))</f>
        <v>75.0263362910434</v>
      </c>
      <c r="AA194" s="18" t="n">
        <f aca="false">IF(D194="","",IF(H194&lt;=$B$16,1,IF(H194&gt;=$B$17,$B$21,MATCH(H194,Aux_CAV!$A$2:$A$121,1))))</f>
        <v>13</v>
      </c>
      <c r="AB194" s="18" t="n">
        <f aca="false">IF(D194="","",IF(L194&lt;=$B$16,1,IF(L194&gt;=$B$17,$B$21,MATCH(L194,Aux_CAV!$A$2:$A$121,1))))</f>
        <v>17</v>
      </c>
      <c r="AC194" s="19" t="n">
        <f aca="false">IF(D194="","",COUNT($D$24:D194))</f>
        <v>159</v>
      </c>
    </row>
    <row r="195" customFormat="false" ht="12.75" hidden="false" customHeight="true" outlineLevel="0" collapsed="false">
      <c r="A195" s="14" t="n">
        <f aca="false">IF(D195="","",DATE(B195,C195,1))</f>
        <v>8858</v>
      </c>
      <c r="B195" s="15" t="n">
        <f aca="false" t="array" ref="B195:B195">IF(D195="","",IFERROR(VALUE(INDEX(Vazoes_COLAR!$A$2:$A$200,INT((ROW()-24)/12)+1)),""))</f>
        <v>1924</v>
      </c>
      <c r="C195" s="15" t="n">
        <f aca="false">IF(D195="","",MOD(ROW()-24,12)+1)</f>
        <v>4</v>
      </c>
      <c r="D195" s="16" t="n">
        <f aca="false" t="array" ref="D195: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36.8343907576263</v>
      </c>
      <c r="E195" s="16" t="n">
        <f aca="false">IF(D195="","",D195*$B$15)</f>
        <v>95.4747408437674</v>
      </c>
      <c r="F195" s="16" t="n">
        <f aca="false" t="array" ref="F195:F195">IF(D195="","",IFERROR(INDEX(Dados_Evap!$C$2:$N$15,MATCH($B$9,Dados_Evap!$A$2:$A$15,0),C195),0))</f>
        <v>100.5</v>
      </c>
      <c r="G195" s="16" t="n">
        <f aca="false">IF(F195="","",F195/1000)</f>
        <v>0.1005</v>
      </c>
      <c r="H195" s="16" t="n">
        <f aca="false">IF(D195="","",MAX(0,MIN($B$8,IFERROR(LOOKUP(2,1/($U$24:U194&lt;&gt;""),$U$24:U194),$B$11))))</f>
        <v>47.22</v>
      </c>
      <c r="I195" s="16" t="n">
        <f aca="false" t="array" ref="I195: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>6.97</v>
      </c>
      <c r="J195" s="16" t="n">
        <f aca="false">IF(D195="","",$B$12)</f>
        <v>0.35</v>
      </c>
      <c r="K195" s="16" t="n">
        <f aca="false">IF(J195="","",J195*$B$15)</f>
        <v>0.9072</v>
      </c>
      <c r="L195" s="16" t="n">
        <f aca="false">IF(D195="","",H195+E195-K195-G195*I195)</f>
        <v>141.087055843767</v>
      </c>
      <c r="M195" s="16" t="n">
        <f aca="false" t="array" ref="M195: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>10.96</v>
      </c>
      <c r="N195" s="16" t="n">
        <f aca="false">IF(D195="","",(I195+M195)/2)</f>
        <v>8.965</v>
      </c>
      <c r="O195" s="16" t="n">
        <f aca="false">IF(D195="","",G195*N195)</f>
        <v>0.9009825</v>
      </c>
      <c r="P195" s="16" t="n">
        <f aca="false">IF(D195="","",H195+E195-K195-O195)</f>
        <v>140.886558343767</v>
      </c>
      <c r="Q195" s="16" t="n">
        <f aca="false">IF(D195="","",IF(P195&gt;=0,K195,MAX(0,K195+P195)))</f>
        <v>0.9072</v>
      </c>
      <c r="R195" s="16" t="n">
        <f aca="false">IF(D195="","",Q195/$B$15)</f>
        <v>0.35</v>
      </c>
      <c r="S195" s="16" t="n">
        <f aca="false">IF(D195="","",MAX(0,J195-R195))</f>
        <v>0</v>
      </c>
      <c r="T195" s="16" t="n">
        <f aca="false">IF(D195="","",MAX(0,Z195-$B$8))</f>
        <v>93.6665583437674</v>
      </c>
      <c r="U195" s="16" t="n">
        <f aca="false">IF(D195="","",MAX(0,MIN($B$8,Z195)))</f>
        <v>47.22</v>
      </c>
      <c r="V195" s="16" t="str">
        <f aca="false">IF(D195="","",IF(S195&gt;0.0000001,"Sim","Não"))</f>
        <v>Não</v>
      </c>
      <c r="W195" s="16" t="n">
        <f aca="false">IF(D195="","",U195-(H195+E195-Q195-O195-T195))</f>
        <v>0</v>
      </c>
      <c r="X195" s="16" t="n">
        <f aca="false">IF(W195="","",ABS(W195))</f>
        <v>0</v>
      </c>
      <c r="Y195" s="16" t="n">
        <f aca="false">IF(U195="","",IF($B$8=0,0,U195/$B$8*100))</f>
        <v>100</v>
      </c>
      <c r="Z195" s="18" t="n">
        <f aca="false">IF(D195="","",MAX(0,IF(P195&gt;=0,P195,IF(K195+P195&gt;=0,0,P195+K195))))</f>
        <v>140.886558343767</v>
      </c>
      <c r="AA195" s="18" t="n">
        <f aca="false">IF(D195="","",IF(H195&lt;=$B$16,1,IF(H195&gt;=$B$17,$B$21,MATCH(H195,Aux_CAV!$A$2:$A$121,1))))</f>
        <v>14</v>
      </c>
      <c r="AB195" s="18" t="n">
        <f aca="false">IF(D195="","",IF(L195&lt;=$B$16,1,IF(L195&gt;=$B$17,$B$21,MATCH(L195,Aux_CAV!$A$2:$A$121,1))))</f>
        <v>18</v>
      </c>
      <c r="AC195" s="19" t="n">
        <f aca="false">IF(D195="","",COUNT($D$24:D195))</f>
        <v>160</v>
      </c>
    </row>
    <row r="196" customFormat="false" ht="12.75" hidden="false" customHeight="true" outlineLevel="0" collapsed="false">
      <c r="A196" s="14" t="n">
        <f aca="false">IF(D196="","",DATE(B196,C196,1))</f>
        <v>8888</v>
      </c>
      <c r="B196" s="15" t="n">
        <f aca="false" t="array" ref="B196:B196">IF(D196="","",IFERROR(VALUE(INDEX(Vazoes_COLAR!$A$2:$A$200,INT((ROW()-24)/12)+1)),""))</f>
        <v>1924</v>
      </c>
      <c r="C196" s="15" t="n">
        <f aca="false">IF(D196="","",MOD(ROW()-24,12)+1)</f>
        <v>5</v>
      </c>
      <c r="D196" s="16" t="n">
        <f aca="false" t="array" ref="D196: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8.69520027474658</v>
      </c>
      <c r="E196" s="16" t="n">
        <f aca="false">IF(D196="","",D196*$B$15)</f>
        <v>22.5379591121431</v>
      </c>
      <c r="F196" s="16" t="n">
        <f aca="false" t="array" ref="F196:F196">IF(D196="","",IFERROR(INDEX(Dados_Evap!$C$2:$N$15,MATCH($B$9,Dados_Evap!$A$2:$A$15,0),C196),0))</f>
        <v>145.8</v>
      </c>
      <c r="G196" s="16" t="n">
        <f aca="false">IF(F196="","",F196/1000)</f>
        <v>0.1458</v>
      </c>
      <c r="H196" s="16" t="n">
        <f aca="false">IF(D196="","",MAX(0,MIN($B$8,IFERROR(LOOKUP(2,1/($U$24:U195&lt;&gt;""),$U$24:U195),$B$11))))</f>
        <v>47.22</v>
      </c>
      <c r="I196" s="16" t="n">
        <f aca="false" t="array" ref="I196: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>6.97</v>
      </c>
      <c r="J196" s="16" t="n">
        <f aca="false">IF(D196="","",$B$12)</f>
        <v>0.35</v>
      </c>
      <c r="K196" s="16" t="n">
        <f aca="false">IF(J196="","",J196*$B$15)</f>
        <v>0.9072</v>
      </c>
      <c r="L196" s="16" t="n">
        <f aca="false">IF(D196="","",H196+E196-K196-G196*I196)</f>
        <v>67.8345331121431</v>
      </c>
      <c r="M196" s="16" t="n">
        <f aca="false" t="array" ref="M196: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>9.41602499324402</v>
      </c>
      <c r="N196" s="16" t="n">
        <f aca="false">IF(D196="","",(I196+M196)/2)</f>
        <v>8.19301249662201</v>
      </c>
      <c r="O196" s="16" t="n">
        <f aca="false">IF(D196="","",G196*N196)</f>
        <v>1.19454122200749</v>
      </c>
      <c r="P196" s="16" t="n">
        <f aca="false">IF(D196="","",H196+E196-K196-O196)</f>
        <v>67.6562178901357</v>
      </c>
      <c r="Q196" s="16" t="n">
        <f aca="false">IF(D196="","",IF(P196&gt;=0,K196,MAX(0,K196+P196)))</f>
        <v>0.9072</v>
      </c>
      <c r="R196" s="16" t="n">
        <f aca="false">IF(D196="","",Q196/$B$15)</f>
        <v>0.35</v>
      </c>
      <c r="S196" s="16" t="n">
        <f aca="false">IF(D196="","",MAX(0,J196-R196))</f>
        <v>0</v>
      </c>
      <c r="T196" s="16" t="n">
        <f aca="false">IF(D196="","",MAX(0,Z196-$B$8))</f>
        <v>20.4362178901357</v>
      </c>
      <c r="U196" s="16" t="n">
        <f aca="false">IF(D196="","",MAX(0,MIN($B$8,Z196)))</f>
        <v>47.22</v>
      </c>
      <c r="V196" s="16" t="str">
        <f aca="false">IF(D196="","",IF(S196&gt;0.0000001,"Sim","Não"))</f>
        <v>Não</v>
      </c>
      <c r="W196" s="16" t="n">
        <f aca="false">IF(D196="","",U196-(H196+E196-Q196-O196-T196))</f>
        <v>0</v>
      </c>
      <c r="X196" s="16" t="n">
        <f aca="false">IF(W196="","",ABS(W196))</f>
        <v>0</v>
      </c>
      <c r="Y196" s="16" t="n">
        <f aca="false">IF(U196="","",IF($B$8=0,0,U196/$B$8*100))</f>
        <v>100</v>
      </c>
      <c r="Z196" s="18" t="n">
        <f aca="false">IF(D196="","",MAX(0,IF(P196&gt;=0,P196,IF(K196+P196&gt;=0,0,P196+K196))))</f>
        <v>67.6562178901357</v>
      </c>
      <c r="AA196" s="18" t="n">
        <f aca="false">IF(D196="","",IF(H196&lt;=$B$16,1,IF(H196&gt;=$B$17,$B$21,MATCH(H196,Aux_CAV!$A$2:$A$121,1))))</f>
        <v>14</v>
      </c>
      <c r="AB196" s="18" t="n">
        <f aca="false">IF(D196="","",IF(L196&lt;=$B$16,1,IF(L196&gt;=$B$17,$B$21,MATCH(L196,Aux_CAV!$A$2:$A$121,1))))</f>
        <v>16</v>
      </c>
      <c r="AC196" s="19" t="n">
        <f aca="false">IF(D196="","",COUNT($D$24:D196))</f>
        <v>161</v>
      </c>
    </row>
    <row r="197" customFormat="false" ht="12.75" hidden="false" customHeight="true" outlineLevel="0" collapsed="false">
      <c r="A197" s="14" t="n">
        <f aca="false">IF(D197="","",DATE(B197,C197,1))</f>
        <v>8919</v>
      </c>
      <c r="B197" s="15" t="n">
        <f aca="false" t="array" ref="B197:B197">IF(D197="","",IFERROR(VALUE(INDEX(Vazoes_COLAR!$A$2:$A$200,INT((ROW()-24)/12)+1)),""))</f>
        <v>1924</v>
      </c>
      <c r="C197" s="15" t="n">
        <f aca="false">IF(D197="","",MOD(ROW()-24,12)+1)</f>
        <v>6</v>
      </c>
      <c r="D197" s="16" t="n">
        <f aca="false" t="array" ref="D197: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2.66442408168345</v>
      </c>
      <c r="E197" s="16" t="n">
        <f aca="false">IF(D197="","",D197*$B$15)</f>
        <v>6.9061872197235</v>
      </c>
      <c r="F197" s="16" t="n">
        <f aca="false" t="array" ref="F197:F197">IF(D197="","",IFERROR(INDEX(Dados_Evap!$C$2:$N$15,MATCH($B$9,Dados_Evap!$A$2:$A$15,0),C197),0))</f>
        <v>161.3</v>
      </c>
      <c r="G197" s="16" t="n">
        <f aca="false">IF(F197="","",F197/1000)</f>
        <v>0.1613</v>
      </c>
      <c r="H197" s="16" t="n">
        <f aca="false">IF(D197="","",MAX(0,MIN($B$8,IFERROR(LOOKUP(2,1/($U$24:U196&lt;&gt;""),$U$24:U196),$B$11))))</f>
        <v>47.22</v>
      </c>
      <c r="I197" s="16" t="n">
        <f aca="false" t="array" ref="I197: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>6.97</v>
      </c>
      <c r="J197" s="16" t="n">
        <f aca="false">IF(D197="","",$B$12)</f>
        <v>0.35</v>
      </c>
      <c r="K197" s="16" t="n">
        <f aca="false">IF(J197="","",J197*$B$15)</f>
        <v>0.9072</v>
      </c>
      <c r="L197" s="16" t="n">
        <f aca="false">IF(D197="","",H197+E197-K197-G197*I197)</f>
        <v>52.0947262197235</v>
      </c>
      <c r="M197" s="16" t="n">
        <f aca="false" t="array" ref="M197: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>7.54466284704058</v>
      </c>
      <c r="N197" s="16" t="n">
        <f aca="false">IF(D197="","",(I197+M197)/2)</f>
        <v>7.25733142352029</v>
      </c>
      <c r="O197" s="16" t="n">
        <f aca="false">IF(D197="","",G197*N197)</f>
        <v>1.17060755861382</v>
      </c>
      <c r="P197" s="16" t="n">
        <f aca="false">IF(D197="","",H197+E197-K197-O197)</f>
        <v>52.0483796611097</v>
      </c>
      <c r="Q197" s="16" t="n">
        <f aca="false">IF(D197="","",IF(P197&gt;=0,K197,MAX(0,K197+P197)))</f>
        <v>0.9072</v>
      </c>
      <c r="R197" s="16" t="n">
        <f aca="false">IF(D197="","",Q197/$B$15)</f>
        <v>0.35</v>
      </c>
      <c r="S197" s="16" t="n">
        <f aca="false">IF(D197="","",MAX(0,J197-R197))</f>
        <v>0</v>
      </c>
      <c r="T197" s="16" t="n">
        <f aca="false">IF(D197="","",MAX(0,Z197-$B$8))</f>
        <v>4.82837966110968</v>
      </c>
      <c r="U197" s="16" t="n">
        <f aca="false">IF(D197="","",MAX(0,MIN($B$8,Z197)))</f>
        <v>47.22</v>
      </c>
      <c r="V197" s="16" t="str">
        <f aca="false">IF(D197="","",IF(S197&gt;0.0000001,"Sim","Não"))</f>
        <v>Não</v>
      </c>
      <c r="W197" s="16" t="n">
        <f aca="false">IF(D197="","",U197-(H197+E197-Q197-O197-T197))</f>
        <v>0</v>
      </c>
      <c r="X197" s="16" t="n">
        <f aca="false">IF(W197="","",ABS(W197))</f>
        <v>0</v>
      </c>
      <c r="Y197" s="16" t="n">
        <f aca="false">IF(U197="","",IF($B$8=0,0,U197/$B$8*100))</f>
        <v>100</v>
      </c>
      <c r="Z197" s="18" t="n">
        <f aca="false">IF(D197="","",MAX(0,IF(P197&gt;=0,P197,IF(K197+P197&gt;=0,0,P197+K197))))</f>
        <v>52.0483796611097</v>
      </c>
      <c r="AA197" s="18" t="n">
        <f aca="false">IF(D197="","",IF(H197&lt;=$B$16,1,IF(H197&gt;=$B$17,$B$21,MATCH(H197,Aux_CAV!$A$2:$A$121,1))))</f>
        <v>14</v>
      </c>
      <c r="AB197" s="18" t="n">
        <f aca="false">IF(D197="","",IF(L197&lt;=$B$16,1,IF(L197&gt;=$B$17,$B$21,MATCH(L197,Aux_CAV!$A$2:$A$121,1))))</f>
        <v>14</v>
      </c>
      <c r="AC197" s="19" t="n">
        <f aca="false">IF(D197="","",COUNT($D$24:D197))</f>
        <v>162</v>
      </c>
    </row>
    <row r="198" customFormat="false" ht="12.75" hidden="false" customHeight="true" outlineLevel="0" collapsed="false">
      <c r="A198" s="14" t="n">
        <f aca="false">IF(D198="","",DATE(B198,C198,1))</f>
        <v>8949</v>
      </c>
      <c r="B198" s="15" t="n">
        <f aca="false" t="array" ref="B198:B198">IF(D198="","",IFERROR(VALUE(INDEX(Vazoes_COLAR!$A$2:$A$200,INT((ROW()-24)/12)+1)),""))</f>
        <v>1924</v>
      </c>
      <c r="C198" s="15" t="n">
        <f aca="false">IF(D198="","",MOD(ROW()-24,12)+1)</f>
        <v>7</v>
      </c>
      <c r="D198" s="16" t="n">
        <f aca="false" t="array" ref="D198: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0.201109332979903</v>
      </c>
      <c r="E198" s="16" t="n">
        <f aca="false">IF(D198="","",D198*$B$15)</f>
        <v>0.521275391083909</v>
      </c>
      <c r="F198" s="16" t="n">
        <f aca="false" t="array" ref="F198:F198">IF(D198="","",IFERROR(INDEX(Dados_Evap!$C$2:$N$15,MATCH($B$9,Dados_Evap!$A$2:$A$15,0),C198),0))</f>
        <v>224.8</v>
      </c>
      <c r="G198" s="16" t="n">
        <f aca="false">IF(F198="","",F198/1000)</f>
        <v>0.2248</v>
      </c>
      <c r="H198" s="16" t="n">
        <f aca="false">IF(D198="","",MAX(0,MIN($B$8,IFERROR(LOOKUP(2,1/($U$24:U197&lt;&gt;""),$U$24:U197),$B$11))))</f>
        <v>47.22</v>
      </c>
      <c r="I198" s="16" t="n">
        <f aca="false" t="array" ref="I198: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>6.97</v>
      </c>
      <c r="J198" s="16" t="n">
        <f aca="false">IF(D198="","",$B$12)</f>
        <v>0.35</v>
      </c>
      <c r="K198" s="16" t="n">
        <f aca="false">IF(J198="","",J198*$B$15)</f>
        <v>0.9072</v>
      </c>
      <c r="L198" s="16" t="n">
        <f aca="false">IF(D198="","",H198+E198-K198-G198*I198)</f>
        <v>45.2672193910839</v>
      </c>
      <c r="M198" s="16" t="n">
        <f aca="false" t="array" ref="M198: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>6.77502898008464</v>
      </c>
      <c r="N198" s="16" t="n">
        <f aca="false">IF(D198="","",(I198+M198)/2)</f>
        <v>6.87251449004232</v>
      </c>
      <c r="O198" s="16" t="n">
        <f aca="false">IF(D198="","",G198*N198)</f>
        <v>1.54494125736151</v>
      </c>
      <c r="P198" s="16" t="n">
        <f aca="false">IF(D198="","",H198+E198-K198-O198)</f>
        <v>45.2891341337224</v>
      </c>
      <c r="Q198" s="16" t="n">
        <f aca="false">IF(D198="","",IF(P198&gt;=0,K198,MAX(0,K198+P198)))</f>
        <v>0.9072</v>
      </c>
      <c r="R198" s="16" t="n">
        <f aca="false">IF(D198="","",Q198/$B$15)</f>
        <v>0.35</v>
      </c>
      <c r="S198" s="16" t="n">
        <f aca="false">IF(D198="","",MAX(0,J198-R198))</f>
        <v>0</v>
      </c>
      <c r="T198" s="16" t="n">
        <f aca="false">IF(D198="","",MAX(0,Z198-$B$8))</f>
        <v>0</v>
      </c>
      <c r="U198" s="16" t="n">
        <f aca="false">IF(D198="","",MAX(0,MIN($B$8,Z198)))</f>
        <v>45.2891341337224</v>
      </c>
      <c r="V198" s="16" t="str">
        <f aca="false">IF(D198="","",IF(S198&gt;0.0000001,"Sim","Não"))</f>
        <v>Não</v>
      </c>
      <c r="W198" s="16" t="n">
        <f aca="false">IF(D198="","",U198-(H198+E198-Q198-O198-T198))</f>
        <v>0</v>
      </c>
      <c r="X198" s="16" t="n">
        <f aca="false">IF(W198="","",ABS(W198))</f>
        <v>0</v>
      </c>
      <c r="Y198" s="16" t="n">
        <f aca="false">IF(U198="","",IF($B$8=0,0,U198/$B$8*100))</f>
        <v>95.9109151497721</v>
      </c>
      <c r="Z198" s="18" t="n">
        <f aca="false">IF(D198="","",MAX(0,IF(P198&gt;=0,P198,IF(K198+P198&gt;=0,0,P198+K198))))</f>
        <v>45.2891341337224</v>
      </c>
      <c r="AA198" s="18" t="n">
        <f aca="false">IF(D198="","",IF(H198&lt;=$B$16,1,IF(H198&gt;=$B$17,$B$21,MATCH(H198,Aux_CAV!$A$2:$A$121,1))))</f>
        <v>14</v>
      </c>
      <c r="AB198" s="18" t="n">
        <f aca="false">IF(D198="","",IF(L198&lt;=$B$16,1,IF(L198&gt;=$B$17,$B$21,MATCH(L198,Aux_CAV!$A$2:$A$121,1))))</f>
        <v>13</v>
      </c>
      <c r="AC198" s="19" t="n">
        <f aca="false">IF(D198="","",COUNT($D$24:D198))</f>
        <v>163</v>
      </c>
    </row>
    <row r="199" customFormat="false" ht="12.75" hidden="false" customHeight="true" outlineLevel="0" collapsed="false">
      <c r="A199" s="14" t="n">
        <f aca="false">IF(D199="","",DATE(B199,C199,1))</f>
        <v>8980</v>
      </c>
      <c r="B199" s="15" t="n">
        <f aca="false" t="array" ref="B199:B199">IF(D199="","",IFERROR(VALUE(INDEX(Vazoes_COLAR!$A$2:$A$200,INT((ROW()-24)/12)+1)),""))</f>
        <v>1924</v>
      </c>
      <c r="C199" s="15" t="n">
        <f aca="false">IF(D199="","",MOD(ROW()-24,12)+1)</f>
        <v>8</v>
      </c>
      <c r="D199" s="16" t="n">
        <f aca="false" t="array" ref="D199: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0.0723942946174491</v>
      </c>
      <c r="E199" s="16" t="n">
        <f aca="false">IF(D199="","",D199*$B$15)</f>
        <v>0.187646011648428</v>
      </c>
      <c r="F199" s="16" t="n">
        <f aca="false" t="array" ref="F199:F199">IF(D199="","",IFERROR(INDEX(Dados_Evap!$C$2:$N$15,MATCH($B$9,Dados_Evap!$A$2:$A$15,0),C199),0))</f>
        <v>268.7</v>
      </c>
      <c r="G199" s="16" t="n">
        <f aca="false">IF(F199="","",F199/1000)</f>
        <v>0.2687</v>
      </c>
      <c r="H199" s="16" t="n">
        <f aca="false">IF(D199="","",MAX(0,MIN($B$8,IFERROR(LOOKUP(2,1/($U$24:U198&lt;&gt;""),$U$24:U198),$B$11))))</f>
        <v>45.2891341337224</v>
      </c>
      <c r="I199" s="16" t="n">
        <f aca="false" t="array" ref="I199: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>6.77721700863423</v>
      </c>
      <c r="J199" s="16" t="n">
        <f aca="false">IF(D199="","",$B$12)</f>
        <v>0.35</v>
      </c>
      <c r="K199" s="16" t="n">
        <f aca="false">IF(J199="","",J199*$B$15)</f>
        <v>0.9072</v>
      </c>
      <c r="L199" s="16" t="n">
        <f aca="false">IF(D199="","",H199+E199-K199-G199*I199)</f>
        <v>42.7485419351508</v>
      </c>
      <c r="M199" s="16" t="n">
        <f aca="false" t="array" ref="M199: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>6.52355725295924</v>
      </c>
      <c r="N199" s="16" t="n">
        <f aca="false">IF(D199="","",(I199+M199)/2)</f>
        <v>6.65038713079674</v>
      </c>
      <c r="O199" s="16" t="n">
        <f aca="false">IF(D199="","",G199*N199)</f>
        <v>1.78695902204508</v>
      </c>
      <c r="P199" s="16" t="n">
        <f aca="false">IF(D199="","",H199+E199-K199-O199)</f>
        <v>42.7826211233257</v>
      </c>
      <c r="Q199" s="16" t="n">
        <f aca="false">IF(D199="","",IF(P199&gt;=0,K199,MAX(0,K199+P199)))</f>
        <v>0.9072</v>
      </c>
      <c r="R199" s="16" t="n">
        <f aca="false">IF(D199="","",Q199/$B$15)</f>
        <v>0.35</v>
      </c>
      <c r="S199" s="16" t="n">
        <f aca="false">IF(D199="","",MAX(0,J199-R199))</f>
        <v>0</v>
      </c>
      <c r="T199" s="16" t="n">
        <f aca="false">IF(D199="","",MAX(0,Z199-$B$8))</f>
        <v>0</v>
      </c>
      <c r="U199" s="16" t="n">
        <f aca="false">IF(D199="","",MAX(0,MIN($B$8,Z199)))</f>
        <v>42.7826211233257</v>
      </c>
      <c r="V199" s="16" t="str">
        <f aca="false">IF(D199="","",IF(S199&gt;0.0000001,"Sim","Não"))</f>
        <v>Não</v>
      </c>
      <c r="W199" s="16" t="n">
        <f aca="false">IF(D199="","",U199-(H199+E199-Q199-O199-T199))</f>
        <v>0</v>
      </c>
      <c r="X199" s="16" t="n">
        <f aca="false">IF(W199="","",ABS(W199))</f>
        <v>0</v>
      </c>
      <c r="Y199" s="16" t="n">
        <f aca="false">IF(U199="","",IF($B$8=0,0,U199/$B$8*100))</f>
        <v>90.6027554496521</v>
      </c>
      <c r="Z199" s="18" t="n">
        <f aca="false">IF(D199="","",MAX(0,IF(P199&gt;=0,P199,IF(K199+P199&gt;=0,0,P199+K199))))</f>
        <v>42.7826211233257</v>
      </c>
      <c r="AA199" s="18" t="n">
        <f aca="false">IF(D199="","",IF(H199&lt;=$B$16,1,IF(H199&gt;=$B$17,$B$21,MATCH(H199,Aux_CAV!$A$2:$A$121,1))))</f>
        <v>13</v>
      </c>
      <c r="AB199" s="18" t="n">
        <f aca="false">IF(D199="","",IF(L199&lt;=$B$16,1,IF(L199&gt;=$B$17,$B$21,MATCH(L199,Aux_CAV!$A$2:$A$121,1))))</f>
        <v>13</v>
      </c>
      <c r="AC199" s="19" t="n">
        <f aca="false">IF(D199="","",COUNT($D$24:D199))</f>
        <v>164</v>
      </c>
    </row>
    <row r="200" customFormat="false" ht="12.75" hidden="false" customHeight="true" outlineLevel="0" collapsed="false">
      <c r="A200" s="14" t="n">
        <f aca="false">IF(D200="","",DATE(B200,C200,1))</f>
        <v>9011</v>
      </c>
      <c r="B200" s="15" t="n">
        <f aca="false" t="array" ref="B200:B200">IF(D200="","",IFERROR(VALUE(INDEX(Vazoes_COLAR!$A$2:$A$200,INT((ROW()-24)/12)+1)),""))</f>
        <v>1924</v>
      </c>
      <c r="C200" s="15" t="n">
        <f aca="false">IF(D200="","",MOD(ROW()-24,12)+1)</f>
        <v>9</v>
      </c>
      <c r="D200" s="16" t="n">
        <f aca="false" t="array" ref="D200: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0.0866761583643414</v>
      </c>
      <c r="E200" s="16" t="n">
        <f aca="false">IF(D200="","",D200*$B$15)</f>
        <v>0.224664602480373</v>
      </c>
      <c r="F200" s="16" t="n">
        <f aca="false" t="array" ref="F200:F200">IF(D200="","",IFERROR(INDEX(Dados_Evap!$C$2:$N$15,MATCH($B$9,Dados_Evap!$A$2:$A$15,0),C200),0))</f>
        <v>292.8</v>
      </c>
      <c r="G200" s="16" t="n">
        <f aca="false">IF(F200="","",F200/1000)</f>
        <v>0.2928</v>
      </c>
      <c r="H200" s="16" t="n">
        <f aca="false">IF(D200="","",MAX(0,MIN($B$8,IFERROR(LOOKUP(2,1/($U$24:U199&lt;&gt;""),$U$24:U199),$B$11))))</f>
        <v>42.7826211233257</v>
      </c>
      <c r="I200" s="16" t="n">
        <f aca="false" t="array" ref="I200: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>6.52695981341381</v>
      </c>
      <c r="J200" s="16" t="n">
        <f aca="false">IF(D200="","",$B$12)</f>
        <v>0.35</v>
      </c>
      <c r="K200" s="16" t="n">
        <f aca="false">IF(J200="","",J200*$B$15)</f>
        <v>0.9072</v>
      </c>
      <c r="L200" s="16" t="n">
        <f aca="false">IF(D200="","",H200+E200-K200-G200*I200)</f>
        <v>40.1889918924385</v>
      </c>
      <c r="M200" s="16" t="n">
        <f aca="false" t="array" ref="M200: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>6.26800469366328</v>
      </c>
      <c r="N200" s="16" t="n">
        <f aca="false">IF(D200="","",(I200+M200)/2)</f>
        <v>6.39748225353855</v>
      </c>
      <c r="O200" s="16" t="n">
        <f aca="false">IF(D200="","",G200*N200)</f>
        <v>1.87318280383609</v>
      </c>
      <c r="P200" s="16" t="n">
        <f aca="false">IF(D200="","",H200+E200-K200-O200)</f>
        <v>40.22690292197</v>
      </c>
      <c r="Q200" s="16" t="n">
        <f aca="false">IF(D200="","",IF(P200&gt;=0,K200,MAX(0,K200+P200)))</f>
        <v>0.9072</v>
      </c>
      <c r="R200" s="16" t="n">
        <f aca="false">IF(D200="","",Q200/$B$15)</f>
        <v>0.35</v>
      </c>
      <c r="S200" s="16" t="n">
        <f aca="false">IF(D200="","",MAX(0,J200-R200))</f>
        <v>0</v>
      </c>
      <c r="T200" s="16" t="n">
        <f aca="false">IF(D200="","",MAX(0,Z200-$B$8))</f>
        <v>0</v>
      </c>
      <c r="U200" s="16" t="n">
        <f aca="false">IF(D200="","",MAX(0,MIN($B$8,Z200)))</f>
        <v>40.22690292197</v>
      </c>
      <c r="V200" s="16" t="str">
        <f aca="false">IF(D200="","",IF(S200&gt;0.0000001,"Sim","Não"))</f>
        <v>Não</v>
      </c>
      <c r="W200" s="16" t="n">
        <f aca="false">IF(D200="","",U200-(H200+E200-Q200-O200-T200))</f>
        <v>0</v>
      </c>
      <c r="X200" s="16" t="n">
        <f aca="false">IF(W200="","",ABS(W200))</f>
        <v>0</v>
      </c>
      <c r="Y200" s="16" t="n">
        <f aca="false">IF(U200="","",IF($B$8=0,0,U200/$B$8*100))</f>
        <v>85.190391617895</v>
      </c>
      <c r="Z200" s="18" t="n">
        <f aca="false">IF(D200="","",MAX(0,IF(P200&gt;=0,P200,IF(K200+P200&gt;=0,0,P200+K200))))</f>
        <v>40.22690292197</v>
      </c>
      <c r="AA200" s="18" t="n">
        <f aca="false">IF(D200="","",IF(H200&lt;=$B$16,1,IF(H200&gt;=$B$17,$B$21,MATCH(H200,Aux_CAV!$A$2:$A$121,1))))</f>
        <v>13</v>
      </c>
      <c r="AB200" s="18" t="n">
        <f aca="false">IF(D200="","",IF(L200&lt;=$B$16,1,IF(L200&gt;=$B$17,$B$21,MATCH(L200,Aux_CAV!$A$2:$A$121,1))))</f>
        <v>13</v>
      </c>
      <c r="AC200" s="19" t="n">
        <f aca="false">IF(D200="","",COUNT($D$24:D200))</f>
        <v>165</v>
      </c>
    </row>
    <row r="201" customFormat="false" ht="12.75" hidden="false" customHeight="true" outlineLevel="0" collapsed="false">
      <c r="A201" s="14" t="n">
        <f aca="false">IF(D201="","",DATE(B201,C201,1))</f>
        <v>9041</v>
      </c>
      <c r="B201" s="15" t="n">
        <f aca="false" t="array" ref="B201:B201">IF(D201="","",IFERROR(VALUE(INDEX(Vazoes_COLAR!$A$2:$A$200,INT((ROW()-24)/12)+1)),""))</f>
        <v>1924</v>
      </c>
      <c r="C201" s="15" t="n">
        <f aca="false">IF(D201="","",MOD(ROW()-24,12)+1)</f>
        <v>10</v>
      </c>
      <c r="D201" s="16" t="n">
        <f aca="false" t="array" ref="D201: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0.341938861047001</v>
      </c>
      <c r="E201" s="16" t="n">
        <f aca="false">IF(D201="","",D201*$B$15)</f>
        <v>0.886305527833827</v>
      </c>
      <c r="F201" s="16" t="n">
        <f aca="false" t="array" ref="F201:F201">IF(D201="","",IFERROR(INDEX(Dados_Evap!$C$2:$N$15,MATCH($B$9,Dados_Evap!$A$2:$A$15,0),C201),0))</f>
        <v>262.9</v>
      </c>
      <c r="G201" s="16" t="n">
        <f aca="false">IF(F201="","",F201/1000)</f>
        <v>0.2629</v>
      </c>
      <c r="H201" s="16" t="n">
        <f aca="false">IF(D201="","",MAX(0,MIN($B$8,IFERROR(LOOKUP(2,1/($U$24:U200&lt;&gt;""),$U$24:U200),$B$11))))</f>
        <v>40.22690292197</v>
      </c>
      <c r="I201" s="16" t="n">
        <f aca="false" t="array" ref="I201: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>6.27178983576273</v>
      </c>
      <c r="J201" s="16" t="n">
        <f aca="false">IF(D201="","",$B$12)</f>
        <v>0.35</v>
      </c>
      <c r="K201" s="16" t="n">
        <f aca="false">IF(J201="","",J201*$B$15)</f>
        <v>0.9072</v>
      </c>
      <c r="L201" s="16" t="n">
        <f aca="false">IF(D201="","",H201+E201-K201-G201*I201)</f>
        <v>38.5571549019818</v>
      </c>
      <c r="M201" s="16" t="n">
        <f aca="false" t="array" ref="M201: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>6.10507757276076</v>
      </c>
      <c r="N201" s="16" t="n">
        <f aca="false">IF(D201="","",(I201+M201)/2)</f>
        <v>6.18843370426175</v>
      </c>
      <c r="O201" s="16" t="n">
        <f aca="false">IF(D201="","",G201*N201)</f>
        <v>1.62693922085041</v>
      </c>
      <c r="P201" s="16" t="n">
        <f aca="false">IF(D201="","",H201+E201-K201-O201)</f>
        <v>38.5790692289534</v>
      </c>
      <c r="Q201" s="16" t="n">
        <f aca="false">IF(D201="","",IF(P201&gt;=0,K201,MAX(0,K201+P201)))</f>
        <v>0.9072</v>
      </c>
      <c r="R201" s="16" t="n">
        <f aca="false">IF(D201="","",Q201/$B$15)</f>
        <v>0.35</v>
      </c>
      <c r="S201" s="16" t="n">
        <f aca="false">IF(D201="","",MAX(0,J201-R201))</f>
        <v>0</v>
      </c>
      <c r="T201" s="16" t="n">
        <f aca="false">IF(D201="","",MAX(0,Z201-$B$8))</f>
        <v>0</v>
      </c>
      <c r="U201" s="16" t="n">
        <f aca="false">IF(D201="","",MAX(0,MIN($B$8,Z201)))</f>
        <v>38.5790692289534</v>
      </c>
      <c r="V201" s="16" t="str">
        <f aca="false">IF(D201="","",IF(S201&gt;0.0000001,"Sim","Não"))</f>
        <v>Não</v>
      </c>
      <c r="W201" s="16" t="n">
        <f aca="false">IF(D201="","",U201-(H201+E201-Q201-O201-T201))</f>
        <v>0</v>
      </c>
      <c r="X201" s="16" t="n">
        <f aca="false">IF(W201="","",ABS(W201))</f>
        <v>0</v>
      </c>
      <c r="Y201" s="16" t="n">
        <f aca="false">IF(U201="","",IF($B$8=0,0,U201/$B$8*100))</f>
        <v>81.7006972235354</v>
      </c>
      <c r="Z201" s="18" t="n">
        <f aca="false">IF(D201="","",MAX(0,IF(P201&gt;=0,P201,IF(K201+P201&gt;=0,0,P201+K201))))</f>
        <v>38.5790692289534</v>
      </c>
      <c r="AA201" s="18" t="n">
        <f aca="false">IF(D201="","",IF(H201&lt;=$B$16,1,IF(H201&gt;=$B$17,$B$21,MATCH(H201,Aux_CAV!$A$2:$A$121,1))))</f>
        <v>13</v>
      </c>
      <c r="AB201" s="18" t="n">
        <f aca="false">IF(D201="","",IF(L201&lt;=$B$16,1,IF(L201&gt;=$B$17,$B$21,MATCH(L201,Aux_CAV!$A$2:$A$121,1))))</f>
        <v>13</v>
      </c>
      <c r="AC201" s="19" t="n">
        <f aca="false">IF(D201="","",COUNT($D$24:D201))</f>
        <v>166</v>
      </c>
    </row>
    <row r="202" customFormat="false" ht="12.75" hidden="false" customHeight="true" outlineLevel="0" collapsed="false">
      <c r="A202" s="14" t="n">
        <f aca="false">IF(D202="","",DATE(B202,C202,1))</f>
        <v>9072</v>
      </c>
      <c r="B202" s="15" t="n">
        <f aca="false" t="array" ref="B202:B202">IF(D202="","",IFERROR(VALUE(INDEX(Vazoes_COLAR!$A$2:$A$200,INT((ROW()-24)/12)+1)),""))</f>
        <v>1924</v>
      </c>
      <c r="C202" s="15" t="n">
        <f aca="false">IF(D202="","",MOD(ROW()-24,12)+1)</f>
        <v>11</v>
      </c>
      <c r="D202" s="16" t="n">
        <f aca="false" t="array" ref="D202: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0.0857791610218462</v>
      </c>
      <c r="E202" s="16" t="n">
        <f aca="false">IF(D202="","",D202*$B$15)</f>
        <v>0.222339585368625</v>
      </c>
      <c r="F202" s="16" t="n">
        <f aca="false" t="array" ref="F202:F202">IF(D202="","",IFERROR(INDEX(Dados_Evap!$C$2:$N$15,MATCH($B$9,Dados_Evap!$A$2:$A$15,0),C202),0))</f>
        <v>223.7</v>
      </c>
      <c r="G202" s="16" t="n">
        <f aca="false">IF(F202="","",F202/1000)</f>
        <v>0.2237</v>
      </c>
      <c r="H202" s="16" t="n">
        <f aca="false">IF(D202="","",MAX(0,MIN($B$8,IFERROR(LOOKUP(2,1/($U$24:U201&lt;&gt;""),$U$24:U201),$B$11))))</f>
        <v>38.5790692289534</v>
      </c>
      <c r="I202" s="16" t="n">
        <f aca="false" t="array" ref="I202: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>6.10726555980903</v>
      </c>
      <c r="J202" s="16" t="n">
        <f aca="false">IF(D202="","",$B$12)</f>
        <v>0.35</v>
      </c>
      <c r="K202" s="16" t="n">
        <f aca="false">IF(J202="","",J202*$B$15)</f>
        <v>0.9072</v>
      </c>
      <c r="L202" s="16" t="n">
        <f aca="false">IF(D202="","",H202+E202-K202-G202*I202)</f>
        <v>36.5280135085928</v>
      </c>
      <c r="M202" s="16" t="n">
        <f aca="false" t="array" ref="M202: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>5.90248248081076</v>
      </c>
      <c r="N202" s="16" t="n">
        <f aca="false">IF(D202="","",(I202+M202)/2)</f>
        <v>6.00487402030989</v>
      </c>
      <c r="O202" s="16" t="n">
        <f aca="false">IF(D202="","",G202*N202)</f>
        <v>1.34329031834332</v>
      </c>
      <c r="P202" s="16" t="n">
        <f aca="false">IF(D202="","",H202+E202-K202-O202)</f>
        <v>36.5509184959787</v>
      </c>
      <c r="Q202" s="16" t="n">
        <f aca="false">IF(D202="","",IF(P202&gt;=0,K202,MAX(0,K202+P202)))</f>
        <v>0.9072</v>
      </c>
      <c r="R202" s="16" t="n">
        <f aca="false">IF(D202="","",Q202/$B$15)</f>
        <v>0.35</v>
      </c>
      <c r="S202" s="16" t="n">
        <f aca="false">IF(D202="","",MAX(0,J202-R202))</f>
        <v>0</v>
      </c>
      <c r="T202" s="16" t="n">
        <f aca="false">IF(D202="","",MAX(0,Z202-$B$8))</f>
        <v>0</v>
      </c>
      <c r="U202" s="16" t="n">
        <f aca="false">IF(D202="","",MAX(0,MIN($B$8,Z202)))</f>
        <v>36.5509184959787</v>
      </c>
      <c r="V202" s="16" t="str">
        <f aca="false">IF(D202="","",IF(S202&gt;0.0000001,"Sim","Não"))</f>
        <v>Não</v>
      </c>
      <c r="W202" s="16" t="n">
        <f aca="false">IF(D202="","",U202-(H202+E202-Q202-O202-T202))</f>
        <v>0</v>
      </c>
      <c r="X202" s="16" t="n">
        <f aca="false">IF(W202="","",ABS(W202))</f>
        <v>0</v>
      </c>
      <c r="Y202" s="16" t="n">
        <f aca="false">IF(U202="","",IF($B$8=0,0,U202/$B$8*100))</f>
        <v>77.4055876661981</v>
      </c>
      <c r="Z202" s="18" t="n">
        <f aca="false">IF(D202="","",MAX(0,IF(P202&gt;=0,P202,IF(K202+P202&gt;=0,0,P202+K202))))</f>
        <v>36.5509184959787</v>
      </c>
      <c r="AA202" s="18" t="n">
        <f aca="false">IF(D202="","",IF(H202&lt;=$B$16,1,IF(H202&gt;=$B$17,$B$21,MATCH(H202,Aux_CAV!$A$2:$A$121,1))))</f>
        <v>13</v>
      </c>
      <c r="AB202" s="18" t="n">
        <f aca="false">IF(D202="","",IF(L202&lt;=$B$16,1,IF(L202&gt;=$B$17,$B$21,MATCH(L202,Aux_CAV!$A$2:$A$121,1))))</f>
        <v>13</v>
      </c>
      <c r="AC202" s="19" t="n">
        <f aca="false">IF(D202="","",COUNT($D$24:D202))</f>
        <v>167</v>
      </c>
    </row>
    <row r="203" customFormat="false" ht="12.75" hidden="false" customHeight="true" outlineLevel="0" collapsed="false">
      <c r="A203" s="14" t="n">
        <f aca="false">IF(D203="","",DATE(B203,C203,1))</f>
        <v>9102</v>
      </c>
      <c r="B203" s="15" t="n">
        <f aca="false" t="array" ref="B203:B203">IF(D203="","",IFERROR(VALUE(INDEX(Vazoes_COLAR!$A$2:$A$200,INT((ROW()-24)/12)+1)),""))</f>
        <v>1924</v>
      </c>
      <c r="C203" s="15" t="n">
        <f aca="false">IF(D203="","",MOD(ROW()-24,12)+1)</f>
        <v>12</v>
      </c>
      <c r="D203" s="16" t="n">
        <f aca="false" t="array" ref="D203: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0.26544364945346</v>
      </c>
      <c r="E203" s="16" t="n">
        <f aca="false">IF(D203="","",D203*$B$15)</f>
        <v>0.688029939383368</v>
      </c>
      <c r="F203" s="16" t="n">
        <f aca="false" t="array" ref="F203:F203">IF(D203="","",IFERROR(INDEX(Dados_Evap!$C$2:$N$15,MATCH($B$9,Dados_Evap!$A$2:$A$15,0),C203),0))</f>
        <v>216.1</v>
      </c>
      <c r="G203" s="16" t="n">
        <f aca="false">IF(F203="","",F203/1000)</f>
        <v>0.2161</v>
      </c>
      <c r="H203" s="16" t="n">
        <f aca="false">IF(D203="","",MAX(0,MIN($B$8,IFERROR(LOOKUP(2,1/($U$24:U202&lt;&gt;""),$U$24:U202),$B$11))))</f>
        <v>36.5509184959787</v>
      </c>
      <c r="I203" s="16" t="n">
        <f aca="false" t="array" ref="I203: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>5.90476937813624</v>
      </c>
      <c r="J203" s="16" t="n">
        <f aca="false">IF(D203="","",$B$12)</f>
        <v>0.35</v>
      </c>
      <c r="K203" s="16" t="n">
        <f aca="false">IF(J203="","",J203*$B$15)</f>
        <v>0.9072</v>
      </c>
      <c r="L203" s="16" t="n">
        <f aca="false">IF(D203="","",H203+E203-K203-G203*I203)</f>
        <v>35.0557277727469</v>
      </c>
      <c r="M203" s="16" t="n">
        <f aca="false" t="array" ref="M203: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>5.75548539869407</v>
      </c>
      <c r="N203" s="16" t="n">
        <f aca="false">IF(D203="","",(I203+M203)/2)</f>
        <v>5.83012738841515</v>
      </c>
      <c r="O203" s="16" t="n">
        <f aca="false">IF(D203="","",G203*N203)</f>
        <v>1.25989052863651</v>
      </c>
      <c r="P203" s="16" t="n">
        <f aca="false">IF(D203="","",H203+E203-K203-O203)</f>
        <v>35.0718579067256</v>
      </c>
      <c r="Q203" s="16" t="n">
        <f aca="false">IF(D203="","",IF(P203&gt;=0,K203,MAX(0,K203+P203)))</f>
        <v>0.9072</v>
      </c>
      <c r="R203" s="16" t="n">
        <f aca="false">IF(D203="","",Q203/$B$15)</f>
        <v>0.35</v>
      </c>
      <c r="S203" s="16" t="n">
        <f aca="false">IF(D203="","",MAX(0,J203-R203))</f>
        <v>0</v>
      </c>
      <c r="T203" s="16" t="n">
        <f aca="false">IF(D203="","",MAX(0,Z203-$B$8))</f>
        <v>0</v>
      </c>
      <c r="U203" s="16" t="n">
        <f aca="false">IF(D203="","",MAX(0,MIN($B$8,Z203)))</f>
        <v>35.0718579067256</v>
      </c>
      <c r="V203" s="16" t="str">
        <f aca="false">IF(D203="","",IF(S203&gt;0.0000001,"Sim","Não"))</f>
        <v>Não</v>
      </c>
      <c r="W203" s="16" t="n">
        <f aca="false">IF(D203="","",U203-(H203+E203-Q203-O203-T203))</f>
        <v>0</v>
      </c>
      <c r="X203" s="16" t="n">
        <f aca="false">IF(W203="","",ABS(W203))</f>
        <v>0</v>
      </c>
      <c r="Y203" s="16" t="n">
        <f aca="false">IF(U203="","",IF($B$8=0,0,U203/$B$8*100))</f>
        <v>74.2733119583346</v>
      </c>
      <c r="Z203" s="18" t="n">
        <f aca="false">IF(D203="","",MAX(0,IF(P203&gt;=0,P203,IF(K203+P203&gt;=0,0,P203+K203))))</f>
        <v>35.0718579067256</v>
      </c>
      <c r="AA203" s="18" t="n">
        <f aca="false">IF(D203="","",IF(H203&lt;=$B$16,1,IF(H203&gt;=$B$17,$B$21,MATCH(H203,Aux_CAV!$A$2:$A$121,1))))</f>
        <v>13</v>
      </c>
      <c r="AB203" s="18" t="n">
        <f aca="false">IF(D203="","",IF(L203&lt;=$B$16,1,IF(L203&gt;=$B$17,$B$21,MATCH(L203,Aux_CAV!$A$2:$A$121,1))))</f>
        <v>13</v>
      </c>
      <c r="AC203" s="19" t="n">
        <f aca="false">IF(D203="","",COUNT($D$24:D203))</f>
        <v>168</v>
      </c>
    </row>
    <row r="204" customFormat="false" ht="12.75" hidden="false" customHeight="true" outlineLevel="0" collapsed="false">
      <c r="A204" s="14" t="n">
        <f aca="false">IF(D204="","",DATE(B204,C204,1))</f>
        <v>9133</v>
      </c>
      <c r="B204" s="15" t="n">
        <f aca="false" t="array" ref="B204:B204">IF(D204="","",IFERROR(VALUE(INDEX(Vazoes_COLAR!$A$2:$A$200,INT((ROW()-24)/12)+1)),""))</f>
        <v>1925</v>
      </c>
      <c r="C204" s="15" t="n">
        <f aca="false">IF(D204="","",MOD(ROW()-24,12)+1)</f>
        <v>1</v>
      </c>
      <c r="D204" s="16" t="n">
        <f aca="false" t="array" ref="D204: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3.26305864662398</v>
      </c>
      <c r="E204" s="16" t="n">
        <f aca="false">IF(D204="","",D204*$B$15)</f>
        <v>8.45784801204936</v>
      </c>
      <c r="F204" s="16" t="n">
        <f aca="false" t="array" ref="F204:F204">IF(D204="","",IFERROR(INDEX(Dados_Evap!$C$2:$N$15,MATCH($B$9,Dados_Evap!$A$2:$A$15,0),C204),0))</f>
        <v>160</v>
      </c>
      <c r="G204" s="16" t="n">
        <f aca="false">IF(F204="","",F204/1000)</f>
        <v>0.16</v>
      </c>
      <c r="H204" s="16" t="n">
        <f aca="false">IF(D204="","",MAX(0,MIN($B$8,IFERROR(LOOKUP(2,1/($U$24:U203&lt;&gt;""),$U$24:U203),$B$11))))</f>
        <v>35.0718579067256</v>
      </c>
      <c r="I204" s="16" t="n">
        <f aca="false" t="array" ref="I204: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>5.75709587590735</v>
      </c>
      <c r="J204" s="16" t="n">
        <f aca="false">IF(D204="","",$B$12)</f>
        <v>0.35</v>
      </c>
      <c r="K204" s="16" t="n">
        <f aca="false">IF(J204="","",J204*$B$15)</f>
        <v>0.9072</v>
      </c>
      <c r="L204" s="16" t="n">
        <f aca="false">IF(D204="","",H204+E204-K204-G204*I204)</f>
        <v>41.7013705786298</v>
      </c>
      <c r="M204" s="16" t="n">
        <f aca="false" t="array" ref="M204: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>6.41900476689149</v>
      </c>
      <c r="N204" s="16" t="n">
        <f aca="false">IF(D204="","",(I204+M204)/2)</f>
        <v>6.08805032139942</v>
      </c>
      <c r="O204" s="16" t="n">
        <f aca="false">IF(D204="","",G204*N204)</f>
        <v>0.974088051423908</v>
      </c>
      <c r="P204" s="16" t="n">
        <f aca="false">IF(D204="","",H204+E204-K204-O204)</f>
        <v>41.648417867351</v>
      </c>
      <c r="Q204" s="16" t="n">
        <f aca="false">IF(D204="","",IF(P204&gt;=0,K204,MAX(0,K204+P204)))</f>
        <v>0.9072</v>
      </c>
      <c r="R204" s="16" t="n">
        <f aca="false">IF(D204="","",Q204/$B$15)</f>
        <v>0.35</v>
      </c>
      <c r="S204" s="16" t="n">
        <f aca="false">IF(D204="","",MAX(0,J204-R204))</f>
        <v>0</v>
      </c>
      <c r="T204" s="16" t="n">
        <f aca="false">IF(D204="","",MAX(0,Z204-$B$8))</f>
        <v>0</v>
      </c>
      <c r="U204" s="16" t="n">
        <f aca="false">IF(D204="","",MAX(0,MIN($B$8,Z204)))</f>
        <v>41.648417867351</v>
      </c>
      <c r="V204" s="16" t="str">
        <f aca="false">IF(D204="","",IF(S204&gt;0.0000001,"Sim","Não"))</f>
        <v>Não</v>
      </c>
      <c r="W204" s="16" t="n">
        <f aca="false">IF(D204="","",U204-(H204+E204-Q204-O204-T204))</f>
        <v>0</v>
      </c>
      <c r="X204" s="16" t="n">
        <f aca="false">IF(W204="","",ABS(W204))</f>
        <v>0</v>
      </c>
      <c r="Y204" s="16" t="n">
        <f aca="false">IF(U204="","",IF($B$8=0,0,U204/$B$8*100))</f>
        <v>88.2008002273423</v>
      </c>
      <c r="Z204" s="18" t="n">
        <f aca="false">IF(D204="","",MAX(0,IF(P204&gt;=0,P204,IF(K204+P204&gt;=0,0,P204+K204))))</f>
        <v>41.648417867351</v>
      </c>
      <c r="AA204" s="18" t="n">
        <f aca="false">IF(D204="","",IF(H204&lt;=$B$16,1,IF(H204&gt;=$B$17,$B$21,MATCH(H204,Aux_CAV!$A$2:$A$121,1))))</f>
        <v>13</v>
      </c>
      <c r="AB204" s="18" t="n">
        <f aca="false">IF(D204="","",IF(L204&lt;=$B$16,1,IF(L204&gt;=$B$17,$B$21,MATCH(L204,Aux_CAV!$A$2:$A$121,1))))</f>
        <v>13</v>
      </c>
      <c r="AC204" s="19" t="n">
        <f aca="false">IF(D204="","",COUNT($D$24:D204))</f>
        <v>169</v>
      </c>
    </row>
    <row r="205" customFormat="false" ht="12.75" hidden="false" customHeight="true" outlineLevel="0" collapsed="false">
      <c r="A205" s="14" t="n">
        <f aca="false">IF(D205="","",DATE(B205,C205,1))</f>
        <v>9164</v>
      </c>
      <c r="B205" s="15" t="n">
        <f aca="false" t="array" ref="B205:B205">IF(D205="","",IFERROR(VALUE(INDEX(Vazoes_COLAR!$A$2:$A$200,INT((ROW()-24)/12)+1)),""))</f>
        <v>1925</v>
      </c>
      <c r="C205" s="15" t="n">
        <f aca="false">IF(D205="","",MOD(ROW()-24,12)+1)</f>
        <v>2</v>
      </c>
      <c r="D205" s="16" t="n">
        <f aca="false" t="array" ref="D205: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3.17867802235354</v>
      </c>
      <c r="E205" s="16" t="n">
        <f aca="false">IF(D205="","",D205*$B$15)</f>
        <v>8.23913343394038</v>
      </c>
      <c r="F205" s="16" t="n">
        <f aca="false" t="array" ref="F205:F205">IF(D205="","",IFERROR(INDEX(Dados_Evap!$C$2:$N$15,MATCH($B$9,Dados_Evap!$A$2:$A$15,0),C205),0))</f>
        <v>124.3</v>
      </c>
      <c r="G205" s="16" t="n">
        <f aca="false">IF(F205="","",F205/1000)</f>
        <v>0.1243</v>
      </c>
      <c r="H205" s="16" t="n">
        <f aca="false">IF(D205="","",MAX(0,MIN($B$8,IFERROR(LOOKUP(2,1/($U$24:U204&lt;&gt;""),$U$24:U204),$B$11))))</f>
        <v>41.648417867351</v>
      </c>
      <c r="I205" s="16" t="n">
        <f aca="false" t="array" ref="I205: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>6.41371782166162</v>
      </c>
      <c r="J205" s="16" t="n">
        <f aca="false">IF(D205="","",$B$12)</f>
        <v>0.35</v>
      </c>
      <c r="K205" s="16" t="n">
        <f aca="false">IF(J205="","",J205*$B$15)</f>
        <v>0.9072</v>
      </c>
      <c r="L205" s="16" t="n">
        <f aca="false">IF(D205="","",H205+E205-K205-G205*I205)</f>
        <v>48.1831261760589</v>
      </c>
      <c r="M205" s="16" t="n">
        <f aca="false" t="array" ref="M205: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>7.08353926465735</v>
      </c>
      <c r="N205" s="16" t="n">
        <f aca="false">IF(D205="","",(I205+M205)/2)</f>
        <v>6.74862854315948</v>
      </c>
      <c r="O205" s="16" t="n">
        <f aca="false">IF(D205="","",G205*N205)</f>
        <v>0.838854527914724</v>
      </c>
      <c r="P205" s="16" t="n">
        <f aca="false">IF(D205="","",H205+E205-K205-O205)</f>
        <v>48.1414967733767</v>
      </c>
      <c r="Q205" s="16" t="n">
        <f aca="false">IF(D205="","",IF(P205&gt;=0,K205,MAX(0,K205+P205)))</f>
        <v>0.9072</v>
      </c>
      <c r="R205" s="16" t="n">
        <f aca="false">IF(D205="","",Q205/$B$15)</f>
        <v>0.35</v>
      </c>
      <c r="S205" s="16" t="n">
        <f aca="false">IF(D205="","",MAX(0,J205-R205))</f>
        <v>0</v>
      </c>
      <c r="T205" s="16" t="n">
        <f aca="false">IF(D205="","",MAX(0,Z205-$B$8))</f>
        <v>0.921496773376674</v>
      </c>
      <c r="U205" s="16" t="n">
        <f aca="false">IF(D205="","",MAX(0,MIN($B$8,Z205)))</f>
        <v>47.22</v>
      </c>
      <c r="V205" s="16" t="str">
        <f aca="false">IF(D205="","",IF(S205&gt;0.0000001,"Sim","Não"))</f>
        <v>Não</v>
      </c>
      <c r="W205" s="16" t="n">
        <f aca="false">IF(D205="","",U205-(H205+E205-Q205-O205-T205))</f>
        <v>0</v>
      </c>
      <c r="X205" s="16" t="n">
        <f aca="false">IF(W205="","",ABS(W205))</f>
        <v>0</v>
      </c>
      <c r="Y205" s="16" t="n">
        <f aca="false">IF(U205="","",IF($B$8=0,0,U205/$B$8*100))</f>
        <v>100</v>
      </c>
      <c r="Z205" s="18" t="n">
        <f aca="false">IF(D205="","",MAX(0,IF(P205&gt;=0,P205,IF(K205+P205&gt;=0,0,P205+K205))))</f>
        <v>48.1414967733767</v>
      </c>
      <c r="AA205" s="18" t="n">
        <f aca="false">IF(D205="","",IF(H205&lt;=$B$16,1,IF(H205&gt;=$B$17,$B$21,MATCH(H205,Aux_CAV!$A$2:$A$121,1))))</f>
        <v>13</v>
      </c>
      <c r="AB205" s="18" t="n">
        <f aca="false">IF(D205="","",IF(L205&lt;=$B$16,1,IF(L205&gt;=$B$17,$B$21,MATCH(L205,Aux_CAV!$A$2:$A$121,1))))</f>
        <v>14</v>
      </c>
      <c r="AC205" s="19" t="n">
        <f aca="false">IF(D205="","",COUNT($D$24:D205))</f>
        <v>170</v>
      </c>
    </row>
    <row r="206" customFormat="false" ht="12.75" hidden="false" customHeight="true" outlineLevel="0" collapsed="false">
      <c r="A206" s="14" t="n">
        <f aca="false">IF(D206="","",DATE(B206,C206,1))</f>
        <v>9192</v>
      </c>
      <c r="B206" s="15" t="n">
        <f aca="false" t="array" ref="B206:B206">IF(D206="","",IFERROR(VALUE(INDEX(Vazoes_COLAR!$A$2:$A$200,INT((ROW()-24)/12)+1)),""))</f>
        <v>1925</v>
      </c>
      <c r="C206" s="15" t="n">
        <f aca="false">IF(D206="","",MOD(ROW()-24,12)+1)</f>
        <v>3</v>
      </c>
      <c r="D206" s="16" t="n">
        <f aca="false" t="array" ref="D206: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11.864656502216</v>
      </c>
      <c r="E206" s="16" t="n">
        <f aca="false">IF(D206="","",D206*$B$15)</f>
        <v>30.7531896537439</v>
      </c>
      <c r="F206" s="16" t="n">
        <f aca="false" t="array" ref="F206:F206">IF(D206="","",IFERROR(INDEX(Dados_Evap!$C$2:$N$15,MATCH($B$9,Dados_Evap!$A$2:$A$15,0),C206),0))</f>
        <v>107.7</v>
      </c>
      <c r="G206" s="16" t="n">
        <f aca="false">IF(F206="","",F206/1000)</f>
        <v>0.1077</v>
      </c>
      <c r="H206" s="16" t="n">
        <f aca="false">IF(D206="","",MAX(0,MIN($B$8,IFERROR(LOOKUP(2,1/($U$24:U205&lt;&gt;""),$U$24:U205),$B$11))))</f>
        <v>47.22</v>
      </c>
      <c r="I206" s="16" t="n">
        <f aca="false" t="array" ref="I206: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>6.97</v>
      </c>
      <c r="J206" s="16" t="n">
        <f aca="false">IF(D206="","",$B$12)</f>
        <v>0.35</v>
      </c>
      <c r="K206" s="16" t="n">
        <f aca="false">IF(J206="","",J206*$B$15)</f>
        <v>0.9072</v>
      </c>
      <c r="L206" s="16" t="n">
        <f aca="false">IF(D206="","",H206+E206-K206-G206*I206)</f>
        <v>76.3153206537439</v>
      </c>
      <c r="M206" s="16" t="n">
        <f aca="false" t="array" ref="M206: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>10.3127767255176</v>
      </c>
      <c r="N206" s="16" t="n">
        <f aca="false">IF(D206="","",(I206+M206)/2)</f>
        <v>8.64138836275881</v>
      </c>
      <c r="O206" s="16" t="n">
        <f aca="false">IF(D206="","",G206*N206)</f>
        <v>0.930677526669124</v>
      </c>
      <c r="P206" s="16" t="n">
        <f aca="false">IF(D206="","",H206+E206-K206-O206)</f>
        <v>76.1353121270747</v>
      </c>
      <c r="Q206" s="16" t="n">
        <f aca="false">IF(D206="","",IF(P206&gt;=0,K206,MAX(0,K206+P206)))</f>
        <v>0.9072</v>
      </c>
      <c r="R206" s="16" t="n">
        <f aca="false">IF(D206="","",Q206/$B$15)</f>
        <v>0.35</v>
      </c>
      <c r="S206" s="16" t="n">
        <f aca="false">IF(D206="","",MAX(0,J206-R206))</f>
        <v>0</v>
      </c>
      <c r="T206" s="16" t="n">
        <f aca="false">IF(D206="","",MAX(0,Z206-$B$8))</f>
        <v>28.9153121270747</v>
      </c>
      <c r="U206" s="16" t="n">
        <f aca="false">IF(D206="","",MAX(0,MIN($B$8,Z206)))</f>
        <v>47.22</v>
      </c>
      <c r="V206" s="16" t="str">
        <f aca="false">IF(D206="","",IF(S206&gt;0.0000001,"Sim","Não"))</f>
        <v>Não</v>
      </c>
      <c r="W206" s="16" t="n">
        <f aca="false">IF(D206="","",U206-(H206+E206-Q206-O206-T206))</f>
        <v>0</v>
      </c>
      <c r="X206" s="16" t="n">
        <f aca="false">IF(W206="","",ABS(W206))</f>
        <v>0</v>
      </c>
      <c r="Y206" s="16" t="n">
        <f aca="false">IF(U206="","",IF($B$8=0,0,U206/$B$8*100))</f>
        <v>100</v>
      </c>
      <c r="Z206" s="18" t="n">
        <f aca="false">IF(D206="","",MAX(0,IF(P206&gt;=0,P206,IF(K206+P206&gt;=0,0,P206+K206))))</f>
        <v>76.1353121270747</v>
      </c>
      <c r="AA206" s="18" t="n">
        <f aca="false">IF(D206="","",IF(H206&lt;=$B$16,1,IF(H206&gt;=$B$17,$B$21,MATCH(H206,Aux_CAV!$A$2:$A$121,1))))</f>
        <v>14</v>
      </c>
      <c r="AB206" s="18" t="n">
        <f aca="false">IF(D206="","",IF(L206&lt;=$B$16,1,IF(L206&gt;=$B$17,$B$21,MATCH(L206,Aux_CAV!$A$2:$A$121,1))))</f>
        <v>17</v>
      </c>
      <c r="AC206" s="19" t="n">
        <f aca="false">IF(D206="","",COUNT($D$24:D206))</f>
        <v>171</v>
      </c>
    </row>
    <row r="207" customFormat="false" ht="12.75" hidden="false" customHeight="true" outlineLevel="0" collapsed="false">
      <c r="A207" s="14" t="n">
        <f aca="false">IF(D207="","",DATE(B207,C207,1))</f>
        <v>9223</v>
      </c>
      <c r="B207" s="15" t="n">
        <f aca="false" t="array" ref="B207:B207">IF(D207="","",IFERROR(VALUE(INDEX(Vazoes_COLAR!$A$2:$A$200,INT((ROW()-24)/12)+1)),""))</f>
        <v>1925</v>
      </c>
      <c r="C207" s="15" t="n">
        <f aca="false">IF(D207="","",MOD(ROW()-24,12)+1)</f>
        <v>4</v>
      </c>
      <c r="D207" s="16" t="n">
        <f aca="false" t="array" ref="D207: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8.6824434542107</v>
      </c>
      <c r="E207" s="16" t="n">
        <f aca="false">IF(D207="","",D207*$B$15)</f>
        <v>22.5048934333141</v>
      </c>
      <c r="F207" s="16" t="n">
        <f aca="false" t="array" ref="F207:F207">IF(D207="","",IFERROR(INDEX(Dados_Evap!$C$2:$N$15,MATCH($B$9,Dados_Evap!$A$2:$A$15,0),C207),0))</f>
        <v>100.5</v>
      </c>
      <c r="G207" s="16" t="n">
        <f aca="false">IF(F207="","",F207/1000)</f>
        <v>0.1005</v>
      </c>
      <c r="H207" s="16" t="n">
        <f aca="false">IF(D207="","",MAX(0,MIN($B$8,IFERROR(LOOKUP(2,1/($U$24:U206&lt;&gt;""),$U$24:U206),$B$11))))</f>
        <v>47.22</v>
      </c>
      <c r="I207" s="16" t="n">
        <f aca="false" t="array" ref="I207: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>6.97</v>
      </c>
      <c r="J207" s="16" t="n">
        <f aca="false">IF(D207="","",$B$12)</f>
        <v>0.35</v>
      </c>
      <c r="K207" s="16" t="n">
        <f aca="false">IF(J207="","",J207*$B$15)</f>
        <v>0.9072</v>
      </c>
      <c r="L207" s="16" t="n">
        <f aca="false">IF(D207="","",H207+E207-K207-G207*I207)</f>
        <v>68.1172084333141</v>
      </c>
      <c r="M207" s="16" t="n">
        <f aca="false" t="array" ref="M207: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>9.44736639345914</v>
      </c>
      <c r="N207" s="16" t="n">
        <f aca="false">IF(D207="","",(I207+M207)/2)</f>
        <v>8.20868319672957</v>
      </c>
      <c r="O207" s="16" t="n">
        <f aca="false">IF(D207="","",G207*N207)</f>
        <v>0.824972661271322</v>
      </c>
      <c r="P207" s="16" t="n">
        <f aca="false">IF(D207="","",H207+E207-K207-O207)</f>
        <v>67.9927207720428</v>
      </c>
      <c r="Q207" s="16" t="n">
        <f aca="false">IF(D207="","",IF(P207&gt;=0,K207,MAX(0,K207+P207)))</f>
        <v>0.9072</v>
      </c>
      <c r="R207" s="16" t="n">
        <f aca="false">IF(D207="","",Q207/$B$15)</f>
        <v>0.35</v>
      </c>
      <c r="S207" s="16" t="n">
        <f aca="false">IF(D207="","",MAX(0,J207-R207))</f>
        <v>0</v>
      </c>
      <c r="T207" s="16" t="n">
        <f aca="false">IF(D207="","",MAX(0,Z207-$B$8))</f>
        <v>20.7727207720428</v>
      </c>
      <c r="U207" s="16" t="n">
        <f aca="false">IF(D207="","",MAX(0,MIN($B$8,Z207)))</f>
        <v>47.22</v>
      </c>
      <c r="V207" s="16" t="str">
        <f aca="false">IF(D207="","",IF(S207&gt;0.0000001,"Sim","Não"))</f>
        <v>Não</v>
      </c>
      <c r="W207" s="16" t="n">
        <f aca="false">IF(D207="","",U207-(H207+E207-Q207-O207-T207))</f>
        <v>0</v>
      </c>
      <c r="X207" s="16" t="n">
        <f aca="false">IF(W207="","",ABS(W207))</f>
        <v>0</v>
      </c>
      <c r="Y207" s="16" t="n">
        <f aca="false">IF(U207="","",IF($B$8=0,0,U207/$B$8*100))</f>
        <v>100</v>
      </c>
      <c r="Z207" s="18" t="n">
        <f aca="false">IF(D207="","",MAX(0,IF(P207&gt;=0,P207,IF(K207+P207&gt;=0,0,P207+K207))))</f>
        <v>67.9927207720428</v>
      </c>
      <c r="AA207" s="18" t="n">
        <f aca="false">IF(D207="","",IF(H207&lt;=$B$16,1,IF(H207&gt;=$B$17,$B$21,MATCH(H207,Aux_CAV!$A$2:$A$121,1))))</f>
        <v>14</v>
      </c>
      <c r="AB207" s="18" t="n">
        <f aca="false">IF(D207="","",IF(L207&lt;=$B$16,1,IF(L207&gt;=$B$17,$B$21,MATCH(L207,Aux_CAV!$A$2:$A$121,1))))</f>
        <v>16</v>
      </c>
      <c r="AC207" s="19" t="n">
        <f aca="false">IF(D207="","",COUNT($D$24:D207))</f>
        <v>172</v>
      </c>
    </row>
    <row r="208" customFormat="false" ht="12.75" hidden="false" customHeight="true" outlineLevel="0" collapsed="false">
      <c r="A208" s="14" t="n">
        <f aca="false">IF(D208="","",DATE(B208,C208,1))</f>
        <v>9253</v>
      </c>
      <c r="B208" s="15" t="n">
        <f aca="false" t="array" ref="B208:B208">IF(D208="","",IFERROR(VALUE(INDEX(Vazoes_COLAR!$A$2:$A$200,INT((ROW()-24)/12)+1)),""))</f>
        <v>1925</v>
      </c>
      <c r="C208" s="15" t="n">
        <f aca="false">IF(D208="","",MOD(ROW()-24,12)+1)</f>
        <v>5</v>
      </c>
      <c r="D208" s="16" t="n">
        <f aca="false" t="array" ref="D208: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1.79750250882047</v>
      </c>
      <c r="E208" s="16" t="n">
        <f aca="false">IF(D208="","",D208*$B$15)</f>
        <v>4.65912650286266</v>
      </c>
      <c r="F208" s="16" t="n">
        <f aca="false" t="array" ref="F208:F208">IF(D208="","",IFERROR(INDEX(Dados_Evap!$C$2:$N$15,MATCH($B$9,Dados_Evap!$A$2:$A$15,0),C208),0))</f>
        <v>145.8</v>
      </c>
      <c r="G208" s="16" t="n">
        <f aca="false">IF(F208="","",F208/1000)</f>
        <v>0.1458</v>
      </c>
      <c r="H208" s="16" t="n">
        <f aca="false">IF(D208="","",MAX(0,MIN($B$8,IFERROR(LOOKUP(2,1/($U$24:U207&lt;&gt;""),$U$24:U207),$B$11))))</f>
        <v>47.22</v>
      </c>
      <c r="I208" s="16" t="n">
        <f aca="false" t="array" ref="I208: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>6.97</v>
      </c>
      <c r="J208" s="16" t="n">
        <f aca="false">IF(D208="","",$B$12)</f>
        <v>0.35</v>
      </c>
      <c r="K208" s="16" t="n">
        <f aca="false">IF(J208="","",J208*$B$15)</f>
        <v>0.9072</v>
      </c>
      <c r="L208" s="16" t="n">
        <f aca="false">IF(D208="","",H208+E208-K208-G208*I208)</f>
        <v>49.9557005028627</v>
      </c>
      <c r="M208" s="16" t="n">
        <f aca="false" t="array" ref="M208: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>7.29250127879275</v>
      </c>
      <c r="N208" s="16" t="n">
        <f aca="false">IF(D208="","",(I208+M208)/2)</f>
        <v>7.13125063939638</v>
      </c>
      <c r="O208" s="16" t="n">
        <f aca="false">IF(D208="","",G208*N208)</f>
        <v>1.03973634322399</v>
      </c>
      <c r="P208" s="16" t="n">
        <f aca="false">IF(D208="","",H208+E208-K208-O208)</f>
        <v>49.9321901596387</v>
      </c>
      <c r="Q208" s="16" t="n">
        <f aca="false">IF(D208="","",IF(P208&gt;=0,K208,MAX(0,K208+P208)))</f>
        <v>0.9072</v>
      </c>
      <c r="R208" s="16" t="n">
        <f aca="false">IF(D208="","",Q208/$B$15)</f>
        <v>0.35</v>
      </c>
      <c r="S208" s="16" t="n">
        <f aca="false">IF(D208="","",MAX(0,J208-R208))</f>
        <v>0</v>
      </c>
      <c r="T208" s="16" t="n">
        <f aca="false">IF(D208="","",MAX(0,Z208-$B$8))</f>
        <v>2.71219015963866</v>
      </c>
      <c r="U208" s="16" t="n">
        <f aca="false">IF(D208="","",MAX(0,MIN($B$8,Z208)))</f>
        <v>47.22</v>
      </c>
      <c r="V208" s="16" t="str">
        <f aca="false">IF(D208="","",IF(S208&gt;0.0000001,"Sim","Não"))</f>
        <v>Não</v>
      </c>
      <c r="W208" s="16" t="n">
        <f aca="false">IF(D208="","",U208-(H208+E208-Q208-O208-T208))</f>
        <v>0</v>
      </c>
      <c r="X208" s="16" t="n">
        <f aca="false">IF(W208="","",ABS(W208))</f>
        <v>0</v>
      </c>
      <c r="Y208" s="16" t="n">
        <f aca="false">IF(U208="","",IF($B$8=0,0,U208/$B$8*100))</f>
        <v>100</v>
      </c>
      <c r="Z208" s="18" t="n">
        <f aca="false">IF(D208="","",MAX(0,IF(P208&gt;=0,P208,IF(K208+P208&gt;=0,0,P208+K208))))</f>
        <v>49.9321901596387</v>
      </c>
      <c r="AA208" s="18" t="n">
        <f aca="false">IF(D208="","",IF(H208&lt;=$B$16,1,IF(H208&gt;=$B$17,$B$21,MATCH(H208,Aux_CAV!$A$2:$A$121,1))))</f>
        <v>14</v>
      </c>
      <c r="AB208" s="18" t="n">
        <f aca="false">IF(D208="","",IF(L208&lt;=$B$16,1,IF(L208&gt;=$B$17,$B$21,MATCH(L208,Aux_CAV!$A$2:$A$121,1))))</f>
        <v>14</v>
      </c>
      <c r="AC208" s="19" t="n">
        <f aca="false">IF(D208="","",COUNT($D$24:D208))</f>
        <v>173</v>
      </c>
    </row>
    <row r="209" customFormat="false" ht="12.75" hidden="false" customHeight="true" outlineLevel="0" collapsed="false">
      <c r="A209" s="14" t="n">
        <f aca="false">IF(D209="","",DATE(B209,C209,1))</f>
        <v>9284</v>
      </c>
      <c r="B209" s="15" t="n">
        <f aca="false" t="array" ref="B209:B209">IF(D209="","",IFERROR(VALUE(INDEX(Vazoes_COLAR!$A$2:$A$200,INT((ROW()-24)/12)+1)),""))</f>
        <v>1925</v>
      </c>
      <c r="C209" s="15" t="n">
        <f aca="false">IF(D209="","",MOD(ROW()-24,12)+1)</f>
        <v>6</v>
      </c>
      <c r="D209" s="16" t="n">
        <f aca="false" t="array" ref="D209: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0.222819516562346</v>
      </c>
      <c r="E209" s="16" t="n">
        <f aca="false">IF(D209="","",D209*$B$15)</f>
        <v>0.577548186929601</v>
      </c>
      <c r="F209" s="16" t="n">
        <f aca="false" t="array" ref="F209:F209">IF(D209="","",IFERROR(INDEX(Dados_Evap!$C$2:$N$15,MATCH($B$9,Dados_Evap!$A$2:$A$15,0),C209),0))</f>
        <v>161.3</v>
      </c>
      <c r="G209" s="16" t="n">
        <f aca="false">IF(F209="","",F209/1000)</f>
        <v>0.1613</v>
      </c>
      <c r="H209" s="16" t="n">
        <f aca="false">IF(D209="","",MAX(0,MIN($B$8,IFERROR(LOOKUP(2,1/($U$24:U208&lt;&gt;""),$U$24:U208),$B$11))))</f>
        <v>47.22</v>
      </c>
      <c r="I209" s="16" t="n">
        <f aca="false" t="array" ref="I209: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>6.97</v>
      </c>
      <c r="J209" s="16" t="n">
        <f aca="false">IF(D209="","",$B$12)</f>
        <v>0.35</v>
      </c>
      <c r="K209" s="16" t="n">
        <f aca="false">IF(J209="","",J209*$B$15)</f>
        <v>0.9072</v>
      </c>
      <c r="L209" s="16" t="n">
        <f aca="false">IF(D209="","",H209+E209-K209-G209*I209)</f>
        <v>45.7660871869296</v>
      </c>
      <c r="M209" s="16" t="n">
        <f aca="false" t="array" ref="M209: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>6.82483732133653</v>
      </c>
      <c r="N209" s="16" t="n">
        <f aca="false">IF(D209="","",(I209+M209)/2)</f>
        <v>6.89741866066826</v>
      </c>
      <c r="O209" s="16" t="n">
        <f aca="false">IF(D209="","",G209*N209)</f>
        <v>1.11255362996579</v>
      </c>
      <c r="P209" s="16" t="n">
        <f aca="false">IF(D209="","",H209+E209-K209-O209)</f>
        <v>45.7777945569638</v>
      </c>
      <c r="Q209" s="16" t="n">
        <f aca="false">IF(D209="","",IF(P209&gt;=0,K209,MAX(0,K209+P209)))</f>
        <v>0.9072</v>
      </c>
      <c r="R209" s="16" t="n">
        <f aca="false">IF(D209="","",Q209/$B$15)</f>
        <v>0.35</v>
      </c>
      <c r="S209" s="16" t="n">
        <f aca="false">IF(D209="","",MAX(0,J209-R209))</f>
        <v>0</v>
      </c>
      <c r="T209" s="16" t="n">
        <f aca="false">IF(D209="","",MAX(0,Z209-$B$8))</f>
        <v>0</v>
      </c>
      <c r="U209" s="16" t="n">
        <f aca="false">IF(D209="","",MAX(0,MIN($B$8,Z209)))</f>
        <v>45.7777945569638</v>
      </c>
      <c r="V209" s="16" t="str">
        <f aca="false">IF(D209="","",IF(S209&gt;0.0000001,"Sim","Não"))</f>
        <v>Não</v>
      </c>
      <c r="W209" s="16" t="n">
        <f aca="false">IF(D209="","",U209-(H209+E209-Q209-O209-T209))</f>
        <v>0</v>
      </c>
      <c r="X209" s="16" t="n">
        <f aca="false">IF(W209="","",ABS(W209))</f>
        <v>0</v>
      </c>
      <c r="Y209" s="16" t="n">
        <f aca="false">IF(U209="","",IF($B$8=0,0,U209/$B$8*100))</f>
        <v>96.9457741570602</v>
      </c>
      <c r="Z209" s="18" t="n">
        <f aca="false">IF(D209="","",MAX(0,IF(P209&gt;=0,P209,IF(K209+P209&gt;=0,0,P209+K209))))</f>
        <v>45.7777945569638</v>
      </c>
      <c r="AA209" s="18" t="n">
        <f aca="false">IF(D209="","",IF(H209&lt;=$B$16,1,IF(H209&gt;=$B$17,$B$21,MATCH(H209,Aux_CAV!$A$2:$A$121,1))))</f>
        <v>14</v>
      </c>
      <c r="AB209" s="18" t="n">
        <f aca="false">IF(D209="","",IF(L209&lt;=$B$16,1,IF(L209&gt;=$B$17,$B$21,MATCH(L209,Aux_CAV!$A$2:$A$121,1))))</f>
        <v>13</v>
      </c>
      <c r="AC209" s="19" t="n">
        <f aca="false">IF(D209="","",COUNT($D$24:D209))</f>
        <v>174</v>
      </c>
    </row>
    <row r="210" customFormat="false" ht="12.75" hidden="false" customHeight="true" outlineLevel="0" collapsed="false">
      <c r="A210" s="14" t="n">
        <f aca="false">IF(D210="","",DATE(B210,C210,1))</f>
        <v>9314</v>
      </c>
      <c r="B210" s="15" t="n">
        <f aca="false" t="array" ref="B210:B210">IF(D210="","",IFERROR(VALUE(INDEX(Vazoes_COLAR!$A$2:$A$200,INT((ROW()-24)/12)+1)),""))</f>
        <v>1925</v>
      </c>
      <c r="C210" s="15" t="n">
        <f aca="false">IF(D210="","",MOD(ROW()-24,12)+1)</f>
        <v>7</v>
      </c>
      <c r="D210" s="16" t="n">
        <f aca="false" t="array" ref="D210: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0.111387863249664</v>
      </c>
      <c r="E210" s="16" t="n">
        <f aca="false">IF(D210="","",D210*$B$15)</f>
        <v>0.288717341543129</v>
      </c>
      <c r="F210" s="16" t="n">
        <f aca="false" t="array" ref="F210:F210">IF(D210="","",IFERROR(INDEX(Dados_Evap!$C$2:$N$15,MATCH($B$9,Dados_Evap!$A$2:$A$15,0),C210),0))</f>
        <v>224.8</v>
      </c>
      <c r="G210" s="16" t="n">
        <f aca="false">IF(F210="","",F210/1000)</f>
        <v>0.2248</v>
      </c>
      <c r="H210" s="16" t="n">
        <f aca="false">IF(D210="","",MAX(0,MIN($B$8,IFERROR(LOOKUP(2,1/($U$24:U209&lt;&gt;""),$U$24:U209),$B$11))))</f>
        <v>45.7777945569638</v>
      </c>
      <c r="I210" s="16" t="n">
        <f aca="false" t="array" ref="I210: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>6.82600621755849</v>
      </c>
      <c r="J210" s="16" t="n">
        <f aca="false">IF(D210="","",$B$12)</f>
        <v>0.35</v>
      </c>
      <c r="K210" s="16" t="n">
        <f aca="false">IF(J210="","",J210*$B$15)</f>
        <v>0.9072</v>
      </c>
      <c r="L210" s="16" t="n">
        <f aca="false">IF(D210="","",H210+E210-K210-G210*I210)</f>
        <v>43.6248257007998</v>
      </c>
      <c r="M210" s="16" t="n">
        <f aca="false" t="array" ref="M210: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>6.61104784905784</v>
      </c>
      <c r="N210" s="16" t="n">
        <f aca="false">IF(D210="","",(I210+M210)/2)</f>
        <v>6.71852703330817</v>
      </c>
      <c r="O210" s="16" t="n">
        <f aca="false">IF(D210="","",G210*N210)</f>
        <v>1.51032487708768</v>
      </c>
      <c r="P210" s="16" t="n">
        <f aca="false">IF(D210="","",H210+E210-K210-O210)</f>
        <v>43.6489870214193</v>
      </c>
      <c r="Q210" s="16" t="n">
        <f aca="false">IF(D210="","",IF(P210&gt;=0,K210,MAX(0,K210+P210)))</f>
        <v>0.9072</v>
      </c>
      <c r="R210" s="16" t="n">
        <f aca="false">IF(D210="","",Q210/$B$15)</f>
        <v>0.35</v>
      </c>
      <c r="S210" s="16" t="n">
        <f aca="false">IF(D210="","",MAX(0,J210-R210))</f>
        <v>0</v>
      </c>
      <c r="T210" s="16" t="n">
        <f aca="false">IF(D210="","",MAX(0,Z210-$B$8))</f>
        <v>0</v>
      </c>
      <c r="U210" s="16" t="n">
        <f aca="false">IF(D210="","",MAX(0,MIN($B$8,Z210)))</f>
        <v>43.6489870214193</v>
      </c>
      <c r="V210" s="16" t="str">
        <f aca="false">IF(D210="","",IF(S210&gt;0.0000001,"Sim","Não"))</f>
        <v>Não</v>
      </c>
      <c r="W210" s="16" t="n">
        <f aca="false">IF(D210="","",U210-(H210+E210-Q210-O210-T210))</f>
        <v>0</v>
      </c>
      <c r="X210" s="16" t="n">
        <f aca="false">IF(W210="","",ABS(W210))</f>
        <v>0</v>
      </c>
      <c r="Y210" s="16" t="n">
        <f aca="false">IF(U210="","",IF($B$8=0,0,U210/$B$8*100))</f>
        <v>92.4374989864872</v>
      </c>
      <c r="Z210" s="18" t="n">
        <f aca="false">IF(D210="","",MAX(0,IF(P210&gt;=0,P210,IF(K210+P210&gt;=0,0,P210+K210))))</f>
        <v>43.6489870214193</v>
      </c>
      <c r="AA210" s="18" t="n">
        <f aca="false">IF(D210="","",IF(H210&lt;=$B$16,1,IF(H210&gt;=$B$17,$B$21,MATCH(H210,Aux_CAV!$A$2:$A$121,1))))</f>
        <v>13</v>
      </c>
      <c r="AB210" s="18" t="n">
        <f aca="false">IF(D210="","",IF(L210&lt;=$B$16,1,IF(L210&gt;=$B$17,$B$21,MATCH(L210,Aux_CAV!$A$2:$A$121,1))))</f>
        <v>13</v>
      </c>
      <c r="AC210" s="19" t="n">
        <f aca="false">IF(D210="","",COUNT($D$24:D210))</f>
        <v>175</v>
      </c>
    </row>
    <row r="211" customFormat="false" ht="12.75" hidden="false" customHeight="true" outlineLevel="0" collapsed="false">
      <c r="A211" s="14" t="n">
        <f aca="false">IF(D211="","",DATE(B211,C211,1))</f>
        <v>9345</v>
      </c>
      <c r="B211" s="15" t="n">
        <f aca="false" t="array" ref="B211:B211">IF(D211="","",IFERROR(VALUE(INDEX(Vazoes_COLAR!$A$2:$A$200,INT((ROW()-24)/12)+1)),""))</f>
        <v>1925</v>
      </c>
      <c r="C211" s="15" t="n">
        <f aca="false">IF(D211="","",MOD(ROW()-24,12)+1)</f>
        <v>8</v>
      </c>
      <c r="D211" s="16" t="n">
        <f aca="false" t="array" ref="D211: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0.0412638048627291</v>
      </c>
      <c r="E211" s="16" t="n">
        <f aca="false">IF(D211="","",D211*$B$15)</f>
        <v>0.106955782204194</v>
      </c>
      <c r="F211" s="16" t="n">
        <f aca="false" t="array" ref="F211:F211">IF(D211="","",IFERROR(INDEX(Dados_Evap!$C$2:$N$15,MATCH($B$9,Dados_Evap!$A$2:$A$15,0),C211),0))</f>
        <v>268.7</v>
      </c>
      <c r="G211" s="16" t="n">
        <f aca="false">IF(F211="","",F211/1000)</f>
        <v>0.2687</v>
      </c>
      <c r="H211" s="16" t="n">
        <f aca="false">IF(D211="","",MAX(0,MIN($B$8,IFERROR(LOOKUP(2,1/($U$24:U210&lt;&gt;""),$U$24:U210),$B$11))))</f>
        <v>43.6489870214193</v>
      </c>
      <c r="I211" s="16" t="n">
        <f aca="false" t="array" ref="I211: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>6.61346018217</v>
      </c>
      <c r="J211" s="16" t="n">
        <f aca="false">IF(D211="","",$B$12)</f>
        <v>0.35</v>
      </c>
      <c r="K211" s="16" t="n">
        <f aca="false">IF(J211="","",J211*$B$15)</f>
        <v>0.9072</v>
      </c>
      <c r="L211" s="16" t="n">
        <f aca="false">IF(D211="","",H211+E211-K211-G211*I211)</f>
        <v>41.0717060526744</v>
      </c>
      <c r="M211" s="16" t="n">
        <f aca="false" t="array" ref="M211: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>6.35613731815224</v>
      </c>
      <c r="N211" s="16" t="n">
        <f aca="false">IF(D211="","",(I211+M211)/2)</f>
        <v>6.48479875016112</v>
      </c>
      <c r="O211" s="16" t="n">
        <f aca="false">IF(D211="","",G211*N211)</f>
        <v>1.74246542416829</v>
      </c>
      <c r="P211" s="16" t="n">
        <f aca="false">IF(D211="","",H211+E211-K211-O211)</f>
        <v>41.1062773794552</v>
      </c>
      <c r="Q211" s="16" t="n">
        <f aca="false">IF(D211="","",IF(P211&gt;=0,K211,MAX(0,K211+P211)))</f>
        <v>0.9072</v>
      </c>
      <c r="R211" s="16" t="n">
        <f aca="false">IF(D211="","",Q211/$B$15)</f>
        <v>0.35</v>
      </c>
      <c r="S211" s="16" t="n">
        <f aca="false">IF(D211="","",MAX(0,J211-R211))</f>
        <v>0</v>
      </c>
      <c r="T211" s="16" t="n">
        <f aca="false">IF(D211="","",MAX(0,Z211-$B$8))</f>
        <v>0</v>
      </c>
      <c r="U211" s="16" t="n">
        <f aca="false">IF(D211="","",MAX(0,MIN($B$8,Z211)))</f>
        <v>41.1062773794552</v>
      </c>
      <c r="V211" s="16" t="str">
        <f aca="false">IF(D211="","",IF(S211&gt;0.0000001,"Sim","Não"))</f>
        <v>Não</v>
      </c>
      <c r="W211" s="16" t="n">
        <f aca="false">IF(D211="","",U211-(H211+E211-Q211-O211-T211))</f>
        <v>0</v>
      </c>
      <c r="X211" s="16" t="n">
        <f aca="false">IF(W211="","",ABS(W211))</f>
        <v>0</v>
      </c>
      <c r="Y211" s="16" t="n">
        <f aca="false">IF(U211="","",IF($B$8=0,0,U211/$B$8*100))</f>
        <v>87.052683988681</v>
      </c>
      <c r="Z211" s="18" t="n">
        <f aca="false">IF(D211="","",MAX(0,IF(P211&gt;=0,P211,IF(K211+P211&gt;=0,0,P211+K211))))</f>
        <v>41.1062773794552</v>
      </c>
      <c r="AA211" s="18" t="n">
        <f aca="false">IF(D211="","",IF(H211&lt;=$B$16,1,IF(H211&gt;=$B$17,$B$21,MATCH(H211,Aux_CAV!$A$2:$A$121,1))))</f>
        <v>13</v>
      </c>
      <c r="AB211" s="18" t="n">
        <f aca="false">IF(D211="","",IF(L211&lt;=$B$16,1,IF(L211&gt;=$B$17,$B$21,MATCH(L211,Aux_CAV!$A$2:$A$121,1))))</f>
        <v>13</v>
      </c>
      <c r="AC211" s="19" t="n">
        <f aca="false">IF(D211="","",COUNT($D$24:D211))</f>
        <v>176</v>
      </c>
    </row>
    <row r="212" customFormat="false" ht="12.75" hidden="false" customHeight="true" outlineLevel="0" collapsed="false">
      <c r="A212" s="14" t="n">
        <f aca="false">IF(D212="","",DATE(B212,C212,1))</f>
        <v>9376</v>
      </c>
      <c r="B212" s="15" t="n">
        <f aca="false" t="array" ref="B212:B212">IF(D212="","",IFERROR(VALUE(INDEX(Vazoes_COLAR!$A$2:$A$200,INT((ROW()-24)/12)+1)),""))</f>
        <v>1925</v>
      </c>
      <c r="C212" s="15" t="n">
        <f aca="false">IF(D212="","",MOD(ROW()-24,12)+1)</f>
        <v>9</v>
      </c>
      <c r="D212" s="16" t="n">
        <f aca="false" t="array" ref="D212: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0.54041846293347</v>
      </c>
      <c r="E212" s="16" t="n">
        <f aca="false">IF(D212="","",D212*$B$15)</f>
        <v>1.40076465592355</v>
      </c>
      <c r="F212" s="16" t="n">
        <f aca="false" t="array" ref="F212:F212">IF(D212="","",IFERROR(INDEX(Dados_Evap!$C$2:$N$15,MATCH($B$9,Dados_Evap!$A$2:$A$15,0),C212),0))</f>
        <v>292.8</v>
      </c>
      <c r="G212" s="16" t="n">
        <f aca="false">IF(F212="","",F212/1000)</f>
        <v>0.2928</v>
      </c>
      <c r="H212" s="16" t="n">
        <f aca="false">IF(D212="","",MAX(0,MIN($B$8,IFERROR(LOOKUP(2,1/($U$24:U211&lt;&gt;""),$U$24:U211),$B$11))))</f>
        <v>41.1062773794552</v>
      </c>
      <c r="I212" s="16" t="n">
        <f aca="false" t="array" ref="I212: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>6.35958901508711</v>
      </c>
      <c r="J212" s="16" t="n">
        <f aca="false">IF(D212="","",$B$12)</f>
        <v>0.35</v>
      </c>
      <c r="K212" s="16" t="n">
        <f aca="false">IF(J212="","",J212*$B$15)</f>
        <v>0.9072</v>
      </c>
      <c r="L212" s="16" t="n">
        <f aca="false">IF(D212="","",H212+E212-K212-G212*I212)</f>
        <v>39.7377543717612</v>
      </c>
      <c r="M212" s="16" t="n">
        <f aca="false" t="array" ref="M212: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>6.22295189089125</v>
      </c>
      <c r="N212" s="16" t="n">
        <f aca="false">IF(D212="","",(I212+M212)/2)</f>
        <v>6.29127045298918</v>
      </c>
      <c r="O212" s="16" t="n">
        <f aca="false">IF(D212="","",G212*N212)</f>
        <v>1.84208398863523</v>
      </c>
      <c r="P212" s="16" t="n">
        <f aca="false">IF(D212="","",H212+E212-K212-O212)</f>
        <v>39.7577580467435</v>
      </c>
      <c r="Q212" s="16" t="n">
        <f aca="false">IF(D212="","",IF(P212&gt;=0,K212,MAX(0,K212+P212)))</f>
        <v>0.9072</v>
      </c>
      <c r="R212" s="16" t="n">
        <f aca="false">IF(D212="","",Q212/$B$15)</f>
        <v>0.35</v>
      </c>
      <c r="S212" s="16" t="n">
        <f aca="false">IF(D212="","",MAX(0,J212-R212))</f>
        <v>0</v>
      </c>
      <c r="T212" s="16" t="n">
        <f aca="false">IF(D212="","",MAX(0,Z212-$B$8))</f>
        <v>0</v>
      </c>
      <c r="U212" s="16" t="n">
        <f aca="false">IF(D212="","",MAX(0,MIN($B$8,Z212)))</f>
        <v>39.7577580467435</v>
      </c>
      <c r="V212" s="16" t="str">
        <f aca="false">IF(D212="","",IF(S212&gt;0.0000001,"Sim","Não"))</f>
        <v>Não</v>
      </c>
      <c r="W212" s="16" t="n">
        <f aca="false">IF(D212="","",U212-(H212+E212-Q212-O212-T212))</f>
        <v>0</v>
      </c>
      <c r="X212" s="16" t="n">
        <f aca="false">IF(W212="","",ABS(W212))</f>
        <v>0</v>
      </c>
      <c r="Y212" s="16" t="n">
        <f aca="false">IF(U212="","",IF($B$8=0,0,U212/$B$8*100))</f>
        <v>84.1968615983555</v>
      </c>
      <c r="Z212" s="18" t="n">
        <f aca="false">IF(D212="","",MAX(0,IF(P212&gt;=0,P212,IF(K212+P212&gt;=0,0,P212+K212))))</f>
        <v>39.7577580467435</v>
      </c>
      <c r="AA212" s="18" t="n">
        <f aca="false">IF(D212="","",IF(H212&lt;=$B$16,1,IF(H212&gt;=$B$17,$B$21,MATCH(H212,Aux_CAV!$A$2:$A$121,1))))</f>
        <v>13</v>
      </c>
      <c r="AB212" s="18" t="n">
        <f aca="false">IF(D212="","",IF(L212&lt;=$B$16,1,IF(L212&gt;=$B$17,$B$21,MATCH(L212,Aux_CAV!$A$2:$A$121,1))))</f>
        <v>13</v>
      </c>
      <c r="AC212" s="19" t="n">
        <f aca="false">IF(D212="","",COUNT($D$24:D212))</f>
        <v>177</v>
      </c>
    </row>
    <row r="213" customFormat="false" ht="12.75" hidden="false" customHeight="true" outlineLevel="0" collapsed="false">
      <c r="A213" s="14" t="n">
        <f aca="false">IF(D213="","",DATE(B213,C213,1))</f>
        <v>9406</v>
      </c>
      <c r="B213" s="15" t="n">
        <f aca="false" t="array" ref="B213:B213">IF(D213="","",IFERROR(VALUE(INDEX(Vazoes_COLAR!$A$2:$A$200,INT((ROW()-24)/12)+1)),""))</f>
        <v>1925</v>
      </c>
      <c r="C213" s="15" t="n">
        <f aca="false">IF(D213="","",MOD(ROW()-24,12)+1)</f>
        <v>10</v>
      </c>
      <c r="D213" s="16" t="n">
        <f aca="false" t="array" ref="D213: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0.0812588184679081</v>
      </c>
      <c r="E213" s="16" t="n">
        <f aca="false">IF(D213="","",D213*$B$15)</f>
        <v>0.210622857468818</v>
      </c>
      <c r="F213" s="16" t="n">
        <f aca="false" t="array" ref="F213:F213">IF(D213="","",IFERROR(INDEX(Dados_Evap!$C$2:$N$15,MATCH($B$9,Dados_Evap!$A$2:$A$15,0),C213),0))</f>
        <v>262.9</v>
      </c>
      <c r="G213" s="16" t="n">
        <f aca="false">IF(F213="","",F213/1000)</f>
        <v>0.2629</v>
      </c>
      <c r="H213" s="16" t="n">
        <f aca="false">IF(D213="","",MAX(0,MIN($B$8,IFERROR(LOOKUP(2,1/($U$24:U212&lt;&gt;""),$U$24:U212),$B$11))))</f>
        <v>39.7577580467435</v>
      </c>
      <c r="I213" s="16" t="n">
        <f aca="false" t="array" ref="I213: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>6.22494911315756</v>
      </c>
      <c r="J213" s="16" t="n">
        <f aca="false">IF(D213="","",$B$12)</f>
        <v>0.35</v>
      </c>
      <c r="K213" s="16" t="n">
        <f aca="false">IF(J213="","",J213*$B$15)</f>
        <v>0.9072</v>
      </c>
      <c r="L213" s="16" t="n">
        <f aca="false">IF(D213="","",H213+E213-K213-G213*I213)</f>
        <v>37.4246417823632</v>
      </c>
      <c r="M213" s="16" t="n">
        <f aca="false" t="array" ref="M213: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>5.99200432889947</v>
      </c>
      <c r="N213" s="16" t="n">
        <f aca="false">IF(D213="","",(I213+M213)/2)</f>
        <v>6.10847672102852</v>
      </c>
      <c r="O213" s="16" t="n">
        <f aca="false">IF(D213="","",G213*N213)</f>
        <v>1.6059185299584</v>
      </c>
      <c r="P213" s="16" t="n">
        <f aca="false">IF(D213="","",H213+E213-K213-O213)</f>
        <v>37.4552623742539</v>
      </c>
      <c r="Q213" s="16" t="n">
        <f aca="false">IF(D213="","",IF(P213&gt;=0,K213,MAX(0,K213+P213)))</f>
        <v>0.9072</v>
      </c>
      <c r="R213" s="16" t="n">
        <f aca="false">IF(D213="","",Q213/$B$15)</f>
        <v>0.35</v>
      </c>
      <c r="S213" s="16" t="n">
        <f aca="false">IF(D213="","",MAX(0,J213-R213))</f>
        <v>0</v>
      </c>
      <c r="T213" s="16" t="n">
        <f aca="false">IF(D213="","",MAX(0,Z213-$B$8))</f>
        <v>0</v>
      </c>
      <c r="U213" s="16" t="n">
        <f aca="false">IF(D213="","",MAX(0,MIN($B$8,Z213)))</f>
        <v>37.4552623742539</v>
      </c>
      <c r="V213" s="16" t="str">
        <f aca="false">IF(D213="","",IF(S213&gt;0.0000001,"Sim","Não"))</f>
        <v>Não</v>
      </c>
      <c r="W213" s="16" t="n">
        <f aca="false">IF(D213="","",U213-(H213+E213-Q213-O213-T213))</f>
        <v>0</v>
      </c>
      <c r="X213" s="16" t="n">
        <f aca="false">IF(W213="","",ABS(W213))</f>
        <v>0</v>
      </c>
      <c r="Y213" s="16" t="n">
        <f aca="false">IF(U213="","",IF($B$8=0,0,U213/$B$8*100))</f>
        <v>79.3207589458998</v>
      </c>
      <c r="Z213" s="18" t="n">
        <f aca="false">IF(D213="","",MAX(0,IF(P213&gt;=0,P213,IF(K213+P213&gt;=0,0,P213+K213))))</f>
        <v>37.4552623742539</v>
      </c>
      <c r="AA213" s="18" t="n">
        <f aca="false">IF(D213="","",IF(H213&lt;=$B$16,1,IF(H213&gt;=$B$17,$B$21,MATCH(H213,Aux_CAV!$A$2:$A$121,1))))</f>
        <v>13</v>
      </c>
      <c r="AB213" s="18" t="n">
        <f aca="false">IF(D213="","",IF(L213&lt;=$B$16,1,IF(L213&gt;=$B$17,$B$21,MATCH(L213,Aux_CAV!$A$2:$A$121,1))))</f>
        <v>13</v>
      </c>
      <c r="AC213" s="19" t="n">
        <f aca="false">IF(D213="","",COUNT($D$24:D213))</f>
        <v>178</v>
      </c>
    </row>
    <row r="214" customFormat="false" ht="12.75" hidden="false" customHeight="true" outlineLevel="0" collapsed="false">
      <c r="A214" s="14" t="n">
        <f aca="false">IF(D214="","",DATE(B214,C214,1))</f>
        <v>9437</v>
      </c>
      <c r="B214" s="15" t="n">
        <f aca="false" t="array" ref="B214:B214">IF(D214="","",IFERROR(VALUE(INDEX(Vazoes_COLAR!$A$2:$A$200,INT((ROW()-24)/12)+1)),""))</f>
        <v>1925</v>
      </c>
      <c r="C214" s="15" t="n">
        <f aca="false">IF(D214="","",MOD(ROW()-24,12)+1)</f>
        <v>11</v>
      </c>
      <c r="D214" s="16" t="n">
        <f aca="false" t="array" ref="D214: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0.0482003536040194</v>
      </c>
      <c r="E214" s="16" t="n">
        <f aca="false">IF(D214="","",D214*$B$15)</f>
        <v>0.124935316541618</v>
      </c>
      <c r="F214" s="16" t="n">
        <f aca="false" t="array" ref="F214:F214">IF(D214="","",IFERROR(INDEX(Dados_Evap!$C$2:$N$15,MATCH($B$9,Dados_Evap!$A$2:$A$15,0),C214),0))</f>
        <v>223.7</v>
      </c>
      <c r="G214" s="16" t="n">
        <f aca="false">IF(F214="","",F214/1000)</f>
        <v>0.2237</v>
      </c>
      <c r="H214" s="16" t="n">
        <f aca="false">IF(D214="","",MAX(0,MIN($B$8,IFERROR(LOOKUP(2,1/($U$24:U213&lt;&gt;""),$U$24:U213),$B$11))))</f>
        <v>37.4552623742539</v>
      </c>
      <c r="I214" s="16" t="n">
        <f aca="false" t="array" ref="I214: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>5.99506157353007</v>
      </c>
      <c r="J214" s="16" t="n">
        <f aca="false">IF(D214="","",$B$12)</f>
        <v>0.35</v>
      </c>
      <c r="K214" s="16" t="n">
        <f aca="false">IF(J214="","",J214*$B$15)</f>
        <v>0.9072</v>
      </c>
      <c r="L214" s="16" t="n">
        <f aca="false">IF(D214="","",H214+E214-K214-G214*I214)</f>
        <v>35.3319024167968</v>
      </c>
      <c r="M214" s="16" t="n">
        <f aca="false" t="array" ref="M214: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>5.78305943941289</v>
      </c>
      <c r="N214" s="16" t="n">
        <f aca="false">IF(D214="","",(I214+M214)/2)</f>
        <v>5.88906050647148</v>
      </c>
      <c r="O214" s="16" t="n">
        <f aca="false">IF(D214="","",G214*N214)</f>
        <v>1.31738283529767</v>
      </c>
      <c r="P214" s="16" t="n">
        <f aca="false">IF(D214="","",H214+E214-K214-O214)</f>
        <v>35.3556148554978</v>
      </c>
      <c r="Q214" s="16" t="n">
        <f aca="false">IF(D214="","",IF(P214&gt;=0,K214,MAX(0,K214+P214)))</f>
        <v>0.9072</v>
      </c>
      <c r="R214" s="16" t="n">
        <f aca="false">IF(D214="","",Q214/$B$15)</f>
        <v>0.35</v>
      </c>
      <c r="S214" s="16" t="n">
        <f aca="false">IF(D214="","",MAX(0,J214-R214))</f>
        <v>0</v>
      </c>
      <c r="T214" s="16" t="n">
        <f aca="false">IF(D214="","",MAX(0,Z214-$B$8))</f>
        <v>0</v>
      </c>
      <c r="U214" s="16" t="n">
        <f aca="false">IF(D214="","",MAX(0,MIN($B$8,Z214)))</f>
        <v>35.3556148554978</v>
      </c>
      <c r="V214" s="16" t="str">
        <f aca="false">IF(D214="","",IF(S214&gt;0.0000001,"Sim","Não"))</f>
        <v>Não</v>
      </c>
      <c r="W214" s="16" t="n">
        <f aca="false">IF(D214="","",U214-(H214+E214-Q214-O214-T214))</f>
        <v>0</v>
      </c>
      <c r="X214" s="16" t="n">
        <f aca="false">IF(W214="","",ABS(W214))</f>
        <v>0</v>
      </c>
      <c r="Y214" s="16" t="n">
        <f aca="false">IF(U214="","",IF($B$8=0,0,U214/$B$8*100))</f>
        <v>74.8742373051627</v>
      </c>
      <c r="Z214" s="18" t="n">
        <f aca="false">IF(D214="","",MAX(0,IF(P214&gt;=0,P214,IF(K214+P214&gt;=0,0,P214+K214))))</f>
        <v>35.3556148554978</v>
      </c>
      <c r="AA214" s="18" t="n">
        <f aca="false">IF(D214="","",IF(H214&lt;=$B$16,1,IF(H214&gt;=$B$17,$B$21,MATCH(H214,Aux_CAV!$A$2:$A$121,1))))</f>
        <v>13</v>
      </c>
      <c r="AB214" s="18" t="n">
        <f aca="false">IF(D214="","",IF(L214&lt;=$B$16,1,IF(L214&gt;=$B$17,$B$21,MATCH(L214,Aux_CAV!$A$2:$A$121,1))))</f>
        <v>13</v>
      </c>
      <c r="AC214" s="19" t="n">
        <f aca="false">IF(D214="","",COUNT($D$24:D214))</f>
        <v>179</v>
      </c>
    </row>
    <row r="215" customFormat="false" ht="12.75" hidden="false" customHeight="true" outlineLevel="0" collapsed="false">
      <c r="A215" s="14" t="n">
        <f aca="false">IF(D215="","",DATE(B215,C215,1))</f>
        <v>9467</v>
      </c>
      <c r="B215" s="15" t="n">
        <f aca="false" t="array" ref="B215:B215">IF(D215="","",IFERROR(VALUE(INDEX(Vazoes_COLAR!$A$2:$A$200,INT((ROW()-24)/12)+1)),""))</f>
        <v>1925</v>
      </c>
      <c r="C215" s="15" t="n">
        <f aca="false">IF(D215="","",MOD(ROW()-24,12)+1)</f>
        <v>12</v>
      </c>
      <c r="D215" s="16" t="n">
        <f aca="false" t="array" ref="D215: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0.111132868093157</v>
      </c>
      <c r="E215" s="16" t="n">
        <f aca="false">IF(D215="","",D215*$B$15)</f>
        <v>0.288056394097463</v>
      </c>
      <c r="F215" s="16" t="n">
        <f aca="false" t="array" ref="F215:F215">IF(D215="","",IFERROR(INDEX(Dados_Evap!$C$2:$N$15,MATCH($B$9,Dados_Evap!$A$2:$A$15,0),C215),0))</f>
        <v>216.1</v>
      </c>
      <c r="G215" s="16" t="n">
        <f aca="false">IF(F215="","",F215/1000)</f>
        <v>0.2161</v>
      </c>
      <c r="H215" s="16" t="n">
        <f aca="false">IF(D215="","",MAX(0,MIN($B$8,IFERROR(LOOKUP(2,1/($U$24:U214&lt;&gt;""),$U$24:U214),$B$11))))</f>
        <v>35.3556148554978</v>
      </c>
      <c r="I215" s="16" t="n">
        <f aca="false" t="array" ref="I215: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>5.78542695491213</v>
      </c>
      <c r="J215" s="16" t="n">
        <f aca="false">IF(D215="","",$B$12)</f>
        <v>0.35</v>
      </c>
      <c r="K215" s="16" t="n">
        <f aca="false">IF(J215="","",J215*$B$15)</f>
        <v>0.9072</v>
      </c>
      <c r="L215" s="16" t="n">
        <f aca="false">IF(D215="","",H215+E215-K215-G215*I215)</f>
        <v>33.4862404846388</v>
      </c>
      <c r="M215" s="16" t="n">
        <f aca="false" t="array" ref="M215: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>5.59468711830714</v>
      </c>
      <c r="N215" s="16" t="n">
        <f aca="false">IF(D215="","",(I215+M215)/2)</f>
        <v>5.69005703660963</v>
      </c>
      <c r="O215" s="16" t="n">
        <f aca="false">IF(D215="","",G215*N215)</f>
        <v>1.22962132561134</v>
      </c>
      <c r="P215" s="16" t="n">
        <f aca="false">IF(D215="","",H215+E215-K215-O215)</f>
        <v>33.506849923984</v>
      </c>
      <c r="Q215" s="16" t="n">
        <f aca="false">IF(D215="","",IF(P215&gt;=0,K215,MAX(0,K215+P215)))</f>
        <v>0.9072</v>
      </c>
      <c r="R215" s="16" t="n">
        <f aca="false">IF(D215="","",Q215/$B$15)</f>
        <v>0.35</v>
      </c>
      <c r="S215" s="16" t="n">
        <f aca="false">IF(D215="","",MAX(0,J215-R215))</f>
        <v>0</v>
      </c>
      <c r="T215" s="16" t="n">
        <f aca="false">IF(D215="","",MAX(0,Z215-$B$8))</f>
        <v>0</v>
      </c>
      <c r="U215" s="16" t="n">
        <f aca="false">IF(D215="","",MAX(0,MIN($B$8,Z215)))</f>
        <v>33.506849923984</v>
      </c>
      <c r="V215" s="16" t="str">
        <f aca="false">IF(D215="","",IF(S215&gt;0.0000001,"Sim","Não"))</f>
        <v>Não</v>
      </c>
      <c r="W215" s="16" t="n">
        <f aca="false">IF(D215="","",U215-(H215+E215-Q215-O215-T215))</f>
        <v>0</v>
      </c>
      <c r="X215" s="16" t="n">
        <f aca="false">IF(W215="","",ABS(W215))</f>
        <v>0</v>
      </c>
      <c r="Y215" s="16" t="n">
        <f aca="false">IF(U215="","",IF($B$8=0,0,U215/$B$8*100))</f>
        <v>70.9590214400338</v>
      </c>
      <c r="Z215" s="18" t="n">
        <f aca="false">IF(D215="","",MAX(0,IF(P215&gt;=0,P215,IF(K215+P215&gt;=0,0,P215+K215))))</f>
        <v>33.506849923984</v>
      </c>
      <c r="AA215" s="18" t="n">
        <f aca="false">IF(D215="","",IF(H215&lt;=$B$16,1,IF(H215&gt;=$B$17,$B$21,MATCH(H215,Aux_CAV!$A$2:$A$121,1))))</f>
        <v>13</v>
      </c>
      <c r="AB215" s="18" t="n">
        <f aca="false">IF(D215="","",IF(L215&lt;=$B$16,1,IF(L215&gt;=$B$17,$B$21,MATCH(L215,Aux_CAV!$A$2:$A$121,1))))</f>
        <v>12</v>
      </c>
      <c r="AC215" s="19" t="n">
        <f aca="false">IF(D215="","",COUNT($D$24:D215))</f>
        <v>180</v>
      </c>
    </row>
    <row r="216" customFormat="false" ht="12.75" hidden="false" customHeight="true" outlineLevel="0" collapsed="false">
      <c r="A216" s="14" t="n">
        <f aca="false">IF(D216="","",DATE(B216,C216,1))</f>
        <v>9498</v>
      </c>
      <c r="B216" s="15" t="n">
        <f aca="false" t="array" ref="B216:B216">IF(D216="","",IFERROR(VALUE(INDEX(Vazoes_COLAR!$A$2:$A$200,INT((ROW()-24)/12)+1)),""))</f>
        <v>1926</v>
      </c>
      <c r="C216" s="15" t="n">
        <f aca="false">IF(D216="","",MOD(ROW()-24,12)+1)</f>
        <v>1</v>
      </c>
      <c r="D216" s="16" t="n">
        <f aca="false" t="array" ref="D216: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0.124666462662624</v>
      </c>
      <c r="E216" s="16" t="n">
        <f aca="false">IF(D216="","",D216*$B$15)</f>
        <v>0.323135471221521</v>
      </c>
      <c r="F216" s="16" t="n">
        <f aca="false" t="array" ref="F216:F216">IF(D216="","",IFERROR(INDEX(Dados_Evap!$C$2:$N$15,MATCH($B$9,Dados_Evap!$A$2:$A$15,0),C216),0))</f>
        <v>160</v>
      </c>
      <c r="G216" s="16" t="n">
        <f aca="false">IF(F216="","",F216/1000)</f>
        <v>0.16</v>
      </c>
      <c r="H216" s="16" t="n">
        <f aca="false">IF(D216="","",MAX(0,MIN($B$8,IFERROR(LOOKUP(2,1/($U$24:U215&lt;&gt;""),$U$24:U215),$B$11))))</f>
        <v>33.506849923984</v>
      </c>
      <c r="I216" s="16" t="n">
        <f aca="false" t="array" ref="I216: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>5.5968280988993</v>
      </c>
      <c r="J216" s="16" t="n">
        <f aca="false">IF(D216="","",$B$12)</f>
        <v>0.35</v>
      </c>
      <c r="K216" s="16" t="n">
        <f aca="false">IF(J216="","",J216*$B$15)</f>
        <v>0.9072</v>
      </c>
      <c r="L216" s="16" t="n">
        <f aca="false">IF(D216="","",H216+E216-K216-G216*I216)</f>
        <v>32.0272928993816</v>
      </c>
      <c r="M216" s="16" t="n">
        <f aca="false" t="array" ref="M216: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>5.44312654391634</v>
      </c>
      <c r="N216" s="16" t="n">
        <f aca="false">IF(D216="","",(I216+M216)/2)</f>
        <v>5.51997732140782</v>
      </c>
      <c r="O216" s="16" t="n">
        <f aca="false">IF(D216="","",G216*N216)</f>
        <v>0.883196371425252</v>
      </c>
      <c r="P216" s="16" t="n">
        <f aca="false">IF(D216="","",H216+E216-K216-O216)</f>
        <v>32.0395890237802</v>
      </c>
      <c r="Q216" s="16" t="n">
        <f aca="false">IF(D216="","",IF(P216&gt;=0,K216,MAX(0,K216+P216)))</f>
        <v>0.9072</v>
      </c>
      <c r="R216" s="16" t="n">
        <f aca="false">IF(D216="","",Q216/$B$15)</f>
        <v>0.35</v>
      </c>
      <c r="S216" s="16" t="n">
        <f aca="false">IF(D216="","",MAX(0,J216-R216))</f>
        <v>0</v>
      </c>
      <c r="T216" s="16" t="n">
        <f aca="false">IF(D216="","",MAX(0,Z216-$B$8))</f>
        <v>0</v>
      </c>
      <c r="U216" s="16" t="n">
        <f aca="false">IF(D216="","",MAX(0,MIN($B$8,Z216)))</f>
        <v>32.0395890237802</v>
      </c>
      <c r="V216" s="16" t="str">
        <f aca="false">IF(D216="","",IF(S216&gt;0.0000001,"Sim","Não"))</f>
        <v>Não</v>
      </c>
      <c r="W216" s="16" t="n">
        <f aca="false">IF(D216="","",U216-(H216+E216-Q216-O216-T216))</f>
        <v>0</v>
      </c>
      <c r="X216" s="16" t="n">
        <f aca="false">IF(W216="","",ABS(W216))</f>
        <v>0</v>
      </c>
      <c r="Y216" s="16" t="n">
        <f aca="false">IF(U216="","",IF($B$8=0,0,U216/$B$8*100))</f>
        <v>67.8517344849221</v>
      </c>
      <c r="Z216" s="18" t="n">
        <f aca="false">IF(D216="","",MAX(0,IF(P216&gt;=0,P216,IF(K216+P216&gt;=0,0,P216+K216))))</f>
        <v>32.0395890237802</v>
      </c>
      <c r="AA216" s="18" t="n">
        <f aca="false">IF(D216="","",IF(H216&lt;=$B$16,1,IF(H216&gt;=$B$17,$B$21,MATCH(H216,Aux_CAV!$A$2:$A$121,1))))</f>
        <v>12</v>
      </c>
      <c r="AB216" s="18" t="n">
        <f aca="false">IF(D216="","",IF(L216&lt;=$B$16,1,IF(L216&gt;=$B$17,$B$21,MATCH(L216,Aux_CAV!$A$2:$A$121,1))))</f>
        <v>12</v>
      </c>
      <c r="AC216" s="19" t="n">
        <f aca="false">IF(D216="","",COUNT($D$24:D216))</f>
        <v>181</v>
      </c>
    </row>
    <row r="217" customFormat="false" ht="12.75" hidden="false" customHeight="true" outlineLevel="0" collapsed="false">
      <c r="A217" s="14" t="n">
        <f aca="false">IF(D217="","",DATE(B217,C217,1))</f>
        <v>9529</v>
      </c>
      <c r="B217" s="15" t="n">
        <f aca="false" t="array" ref="B217:B217">IF(D217="","",IFERROR(VALUE(INDEX(Vazoes_COLAR!$A$2:$A$200,INT((ROW()-24)/12)+1)),""))</f>
        <v>1926</v>
      </c>
      <c r="C217" s="15" t="n">
        <f aca="false">IF(D217="","",MOD(ROW()-24,12)+1)</f>
        <v>2</v>
      </c>
      <c r="D217" s="16" t="n">
        <f aca="false" t="array" ref="D217: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0.596004569434048</v>
      </c>
      <c r="E217" s="16" t="n">
        <f aca="false">IF(D217="","",D217*$B$15)</f>
        <v>1.54484384397305</v>
      </c>
      <c r="F217" s="16" t="n">
        <f aca="false" t="array" ref="F217:F217">IF(D217="","",IFERROR(INDEX(Dados_Evap!$C$2:$N$15,MATCH($B$9,Dados_Evap!$A$2:$A$15,0),C217),0))</f>
        <v>124.3</v>
      </c>
      <c r="G217" s="16" t="n">
        <f aca="false">IF(F217="","",F217/1000)</f>
        <v>0.1243</v>
      </c>
      <c r="H217" s="16" t="n">
        <f aca="false">IF(D217="","",MAX(0,MIN($B$8,IFERROR(LOOKUP(2,1/($U$24:U216&lt;&gt;""),$U$24:U216),$B$11))))</f>
        <v>32.0395890237802</v>
      </c>
      <c r="I217" s="16" t="n">
        <f aca="false" t="array" ref="I217: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>5.44440390829562</v>
      </c>
      <c r="J217" s="16" t="n">
        <f aca="false">IF(D217="","",$B$12)</f>
        <v>0.35</v>
      </c>
      <c r="K217" s="16" t="n">
        <f aca="false">IF(J217="","",J217*$B$15)</f>
        <v>0.9072</v>
      </c>
      <c r="L217" s="16" t="n">
        <f aca="false">IF(D217="","",H217+E217-K217-G217*I217)</f>
        <v>32.0004934619521</v>
      </c>
      <c r="M217" s="16" t="n">
        <f aca="false" t="array" ref="M217: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>5.44034252468823</v>
      </c>
      <c r="N217" s="16" t="n">
        <f aca="false">IF(D217="","",(I217+M217)/2)</f>
        <v>5.44237321649192</v>
      </c>
      <c r="O217" s="16" t="n">
        <f aca="false">IF(D217="","",G217*N217)</f>
        <v>0.676486990809946</v>
      </c>
      <c r="P217" s="16" t="n">
        <f aca="false">IF(D217="","",H217+E217-K217-O217)</f>
        <v>32.0007458769433</v>
      </c>
      <c r="Q217" s="16" t="n">
        <f aca="false">IF(D217="","",IF(P217&gt;=0,K217,MAX(0,K217+P217)))</f>
        <v>0.9072</v>
      </c>
      <c r="R217" s="16" t="n">
        <f aca="false">IF(D217="","",Q217/$B$15)</f>
        <v>0.35</v>
      </c>
      <c r="S217" s="16" t="n">
        <f aca="false">IF(D217="","",MAX(0,J217-R217))</f>
        <v>0</v>
      </c>
      <c r="T217" s="16" t="n">
        <f aca="false">IF(D217="","",MAX(0,Z217-$B$8))</f>
        <v>0</v>
      </c>
      <c r="U217" s="16" t="n">
        <f aca="false">IF(D217="","",MAX(0,MIN($B$8,Z217)))</f>
        <v>32.0007458769433</v>
      </c>
      <c r="V217" s="16" t="str">
        <f aca="false">IF(D217="","",IF(S217&gt;0.0000001,"Sim","Não"))</f>
        <v>Não</v>
      </c>
      <c r="W217" s="16" t="n">
        <f aca="false">IF(D217="","",U217-(H217+E217-Q217-O217-T217))</f>
        <v>0</v>
      </c>
      <c r="X217" s="16" t="n">
        <f aca="false">IF(W217="","",ABS(W217))</f>
        <v>0</v>
      </c>
      <c r="Y217" s="16" t="n">
        <f aca="false">IF(U217="","",IF($B$8=0,0,U217/$B$8*100))</f>
        <v>67.7694745382112</v>
      </c>
      <c r="Z217" s="18" t="n">
        <f aca="false">IF(D217="","",MAX(0,IF(P217&gt;=0,P217,IF(K217+P217&gt;=0,0,P217+K217))))</f>
        <v>32.0007458769433</v>
      </c>
      <c r="AA217" s="18" t="n">
        <f aca="false">IF(D217="","",IF(H217&lt;=$B$16,1,IF(H217&gt;=$B$17,$B$21,MATCH(H217,Aux_CAV!$A$2:$A$121,1))))</f>
        <v>12</v>
      </c>
      <c r="AB217" s="18" t="n">
        <f aca="false">IF(D217="","",IF(L217&lt;=$B$16,1,IF(L217&gt;=$B$17,$B$21,MATCH(L217,Aux_CAV!$A$2:$A$121,1))))</f>
        <v>12</v>
      </c>
      <c r="AC217" s="19" t="n">
        <f aca="false">IF(D217="","",COUNT($D$24:D217))</f>
        <v>182</v>
      </c>
    </row>
    <row r="218" customFormat="false" ht="12.75" hidden="false" customHeight="true" outlineLevel="0" collapsed="false">
      <c r="A218" s="14" t="n">
        <f aca="false">IF(D218="","",DATE(B218,C218,1))</f>
        <v>9557</v>
      </c>
      <c r="B218" s="15" t="n">
        <f aca="false" t="array" ref="B218:B218">IF(D218="","",IFERROR(VALUE(INDEX(Vazoes_COLAR!$A$2:$A$200,INT((ROW()-24)/12)+1)),""))</f>
        <v>1926</v>
      </c>
      <c r="C218" s="15" t="n">
        <f aca="false">IF(D218="","",MOD(ROW()-24,12)+1)</f>
        <v>3</v>
      </c>
      <c r="D218" s="16" t="n">
        <f aca="false" t="array" ref="D218: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3.00058140870874</v>
      </c>
      <c r="E218" s="16" t="n">
        <f aca="false">IF(D218="","",D218*$B$15)</f>
        <v>7.77750701137305</v>
      </c>
      <c r="F218" s="16" t="n">
        <f aca="false" t="array" ref="F218:F218">IF(D218="","",IFERROR(INDEX(Dados_Evap!$C$2:$N$15,MATCH($B$9,Dados_Evap!$A$2:$A$15,0),C218),0))</f>
        <v>107.7</v>
      </c>
      <c r="G218" s="16" t="n">
        <f aca="false">IF(F218="","",F218/1000)</f>
        <v>0.1077</v>
      </c>
      <c r="H218" s="16" t="n">
        <f aca="false">IF(D218="","",MAX(0,MIN($B$8,IFERROR(LOOKUP(2,1/($U$24:U217&lt;&gt;""),$U$24:U217),$B$11))))</f>
        <v>32.0007458769433</v>
      </c>
      <c r="I218" s="16" t="n">
        <f aca="false" t="array" ref="I218: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>5.44036874643974</v>
      </c>
      <c r="J218" s="16" t="n">
        <f aca="false">IF(D218="","",$B$12)</f>
        <v>0.35</v>
      </c>
      <c r="K218" s="16" t="n">
        <f aca="false">IF(J218="","",J218*$B$15)</f>
        <v>0.9072</v>
      </c>
      <c r="L218" s="16" t="n">
        <f aca="false">IF(D218="","",H218+E218-K218-G218*I218)</f>
        <v>38.2851251743248</v>
      </c>
      <c r="M218" s="16" t="n">
        <f aca="false" t="array" ref="M218: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>6.07791737196482</v>
      </c>
      <c r="N218" s="16" t="n">
        <f aca="false">IF(D218="","",(I218+M218)/2)</f>
        <v>5.75914305920228</v>
      </c>
      <c r="O218" s="16" t="n">
        <f aca="false">IF(D218="","",G218*N218)</f>
        <v>0.620259707476086</v>
      </c>
      <c r="P218" s="16" t="n">
        <f aca="false">IF(D218="","",H218+E218-K218-O218)</f>
        <v>38.2507931808403</v>
      </c>
      <c r="Q218" s="16" t="n">
        <f aca="false">IF(D218="","",IF(P218&gt;=0,K218,MAX(0,K218+P218)))</f>
        <v>0.9072</v>
      </c>
      <c r="R218" s="16" t="n">
        <f aca="false">IF(D218="","",Q218/$B$15)</f>
        <v>0.35</v>
      </c>
      <c r="S218" s="16" t="n">
        <f aca="false">IF(D218="","",MAX(0,J218-R218))</f>
        <v>0</v>
      </c>
      <c r="T218" s="16" t="n">
        <f aca="false">IF(D218="","",MAX(0,Z218-$B$8))</f>
        <v>0</v>
      </c>
      <c r="U218" s="16" t="n">
        <f aca="false">IF(D218="","",MAX(0,MIN($B$8,Z218)))</f>
        <v>38.2507931808403</v>
      </c>
      <c r="V218" s="16" t="str">
        <f aca="false">IF(D218="","",IF(S218&gt;0.0000001,"Sim","Não"))</f>
        <v>Não</v>
      </c>
      <c r="W218" s="16" t="n">
        <f aca="false">IF(D218="","",U218-(H218+E218-Q218-O218-T218))</f>
        <v>0</v>
      </c>
      <c r="X218" s="16" t="n">
        <f aca="false">IF(W218="","",ABS(W218))</f>
        <v>0</v>
      </c>
      <c r="Y218" s="16" t="n">
        <f aca="false">IF(U218="","",IF($B$8=0,0,U218/$B$8*100))</f>
        <v>81.0054917002124</v>
      </c>
      <c r="Z218" s="18" t="n">
        <f aca="false">IF(D218="","",MAX(0,IF(P218&gt;=0,P218,IF(K218+P218&gt;=0,0,P218+K218))))</f>
        <v>38.2507931808403</v>
      </c>
      <c r="AA218" s="18" t="n">
        <f aca="false">IF(D218="","",IF(H218&lt;=$B$16,1,IF(H218&gt;=$B$17,$B$21,MATCH(H218,Aux_CAV!$A$2:$A$121,1))))</f>
        <v>12</v>
      </c>
      <c r="AB218" s="18" t="n">
        <f aca="false">IF(D218="","",IF(L218&lt;=$B$16,1,IF(L218&gt;=$B$17,$B$21,MATCH(L218,Aux_CAV!$A$2:$A$121,1))))</f>
        <v>13</v>
      </c>
      <c r="AC218" s="19" t="n">
        <f aca="false">IF(D218="","",COUNT($D$24:D218))</f>
        <v>183</v>
      </c>
    </row>
    <row r="219" customFormat="false" ht="12.75" hidden="false" customHeight="true" outlineLevel="0" collapsed="false">
      <c r="A219" s="14" t="n">
        <f aca="false">IF(D219="","",DATE(B219,C219,1))</f>
        <v>9588</v>
      </c>
      <c r="B219" s="15" t="n">
        <f aca="false" t="array" ref="B219:B219">IF(D219="","",IFERROR(VALUE(INDEX(Vazoes_COLAR!$A$2:$A$200,INT((ROW()-24)/12)+1)),""))</f>
        <v>1926</v>
      </c>
      <c r="C219" s="15" t="n">
        <f aca="false">IF(D219="","",MOD(ROW()-24,12)+1)</f>
        <v>4</v>
      </c>
      <c r="D219" s="16" t="n">
        <f aca="false" t="array" ref="D219: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3.15263303297367</v>
      </c>
      <c r="E219" s="16" t="n">
        <f aca="false">IF(D219="","",D219*$B$15)</f>
        <v>8.17162482146775</v>
      </c>
      <c r="F219" s="16" t="n">
        <f aca="false" t="array" ref="F219:F219">IF(D219="","",IFERROR(INDEX(Dados_Evap!$C$2:$N$15,MATCH($B$9,Dados_Evap!$A$2:$A$15,0),C219),0))</f>
        <v>100.5</v>
      </c>
      <c r="G219" s="16" t="n">
        <f aca="false">IF(F219="","",F219/1000)</f>
        <v>0.1005</v>
      </c>
      <c r="H219" s="16" t="n">
        <f aca="false">IF(D219="","",MAX(0,MIN($B$8,IFERROR(LOOKUP(2,1/($U$24:U218&lt;&gt;""),$U$24:U218),$B$11))))</f>
        <v>38.2507931808403</v>
      </c>
      <c r="I219" s="16" t="n">
        <f aca="false" t="array" ref="I219: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>6.07448957072855</v>
      </c>
      <c r="J219" s="16" t="n">
        <f aca="false">IF(D219="","",$B$12)</f>
        <v>0.35</v>
      </c>
      <c r="K219" s="16" t="n">
        <f aca="false">IF(J219="","",J219*$B$15)</f>
        <v>0.9072</v>
      </c>
      <c r="L219" s="16" t="n">
        <f aca="false">IF(D219="","",H219+E219-K219-G219*I219)</f>
        <v>44.9047318004498</v>
      </c>
      <c r="M219" s="16" t="n">
        <f aca="false" t="array" ref="M219: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>6.73883721592541</v>
      </c>
      <c r="N219" s="16" t="n">
        <f aca="false">IF(D219="","",(I219+M219)/2)</f>
        <v>6.40666339332698</v>
      </c>
      <c r="O219" s="16" t="n">
        <f aca="false">IF(D219="","",G219*N219)</f>
        <v>0.643869671029362</v>
      </c>
      <c r="P219" s="16" t="n">
        <f aca="false">IF(D219="","",H219+E219-K219-O219)</f>
        <v>44.8713483312787</v>
      </c>
      <c r="Q219" s="16" t="n">
        <f aca="false">IF(D219="","",IF(P219&gt;=0,K219,MAX(0,K219+P219)))</f>
        <v>0.9072</v>
      </c>
      <c r="R219" s="16" t="n">
        <f aca="false">IF(D219="","",Q219/$B$15)</f>
        <v>0.35</v>
      </c>
      <c r="S219" s="16" t="n">
        <f aca="false">IF(D219="","",MAX(0,J219-R219))</f>
        <v>0</v>
      </c>
      <c r="T219" s="16" t="n">
        <f aca="false">IF(D219="","",MAX(0,Z219-$B$8))</f>
        <v>0</v>
      </c>
      <c r="U219" s="16" t="n">
        <f aca="false">IF(D219="","",MAX(0,MIN($B$8,Z219)))</f>
        <v>44.8713483312787</v>
      </c>
      <c r="V219" s="16" t="str">
        <f aca="false">IF(D219="","",IF(S219&gt;0.0000001,"Sim","Não"))</f>
        <v>Não</v>
      </c>
      <c r="W219" s="16" t="n">
        <f aca="false">IF(D219="","",U219-(H219+E219-Q219-O219-T219))</f>
        <v>0</v>
      </c>
      <c r="X219" s="16" t="n">
        <f aca="false">IF(W219="","",ABS(W219))</f>
        <v>0</v>
      </c>
      <c r="Y219" s="16" t="n">
        <f aca="false">IF(U219="","",IF($B$8=0,0,U219/$B$8*100))</f>
        <v>95.0261506380319</v>
      </c>
      <c r="Z219" s="18" t="n">
        <f aca="false">IF(D219="","",MAX(0,IF(P219&gt;=0,P219,IF(K219+P219&gt;=0,0,P219+K219))))</f>
        <v>44.8713483312787</v>
      </c>
      <c r="AA219" s="18" t="n">
        <f aca="false">IF(D219="","",IF(H219&lt;=$B$16,1,IF(H219&gt;=$B$17,$B$21,MATCH(H219,Aux_CAV!$A$2:$A$121,1))))</f>
        <v>13</v>
      </c>
      <c r="AB219" s="18" t="n">
        <f aca="false">IF(D219="","",IF(L219&lt;=$B$16,1,IF(L219&gt;=$B$17,$B$21,MATCH(L219,Aux_CAV!$A$2:$A$121,1))))</f>
        <v>13</v>
      </c>
      <c r="AC219" s="19" t="n">
        <f aca="false">IF(D219="","",COUNT($D$24:D219))</f>
        <v>184</v>
      </c>
    </row>
    <row r="220" customFormat="false" ht="12.75" hidden="false" customHeight="true" outlineLevel="0" collapsed="false">
      <c r="A220" s="14" t="n">
        <f aca="false">IF(D220="","",DATE(B220,C220,1))</f>
        <v>9618</v>
      </c>
      <c r="B220" s="15" t="n">
        <f aca="false" t="array" ref="B220:B220">IF(D220="","",IFERROR(VALUE(INDEX(Vazoes_COLAR!$A$2:$A$200,INT((ROW()-24)/12)+1)),""))</f>
        <v>1926</v>
      </c>
      <c r="C220" s="15" t="n">
        <f aca="false">IF(D220="","",MOD(ROW()-24,12)+1)</f>
        <v>5</v>
      </c>
      <c r="D220" s="16" t="n">
        <f aca="false" t="array" ref="D220: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1.31668631106919</v>
      </c>
      <c r="E220" s="16" t="n">
        <f aca="false">IF(D220="","",D220*$B$15)</f>
        <v>3.41285091829134</v>
      </c>
      <c r="F220" s="16" t="n">
        <f aca="false" t="array" ref="F220:F220">IF(D220="","",IFERROR(INDEX(Dados_Evap!$C$2:$N$15,MATCH($B$9,Dados_Evap!$A$2:$A$15,0),C220),0))</f>
        <v>145.8</v>
      </c>
      <c r="G220" s="16" t="n">
        <f aca="false">IF(F220="","",F220/1000)</f>
        <v>0.1458</v>
      </c>
      <c r="H220" s="16" t="n">
        <f aca="false">IF(D220="","",MAX(0,MIN($B$8,IFERROR(LOOKUP(2,1/($U$24:U219&lt;&gt;""),$U$24:U219),$B$11))))</f>
        <v>44.8713483312787</v>
      </c>
      <c r="I220" s="16" t="n">
        <f aca="false" t="array" ref="I220: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>6.73550411798144</v>
      </c>
      <c r="J220" s="16" t="n">
        <f aca="false">IF(D220="","",$B$12)</f>
        <v>0.35</v>
      </c>
      <c r="K220" s="16" t="n">
        <f aca="false">IF(J220="","",J220*$B$15)</f>
        <v>0.9072</v>
      </c>
      <c r="L220" s="16" t="n">
        <f aca="false">IF(D220="","",H220+E220-K220-G220*I220)</f>
        <v>46.3949627491683</v>
      </c>
      <c r="M220" s="16" t="n">
        <f aca="false" t="array" ref="M220: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>6.88762599775501</v>
      </c>
      <c r="N220" s="16" t="n">
        <f aca="false">IF(D220="","",(I220+M220)/2)</f>
        <v>6.81156505786823</v>
      </c>
      <c r="O220" s="16" t="n">
        <f aca="false">IF(D220="","",G220*N220)</f>
        <v>0.993126185437188</v>
      </c>
      <c r="P220" s="16" t="n">
        <f aca="false">IF(D220="","",H220+E220-K220-O220)</f>
        <v>46.3838730641328</v>
      </c>
      <c r="Q220" s="16" t="n">
        <f aca="false">IF(D220="","",IF(P220&gt;=0,K220,MAX(0,K220+P220)))</f>
        <v>0.9072</v>
      </c>
      <c r="R220" s="16" t="n">
        <f aca="false">IF(D220="","",Q220/$B$15)</f>
        <v>0.35</v>
      </c>
      <c r="S220" s="16" t="n">
        <f aca="false">IF(D220="","",MAX(0,J220-R220))</f>
        <v>0</v>
      </c>
      <c r="T220" s="16" t="n">
        <f aca="false">IF(D220="","",MAX(0,Z220-$B$8))</f>
        <v>0</v>
      </c>
      <c r="U220" s="16" t="n">
        <f aca="false">IF(D220="","",MAX(0,MIN($B$8,Z220)))</f>
        <v>46.3838730641328</v>
      </c>
      <c r="V220" s="16" t="str">
        <f aca="false">IF(D220="","",IF(S220&gt;0.0000001,"Sim","Não"))</f>
        <v>Não</v>
      </c>
      <c r="W220" s="16" t="n">
        <f aca="false">IF(D220="","",U220-(H220+E220-Q220-O220-T220))</f>
        <v>0</v>
      </c>
      <c r="X220" s="16" t="n">
        <f aca="false">IF(W220="","",ABS(W220))</f>
        <v>0</v>
      </c>
      <c r="Y220" s="16" t="n">
        <f aca="false">IF(U220="","",IF($B$8=0,0,U220/$B$8*100))</f>
        <v>98.2292949261602</v>
      </c>
      <c r="Z220" s="18" t="n">
        <f aca="false">IF(D220="","",MAX(0,IF(P220&gt;=0,P220,IF(K220+P220&gt;=0,0,P220+K220))))</f>
        <v>46.3838730641328</v>
      </c>
      <c r="AA220" s="18" t="n">
        <f aca="false">IF(D220="","",IF(H220&lt;=$B$16,1,IF(H220&gt;=$B$17,$B$21,MATCH(H220,Aux_CAV!$A$2:$A$121,1))))</f>
        <v>13</v>
      </c>
      <c r="AB220" s="18" t="n">
        <f aca="false">IF(D220="","",IF(L220&lt;=$B$16,1,IF(L220&gt;=$B$17,$B$21,MATCH(L220,Aux_CAV!$A$2:$A$121,1))))</f>
        <v>13</v>
      </c>
      <c r="AC220" s="19" t="n">
        <f aca="false">IF(D220="","",COUNT($D$24:D220))</f>
        <v>185</v>
      </c>
    </row>
    <row r="221" customFormat="false" ht="12.75" hidden="false" customHeight="true" outlineLevel="0" collapsed="false">
      <c r="A221" s="14" t="n">
        <f aca="false">IF(D221="","",DATE(B221,C221,1))</f>
        <v>9649</v>
      </c>
      <c r="B221" s="15" t="n">
        <f aca="false" t="array" ref="B221:B221">IF(D221="","",IFERROR(VALUE(INDEX(Vazoes_COLAR!$A$2:$A$200,INT((ROW()-24)/12)+1)),""))</f>
        <v>1926</v>
      </c>
      <c r="C221" s="15" t="n">
        <f aca="false">IF(D221="","",MOD(ROW()-24,12)+1)</f>
        <v>6</v>
      </c>
      <c r="D221" s="16" t="n">
        <f aca="false" t="array" ref="D221: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0.298458915326148</v>
      </c>
      <c r="E221" s="16" t="n">
        <f aca="false">IF(D221="","",D221*$B$15)</f>
        <v>0.773605508525376</v>
      </c>
      <c r="F221" s="16" t="n">
        <f aca="false" t="array" ref="F221:F221">IF(D221="","",IFERROR(INDEX(Dados_Evap!$C$2:$N$15,MATCH($B$9,Dados_Evap!$A$2:$A$15,0),C221),0))</f>
        <v>161.3</v>
      </c>
      <c r="G221" s="16" t="n">
        <f aca="false">IF(F221="","",F221/1000)</f>
        <v>0.1613</v>
      </c>
      <c r="H221" s="16" t="n">
        <f aca="false">IF(D221="","",MAX(0,MIN($B$8,IFERROR(LOOKUP(2,1/($U$24:U220&lt;&gt;""),$U$24:U220),$B$11))))</f>
        <v>46.3838730641328</v>
      </c>
      <c r="I221" s="16" t="n">
        <f aca="false" t="array" ref="I221: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>6.88651877291263</v>
      </c>
      <c r="J221" s="16" t="n">
        <f aca="false">IF(D221="","",$B$12)</f>
        <v>0.35</v>
      </c>
      <c r="K221" s="16" t="n">
        <f aca="false">IF(J221="","",J221*$B$15)</f>
        <v>0.9072</v>
      </c>
      <c r="L221" s="16" t="n">
        <f aca="false">IF(D221="","",H221+E221-K221-G221*I221)</f>
        <v>45.1394830945874</v>
      </c>
      <c r="M221" s="16" t="n">
        <f aca="false" t="array" ref="M221: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>6.76227543475833</v>
      </c>
      <c r="N221" s="16" t="n">
        <f aca="false">IF(D221="","",(I221+M221)/2)</f>
        <v>6.82439710383548</v>
      </c>
      <c r="O221" s="16" t="n">
        <f aca="false">IF(D221="","",G221*N221)</f>
        <v>1.10077525284866</v>
      </c>
      <c r="P221" s="16" t="n">
        <f aca="false">IF(D221="","",H221+E221-K221-O221)</f>
        <v>45.1495033198095</v>
      </c>
      <c r="Q221" s="16" t="n">
        <f aca="false">IF(D221="","",IF(P221&gt;=0,K221,MAX(0,K221+P221)))</f>
        <v>0.9072</v>
      </c>
      <c r="R221" s="16" t="n">
        <f aca="false">IF(D221="","",Q221/$B$15)</f>
        <v>0.35</v>
      </c>
      <c r="S221" s="16" t="n">
        <f aca="false">IF(D221="","",MAX(0,J221-R221))</f>
        <v>0</v>
      </c>
      <c r="T221" s="16" t="n">
        <f aca="false">IF(D221="","",MAX(0,Z221-$B$8))</f>
        <v>0</v>
      </c>
      <c r="U221" s="16" t="n">
        <f aca="false">IF(D221="","",MAX(0,MIN($B$8,Z221)))</f>
        <v>45.1495033198095</v>
      </c>
      <c r="V221" s="16" t="str">
        <f aca="false">IF(D221="","",IF(S221&gt;0.0000001,"Sim","Não"))</f>
        <v>Não</v>
      </c>
      <c r="W221" s="16" t="n">
        <f aca="false">IF(D221="","",U221-(H221+E221-Q221-O221-T221))</f>
        <v>0</v>
      </c>
      <c r="X221" s="16" t="n">
        <f aca="false">IF(W221="","",ABS(W221))</f>
        <v>0</v>
      </c>
      <c r="Y221" s="16" t="n">
        <f aca="false">IF(U221="","",IF($B$8=0,0,U221/$B$8*100))</f>
        <v>95.6152124519474</v>
      </c>
      <c r="Z221" s="18" t="n">
        <f aca="false">IF(D221="","",MAX(0,IF(P221&gt;=0,P221,IF(K221+P221&gt;=0,0,P221+K221))))</f>
        <v>45.1495033198095</v>
      </c>
      <c r="AA221" s="18" t="n">
        <f aca="false">IF(D221="","",IF(H221&lt;=$B$16,1,IF(H221&gt;=$B$17,$B$21,MATCH(H221,Aux_CAV!$A$2:$A$121,1))))</f>
        <v>13</v>
      </c>
      <c r="AB221" s="18" t="n">
        <f aca="false">IF(D221="","",IF(L221&lt;=$B$16,1,IF(L221&gt;=$B$17,$B$21,MATCH(L221,Aux_CAV!$A$2:$A$121,1))))</f>
        <v>13</v>
      </c>
      <c r="AC221" s="19" t="n">
        <f aca="false">IF(D221="","",COUNT($D$24:D221))</f>
        <v>186</v>
      </c>
    </row>
    <row r="222" customFormat="false" ht="12.75" hidden="false" customHeight="true" outlineLevel="0" collapsed="false">
      <c r="A222" s="14" t="n">
        <f aca="false">IF(D222="","",DATE(B222,C222,1))</f>
        <v>9679</v>
      </c>
      <c r="B222" s="15" t="n">
        <f aca="false" t="array" ref="B222:B222">IF(D222="","",IFERROR(VALUE(INDEX(Vazoes_COLAR!$A$2:$A$200,INT((ROW()-24)/12)+1)),""))</f>
        <v>1926</v>
      </c>
      <c r="C222" s="15" t="n">
        <f aca="false">IF(D222="","",MOD(ROW()-24,12)+1)</f>
        <v>7</v>
      </c>
      <c r="D222" s="16" t="n">
        <f aca="false" t="array" ref="D222: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0.0305853477624775</v>
      </c>
      <c r="E222" s="16" t="n">
        <f aca="false">IF(D222="","",D222*$B$15)</f>
        <v>0.0792772214003417</v>
      </c>
      <c r="F222" s="16" t="n">
        <f aca="false" t="array" ref="F222:F222">IF(D222="","",IFERROR(INDEX(Dados_Evap!$C$2:$N$15,MATCH($B$9,Dados_Evap!$A$2:$A$15,0),C222),0))</f>
        <v>224.8</v>
      </c>
      <c r="G222" s="16" t="n">
        <f aca="false">IF(F222="","",F222/1000)</f>
        <v>0.2248</v>
      </c>
      <c r="H222" s="16" t="n">
        <f aca="false">IF(D222="","",MAX(0,MIN($B$8,IFERROR(LOOKUP(2,1/($U$24:U221&lt;&gt;""),$U$24:U221),$B$11))))</f>
        <v>45.1495033198095</v>
      </c>
      <c r="I222" s="16" t="n">
        <f aca="false" t="array" ref="I222: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>6.76327588177344</v>
      </c>
      <c r="J222" s="16" t="n">
        <f aca="false">IF(D222="","",$B$12)</f>
        <v>0.35</v>
      </c>
      <c r="K222" s="16" t="n">
        <f aca="false">IF(J222="","",J222*$B$15)</f>
        <v>0.9072</v>
      </c>
      <c r="L222" s="16" t="n">
        <f aca="false">IF(D222="","",H222+E222-K222-G222*I222)</f>
        <v>42.8011961229872</v>
      </c>
      <c r="M222" s="16" t="n">
        <f aca="false" t="array" ref="M222: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>6.52881439278253</v>
      </c>
      <c r="N222" s="16" t="n">
        <f aca="false">IF(D222="","",(I222+M222)/2)</f>
        <v>6.64604513727798</v>
      </c>
      <c r="O222" s="16" t="n">
        <f aca="false">IF(D222="","",G222*N222)</f>
        <v>1.49403094686009</v>
      </c>
      <c r="P222" s="16" t="n">
        <f aca="false">IF(D222="","",H222+E222-K222-O222)</f>
        <v>42.8275495943498</v>
      </c>
      <c r="Q222" s="16" t="n">
        <f aca="false">IF(D222="","",IF(P222&gt;=0,K222,MAX(0,K222+P222)))</f>
        <v>0.9072</v>
      </c>
      <c r="R222" s="16" t="n">
        <f aca="false">IF(D222="","",Q222/$B$15)</f>
        <v>0.35</v>
      </c>
      <c r="S222" s="16" t="n">
        <f aca="false">IF(D222="","",MAX(0,J222-R222))</f>
        <v>0</v>
      </c>
      <c r="T222" s="16" t="n">
        <f aca="false">IF(D222="","",MAX(0,Z222-$B$8))</f>
        <v>0</v>
      </c>
      <c r="U222" s="16" t="n">
        <f aca="false">IF(D222="","",MAX(0,MIN($B$8,Z222)))</f>
        <v>42.8275495943498</v>
      </c>
      <c r="V222" s="16" t="str">
        <f aca="false">IF(D222="","",IF(S222&gt;0.0000001,"Sim","Não"))</f>
        <v>Não</v>
      </c>
      <c r="W222" s="16" t="n">
        <f aca="false">IF(D222="","",U222-(H222+E222-Q222-O222-T222))</f>
        <v>0</v>
      </c>
      <c r="X222" s="16" t="n">
        <f aca="false">IF(W222="","",ABS(W222))</f>
        <v>0</v>
      </c>
      <c r="Y222" s="16" t="n">
        <f aca="false">IF(U222="","",IF($B$8=0,0,U222/$B$8*100))</f>
        <v>90.6979025716853</v>
      </c>
      <c r="Z222" s="18" t="n">
        <f aca="false">IF(D222="","",MAX(0,IF(P222&gt;=0,P222,IF(K222+P222&gt;=0,0,P222+K222))))</f>
        <v>42.8275495943498</v>
      </c>
      <c r="AA222" s="18" t="n">
        <f aca="false">IF(D222="","",IF(H222&lt;=$B$16,1,IF(H222&gt;=$B$17,$B$21,MATCH(H222,Aux_CAV!$A$2:$A$121,1))))</f>
        <v>13</v>
      </c>
      <c r="AB222" s="18" t="n">
        <f aca="false">IF(D222="","",IF(L222&lt;=$B$16,1,IF(L222&gt;=$B$17,$B$21,MATCH(L222,Aux_CAV!$A$2:$A$121,1))))</f>
        <v>13</v>
      </c>
      <c r="AC222" s="19" t="n">
        <f aca="false">IF(D222="","",COUNT($D$24:D222))</f>
        <v>187</v>
      </c>
    </row>
    <row r="223" customFormat="false" ht="12.75" hidden="false" customHeight="true" outlineLevel="0" collapsed="false">
      <c r="A223" s="14" t="n">
        <f aca="false">IF(D223="","",DATE(B223,C223,1))</f>
        <v>9710</v>
      </c>
      <c r="B223" s="15" t="n">
        <f aca="false" t="array" ref="B223:B223">IF(D223="","",IFERROR(VALUE(INDEX(Vazoes_COLAR!$A$2:$A$200,INT((ROW()-24)/12)+1)),""))</f>
        <v>1926</v>
      </c>
      <c r="C223" s="15" t="n">
        <f aca="false">IF(D223="","",MOD(ROW()-24,12)+1)</f>
        <v>8</v>
      </c>
      <c r="D223" s="16" t="n">
        <f aca="false" t="array" ref="D223: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0.0202847230268603</v>
      </c>
      <c r="E223" s="16" t="n">
        <f aca="false">IF(D223="","",D223*$B$15)</f>
        <v>0.0525780020856219</v>
      </c>
      <c r="F223" s="16" t="n">
        <f aca="false" t="array" ref="F223:F223">IF(D223="","",IFERROR(INDEX(Dados_Evap!$C$2:$N$15,MATCH($B$9,Dados_Evap!$A$2:$A$15,0),C223),0))</f>
        <v>268.7</v>
      </c>
      <c r="G223" s="16" t="n">
        <f aca="false">IF(F223="","",F223/1000)</f>
        <v>0.2687</v>
      </c>
      <c r="H223" s="16" t="n">
        <f aca="false">IF(D223="","",MAX(0,MIN($B$8,IFERROR(LOOKUP(2,1/($U$24:U222&lt;&gt;""),$U$24:U222),$B$11))))</f>
        <v>42.8275495943498</v>
      </c>
      <c r="I223" s="16" t="n">
        <f aca="false" t="array" ref="I223: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>6.53144559629121</v>
      </c>
      <c r="J223" s="16" t="n">
        <f aca="false">IF(D223="","",$B$12)</f>
        <v>0.35</v>
      </c>
      <c r="K223" s="16" t="n">
        <f aca="false">IF(J223="","",J223*$B$15)</f>
        <v>0.9072</v>
      </c>
      <c r="L223" s="16" t="n">
        <f aca="false">IF(D223="","",H223+E223-K223-G223*I223)</f>
        <v>40.217928164712</v>
      </c>
      <c r="M223" s="16" t="n">
        <f aca="false" t="array" ref="M223: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>6.27089377116228</v>
      </c>
      <c r="N223" s="16" t="n">
        <f aca="false">IF(D223="","",(I223+M223)/2)</f>
        <v>6.40116968372675</v>
      </c>
      <c r="O223" s="16" t="n">
        <f aca="false">IF(D223="","",G223*N223)</f>
        <v>1.71999429401738</v>
      </c>
      <c r="P223" s="16" t="n">
        <f aca="false">IF(D223="","",H223+E223-K223-O223)</f>
        <v>40.252933302418</v>
      </c>
      <c r="Q223" s="16" t="n">
        <f aca="false">IF(D223="","",IF(P223&gt;=0,K223,MAX(0,K223+P223)))</f>
        <v>0.9072</v>
      </c>
      <c r="R223" s="16" t="n">
        <f aca="false">IF(D223="","",Q223/$B$15)</f>
        <v>0.35</v>
      </c>
      <c r="S223" s="16" t="n">
        <f aca="false">IF(D223="","",MAX(0,J223-R223))</f>
        <v>0</v>
      </c>
      <c r="T223" s="16" t="n">
        <f aca="false">IF(D223="","",MAX(0,Z223-$B$8))</f>
        <v>0</v>
      </c>
      <c r="U223" s="16" t="n">
        <f aca="false">IF(D223="","",MAX(0,MIN($B$8,Z223)))</f>
        <v>40.252933302418</v>
      </c>
      <c r="V223" s="16" t="str">
        <f aca="false">IF(D223="","",IF(S223&gt;0.0000001,"Sim","Não"))</f>
        <v>Não</v>
      </c>
      <c r="W223" s="16" t="n">
        <f aca="false">IF(D223="","",U223-(H223+E223-Q223-O223-T223))</f>
        <v>0</v>
      </c>
      <c r="X223" s="16" t="n">
        <f aca="false">IF(W223="","",ABS(W223))</f>
        <v>0</v>
      </c>
      <c r="Y223" s="16" t="n">
        <f aca="false">IF(U223="","",IF($B$8=0,0,U223/$B$8*100))</f>
        <v>85.2455173706439</v>
      </c>
      <c r="Z223" s="18" t="n">
        <f aca="false">IF(D223="","",MAX(0,IF(P223&gt;=0,P223,IF(K223+P223&gt;=0,0,P223+K223))))</f>
        <v>40.252933302418</v>
      </c>
      <c r="AA223" s="18" t="n">
        <f aca="false">IF(D223="","",IF(H223&lt;=$B$16,1,IF(H223&gt;=$B$17,$B$21,MATCH(H223,Aux_CAV!$A$2:$A$121,1))))</f>
        <v>13</v>
      </c>
      <c r="AB223" s="18" t="n">
        <f aca="false">IF(D223="","",IF(L223&lt;=$B$16,1,IF(L223&gt;=$B$17,$B$21,MATCH(L223,Aux_CAV!$A$2:$A$121,1))))</f>
        <v>13</v>
      </c>
      <c r="AC223" s="19" t="n">
        <f aca="false">IF(D223="","",COUNT($D$24:D223))</f>
        <v>188</v>
      </c>
    </row>
    <row r="224" customFormat="false" ht="12.75" hidden="false" customHeight="true" outlineLevel="0" collapsed="false">
      <c r="A224" s="14" t="n">
        <f aca="false">IF(D224="","",DATE(B224,C224,1))</f>
        <v>9741</v>
      </c>
      <c r="B224" s="15" t="n">
        <f aca="false" t="array" ref="B224:B224">IF(D224="","",IFERROR(VALUE(INDEX(Vazoes_COLAR!$A$2:$A$200,INT((ROW()-24)/12)+1)),""))</f>
        <v>1926</v>
      </c>
      <c r="C224" s="15" t="n">
        <f aca="false">IF(D224="","",MOD(ROW()-24,12)+1)</f>
        <v>9</v>
      </c>
      <c r="D224" s="16" t="n">
        <f aca="false" t="array" ref="D224: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0.0159948047459782</v>
      </c>
      <c r="E224" s="16" t="n">
        <f aca="false">IF(D224="","",D224*$B$15)</f>
        <v>0.0414585339015755</v>
      </c>
      <c r="F224" s="16" t="n">
        <f aca="false" t="array" ref="F224:F224">IF(D224="","",IFERROR(INDEX(Dados_Evap!$C$2:$N$15,MATCH($B$9,Dados_Evap!$A$2:$A$15,0),C224),0))</f>
        <v>292.8</v>
      </c>
      <c r="G224" s="16" t="n">
        <f aca="false">IF(F224="","",F224/1000)</f>
        <v>0.2928</v>
      </c>
      <c r="H224" s="16" t="n">
        <f aca="false">IF(D224="","",MAX(0,MIN($B$8,IFERROR(LOOKUP(2,1/($U$24:U223&lt;&gt;""),$U$24:U223),$B$11))))</f>
        <v>40.252933302418</v>
      </c>
      <c r="I224" s="16" t="n">
        <f aca="false" t="array" ref="I224: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>6.27438878098042</v>
      </c>
      <c r="J224" s="16" t="n">
        <f aca="false">IF(D224="","",$B$12)</f>
        <v>0.35</v>
      </c>
      <c r="K224" s="16" t="n">
        <f aca="false">IF(J224="","",J224*$B$15)</f>
        <v>0.9072</v>
      </c>
      <c r="L224" s="16" t="n">
        <f aca="false">IF(D224="","",H224+E224-K224-G224*I224)</f>
        <v>37.5500508012485</v>
      </c>
      <c r="M224" s="16" t="n">
        <f aca="false" t="array" ref="M224: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>6.00452551238881</v>
      </c>
      <c r="N224" s="16" t="n">
        <f aca="false">IF(D224="","",(I224+M224)/2)</f>
        <v>6.13945714668461</v>
      </c>
      <c r="O224" s="16" t="n">
        <f aca="false">IF(D224="","",G224*N224)</f>
        <v>1.79763305254925</v>
      </c>
      <c r="P224" s="16" t="n">
        <f aca="false">IF(D224="","",H224+E224-K224-O224)</f>
        <v>37.5895587837704</v>
      </c>
      <c r="Q224" s="16" t="n">
        <f aca="false">IF(D224="","",IF(P224&gt;=0,K224,MAX(0,K224+P224)))</f>
        <v>0.9072</v>
      </c>
      <c r="R224" s="16" t="n">
        <f aca="false">IF(D224="","",Q224/$B$15)</f>
        <v>0.35</v>
      </c>
      <c r="S224" s="16" t="n">
        <f aca="false">IF(D224="","",MAX(0,J224-R224))</f>
        <v>0</v>
      </c>
      <c r="T224" s="16" t="n">
        <f aca="false">IF(D224="","",MAX(0,Z224-$B$8))</f>
        <v>0</v>
      </c>
      <c r="U224" s="16" t="n">
        <f aca="false">IF(D224="","",MAX(0,MIN($B$8,Z224)))</f>
        <v>37.5895587837704</v>
      </c>
      <c r="V224" s="16" t="str">
        <f aca="false">IF(D224="","",IF(S224&gt;0.0000001,"Sim","Não"))</f>
        <v>Não</v>
      </c>
      <c r="W224" s="16" t="n">
        <f aca="false">IF(D224="","",U224-(H224+E224-Q224-O224-T224))</f>
        <v>0</v>
      </c>
      <c r="X224" s="16" t="n">
        <f aca="false">IF(W224="","",ABS(W224))</f>
        <v>0</v>
      </c>
      <c r="Y224" s="16" t="n">
        <f aca="false">IF(U224="","",IF($B$8=0,0,U224/$B$8*100))</f>
        <v>79.6051647263244</v>
      </c>
      <c r="Z224" s="18" t="n">
        <f aca="false">IF(D224="","",MAX(0,IF(P224&gt;=0,P224,IF(K224+P224&gt;=0,0,P224+K224))))</f>
        <v>37.5895587837704</v>
      </c>
      <c r="AA224" s="18" t="n">
        <f aca="false">IF(D224="","",IF(H224&lt;=$B$16,1,IF(H224&gt;=$B$17,$B$21,MATCH(H224,Aux_CAV!$A$2:$A$121,1))))</f>
        <v>13</v>
      </c>
      <c r="AB224" s="18" t="n">
        <f aca="false">IF(D224="","",IF(L224&lt;=$B$16,1,IF(L224&gt;=$B$17,$B$21,MATCH(L224,Aux_CAV!$A$2:$A$121,1))))</f>
        <v>13</v>
      </c>
      <c r="AC224" s="19" t="n">
        <f aca="false">IF(D224="","",COUNT($D$24:D224))</f>
        <v>189</v>
      </c>
    </row>
    <row r="225" customFormat="false" ht="12.75" hidden="false" customHeight="true" outlineLevel="0" collapsed="false">
      <c r="A225" s="14" t="n">
        <f aca="false">IF(D225="","",DATE(B225,C225,1))</f>
        <v>9771</v>
      </c>
      <c r="B225" s="15" t="n">
        <f aca="false" t="array" ref="B225:B225">IF(D225="","",IFERROR(VALUE(INDEX(Vazoes_COLAR!$A$2:$A$200,INT((ROW()-24)/12)+1)),""))</f>
        <v>1926</v>
      </c>
      <c r="C225" s="15" t="n">
        <f aca="false">IF(D225="","",MOD(ROW()-24,12)+1)</f>
        <v>10</v>
      </c>
      <c r="D225" s="16" t="n">
        <f aca="false" t="array" ref="D225: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0.0186973588159507</v>
      </c>
      <c r="E225" s="16" t="n">
        <f aca="false">IF(D225="","",D225*$B$15)</f>
        <v>0.0484635540509442</v>
      </c>
      <c r="F225" s="16" t="n">
        <f aca="false" t="array" ref="F225:F225">IF(D225="","",IFERROR(INDEX(Dados_Evap!$C$2:$N$15,MATCH($B$9,Dados_Evap!$A$2:$A$15,0),C225),0))</f>
        <v>262.9</v>
      </c>
      <c r="G225" s="16" t="n">
        <f aca="false">IF(F225="","",F225/1000)</f>
        <v>0.2629</v>
      </c>
      <c r="H225" s="16" t="n">
        <f aca="false">IF(D225="","",MAX(0,MIN($B$8,IFERROR(LOOKUP(2,1/($U$24:U224&lt;&gt;""),$U$24:U224),$B$11))))</f>
        <v>37.5895587837704</v>
      </c>
      <c r="I225" s="16" t="n">
        <f aca="false" t="array" ref="I225: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>6.00847009869405</v>
      </c>
      <c r="J225" s="16" t="n">
        <f aca="false">IF(D225="","",$B$12)</f>
        <v>0.35</v>
      </c>
      <c r="K225" s="16" t="n">
        <f aca="false">IF(J225="","",J225*$B$15)</f>
        <v>0.9072</v>
      </c>
      <c r="L225" s="16" t="n">
        <f aca="false">IF(D225="","",H225+E225-K225-G225*I225)</f>
        <v>35.1511955488746</v>
      </c>
      <c r="M225" s="16" t="n">
        <f aca="false" t="array" ref="M225: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>5.76501716565022</v>
      </c>
      <c r="N225" s="16" t="n">
        <f aca="false">IF(D225="","",(I225+M225)/2)</f>
        <v>5.88674363217214</v>
      </c>
      <c r="O225" s="16" t="n">
        <f aca="false">IF(D225="","",G225*N225)</f>
        <v>1.54762490089805</v>
      </c>
      <c r="P225" s="16" t="n">
        <f aca="false">IF(D225="","",H225+E225-K225-O225)</f>
        <v>35.1831974369232</v>
      </c>
      <c r="Q225" s="16" t="n">
        <f aca="false">IF(D225="","",IF(P225&gt;=0,K225,MAX(0,K225+P225)))</f>
        <v>0.9072</v>
      </c>
      <c r="R225" s="16" t="n">
        <f aca="false">IF(D225="","",Q225/$B$15)</f>
        <v>0.35</v>
      </c>
      <c r="S225" s="16" t="n">
        <f aca="false">IF(D225="","",MAX(0,J225-R225))</f>
        <v>0</v>
      </c>
      <c r="T225" s="16" t="n">
        <f aca="false">IF(D225="","",MAX(0,Z225-$B$8))</f>
        <v>0</v>
      </c>
      <c r="U225" s="16" t="n">
        <f aca="false">IF(D225="","",MAX(0,MIN($B$8,Z225)))</f>
        <v>35.1831974369232</v>
      </c>
      <c r="V225" s="16" t="str">
        <f aca="false">IF(D225="","",IF(S225&gt;0.0000001,"Sim","Não"))</f>
        <v>Não</v>
      </c>
      <c r="W225" s="16" t="n">
        <f aca="false">IF(D225="","",U225-(H225+E225-Q225-O225-T225))</f>
        <v>0</v>
      </c>
      <c r="X225" s="16" t="n">
        <f aca="false">IF(W225="","",ABS(W225))</f>
        <v>0</v>
      </c>
      <c r="Y225" s="16" t="n">
        <f aca="false">IF(U225="","",IF($B$8=0,0,U225/$B$8*100))</f>
        <v>74.5091008829378</v>
      </c>
      <c r="Z225" s="18" t="n">
        <f aca="false">IF(D225="","",MAX(0,IF(P225&gt;=0,P225,IF(K225+P225&gt;=0,0,P225+K225))))</f>
        <v>35.1831974369232</v>
      </c>
      <c r="AA225" s="18" t="n">
        <f aca="false">IF(D225="","",IF(H225&lt;=$B$16,1,IF(H225&gt;=$B$17,$B$21,MATCH(H225,Aux_CAV!$A$2:$A$121,1))))</f>
        <v>13</v>
      </c>
      <c r="AB225" s="18" t="n">
        <f aca="false">IF(D225="","",IF(L225&lt;=$B$16,1,IF(L225&gt;=$B$17,$B$21,MATCH(L225,Aux_CAV!$A$2:$A$121,1))))</f>
        <v>13</v>
      </c>
      <c r="AC225" s="19" t="n">
        <f aca="false">IF(D225="","",COUNT($D$24:D225))</f>
        <v>190</v>
      </c>
    </row>
    <row r="226" customFormat="false" ht="12.75" hidden="false" customHeight="true" outlineLevel="0" collapsed="false">
      <c r="A226" s="14" t="n">
        <f aca="false">IF(D226="","",DATE(B226,C226,1))</f>
        <v>9802</v>
      </c>
      <c r="B226" s="15" t="n">
        <f aca="false" t="array" ref="B226:B226">IF(D226="","",IFERROR(VALUE(INDEX(Vazoes_COLAR!$A$2:$A$200,INT((ROW()-24)/12)+1)),""))</f>
        <v>1926</v>
      </c>
      <c r="C226" s="15" t="n">
        <f aca="false">IF(D226="","",MOD(ROW()-24,12)+1)</f>
        <v>11</v>
      </c>
      <c r="D226" s="16" t="n">
        <f aca="false" t="array" ref="D226: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0.0179043032477729</v>
      </c>
      <c r="E226" s="16" t="n">
        <f aca="false">IF(D226="","",D226*$B$15)</f>
        <v>0.0464079540182274</v>
      </c>
      <c r="F226" s="16" t="n">
        <f aca="false" t="array" ref="F226:F226">IF(D226="","",IFERROR(INDEX(Dados_Evap!$C$2:$N$15,MATCH($B$9,Dados_Evap!$A$2:$A$15,0),C226),0))</f>
        <v>223.7</v>
      </c>
      <c r="G226" s="16" t="n">
        <f aca="false">IF(F226="","",F226/1000)</f>
        <v>0.2237</v>
      </c>
      <c r="H226" s="16" t="n">
        <f aca="false">IF(D226="","",MAX(0,MIN($B$8,IFERROR(LOOKUP(2,1/($U$24:U225&lt;&gt;""),$U$24:U225),$B$11))))</f>
        <v>35.1831974369232</v>
      </c>
      <c r="I226" s="16" t="n">
        <f aca="false" t="array" ref="I226: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>5.76821232271168</v>
      </c>
      <c r="J226" s="16" t="n">
        <f aca="false">IF(D226="","",$B$12)</f>
        <v>0.35</v>
      </c>
      <c r="K226" s="16" t="n">
        <f aca="false">IF(J226="","",J226*$B$15)</f>
        <v>0.9072</v>
      </c>
      <c r="L226" s="16" t="n">
        <f aca="false">IF(D226="","",H226+E226-K226-G226*I226)</f>
        <v>33.0320562943509</v>
      </c>
      <c r="M226" s="16" t="n">
        <f aca="false" t="array" ref="M226: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>5.54750487718014</v>
      </c>
      <c r="N226" s="16" t="n">
        <f aca="false">IF(D226="","",(I226+M226)/2)</f>
        <v>5.65785859994591</v>
      </c>
      <c r="O226" s="16" t="n">
        <f aca="false">IF(D226="","",G226*N226)</f>
        <v>1.2656629688079</v>
      </c>
      <c r="P226" s="16" t="n">
        <f aca="false">IF(D226="","",H226+E226-K226-O226)</f>
        <v>33.0567424221336</v>
      </c>
      <c r="Q226" s="16" t="n">
        <f aca="false">IF(D226="","",IF(P226&gt;=0,K226,MAX(0,K226+P226)))</f>
        <v>0.9072</v>
      </c>
      <c r="R226" s="16" t="n">
        <f aca="false">IF(D226="","",Q226/$B$15)</f>
        <v>0.35</v>
      </c>
      <c r="S226" s="16" t="n">
        <f aca="false">IF(D226="","",MAX(0,J226-R226))</f>
        <v>0</v>
      </c>
      <c r="T226" s="16" t="n">
        <f aca="false">IF(D226="","",MAX(0,Z226-$B$8))</f>
        <v>0</v>
      </c>
      <c r="U226" s="16" t="n">
        <f aca="false">IF(D226="","",MAX(0,MIN($B$8,Z226)))</f>
        <v>33.0567424221336</v>
      </c>
      <c r="V226" s="16" t="str">
        <f aca="false">IF(D226="","",IF(S226&gt;0.0000001,"Sim","Não"))</f>
        <v>Não</v>
      </c>
      <c r="W226" s="16" t="n">
        <f aca="false">IF(D226="","",U226-(H226+E226-Q226-O226-T226))</f>
        <v>0</v>
      </c>
      <c r="X226" s="16" t="n">
        <f aca="false">IF(W226="","",ABS(W226))</f>
        <v>0</v>
      </c>
      <c r="Y226" s="16" t="n">
        <f aca="false">IF(U226="","",IF($B$8=0,0,U226/$B$8*100))</f>
        <v>70.0058077554713</v>
      </c>
      <c r="Z226" s="18" t="n">
        <f aca="false">IF(D226="","",MAX(0,IF(P226&gt;=0,P226,IF(K226+P226&gt;=0,0,P226+K226))))</f>
        <v>33.0567424221336</v>
      </c>
      <c r="AA226" s="18" t="n">
        <f aca="false">IF(D226="","",IF(H226&lt;=$B$16,1,IF(H226&gt;=$B$17,$B$21,MATCH(H226,Aux_CAV!$A$2:$A$121,1))))</f>
        <v>13</v>
      </c>
      <c r="AB226" s="18" t="n">
        <f aca="false">IF(D226="","",IF(L226&lt;=$B$16,1,IF(L226&gt;=$B$17,$B$21,MATCH(L226,Aux_CAV!$A$2:$A$121,1))))</f>
        <v>12</v>
      </c>
      <c r="AC226" s="19" t="n">
        <f aca="false">IF(D226="","",COUNT($D$24:D226))</f>
        <v>191</v>
      </c>
    </row>
    <row r="227" customFormat="false" ht="12.75" hidden="false" customHeight="true" outlineLevel="0" collapsed="false">
      <c r="A227" s="14" t="n">
        <f aca="false">IF(D227="","",DATE(B227,C227,1))</f>
        <v>9832</v>
      </c>
      <c r="B227" s="15" t="n">
        <f aca="false" t="array" ref="B227:B227">IF(D227="","",IFERROR(VALUE(INDEX(Vazoes_COLAR!$A$2:$A$200,INT((ROW()-24)/12)+1)),""))</f>
        <v>1926</v>
      </c>
      <c r="C227" s="15" t="n">
        <f aca="false">IF(D227="","",MOD(ROW()-24,12)+1)</f>
        <v>12</v>
      </c>
      <c r="D227" s="16" t="n">
        <f aca="false" t="array" ref="D227: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0.0142629425712544</v>
      </c>
      <c r="E227" s="16" t="n">
        <f aca="false">IF(D227="","",D227*$B$15)</f>
        <v>0.0369695471446914</v>
      </c>
      <c r="F227" s="16" t="n">
        <f aca="false" t="array" ref="F227:F227">IF(D227="","",IFERROR(INDEX(Dados_Evap!$C$2:$N$15,MATCH($B$9,Dados_Evap!$A$2:$A$15,0),C227),0))</f>
        <v>216.1</v>
      </c>
      <c r="G227" s="16" t="n">
        <f aca="false">IF(F227="","",F227/1000)</f>
        <v>0.2161</v>
      </c>
      <c r="H227" s="16" t="n">
        <f aca="false">IF(D227="","",MAX(0,MIN($B$8,IFERROR(LOOKUP(2,1/($U$24:U226&lt;&gt;""),$U$24:U226),$B$11))))</f>
        <v>33.0567424221336</v>
      </c>
      <c r="I227" s="16" t="n">
        <f aca="false" t="array" ref="I227: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>5.55006935841582</v>
      </c>
      <c r="J227" s="16" t="n">
        <f aca="false">IF(D227="","",$B$12)</f>
        <v>0.35</v>
      </c>
      <c r="K227" s="16" t="n">
        <f aca="false">IF(J227="","",J227*$B$15)</f>
        <v>0.9072</v>
      </c>
      <c r="L227" s="16" t="n">
        <f aca="false">IF(D227="","",H227+E227-K227-G227*I227)</f>
        <v>30.9871419809246</v>
      </c>
      <c r="M227" s="16" t="n">
        <f aca="false" t="array" ref="M227: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>5.33507203102809</v>
      </c>
      <c r="N227" s="16" t="n">
        <f aca="false">IF(D227="","",(I227+M227)/2)</f>
        <v>5.44257069472195</v>
      </c>
      <c r="O227" s="16" t="n">
        <f aca="false">IF(D227="","",G227*N227)</f>
        <v>1.17613952712941</v>
      </c>
      <c r="P227" s="16" t="n">
        <f aca="false">IF(D227="","",H227+E227-K227-O227)</f>
        <v>31.0103724421488</v>
      </c>
      <c r="Q227" s="16" t="n">
        <f aca="false">IF(D227="","",IF(P227&gt;=0,K227,MAX(0,K227+P227)))</f>
        <v>0.9072</v>
      </c>
      <c r="R227" s="16" t="n">
        <f aca="false">IF(D227="","",Q227/$B$15)</f>
        <v>0.35</v>
      </c>
      <c r="S227" s="16" t="n">
        <f aca="false">IF(D227="","",MAX(0,J227-R227))</f>
        <v>0</v>
      </c>
      <c r="T227" s="16" t="n">
        <f aca="false">IF(D227="","",MAX(0,Z227-$B$8))</f>
        <v>0</v>
      </c>
      <c r="U227" s="16" t="n">
        <f aca="false">IF(D227="","",MAX(0,MIN($B$8,Z227)))</f>
        <v>31.0103724421488</v>
      </c>
      <c r="V227" s="16" t="str">
        <f aca="false">IF(D227="","",IF(S227&gt;0.0000001,"Sim","Não"))</f>
        <v>Não</v>
      </c>
      <c r="W227" s="16" t="n">
        <f aca="false">IF(D227="","",U227-(H227+E227-Q227-O227-T227))</f>
        <v>0</v>
      </c>
      <c r="X227" s="16" t="n">
        <f aca="false">IF(W227="","",ABS(W227))</f>
        <v>0</v>
      </c>
      <c r="Y227" s="16" t="n">
        <f aca="false">IF(U227="","",IF($B$8=0,0,U227/$B$8*100))</f>
        <v>65.6721144475833</v>
      </c>
      <c r="Z227" s="18" t="n">
        <f aca="false">IF(D227="","",MAX(0,IF(P227&gt;=0,P227,IF(K227+P227&gt;=0,0,P227+K227))))</f>
        <v>31.0103724421488</v>
      </c>
      <c r="AA227" s="18" t="n">
        <f aca="false">IF(D227="","",IF(H227&lt;=$B$16,1,IF(H227&gt;=$B$17,$B$21,MATCH(H227,Aux_CAV!$A$2:$A$121,1))))</f>
        <v>12</v>
      </c>
      <c r="AB227" s="18" t="n">
        <f aca="false">IF(D227="","",IF(L227&lt;=$B$16,1,IF(L227&gt;=$B$17,$B$21,MATCH(L227,Aux_CAV!$A$2:$A$121,1))))</f>
        <v>12</v>
      </c>
      <c r="AC227" s="19" t="n">
        <f aca="false">IF(D227="","",COUNT($D$24:D227))</f>
        <v>192</v>
      </c>
    </row>
    <row r="228" customFormat="false" ht="12.75" hidden="false" customHeight="true" outlineLevel="0" collapsed="false">
      <c r="A228" s="14" t="n">
        <f aca="false">IF(D228="","",DATE(B228,C228,1))</f>
        <v>9863</v>
      </c>
      <c r="B228" s="15" t="n">
        <f aca="false" t="array" ref="B228:B228">IF(D228="","",IFERROR(VALUE(INDEX(Vazoes_COLAR!$A$2:$A$200,INT((ROW()-24)/12)+1)),""))</f>
        <v>1927</v>
      </c>
      <c r="C228" s="15" t="n">
        <f aca="false">IF(D228="","",MOD(ROW()-24,12)+1)</f>
        <v>1</v>
      </c>
      <c r="D228" s="16" t="n">
        <f aca="false" t="array" ref="D228: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0.0202618618378041</v>
      </c>
      <c r="E228" s="16" t="n">
        <f aca="false">IF(D228="","",D228*$B$15)</f>
        <v>0.0525187458835882</v>
      </c>
      <c r="F228" s="16" t="n">
        <f aca="false" t="array" ref="F228:F228">IF(D228="","",IFERROR(INDEX(Dados_Evap!$C$2:$N$15,MATCH($B$9,Dados_Evap!$A$2:$A$15,0),C228),0))</f>
        <v>160</v>
      </c>
      <c r="G228" s="16" t="n">
        <f aca="false">IF(F228="","",F228/1000)</f>
        <v>0.16</v>
      </c>
      <c r="H228" s="16" t="n">
        <f aca="false">IF(D228="","",MAX(0,MIN($B$8,IFERROR(LOOKUP(2,1/($U$24:U227&lt;&gt;""),$U$24:U227),$B$11))))</f>
        <v>31.0103724421488</v>
      </c>
      <c r="I228" s="16" t="n">
        <f aca="false" t="array" ref="I228: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>5.33748529253391</v>
      </c>
      <c r="J228" s="16" t="n">
        <f aca="false">IF(D228="","",$B$12)</f>
        <v>0.35</v>
      </c>
      <c r="K228" s="16" t="n">
        <f aca="false">IF(J228="","",J228*$B$15)</f>
        <v>0.9072</v>
      </c>
      <c r="L228" s="16" t="n">
        <f aca="false">IF(D228="","",H228+E228-K228-G228*I228)</f>
        <v>29.301693541227</v>
      </c>
      <c r="M228" s="16" t="n">
        <f aca="false" t="array" ref="M228: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>5.15998175622455</v>
      </c>
      <c r="N228" s="16" t="n">
        <f aca="false">IF(D228="","",(I228+M228)/2)</f>
        <v>5.24873352437923</v>
      </c>
      <c r="O228" s="16" t="n">
        <f aca="false">IF(D228="","",G228*N228)</f>
        <v>0.839797363900677</v>
      </c>
      <c r="P228" s="16" t="n">
        <f aca="false">IF(D228="","",H228+E228-K228-O228)</f>
        <v>29.3158938241318</v>
      </c>
      <c r="Q228" s="16" t="n">
        <f aca="false">IF(D228="","",IF(P228&gt;=0,K228,MAX(0,K228+P228)))</f>
        <v>0.9072</v>
      </c>
      <c r="R228" s="16" t="n">
        <f aca="false">IF(D228="","",Q228/$B$15)</f>
        <v>0.35</v>
      </c>
      <c r="S228" s="16" t="n">
        <f aca="false">IF(D228="","",MAX(0,J228-R228))</f>
        <v>0</v>
      </c>
      <c r="T228" s="16" t="n">
        <f aca="false">IF(D228="","",MAX(0,Z228-$B$8))</f>
        <v>0</v>
      </c>
      <c r="U228" s="16" t="n">
        <f aca="false">IF(D228="","",MAX(0,MIN($B$8,Z228)))</f>
        <v>29.3158938241318</v>
      </c>
      <c r="V228" s="16" t="str">
        <f aca="false">IF(D228="","",IF(S228&gt;0.0000001,"Sim","Não"))</f>
        <v>Não</v>
      </c>
      <c r="W228" s="16" t="n">
        <f aca="false">IF(D228="","",U228-(H228+E228-Q228-O228-T228))</f>
        <v>0</v>
      </c>
      <c r="X228" s="16" t="n">
        <f aca="false">IF(W228="","",ABS(W228))</f>
        <v>0</v>
      </c>
      <c r="Y228" s="16" t="n">
        <f aca="false">IF(U228="","",IF($B$8=0,0,U228/$B$8*100))</f>
        <v>62.0836379164162</v>
      </c>
      <c r="Z228" s="18" t="n">
        <f aca="false">IF(D228="","",MAX(0,IF(P228&gt;=0,P228,IF(K228+P228&gt;=0,0,P228+K228))))</f>
        <v>29.3158938241318</v>
      </c>
      <c r="AA228" s="18" t="n">
        <f aca="false">IF(D228="","",IF(H228&lt;=$B$16,1,IF(H228&gt;=$B$17,$B$21,MATCH(H228,Aux_CAV!$A$2:$A$121,1))))</f>
        <v>12</v>
      </c>
      <c r="AB228" s="18" t="n">
        <f aca="false">IF(D228="","",IF(L228&lt;=$B$16,1,IF(L228&gt;=$B$17,$B$21,MATCH(L228,Aux_CAV!$A$2:$A$121,1))))</f>
        <v>12</v>
      </c>
      <c r="AC228" s="19" t="n">
        <f aca="false">IF(D228="","",COUNT($D$24:D228))</f>
        <v>193</v>
      </c>
    </row>
    <row r="229" customFormat="false" ht="12.75" hidden="false" customHeight="true" outlineLevel="0" collapsed="false">
      <c r="A229" s="14" t="n">
        <f aca="false">IF(D229="","",DATE(B229,C229,1))</f>
        <v>9894</v>
      </c>
      <c r="B229" s="15" t="n">
        <f aca="false" t="array" ref="B229:B229">IF(D229="","",IFERROR(VALUE(INDEX(Vazoes_COLAR!$A$2:$A$200,INT((ROW()-24)/12)+1)),""))</f>
        <v>1927</v>
      </c>
      <c r="C229" s="15" t="n">
        <f aca="false">IF(D229="","",MOD(ROW()-24,12)+1)</f>
        <v>2</v>
      </c>
      <c r="D229" s="16" t="n">
        <f aca="false" t="array" ref="D229: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0.20645444677354</v>
      </c>
      <c r="E229" s="16" t="n">
        <f aca="false">IF(D229="","",D229*$B$15)</f>
        <v>0.535129926037016</v>
      </c>
      <c r="F229" s="16" t="n">
        <f aca="false" t="array" ref="F229:F229">IF(D229="","",IFERROR(INDEX(Dados_Evap!$C$2:$N$15,MATCH($B$9,Dados_Evap!$A$2:$A$15,0),C229),0))</f>
        <v>124.3</v>
      </c>
      <c r="G229" s="16" t="n">
        <f aca="false">IF(F229="","",F229/1000)</f>
        <v>0.1243</v>
      </c>
      <c r="H229" s="16" t="n">
        <f aca="false">IF(D229="","",MAX(0,MIN($B$8,IFERROR(LOOKUP(2,1/($U$24:U228&lt;&gt;""),$U$24:U228),$B$11))))</f>
        <v>29.3158938241318</v>
      </c>
      <c r="I229" s="16" t="n">
        <f aca="false" t="array" ref="I229: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>5.16145693124475</v>
      </c>
      <c r="J229" s="16" t="n">
        <f aca="false">IF(D229="","",$B$12)</f>
        <v>0.35</v>
      </c>
      <c r="K229" s="16" t="n">
        <f aca="false">IF(J229="","",J229*$B$15)</f>
        <v>0.9072</v>
      </c>
      <c r="L229" s="16" t="n">
        <f aca="false">IF(D229="","",H229+E229-K229-G229*I229)</f>
        <v>28.302254653615</v>
      </c>
      <c r="M229" s="16" t="n">
        <f aca="false" t="array" ref="M229: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>5.05615655139496</v>
      </c>
      <c r="N229" s="16" t="n">
        <f aca="false">IF(D229="","",(I229+M229)/2)</f>
        <v>5.10880674131986</v>
      </c>
      <c r="O229" s="16" t="n">
        <f aca="false">IF(D229="","",G229*N229)</f>
        <v>0.635024677946058</v>
      </c>
      <c r="P229" s="16" t="n">
        <f aca="false">IF(D229="","",H229+E229-K229-O229)</f>
        <v>28.3087990722227</v>
      </c>
      <c r="Q229" s="16" t="n">
        <f aca="false">IF(D229="","",IF(P229&gt;=0,K229,MAX(0,K229+P229)))</f>
        <v>0.9072</v>
      </c>
      <c r="R229" s="16" t="n">
        <f aca="false">IF(D229="","",Q229/$B$15)</f>
        <v>0.35</v>
      </c>
      <c r="S229" s="16" t="n">
        <f aca="false">IF(D229="","",MAX(0,J229-R229))</f>
        <v>0</v>
      </c>
      <c r="T229" s="16" t="n">
        <f aca="false">IF(D229="","",MAX(0,Z229-$B$8))</f>
        <v>0</v>
      </c>
      <c r="U229" s="16" t="n">
        <f aca="false">IF(D229="","",MAX(0,MIN($B$8,Z229)))</f>
        <v>28.3087990722227</v>
      </c>
      <c r="V229" s="16" t="str">
        <f aca="false">IF(D229="","",IF(S229&gt;0.0000001,"Sim","Não"))</f>
        <v>Não</v>
      </c>
      <c r="W229" s="16" t="n">
        <f aca="false">IF(D229="","",U229-(H229+E229-Q229-O229-T229))</f>
        <v>0</v>
      </c>
      <c r="X229" s="16" t="n">
        <f aca="false">IF(W229="","",ABS(W229))</f>
        <v>0</v>
      </c>
      <c r="Y229" s="16" t="n">
        <f aca="false">IF(U229="","",IF($B$8=0,0,U229/$B$8*100))</f>
        <v>59.9508663113569</v>
      </c>
      <c r="Z229" s="18" t="n">
        <f aca="false">IF(D229="","",MAX(0,IF(P229&gt;=0,P229,IF(K229+P229&gt;=0,0,P229+K229))))</f>
        <v>28.3087990722227</v>
      </c>
      <c r="AA229" s="18" t="n">
        <f aca="false">IF(D229="","",IF(H229&lt;=$B$16,1,IF(H229&gt;=$B$17,$B$21,MATCH(H229,Aux_CAV!$A$2:$A$121,1))))</f>
        <v>12</v>
      </c>
      <c r="AB229" s="18" t="n">
        <f aca="false">IF(D229="","",IF(L229&lt;=$B$16,1,IF(L229&gt;=$B$17,$B$21,MATCH(L229,Aux_CAV!$A$2:$A$121,1))))</f>
        <v>12</v>
      </c>
      <c r="AC229" s="19" t="n">
        <f aca="false">IF(D229="","",COUNT($D$24:D229))</f>
        <v>194</v>
      </c>
    </row>
    <row r="230" customFormat="false" ht="12.75" hidden="false" customHeight="true" outlineLevel="0" collapsed="false">
      <c r="A230" s="14" t="n">
        <f aca="false">IF(D230="","",DATE(B230,C230,1))</f>
        <v>9922</v>
      </c>
      <c r="B230" s="15" t="n">
        <f aca="false" t="array" ref="B230:B230">IF(D230="","",IFERROR(VALUE(INDEX(Vazoes_COLAR!$A$2:$A$200,INT((ROW()-24)/12)+1)),""))</f>
        <v>1927</v>
      </c>
      <c r="C230" s="15" t="n">
        <f aca="false">IF(D230="","",MOD(ROW()-24,12)+1)</f>
        <v>3</v>
      </c>
      <c r="D230" s="16" t="n">
        <f aca="false" t="array" ref="D230: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0.673854584678344</v>
      </c>
      <c r="E230" s="16" t="n">
        <f aca="false">IF(D230="","",D230*$B$15)</f>
        <v>1.74663108348627</v>
      </c>
      <c r="F230" s="16" t="n">
        <f aca="false" t="array" ref="F230:F230">IF(D230="","",IFERROR(INDEX(Dados_Evap!$C$2:$N$15,MATCH($B$9,Dados_Evap!$A$2:$A$15,0),C230),0))</f>
        <v>107.7</v>
      </c>
      <c r="G230" s="16" t="n">
        <f aca="false">IF(F230="","",F230/1000)</f>
        <v>0.1077</v>
      </c>
      <c r="H230" s="16" t="n">
        <f aca="false">IF(D230="","",MAX(0,MIN($B$8,IFERROR(LOOKUP(2,1/($U$24:U229&lt;&gt;""),$U$24:U229),$B$11))))</f>
        <v>28.3087990722227</v>
      </c>
      <c r="I230" s="16" t="n">
        <f aca="false" t="array" ref="I230: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>5.05683640847362</v>
      </c>
      <c r="J230" s="16" t="n">
        <f aca="false">IF(D230="","",$B$12)</f>
        <v>0.35</v>
      </c>
      <c r="K230" s="16" t="n">
        <f aca="false">IF(J230="","",J230*$B$15)</f>
        <v>0.9072</v>
      </c>
      <c r="L230" s="16" t="n">
        <f aca="false">IF(D230="","",H230+E230-K230-G230*I230)</f>
        <v>28.6036088745164</v>
      </c>
      <c r="M230" s="16" t="n">
        <f aca="false" t="array" ref="M230: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>5.08746228113908</v>
      </c>
      <c r="N230" s="16" t="n">
        <f aca="false">IF(D230="","",(I230+M230)/2)</f>
        <v>5.07214934480635</v>
      </c>
      <c r="O230" s="16" t="n">
        <f aca="false">IF(D230="","",G230*N230)</f>
        <v>0.546270484435644</v>
      </c>
      <c r="P230" s="16" t="n">
        <f aca="false">IF(D230="","",H230+E230-K230-O230)</f>
        <v>28.6019596712733</v>
      </c>
      <c r="Q230" s="16" t="n">
        <f aca="false">IF(D230="","",IF(P230&gt;=0,K230,MAX(0,K230+P230)))</f>
        <v>0.9072</v>
      </c>
      <c r="R230" s="16" t="n">
        <f aca="false">IF(D230="","",Q230/$B$15)</f>
        <v>0.35</v>
      </c>
      <c r="S230" s="16" t="n">
        <f aca="false">IF(D230="","",MAX(0,J230-R230))</f>
        <v>0</v>
      </c>
      <c r="T230" s="16" t="n">
        <f aca="false">IF(D230="","",MAX(0,Z230-$B$8))</f>
        <v>0</v>
      </c>
      <c r="U230" s="16" t="n">
        <f aca="false">IF(D230="","",MAX(0,MIN($B$8,Z230)))</f>
        <v>28.6019596712733</v>
      </c>
      <c r="V230" s="16" t="str">
        <f aca="false">IF(D230="","",IF(S230&gt;0.0000001,"Sim","Não"))</f>
        <v>Não</v>
      </c>
      <c r="W230" s="16" t="n">
        <f aca="false">IF(D230="","",U230-(H230+E230-Q230-O230-T230))</f>
        <v>0</v>
      </c>
      <c r="X230" s="16" t="n">
        <f aca="false">IF(W230="","",ABS(W230))</f>
        <v>0</v>
      </c>
      <c r="Y230" s="16" t="n">
        <f aca="false">IF(U230="","",IF($B$8=0,0,U230/$B$8*100))</f>
        <v>60.5717062076945</v>
      </c>
      <c r="Z230" s="18" t="n">
        <f aca="false">IF(D230="","",MAX(0,IF(P230&gt;=0,P230,IF(K230+P230&gt;=0,0,P230+K230))))</f>
        <v>28.6019596712733</v>
      </c>
      <c r="AA230" s="18" t="n">
        <f aca="false">IF(D230="","",IF(H230&lt;=$B$16,1,IF(H230&gt;=$B$17,$B$21,MATCH(H230,Aux_CAV!$A$2:$A$121,1))))</f>
        <v>12</v>
      </c>
      <c r="AB230" s="18" t="n">
        <f aca="false">IF(D230="","",IF(L230&lt;=$B$16,1,IF(L230&gt;=$B$17,$B$21,MATCH(L230,Aux_CAV!$A$2:$A$121,1))))</f>
        <v>12</v>
      </c>
      <c r="AC230" s="19" t="n">
        <f aca="false">IF(D230="","",COUNT($D$24:D230))</f>
        <v>195</v>
      </c>
    </row>
    <row r="231" customFormat="false" ht="12.75" hidden="false" customHeight="true" outlineLevel="0" collapsed="false">
      <c r="A231" s="14" t="n">
        <f aca="false">IF(D231="","",DATE(B231,C231,1))</f>
        <v>9953</v>
      </c>
      <c r="B231" s="15" t="n">
        <f aca="false" t="array" ref="B231:B231">IF(D231="","",IFERROR(VALUE(INDEX(Vazoes_COLAR!$A$2:$A$200,INT((ROW()-24)/12)+1)),""))</f>
        <v>1927</v>
      </c>
      <c r="C231" s="15" t="n">
        <f aca="false">IF(D231="","",MOD(ROW()-24,12)+1)</f>
        <v>4</v>
      </c>
      <c r="D231" s="16" t="n">
        <f aca="false" t="array" ref="D231: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1.64378863601241</v>
      </c>
      <c r="E231" s="16" t="n">
        <f aca="false">IF(D231="","",D231*$B$15)</f>
        <v>4.26070014454417</v>
      </c>
      <c r="F231" s="16" t="n">
        <f aca="false" t="array" ref="F231:F231">IF(D231="","",IFERROR(INDEX(Dados_Evap!$C$2:$N$15,MATCH($B$9,Dados_Evap!$A$2:$A$15,0),C231),0))</f>
        <v>100.5</v>
      </c>
      <c r="G231" s="16" t="n">
        <f aca="false">IF(F231="","",F231/1000)</f>
        <v>0.1005</v>
      </c>
      <c r="H231" s="16" t="n">
        <f aca="false">IF(D231="","",MAX(0,MIN($B$8,IFERROR(LOOKUP(2,1/($U$24:U230&lt;&gt;""),$U$24:U230),$B$11))))</f>
        <v>28.6019596712733</v>
      </c>
      <c r="I231" s="16" t="n">
        <f aca="false" t="array" ref="I231: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>5.08729095614199</v>
      </c>
      <c r="J231" s="16" t="n">
        <f aca="false">IF(D231="","",$B$12)</f>
        <v>0.35</v>
      </c>
      <c r="K231" s="16" t="n">
        <f aca="false">IF(J231="","",J231*$B$15)</f>
        <v>0.9072</v>
      </c>
      <c r="L231" s="16" t="n">
        <f aca="false">IF(D231="","",H231+E231-K231-G231*I231)</f>
        <v>31.4441870747252</v>
      </c>
      <c r="M231" s="16" t="n">
        <f aca="false" t="array" ref="M231: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>5.38255147281126</v>
      </c>
      <c r="N231" s="16" t="n">
        <f aca="false">IF(D231="","",(I231+M231)/2)</f>
        <v>5.23492121447662</v>
      </c>
      <c r="O231" s="16" t="n">
        <f aca="false">IF(D231="","",G231*N231)</f>
        <v>0.526109582054901</v>
      </c>
      <c r="P231" s="16" t="n">
        <f aca="false">IF(D231="","",H231+E231-K231-O231)</f>
        <v>31.4293502337626</v>
      </c>
      <c r="Q231" s="16" t="n">
        <f aca="false">IF(D231="","",IF(P231&gt;=0,K231,MAX(0,K231+P231)))</f>
        <v>0.9072</v>
      </c>
      <c r="R231" s="16" t="n">
        <f aca="false">IF(D231="","",Q231/$B$15)</f>
        <v>0.35</v>
      </c>
      <c r="S231" s="16" t="n">
        <f aca="false">IF(D231="","",MAX(0,J231-R231))</f>
        <v>0</v>
      </c>
      <c r="T231" s="16" t="n">
        <f aca="false">IF(D231="","",MAX(0,Z231-$B$8))</f>
        <v>0</v>
      </c>
      <c r="U231" s="16" t="n">
        <f aca="false">IF(D231="","",MAX(0,MIN($B$8,Z231)))</f>
        <v>31.4293502337626</v>
      </c>
      <c r="V231" s="16" t="str">
        <f aca="false">IF(D231="","",IF(S231&gt;0.0000001,"Sim","Não"))</f>
        <v>Não</v>
      </c>
      <c r="W231" s="16" t="n">
        <f aca="false">IF(D231="","",U231-(H231+E231-Q231-O231-T231))</f>
        <v>0</v>
      </c>
      <c r="X231" s="16" t="n">
        <f aca="false">IF(W231="","",ABS(W231))</f>
        <v>0</v>
      </c>
      <c r="Y231" s="16" t="n">
        <f aca="false">IF(U231="","",IF($B$8=0,0,U231/$B$8*100))</f>
        <v>66.5594032904756</v>
      </c>
      <c r="Z231" s="18" t="n">
        <f aca="false">IF(D231="","",MAX(0,IF(P231&gt;=0,P231,IF(K231+P231&gt;=0,0,P231+K231))))</f>
        <v>31.4293502337626</v>
      </c>
      <c r="AA231" s="18" t="n">
        <f aca="false">IF(D231="","",IF(H231&lt;=$B$16,1,IF(H231&gt;=$B$17,$B$21,MATCH(H231,Aux_CAV!$A$2:$A$121,1))))</f>
        <v>12</v>
      </c>
      <c r="AB231" s="18" t="n">
        <f aca="false">IF(D231="","",IF(L231&lt;=$B$16,1,IF(L231&gt;=$B$17,$B$21,MATCH(L231,Aux_CAV!$A$2:$A$121,1))))</f>
        <v>12</v>
      </c>
      <c r="AC231" s="19" t="n">
        <f aca="false">IF(D231="","",COUNT($D$24:D231))</f>
        <v>196</v>
      </c>
    </row>
    <row r="232" customFormat="false" ht="12.75" hidden="false" customHeight="true" outlineLevel="0" collapsed="false">
      <c r="A232" s="14" t="n">
        <f aca="false">IF(D232="","",DATE(B232,C232,1))</f>
        <v>9983</v>
      </c>
      <c r="B232" s="15" t="n">
        <f aca="false" t="array" ref="B232:B232">IF(D232="","",IFERROR(VALUE(INDEX(Vazoes_COLAR!$A$2:$A$200,INT((ROW()-24)/12)+1)),""))</f>
        <v>1927</v>
      </c>
      <c r="C232" s="15" t="n">
        <f aca="false">IF(D232="","",MOD(ROW()-24,12)+1)</f>
        <v>5</v>
      </c>
      <c r="D232" s="16" t="n">
        <f aca="false" t="array" ref="D232: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0.292163550635681</v>
      </c>
      <c r="E232" s="16" t="n">
        <f aca="false">IF(D232="","",D232*$B$15)</f>
        <v>0.757287923247685</v>
      </c>
      <c r="F232" s="16" t="n">
        <f aca="false" t="array" ref="F232:F232">IF(D232="","",IFERROR(INDEX(Dados_Evap!$C$2:$N$15,MATCH($B$9,Dados_Evap!$A$2:$A$15,0),C232),0))</f>
        <v>145.8</v>
      </c>
      <c r="G232" s="16" t="n">
        <f aca="false">IF(F232="","",F232/1000)</f>
        <v>0.1458</v>
      </c>
      <c r="H232" s="16" t="n">
        <f aca="false">IF(D232="","",MAX(0,MIN($B$8,IFERROR(LOOKUP(2,1/($U$24:U231&lt;&gt;""),$U$24:U231),$B$11))))</f>
        <v>31.4293502337626</v>
      </c>
      <c r="I232" s="16" t="n">
        <f aca="false" t="array" ref="I232: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>5.38101016991514</v>
      </c>
      <c r="J232" s="16" t="n">
        <f aca="false">IF(D232="","",$B$12)</f>
        <v>0.35</v>
      </c>
      <c r="K232" s="16" t="n">
        <f aca="false">IF(J232="","",J232*$B$15)</f>
        <v>0.9072</v>
      </c>
      <c r="L232" s="16" t="n">
        <f aca="false">IF(D232="","",H232+E232-K232-G232*I232)</f>
        <v>30.4948868742367</v>
      </c>
      <c r="M232" s="16" t="n">
        <f aca="false" t="array" ref="M232: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>5.28393485004206</v>
      </c>
      <c r="N232" s="16" t="n">
        <f aca="false">IF(D232="","",(I232+M232)/2)</f>
        <v>5.3324725099786</v>
      </c>
      <c r="O232" s="16" t="n">
        <f aca="false">IF(D232="","",G232*N232)</f>
        <v>0.77747449195488</v>
      </c>
      <c r="P232" s="16" t="n">
        <f aca="false">IF(D232="","",H232+E232-K232-O232)</f>
        <v>30.5019636650554</v>
      </c>
      <c r="Q232" s="16" t="n">
        <f aca="false">IF(D232="","",IF(P232&gt;=0,K232,MAX(0,K232+P232)))</f>
        <v>0.9072</v>
      </c>
      <c r="R232" s="16" t="n">
        <f aca="false">IF(D232="","",Q232/$B$15)</f>
        <v>0.35</v>
      </c>
      <c r="S232" s="16" t="n">
        <f aca="false">IF(D232="","",MAX(0,J232-R232))</f>
        <v>0</v>
      </c>
      <c r="T232" s="16" t="n">
        <f aca="false">IF(D232="","",MAX(0,Z232-$B$8))</f>
        <v>0</v>
      </c>
      <c r="U232" s="16" t="n">
        <f aca="false">IF(D232="","",MAX(0,MIN($B$8,Z232)))</f>
        <v>30.5019636650554</v>
      </c>
      <c r="V232" s="16" t="str">
        <f aca="false">IF(D232="","",IF(S232&gt;0.0000001,"Sim","Não"))</f>
        <v>Não</v>
      </c>
      <c r="W232" s="16" t="n">
        <f aca="false">IF(D232="","",U232-(H232+E232-Q232-O232-T232))</f>
        <v>0</v>
      </c>
      <c r="X232" s="16" t="n">
        <f aca="false">IF(W232="","",ABS(W232))</f>
        <v>0</v>
      </c>
      <c r="Y232" s="16" t="n">
        <f aca="false">IF(U232="","",IF($B$8=0,0,U232/$B$8*100))</f>
        <v>64.5954334287493</v>
      </c>
      <c r="Z232" s="18" t="n">
        <f aca="false">IF(D232="","",MAX(0,IF(P232&gt;=0,P232,IF(K232+P232&gt;=0,0,P232+K232))))</f>
        <v>30.5019636650554</v>
      </c>
      <c r="AA232" s="18" t="n">
        <f aca="false">IF(D232="","",IF(H232&lt;=$B$16,1,IF(H232&gt;=$B$17,$B$21,MATCH(H232,Aux_CAV!$A$2:$A$121,1))))</f>
        <v>12</v>
      </c>
      <c r="AB232" s="18" t="n">
        <f aca="false">IF(D232="","",IF(L232&lt;=$B$16,1,IF(L232&gt;=$B$17,$B$21,MATCH(L232,Aux_CAV!$A$2:$A$121,1))))</f>
        <v>12</v>
      </c>
      <c r="AC232" s="19" t="n">
        <f aca="false">IF(D232="","",COUNT($D$24:D232))</f>
        <v>197</v>
      </c>
    </row>
    <row r="233" customFormat="false" ht="12.75" hidden="false" customHeight="true" outlineLevel="0" collapsed="false">
      <c r="A233" s="14" t="n">
        <f aca="false">IF(D233="","",DATE(B233,C233,1))</f>
        <v>10014</v>
      </c>
      <c r="B233" s="15" t="n">
        <f aca="false" t="array" ref="B233:B233">IF(D233="","",IFERROR(VALUE(INDEX(Vazoes_COLAR!$A$2:$A$200,INT((ROW()-24)/12)+1)),""))</f>
        <v>1927</v>
      </c>
      <c r="C233" s="15" t="n">
        <f aca="false">IF(D233="","",MOD(ROW()-24,12)+1)</f>
        <v>6</v>
      </c>
      <c r="D233" s="16" t="n">
        <f aca="false" t="array" ref="D233: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0.109471749408851</v>
      </c>
      <c r="E233" s="16" t="n">
        <f aca="false">IF(D233="","",D233*$B$15)</f>
        <v>0.283750774467742</v>
      </c>
      <c r="F233" s="16" t="n">
        <f aca="false" t="array" ref="F233:F233">IF(D233="","",IFERROR(INDEX(Dados_Evap!$C$2:$N$15,MATCH($B$9,Dados_Evap!$A$2:$A$15,0),C233),0))</f>
        <v>161.3</v>
      </c>
      <c r="G233" s="16" t="n">
        <f aca="false">IF(F233="","",F233/1000)</f>
        <v>0.1613</v>
      </c>
      <c r="H233" s="16" t="n">
        <f aca="false">IF(D233="","",MAX(0,MIN($B$8,IFERROR(LOOKUP(2,1/($U$24:U232&lt;&gt;""),$U$24:U232),$B$11))))</f>
        <v>30.5019636650554</v>
      </c>
      <c r="I233" s="16" t="n">
        <f aca="false" t="array" ref="I233: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>5.28467001180673</v>
      </c>
      <c r="J233" s="16" t="n">
        <f aca="false">IF(D233="","",$B$12)</f>
        <v>0.35</v>
      </c>
      <c r="K233" s="16" t="n">
        <f aca="false">IF(J233="","",J233*$B$15)</f>
        <v>0.9072</v>
      </c>
      <c r="L233" s="16" t="n">
        <f aca="false">IF(D233="","",H233+E233-K233-G233*I233)</f>
        <v>29.0260971666187</v>
      </c>
      <c r="M233" s="16" t="n">
        <f aca="false" t="array" ref="M233: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>5.13135184158078</v>
      </c>
      <c r="N233" s="16" t="n">
        <f aca="false">IF(D233="","",(I233+M233)/2)</f>
        <v>5.20801092669375</v>
      </c>
      <c r="O233" s="16" t="n">
        <f aca="false">IF(D233="","",G233*N233)</f>
        <v>0.840052162475702</v>
      </c>
      <c r="P233" s="16" t="n">
        <f aca="false">IF(D233="","",H233+E233-K233-O233)</f>
        <v>29.0384622770474</v>
      </c>
      <c r="Q233" s="16" t="n">
        <f aca="false">IF(D233="","",IF(P233&gt;=0,K233,MAX(0,K233+P233)))</f>
        <v>0.9072</v>
      </c>
      <c r="R233" s="16" t="n">
        <f aca="false">IF(D233="","",Q233/$B$15)</f>
        <v>0.35</v>
      </c>
      <c r="S233" s="16" t="n">
        <f aca="false">IF(D233="","",MAX(0,J233-R233))</f>
        <v>0</v>
      </c>
      <c r="T233" s="16" t="n">
        <f aca="false">IF(D233="","",MAX(0,Z233-$B$8))</f>
        <v>0</v>
      </c>
      <c r="U233" s="16" t="n">
        <f aca="false">IF(D233="","",MAX(0,MIN($B$8,Z233)))</f>
        <v>29.0384622770474</v>
      </c>
      <c r="V233" s="16" t="str">
        <f aca="false">IF(D233="","",IF(S233&gt;0.0000001,"Sim","Não"))</f>
        <v>Não</v>
      </c>
      <c r="W233" s="16" t="n">
        <f aca="false">IF(D233="","",U233-(H233+E233-Q233-O233-T233))</f>
        <v>0</v>
      </c>
      <c r="X233" s="16" t="n">
        <f aca="false">IF(W233="","",ABS(W233))</f>
        <v>0</v>
      </c>
      <c r="Y233" s="16" t="n">
        <f aca="false">IF(U233="","",IF($B$8=0,0,U233/$B$8*100))</f>
        <v>61.4961081682496</v>
      </c>
      <c r="Z233" s="18" t="n">
        <f aca="false">IF(D233="","",MAX(0,IF(P233&gt;=0,P233,IF(K233+P233&gt;=0,0,P233+K233))))</f>
        <v>29.0384622770474</v>
      </c>
      <c r="AA233" s="18" t="n">
        <f aca="false">IF(D233="","",IF(H233&lt;=$B$16,1,IF(H233&gt;=$B$17,$B$21,MATCH(H233,Aux_CAV!$A$2:$A$121,1))))</f>
        <v>12</v>
      </c>
      <c r="AB233" s="18" t="n">
        <f aca="false">IF(D233="","",IF(L233&lt;=$B$16,1,IF(L233&gt;=$B$17,$B$21,MATCH(L233,Aux_CAV!$A$2:$A$121,1))))</f>
        <v>12</v>
      </c>
      <c r="AC233" s="19" t="n">
        <f aca="false">IF(D233="","",COUNT($D$24:D233))</f>
        <v>198</v>
      </c>
    </row>
    <row r="234" customFormat="false" ht="12.75" hidden="false" customHeight="true" outlineLevel="0" collapsed="false">
      <c r="A234" s="14" t="n">
        <f aca="false">IF(D234="","",DATE(B234,C234,1))</f>
        <v>10044</v>
      </c>
      <c r="B234" s="15" t="n">
        <f aca="false" t="array" ref="B234:B234">IF(D234="","",IFERROR(VALUE(INDEX(Vazoes_COLAR!$A$2:$A$200,INT((ROW()-24)/12)+1)),""))</f>
        <v>1927</v>
      </c>
      <c r="C234" s="15" t="n">
        <f aca="false">IF(D234="","",MOD(ROW()-24,12)+1)</f>
        <v>7</v>
      </c>
      <c r="D234" s="16" t="n">
        <f aca="false" t="array" ref="D234: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0.0845725294191523</v>
      </c>
      <c r="E234" s="16" t="n">
        <f aca="false">IF(D234="","",D234*$B$15)</f>
        <v>0.219211996254443</v>
      </c>
      <c r="F234" s="16" t="n">
        <f aca="false" t="array" ref="F234:F234">IF(D234="","",IFERROR(INDEX(Dados_Evap!$C$2:$N$15,MATCH($B$9,Dados_Evap!$A$2:$A$15,0),C234),0))</f>
        <v>224.8</v>
      </c>
      <c r="G234" s="16" t="n">
        <f aca="false">IF(F234="","",F234/1000)</f>
        <v>0.2248</v>
      </c>
      <c r="H234" s="16" t="n">
        <f aca="false">IF(D234="","",MAX(0,MIN($B$8,IFERROR(LOOKUP(2,1/($U$24:U233&lt;&gt;""),$U$24:U233),$B$11))))</f>
        <v>29.0384622770474</v>
      </c>
      <c r="I234" s="16" t="n">
        <f aca="false" t="array" ref="I234: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>5.13263637246998</v>
      </c>
      <c r="J234" s="16" t="n">
        <f aca="false">IF(D234="","",$B$12)</f>
        <v>0.35</v>
      </c>
      <c r="K234" s="16" t="n">
        <f aca="false">IF(J234="","",J234*$B$15)</f>
        <v>0.9072</v>
      </c>
      <c r="L234" s="16" t="n">
        <f aca="false">IF(D234="","",H234+E234-K234-G234*I234)</f>
        <v>27.1966576167706</v>
      </c>
      <c r="M234" s="16" t="n">
        <f aca="false" t="array" ref="M234: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>4.94130326698491</v>
      </c>
      <c r="N234" s="16" t="n">
        <f aca="false">IF(D234="","",(I234+M234)/2)</f>
        <v>5.03696981972744</v>
      </c>
      <c r="O234" s="16" t="n">
        <f aca="false">IF(D234="","",G234*N234)</f>
        <v>1.13231081547473</v>
      </c>
      <c r="P234" s="16" t="n">
        <f aca="false">IF(D234="","",H234+E234-K234-O234)</f>
        <v>27.2181634578272</v>
      </c>
      <c r="Q234" s="16" t="n">
        <f aca="false">IF(D234="","",IF(P234&gt;=0,K234,MAX(0,K234+P234)))</f>
        <v>0.9072</v>
      </c>
      <c r="R234" s="16" t="n">
        <f aca="false">IF(D234="","",Q234/$B$15)</f>
        <v>0.35</v>
      </c>
      <c r="S234" s="16" t="n">
        <f aca="false">IF(D234="","",MAX(0,J234-R234))</f>
        <v>0</v>
      </c>
      <c r="T234" s="16" t="n">
        <f aca="false">IF(D234="","",MAX(0,Z234-$B$8))</f>
        <v>0</v>
      </c>
      <c r="U234" s="16" t="n">
        <f aca="false">IF(D234="","",MAX(0,MIN($B$8,Z234)))</f>
        <v>27.2181634578272</v>
      </c>
      <c r="V234" s="16" t="str">
        <f aca="false">IF(D234="","",IF(S234&gt;0.0000001,"Sim","Não"))</f>
        <v>Não</v>
      </c>
      <c r="W234" s="16" t="n">
        <f aca="false">IF(D234="","",U234-(H234+E234-Q234-O234-T234))</f>
        <v>0</v>
      </c>
      <c r="X234" s="16" t="n">
        <f aca="false">IF(W234="","",ABS(W234))</f>
        <v>0</v>
      </c>
      <c r="Y234" s="16" t="n">
        <f aca="false">IF(U234="","",IF($B$8=0,0,U234/$B$8*100))</f>
        <v>57.6411763189902</v>
      </c>
      <c r="Z234" s="18" t="n">
        <f aca="false">IF(D234="","",MAX(0,IF(P234&gt;=0,P234,IF(K234+P234&gt;=0,0,P234+K234))))</f>
        <v>27.2181634578272</v>
      </c>
      <c r="AA234" s="18" t="n">
        <f aca="false">IF(D234="","",IF(H234&lt;=$B$16,1,IF(H234&gt;=$B$17,$B$21,MATCH(H234,Aux_CAV!$A$2:$A$121,1))))</f>
        <v>12</v>
      </c>
      <c r="AB234" s="18" t="n">
        <f aca="false">IF(D234="","",IF(L234&lt;=$B$16,1,IF(L234&gt;=$B$17,$B$21,MATCH(L234,Aux_CAV!$A$2:$A$121,1))))</f>
        <v>12</v>
      </c>
      <c r="AC234" s="19" t="n">
        <f aca="false">IF(D234="","",COUNT($D$24:D234))</f>
        <v>199</v>
      </c>
    </row>
    <row r="235" customFormat="false" ht="12.75" hidden="false" customHeight="true" outlineLevel="0" collapsed="false">
      <c r="A235" s="14" t="n">
        <f aca="false">IF(D235="","",DATE(B235,C235,1))</f>
        <v>10075</v>
      </c>
      <c r="B235" s="15" t="n">
        <f aca="false" t="array" ref="B235:B235">IF(D235="","",IFERROR(VALUE(INDEX(Vazoes_COLAR!$A$2:$A$200,INT((ROW()-24)/12)+1)),""))</f>
        <v>1927</v>
      </c>
      <c r="C235" s="15" t="n">
        <f aca="false">IF(D235="","",MOD(ROW()-24,12)+1)</f>
        <v>8</v>
      </c>
      <c r="D235" s="16" t="n">
        <f aca="false" t="array" ref="D235: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0.0132513249506929</v>
      </c>
      <c r="E235" s="16" t="n">
        <f aca="false">IF(D235="","",D235*$B$15)</f>
        <v>0.034347434272196</v>
      </c>
      <c r="F235" s="16" t="n">
        <f aca="false" t="array" ref="F235:F235">IF(D235="","",IFERROR(INDEX(Dados_Evap!$C$2:$N$15,MATCH($B$9,Dados_Evap!$A$2:$A$15,0),C235),0))</f>
        <v>268.7</v>
      </c>
      <c r="G235" s="16" t="n">
        <f aca="false">IF(F235="","",F235/1000)</f>
        <v>0.2687</v>
      </c>
      <c r="H235" s="16" t="n">
        <f aca="false">IF(D235="","",MAX(0,MIN($B$8,IFERROR(LOOKUP(2,1/($U$24:U234&lt;&gt;""),$U$24:U234),$B$11))))</f>
        <v>27.2181634578272</v>
      </c>
      <c r="I235" s="16" t="n">
        <f aca="false" t="array" ref="I235: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>4.94353736891991</v>
      </c>
      <c r="J235" s="16" t="n">
        <f aca="false">IF(D235="","",$B$12)</f>
        <v>0.35</v>
      </c>
      <c r="K235" s="16" t="n">
        <f aca="false">IF(J235="","",J235*$B$15)</f>
        <v>0.9072</v>
      </c>
      <c r="L235" s="16" t="n">
        <f aca="false">IF(D235="","",H235+E235-K235-G235*I235)</f>
        <v>25.0169824010706</v>
      </c>
      <c r="M235" s="16" t="n">
        <f aca="false" t="array" ref="M235: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>4.71487098729568</v>
      </c>
      <c r="N235" s="16" t="n">
        <f aca="false">IF(D235="","",(I235+M235)/2)</f>
        <v>4.82920417810779</v>
      </c>
      <c r="O235" s="16" t="n">
        <f aca="false">IF(D235="","",G235*N235)</f>
        <v>1.29760716265756</v>
      </c>
      <c r="P235" s="16" t="n">
        <f aca="false">IF(D235="","",H235+E235-K235-O235)</f>
        <v>25.0477037294418</v>
      </c>
      <c r="Q235" s="16" t="n">
        <f aca="false">IF(D235="","",IF(P235&gt;=0,K235,MAX(0,K235+P235)))</f>
        <v>0.9072</v>
      </c>
      <c r="R235" s="16" t="n">
        <f aca="false">IF(D235="","",Q235/$B$15)</f>
        <v>0.35</v>
      </c>
      <c r="S235" s="16" t="n">
        <f aca="false">IF(D235="","",MAX(0,J235-R235))</f>
        <v>0</v>
      </c>
      <c r="T235" s="16" t="n">
        <f aca="false">IF(D235="","",MAX(0,Z235-$B$8))</f>
        <v>0</v>
      </c>
      <c r="U235" s="16" t="n">
        <f aca="false">IF(D235="","",MAX(0,MIN($B$8,Z235)))</f>
        <v>25.0477037294418</v>
      </c>
      <c r="V235" s="16" t="str">
        <f aca="false">IF(D235="","",IF(S235&gt;0.0000001,"Sim","Não"))</f>
        <v>Não</v>
      </c>
      <c r="W235" s="16" t="n">
        <f aca="false">IF(D235="","",U235-(H235+E235-Q235-O235-T235))</f>
        <v>0</v>
      </c>
      <c r="X235" s="16" t="n">
        <f aca="false">IF(W235="","",ABS(W235))</f>
        <v>0</v>
      </c>
      <c r="Y235" s="16" t="n">
        <f aca="false">IF(U235="","",IF($B$8=0,0,U235/$B$8*100))</f>
        <v>53.0446923537522</v>
      </c>
      <c r="Z235" s="18" t="n">
        <f aca="false">IF(D235="","",MAX(0,IF(P235&gt;=0,P235,IF(K235+P235&gt;=0,0,P235+K235))))</f>
        <v>25.0477037294418</v>
      </c>
      <c r="AA235" s="18" t="n">
        <f aca="false">IF(D235="","",IF(H235&lt;=$B$16,1,IF(H235&gt;=$B$17,$B$21,MATCH(H235,Aux_CAV!$A$2:$A$121,1))))</f>
        <v>12</v>
      </c>
      <c r="AB235" s="18" t="n">
        <f aca="false">IF(D235="","",IF(L235&lt;=$B$16,1,IF(L235&gt;=$B$17,$B$21,MATCH(L235,Aux_CAV!$A$2:$A$121,1))))</f>
        <v>12</v>
      </c>
      <c r="AC235" s="19" t="n">
        <f aca="false">IF(D235="","",COUNT($D$24:D235))</f>
        <v>200</v>
      </c>
    </row>
    <row r="236" customFormat="false" ht="12.75" hidden="false" customHeight="true" outlineLevel="0" collapsed="false">
      <c r="A236" s="14" t="n">
        <f aca="false">IF(D236="","",DATE(B236,C236,1))</f>
        <v>10106</v>
      </c>
      <c r="B236" s="15" t="n">
        <f aca="false" t="array" ref="B236:B236">IF(D236="","",IFERROR(VALUE(INDEX(Vazoes_COLAR!$A$2:$A$200,INT((ROW()-24)/12)+1)),""))</f>
        <v>1927</v>
      </c>
      <c r="C236" s="15" t="n">
        <f aca="false">IF(D236="","",MOD(ROW()-24,12)+1)</f>
        <v>9</v>
      </c>
      <c r="D236" s="16" t="n">
        <f aca="false" t="array" ref="D236: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0.00755782076853044</v>
      </c>
      <c r="E236" s="16" t="n">
        <f aca="false">IF(D236="","",D236*$B$15)</f>
        <v>0.0195898714320309</v>
      </c>
      <c r="F236" s="16" t="n">
        <f aca="false" t="array" ref="F236:F236">IF(D236="","",IFERROR(INDEX(Dados_Evap!$C$2:$N$15,MATCH($B$9,Dados_Evap!$A$2:$A$15,0),C236),0))</f>
        <v>292.8</v>
      </c>
      <c r="G236" s="16" t="n">
        <f aca="false">IF(F236="","",F236/1000)</f>
        <v>0.2928</v>
      </c>
      <c r="H236" s="16" t="n">
        <f aca="false">IF(D236="","",MAX(0,MIN($B$8,IFERROR(LOOKUP(2,1/($U$24:U235&lt;&gt;""),$U$24:U235),$B$11))))</f>
        <v>25.0477037294418</v>
      </c>
      <c r="I236" s="16" t="n">
        <f aca="false" t="array" ref="I236: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>4.7180624262624</v>
      </c>
      <c r="J236" s="16" t="n">
        <f aca="false">IF(D236="","",$B$12)</f>
        <v>0.35</v>
      </c>
      <c r="K236" s="16" t="n">
        <f aca="false">IF(J236="","",J236*$B$15)</f>
        <v>0.9072</v>
      </c>
      <c r="L236" s="16" t="n">
        <f aca="false">IF(D236="","",H236+E236-K236-G236*I236)</f>
        <v>22.7786449224642</v>
      </c>
      <c r="M236" s="16" t="n">
        <f aca="false" t="array" ref="M236: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>4.46013073463596</v>
      </c>
      <c r="N236" s="16" t="n">
        <f aca="false">IF(D236="","",(I236+M236)/2)</f>
        <v>4.58909658044918</v>
      </c>
      <c r="O236" s="16" t="n">
        <f aca="false">IF(D236="","",G236*N236)</f>
        <v>1.34368747875552</v>
      </c>
      <c r="P236" s="16" t="n">
        <f aca="false">IF(D236="","",H236+E236-K236-O236)</f>
        <v>22.8164061221183</v>
      </c>
      <c r="Q236" s="16" t="n">
        <f aca="false">IF(D236="","",IF(P236&gt;=0,K236,MAX(0,K236+P236)))</f>
        <v>0.9072</v>
      </c>
      <c r="R236" s="16" t="n">
        <f aca="false">IF(D236="","",Q236/$B$15)</f>
        <v>0.35</v>
      </c>
      <c r="S236" s="16" t="n">
        <f aca="false">IF(D236="","",MAX(0,J236-R236))</f>
        <v>0</v>
      </c>
      <c r="T236" s="16" t="n">
        <f aca="false">IF(D236="","",MAX(0,Z236-$B$8))</f>
        <v>0</v>
      </c>
      <c r="U236" s="16" t="n">
        <f aca="false">IF(D236="","",MAX(0,MIN($B$8,Z236)))</f>
        <v>22.8164061221183</v>
      </c>
      <c r="V236" s="16" t="str">
        <f aca="false">IF(D236="","",IF(S236&gt;0.0000001,"Sim","Não"))</f>
        <v>Não</v>
      </c>
      <c r="W236" s="16" t="n">
        <f aca="false">IF(D236="","",U236-(H236+E236-Q236-O236-T236))</f>
        <v>0</v>
      </c>
      <c r="X236" s="16" t="n">
        <f aca="false">IF(W236="","",ABS(W236))</f>
        <v>0</v>
      </c>
      <c r="Y236" s="16" t="n">
        <f aca="false">IF(U236="","",IF($B$8=0,0,U236/$B$8*100))</f>
        <v>48.3193691700938</v>
      </c>
      <c r="Z236" s="18" t="n">
        <f aca="false">IF(D236="","",MAX(0,IF(P236&gt;=0,P236,IF(K236+P236&gt;=0,0,P236+K236))))</f>
        <v>22.8164061221183</v>
      </c>
      <c r="AA236" s="18" t="n">
        <f aca="false">IF(D236="","",IF(H236&lt;=$B$16,1,IF(H236&gt;=$B$17,$B$21,MATCH(H236,Aux_CAV!$A$2:$A$121,1))))</f>
        <v>12</v>
      </c>
      <c r="AB236" s="18" t="n">
        <f aca="false">IF(D236="","",IF(L236&lt;=$B$16,1,IF(L236&gt;=$B$17,$B$21,MATCH(L236,Aux_CAV!$A$2:$A$121,1))))</f>
        <v>11</v>
      </c>
      <c r="AC236" s="19" t="n">
        <f aca="false">IF(D236="","",COUNT($D$24:D236))</f>
        <v>201</v>
      </c>
    </row>
    <row r="237" customFormat="false" ht="12.75" hidden="false" customHeight="true" outlineLevel="0" collapsed="false">
      <c r="A237" s="14" t="n">
        <f aca="false">IF(D237="","",DATE(B237,C237,1))</f>
        <v>10136</v>
      </c>
      <c r="B237" s="15" t="n">
        <f aca="false" t="array" ref="B237:B237">IF(D237="","",IFERROR(VALUE(INDEX(Vazoes_COLAR!$A$2:$A$200,INT((ROW()-24)/12)+1)),""))</f>
        <v>1927</v>
      </c>
      <c r="C237" s="15" t="n">
        <f aca="false">IF(D237="","",MOD(ROW()-24,12)+1)</f>
        <v>10</v>
      </c>
      <c r="D237" s="16" t="n">
        <f aca="false" t="array" ref="D237: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0.00630320055186586</v>
      </c>
      <c r="E237" s="16" t="n">
        <f aca="false">IF(D237="","",D237*$B$15)</f>
        <v>0.0163378958304363</v>
      </c>
      <c r="F237" s="16" t="n">
        <f aca="false" t="array" ref="F237:F237">IF(D237="","",IFERROR(INDEX(Dados_Evap!$C$2:$N$15,MATCH($B$9,Dados_Evap!$A$2:$A$15,0),C237),0))</f>
        <v>262.9</v>
      </c>
      <c r="G237" s="16" t="n">
        <f aca="false">IF(F237="","",F237/1000)</f>
        <v>0.2629</v>
      </c>
      <c r="H237" s="16" t="n">
        <f aca="false">IF(D237="","",MAX(0,MIN($B$8,IFERROR(LOOKUP(2,1/($U$24:U236&lt;&gt;""),$U$24:U236),$B$11))))</f>
        <v>22.8164061221183</v>
      </c>
      <c r="I237" s="16" t="n">
        <f aca="false" t="array" ref="I237: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>4.46464365849707</v>
      </c>
      <c r="J237" s="16" t="n">
        <f aca="false">IF(D237="","",$B$12)</f>
        <v>0.35</v>
      </c>
      <c r="K237" s="16" t="n">
        <f aca="false">IF(J237="","",J237*$B$15)</f>
        <v>0.9072</v>
      </c>
      <c r="L237" s="16" t="n">
        <f aca="false">IF(D237="","",H237+E237-K237-G237*I237)</f>
        <v>20.7517892001299</v>
      </c>
      <c r="M237" s="16" t="n">
        <f aca="false" t="array" ref="M237: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>4.2178967580643</v>
      </c>
      <c r="N237" s="16" t="n">
        <f aca="false">IF(D237="","",(I237+M237)/2)</f>
        <v>4.34127020828068</v>
      </c>
      <c r="O237" s="16" t="n">
        <f aca="false">IF(D237="","",G237*N237)</f>
        <v>1.14131993775699</v>
      </c>
      <c r="P237" s="16" t="n">
        <f aca="false">IF(D237="","",H237+E237-K237-O237)</f>
        <v>20.7842240801917</v>
      </c>
      <c r="Q237" s="16" t="n">
        <f aca="false">IF(D237="","",IF(P237&gt;=0,K237,MAX(0,K237+P237)))</f>
        <v>0.9072</v>
      </c>
      <c r="R237" s="16" t="n">
        <f aca="false">IF(D237="","",Q237/$B$15)</f>
        <v>0.35</v>
      </c>
      <c r="S237" s="16" t="n">
        <f aca="false">IF(D237="","",MAX(0,J237-R237))</f>
        <v>0</v>
      </c>
      <c r="T237" s="16" t="n">
        <f aca="false">IF(D237="","",MAX(0,Z237-$B$8))</f>
        <v>0</v>
      </c>
      <c r="U237" s="16" t="n">
        <f aca="false">IF(D237="","",MAX(0,MIN($B$8,Z237)))</f>
        <v>20.7842240801917</v>
      </c>
      <c r="V237" s="16" t="str">
        <f aca="false">IF(D237="","",IF(S237&gt;0.0000001,"Sim","Não"))</f>
        <v>Não</v>
      </c>
      <c r="W237" s="16" t="n">
        <f aca="false">IF(D237="","",U237-(H237+E237-Q237-O237-T237))</f>
        <v>0</v>
      </c>
      <c r="X237" s="16" t="n">
        <f aca="false">IF(W237="","",ABS(W237))</f>
        <v>0</v>
      </c>
      <c r="Y237" s="16" t="n">
        <f aca="false">IF(U237="","",IF($B$8=0,0,U237/$B$8*100))</f>
        <v>44.0157223214565</v>
      </c>
      <c r="Z237" s="18" t="n">
        <f aca="false">IF(D237="","",MAX(0,IF(P237&gt;=0,P237,IF(K237+P237&gt;=0,0,P237+K237))))</f>
        <v>20.7842240801917</v>
      </c>
      <c r="AA237" s="18" t="n">
        <f aca="false">IF(D237="","",IF(H237&lt;=$B$16,1,IF(H237&gt;=$B$17,$B$21,MATCH(H237,Aux_CAV!$A$2:$A$121,1))))</f>
        <v>11</v>
      </c>
      <c r="AB237" s="18" t="n">
        <f aca="false">IF(D237="","",IF(L237&lt;=$B$16,1,IF(L237&gt;=$B$17,$B$21,MATCH(L237,Aux_CAV!$A$2:$A$121,1))))</f>
        <v>11</v>
      </c>
      <c r="AC237" s="19" t="n">
        <f aca="false">IF(D237="","",COUNT($D$24:D237))</f>
        <v>202</v>
      </c>
    </row>
    <row r="238" customFormat="false" ht="12.75" hidden="false" customHeight="true" outlineLevel="0" collapsed="false">
      <c r="A238" s="14" t="n">
        <f aca="false">IF(D238="","",DATE(B238,C238,1))</f>
        <v>10167</v>
      </c>
      <c r="B238" s="15" t="n">
        <f aca="false" t="array" ref="B238:B238">IF(D238="","",IFERROR(VALUE(INDEX(Vazoes_COLAR!$A$2:$A$200,INT((ROW()-24)/12)+1)),""))</f>
        <v>1927</v>
      </c>
      <c r="C238" s="15" t="n">
        <f aca="false">IF(D238="","",MOD(ROW()-24,12)+1)</f>
        <v>11</v>
      </c>
      <c r="D238" s="16" t="n">
        <f aca="false" t="array" ref="D238: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0.00744129240685971</v>
      </c>
      <c r="E238" s="16" t="n">
        <f aca="false">IF(D238="","",D238*$B$15)</f>
        <v>0.0192878299185804</v>
      </c>
      <c r="F238" s="16" t="n">
        <f aca="false" t="array" ref="F238:F238">IF(D238="","",IFERROR(INDEX(Dados_Evap!$C$2:$N$15,MATCH($B$9,Dados_Evap!$A$2:$A$15,0),C238),0))</f>
        <v>223.7</v>
      </c>
      <c r="G238" s="16" t="n">
        <f aca="false">IF(F238="","",F238/1000)</f>
        <v>0.2237</v>
      </c>
      <c r="H238" s="16" t="n">
        <f aca="false">IF(D238="","",MAX(0,MIN($B$8,IFERROR(LOOKUP(2,1/($U$24:U237&lt;&gt;""),$U$24:U237),$B$11))))</f>
        <v>20.7842240801917</v>
      </c>
      <c r="I238" s="16" t="n">
        <f aca="false" t="array" ref="I238: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>4.22177312177901</v>
      </c>
      <c r="J238" s="16" t="n">
        <f aca="false">IF(D238="","",$B$12)</f>
        <v>0.35</v>
      </c>
      <c r="K238" s="16" t="n">
        <f aca="false">IF(J238="","",J238*$B$15)</f>
        <v>0.9072</v>
      </c>
      <c r="L238" s="16" t="n">
        <f aca="false">IF(D238="","",H238+E238-K238-G238*I238)</f>
        <v>18.9519012627684</v>
      </c>
      <c r="M238" s="16" t="n">
        <f aca="false" t="array" ref="M238: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>4.00278819969671</v>
      </c>
      <c r="N238" s="16" t="n">
        <f aca="false">IF(D238="","",(I238+M238)/2)</f>
        <v>4.11228066073786</v>
      </c>
      <c r="O238" s="16" t="n">
        <f aca="false">IF(D238="","",G238*N238)</f>
        <v>0.919917183807059</v>
      </c>
      <c r="P238" s="16" t="n">
        <f aca="false">IF(D238="","",H238+E238-K238-O238)</f>
        <v>18.9763947263033</v>
      </c>
      <c r="Q238" s="16" t="n">
        <f aca="false">IF(D238="","",IF(P238&gt;=0,K238,MAX(0,K238+P238)))</f>
        <v>0.9072</v>
      </c>
      <c r="R238" s="16" t="n">
        <f aca="false">IF(D238="","",Q238/$B$15)</f>
        <v>0.35</v>
      </c>
      <c r="S238" s="16" t="n">
        <f aca="false">IF(D238="","",MAX(0,J238-R238))</f>
        <v>0</v>
      </c>
      <c r="T238" s="16" t="n">
        <f aca="false">IF(D238="","",MAX(0,Z238-$B$8))</f>
        <v>0</v>
      </c>
      <c r="U238" s="16" t="n">
        <f aca="false">IF(D238="","",MAX(0,MIN($B$8,Z238)))</f>
        <v>18.9763947263033</v>
      </c>
      <c r="V238" s="16" t="str">
        <f aca="false">IF(D238="","",IF(S238&gt;0.0000001,"Sim","Não"))</f>
        <v>Não</v>
      </c>
      <c r="W238" s="16" t="n">
        <f aca="false">IF(D238="","",U238-(H238+E238-Q238-O238-T238))</f>
        <v>0</v>
      </c>
      <c r="X238" s="16" t="n">
        <f aca="false">IF(W238="","",ABS(W238))</f>
        <v>0</v>
      </c>
      <c r="Y238" s="16" t="n">
        <f aca="false">IF(U238="","",IF($B$8=0,0,U238/$B$8*100))</f>
        <v>40.1871976414724</v>
      </c>
      <c r="Z238" s="18" t="n">
        <f aca="false">IF(D238="","",MAX(0,IF(P238&gt;=0,P238,IF(K238+P238&gt;=0,0,P238+K238))))</f>
        <v>18.9763947263033</v>
      </c>
      <c r="AA238" s="18" t="n">
        <f aca="false">IF(D238="","",IF(H238&lt;=$B$16,1,IF(H238&gt;=$B$17,$B$21,MATCH(H238,Aux_CAV!$A$2:$A$121,1))))</f>
        <v>11</v>
      </c>
      <c r="AB238" s="18" t="n">
        <f aca="false">IF(D238="","",IF(L238&lt;=$B$16,1,IF(L238&gt;=$B$17,$B$21,MATCH(L238,Aux_CAV!$A$2:$A$121,1))))</f>
        <v>11</v>
      </c>
      <c r="AC238" s="19" t="n">
        <f aca="false">IF(D238="","",COUNT($D$24:D238))</f>
        <v>203</v>
      </c>
    </row>
    <row r="239" customFormat="false" ht="12.75" hidden="false" customHeight="true" outlineLevel="0" collapsed="false">
      <c r="A239" s="14" t="n">
        <f aca="false">IF(D239="","",DATE(B239,C239,1))</f>
        <v>10197</v>
      </c>
      <c r="B239" s="15" t="n">
        <f aca="false" t="array" ref="B239:B239">IF(D239="","",IFERROR(VALUE(INDEX(Vazoes_COLAR!$A$2:$A$200,INT((ROW()-24)/12)+1)),""))</f>
        <v>1927</v>
      </c>
      <c r="C239" s="15" t="n">
        <f aca="false">IF(D239="","",MOD(ROW()-24,12)+1)</f>
        <v>12</v>
      </c>
      <c r="D239" s="16" t="n">
        <f aca="false" t="array" ref="D239: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0.0238268152218369</v>
      </c>
      <c r="E239" s="16" t="n">
        <f aca="false">IF(D239="","",D239*$B$15)</f>
        <v>0.0617591050550013</v>
      </c>
      <c r="F239" s="16" t="n">
        <f aca="false" t="array" ref="F239:F239">IF(D239="","",IFERROR(INDEX(Dados_Evap!$C$2:$N$15,MATCH($B$9,Dados_Evap!$A$2:$A$15,0),C239),0))</f>
        <v>216.1</v>
      </c>
      <c r="G239" s="16" t="n">
        <f aca="false">IF(F239="","",F239/1000)</f>
        <v>0.2161</v>
      </c>
      <c r="H239" s="16" t="n">
        <f aca="false">IF(D239="","",MAX(0,MIN($B$8,IFERROR(LOOKUP(2,1/($U$24:U238&lt;&gt;""),$U$24:U238),$B$11))))</f>
        <v>18.9763947263033</v>
      </c>
      <c r="I239" s="16" t="n">
        <f aca="false" t="array" ref="I239: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>4.0057154672899</v>
      </c>
      <c r="J239" s="16" t="n">
        <f aca="false">IF(D239="","",$B$12)</f>
        <v>0.35</v>
      </c>
      <c r="K239" s="16" t="n">
        <f aca="false">IF(J239="","",J239*$B$15)</f>
        <v>0.9072</v>
      </c>
      <c r="L239" s="16" t="n">
        <f aca="false">IF(D239="","",H239+E239-K239-G239*I239)</f>
        <v>17.2653187188769</v>
      </c>
      <c r="M239" s="16" t="n">
        <f aca="false" t="array" ref="M239: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>3.80122101762188</v>
      </c>
      <c r="N239" s="16" t="n">
        <f aca="false">IF(D239="","",(I239+M239)/2)</f>
        <v>3.90346824245589</v>
      </c>
      <c r="O239" s="16" t="n">
        <f aca="false">IF(D239="","",G239*N239)</f>
        <v>0.843539487194718</v>
      </c>
      <c r="P239" s="16" t="n">
        <f aca="false">IF(D239="","",H239+E239-K239-O239)</f>
        <v>17.2874143441636</v>
      </c>
      <c r="Q239" s="16" t="n">
        <f aca="false">IF(D239="","",IF(P239&gt;=0,K239,MAX(0,K239+P239)))</f>
        <v>0.9072</v>
      </c>
      <c r="R239" s="16" t="n">
        <f aca="false">IF(D239="","",Q239/$B$15)</f>
        <v>0.35</v>
      </c>
      <c r="S239" s="16" t="n">
        <f aca="false">IF(D239="","",MAX(0,J239-R239))</f>
        <v>0</v>
      </c>
      <c r="T239" s="16" t="n">
        <f aca="false">IF(D239="","",MAX(0,Z239-$B$8))</f>
        <v>0</v>
      </c>
      <c r="U239" s="16" t="n">
        <f aca="false">IF(D239="","",MAX(0,MIN($B$8,Z239)))</f>
        <v>17.2874143441636</v>
      </c>
      <c r="V239" s="16" t="str">
        <f aca="false">IF(D239="","",IF(S239&gt;0.0000001,"Sim","Não"))</f>
        <v>Não</v>
      </c>
      <c r="W239" s="16" t="n">
        <f aca="false">IF(D239="","",U239-(H239+E239-Q239-O239-T239))</f>
        <v>0</v>
      </c>
      <c r="X239" s="16" t="n">
        <f aca="false">IF(W239="","",ABS(W239))</f>
        <v>0</v>
      </c>
      <c r="Y239" s="16" t="n">
        <f aca="false">IF(U239="","",IF($B$8=0,0,U239/$B$8*100))</f>
        <v>36.6103649812866</v>
      </c>
      <c r="Z239" s="18" t="n">
        <f aca="false">IF(D239="","",MAX(0,IF(P239&gt;=0,P239,IF(K239+P239&gt;=0,0,P239+K239))))</f>
        <v>17.2874143441636</v>
      </c>
      <c r="AA239" s="18" t="n">
        <f aca="false">IF(D239="","",IF(H239&lt;=$B$16,1,IF(H239&gt;=$B$17,$B$21,MATCH(H239,Aux_CAV!$A$2:$A$121,1))))</f>
        <v>11</v>
      </c>
      <c r="AB239" s="18" t="n">
        <f aca="false">IF(D239="","",IF(L239&lt;=$B$16,1,IF(L239&gt;=$B$17,$B$21,MATCH(L239,Aux_CAV!$A$2:$A$121,1))))</f>
        <v>11</v>
      </c>
      <c r="AC239" s="19" t="n">
        <f aca="false">IF(D239="","",COUNT($D$24:D239))</f>
        <v>204</v>
      </c>
    </row>
    <row r="240" customFormat="false" ht="12.75" hidden="false" customHeight="true" outlineLevel="0" collapsed="false">
      <c r="A240" s="14" t="n">
        <f aca="false">IF(D240="","",DATE(B240,C240,1))</f>
        <v>10228</v>
      </c>
      <c r="B240" s="15" t="n">
        <f aca="false" t="array" ref="B240:B240">IF(D240="","",IFERROR(VALUE(INDEX(Vazoes_COLAR!$A$2:$A$200,INT((ROW()-24)/12)+1)),""))</f>
        <v>1928</v>
      </c>
      <c r="C240" s="15" t="n">
        <f aca="false">IF(D240="","",MOD(ROW()-24,12)+1)</f>
        <v>1</v>
      </c>
      <c r="D240" s="16" t="n">
        <f aca="false" t="array" ref="D240: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0.041887143366136</v>
      </c>
      <c r="E240" s="16" t="n">
        <f aca="false">IF(D240="","",D240*$B$15)</f>
        <v>0.108571475605025</v>
      </c>
      <c r="F240" s="16" t="n">
        <f aca="false" t="array" ref="F240:F240">IF(D240="","",IFERROR(INDEX(Dados_Evap!$C$2:$N$15,MATCH($B$9,Dados_Evap!$A$2:$A$15,0),C240),0))</f>
        <v>160</v>
      </c>
      <c r="G240" s="16" t="n">
        <f aca="false">IF(F240="","",F240/1000)</f>
        <v>0.16</v>
      </c>
      <c r="H240" s="16" t="n">
        <f aca="false">IF(D240="","",MAX(0,MIN($B$8,IFERROR(LOOKUP(2,1/($U$24:U239&lt;&gt;""),$U$24:U239),$B$11))))</f>
        <v>17.2874143441636</v>
      </c>
      <c r="I240" s="16" t="n">
        <f aca="false" t="array" ref="I240: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>3.80386171430247</v>
      </c>
      <c r="J240" s="16" t="n">
        <f aca="false">IF(D240="","",$B$12)</f>
        <v>0.35</v>
      </c>
      <c r="K240" s="16" t="n">
        <f aca="false">IF(J240="","",J240*$B$15)</f>
        <v>0.9072</v>
      </c>
      <c r="L240" s="16" t="n">
        <f aca="false">IF(D240="","",H240+E240-K240-G240*I240)</f>
        <v>15.8801679454802</v>
      </c>
      <c r="M240" s="16" t="n">
        <f aca="false" t="array" ref="M240: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>3.6397790306439</v>
      </c>
      <c r="N240" s="16" t="n">
        <f aca="false">IF(D240="","",(I240+M240)/2)</f>
        <v>3.72182037247319</v>
      </c>
      <c r="O240" s="16" t="n">
        <f aca="false">IF(D240="","",G240*N240)</f>
        <v>0.59549125959571</v>
      </c>
      <c r="P240" s="16" t="n">
        <f aca="false">IF(D240="","",H240+E240-K240-O240)</f>
        <v>15.8932945601729</v>
      </c>
      <c r="Q240" s="16" t="n">
        <f aca="false">IF(D240="","",IF(P240&gt;=0,K240,MAX(0,K240+P240)))</f>
        <v>0.9072</v>
      </c>
      <c r="R240" s="16" t="n">
        <f aca="false">IF(D240="","",Q240/$B$15)</f>
        <v>0.35</v>
      </c>
      <c r="S240" s="16" t="n">
        <f aca="false">IF(D240="","",MAX(0,J240-R240))</f>
        <v>0</v>
      </c>
      <c r="T240" s="16" t="n">
        <f aca="false">IF(D240="","",MAX(0,Z240-$B$8))</f>
        <v>0</v>
      </c>
      <c r="U240" s="16" t="n">
        <f aca="false">IF(D240="","",MAX(0,MIN($B$8,Z240)))</f>
        <v>15.8932945601729</v>
      </c>
      <c r="V240" s="16" t="str">
        <f aca="false">IF(D240="","",IF(S240&gt;0.0000001,"Sim","Não"))</f>
        <v>Não</v>
      </c>
      <c r="W240" s="16" t="n">
        <f aca="false">IF(D240="","",U240-(H240+E240-Q240-O240-T240))</f>
        <v>0</v>
      </c>
      <c r="X240" s="16" t="n">
        <f aca="false">IF(W240="","",ABS(W240))</f>
        <v>0</v>
      </c>
      <c r="Y240" s="16" t="n">
        <f aca="false">IF(U240="","",IF($B$8=0,0,U240/$B$8*100))</f>
        <v>33.6579723849489</v>
      </c>
      <c r="Z240" s="18" t="n">
        <f aca="false">IF(D240="","",MAX(0,IF(P240&gt;=0,P240,IF(K240+P240&gt;=0,0,P240+K240))))</f>
        <v>15.8932945601729</v>
      </c>
      <c r="AA240" s="18" t="n">
        <f aca="false">IF(D240="","",IF(H240&lt;=$B$16,1,IF(H240&gt;=$B$17,$B$21,MATCH(H240,Aux_CAV!$A$2:$A$121,1))))</f>
        <v>11</v>
      </c>
      <c r="AB240" s="18" t="n">
        <f aca="false">IF(D240="","",IF(L240&lt;=$B$16,1,IF(L240&gt;=$B$17,$B$21,MATCH(L240,Aux_CAV!$A$2:$A$121,1))))</f>
        <v>10</v>
      </c>
      <c r="AC240" s="19" t="n">
        <f aca="false">IF(D240="","",COUNT($D$24:D240))</f>
        <v>205</v>
      </c>
    </row>
    <row r="241" customFormat="false" ht="12.75" hidden="false" customHeight="true" outlineLevel="0" collapsed="false">
      <c r="A241" s="14" t="n">
        <f aca="false">IF(D241="","",DATE(B241,C241,1))</f>
        <v>10259</v>
      </c>
      <c r="B241" s="15" t="n">
        <f aca="false" t="array" ref="B241:B241">IF(D241="","",IFERROR(VALUE(INDEX(Vazoes_COLAR!$A$2:$A$200,INT((ROW()-24)/12)+1)),""))</f>
        <v>1928</v>
      </c>
      <c r="C241" s="15" t="n">
        <f aca="false">IF(D241="","",MOD(ROW()-24,12)+1)</f>
        <v>2</v>
      </c>
      <c r="D241" s="16" t="n">
        <f aca="false" t="array" ref="D241: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0.0505913501271453</v>
      </c>
      <c r="E241" s="16" t="n">
        <f aca="false">IF(D241="","",D241*$B$15)</f>
        <v>0.131132779529561</v>
      </c>
      <c r="F241" s="16" t="n">
        <f aca="false" t="array" ref="F241:F241">IF(D241="","",IFERROR(INDEX(Dados_Evap!$C$2:$N$15,MATCH($B$9,Dados_Evap!$A$2:$A$15,0),C241),0))</f>
        <v>124.3</v>
      </c>
      <c r="G241" s="16" t="n">
        <f aca="false">IF(F241="","",F241/1000)</f>
        <v>0.1243</v>
      </c>
      <c r="H241" s="16" t="n">
        <f aca="false">IF(D241="","",MAX(0,MIN($B$8,IFERROR(LOOKUP(2,1/($U$24:U240&lt;&gt;""),$U$24:U240),$B$11))))</f>
        <v>15.8932945601729</v>
      </c>
      <c r="I241" s="16" t="n">
        <f aca="false" t="array" ref="I241: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>3.6408986536618</v>
      </c>
      <c r="J241" s="16" t="n">
        <f aca="false">IF(D241="","",$B$12)</f>
        <v>0.35</v>
      </c>
      <c r="K241" s="16" t="n">
        <f aca="false">IF(J241="","",J241*$B$15)</f>
        <v>0.9072</v>
      </c>
      <c r="L241" s="16" t="n">
        <f aca="false">IF(D241="","",H241+E241-K241-G241*I241)</f>
        <v>14.6646636370523</v>
      </c>
      <c r="M241" s="16" t="n">
        <f aca="false" t="array" ref="M241: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>3.53610366316034</v>
      </c>
      <c r="N241" s="16" t="n">
        <f aca="false">IF(D241="","",(I241+M241)/2)</f>
        <v>3.58850115841107</v>
      </c>
      <c r="O241" s="16" t="n">
        <f aca="false">IF(D241="","",G241*N241)</f>
        <v>0.446050693990496</v>
      </c>
      <c r="P241" s="16" t="n">
        <f aca="false">IF(D241="","",H241+E241-K241-O241)</f>
        <v>14.6711766457119</v>
      </c>
      <c r="Q241" s="16" t="n">
        <f aca="false">IF(D241="","",IF(P241&gt;=0,K241,MAX(0,K241+P241)))</f>
        <v>0.9072</v>
      </c>
      <c r="R241" s="16" t="n">
        <f aca="false">IF(D241="","",Q241/$B$15)</f>
        <v>0.35</v>
      </c>
      <c r="S241" s="16" t="n">
        <f aca="false">IF(D241="","",MAX(0,J241-R241))</f>
        <v>0</v>
      </c>
      <c r="T241" s="16" t="n">
        <f aca="false">IF(D241="","",MAX(0,Z241-$B$8))</f>
        <v>0</v>
      </c>
      <c r="U241" s="16" t="n">
        <f aca="false">IF(D241="","",MAX(0,MIN($B$8,Z241)))</f>
        <v>14.6711766457119</v>
      </c>
      <c r="V241" s="16" t="str">
        <f aca="false">IF(D241="","",IF(S241&gt;0.0000001,"Sim","Não"))</f>
        <v>Não</v>
      </c>
      <c r="W241" s="16" t="n">
        <f aca="false">IF(D241="","",U241-(H241+E241-Q241-O241-T241))</f>
        <v>0</v>
      </c>
      <c r="X241" s="16" t="n">
        <f aca="false">IF(W241="","",ABS(W241))</f>
        <v>0</v>
      </c>
      <c r="Y241" s="16" t="n">
        <f aca="false">IF(U241="","",IF($B$8=0,0,U241/$B$8*100))</f>
        <v>31.0698361832104</v>
      </c>
      <c r="Z241" s="18" t="n">
        <f aca="false">IF(D241="","",MAX(0,IF(P241&gt;=0,P241,IF(K241+P241&gt;=0,0,P241+K241))))</f>
        <v>14.6711766457119</v>
      </c>
      <c r="AA241" s="18" t="n">
        <f aca="false">IF(D241="","",IF(H241&lt;=$B$16,1,IF(H241&gt;=$B$17,$B$21,MATCH(H241,Aux_CAV!$A$2:$A$121,1))))</f>
        <v>10</v>
      </c>
      <c r="AB241" s="18" t="n">
        <f aca="false">IF(D241="","",IF(L241&lt;=$B$16,1,IF(L241&gt;=$B$17,$B$21,MATCH(L241,Aux_CAV!$A$2:$A$121,1))))</f>
        <v>10</v>
      </c>
      <c r="AC241" s="19" t="n">
        <f aca="false">IF(D241="","",COUNT($D$24:D241))</f>
        <v>206</v>
      </c>
    </row>
    <row r="242" customFormat="false" ht="12.75" hidden="false" customHeight="true" outlineLevel="0" collapsed="false">
      <c r="A242" s="14" t="n">
        <f aca="false">IF(D242="","",DATE(B242,C242,1))</f>
        <v>10288</v>
      </c>
      <c r="B242" s="15" t="n">
        <f aca="false" t="array" ref="B242:B242">IF(D242="","",IFERROR(VALUE(INDEX(Vazoes_COLAR!$A$2:$A$200,INT((ROW()-24)/12)+1)),""))</f>
        <v>1928</v>
      </c>
      <c r="C242" s="15" t="n">
        <f aca="false">IF(D242="","",MOD(ROW()-24,12)+1)</f>
        <v>3</v>
      </c>
      <c r="D242" s="16" t="n">
        <f aca="false" t="array" ref="D242: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1.35879173942052</v>
      </c>
      <c r="E242" s="16" t="n">
        <f aca="false">IF(D242="","",D242*$B$15)</f>
        <v>3.52198818857799</v>
      </c>
      <c r="F242" s="16" t="n">
        <f aca="false" t="array" ref="F242:F242">IF(D242="","",IFERROR(INDEX(Dados_Evap!$C$2:$N$15,MATCH($B$9,Dados_Evap!$A$2:$A$15,0),C242),0))</f>
        <v>107.7</v>
      </c>
      <c r="G242" s="16" t="n">
        <f aca="false">IF(F242="","",F242/1000)</f>
        <v>0.1077</v>
      </c>
      <c r="H242" s="16" t="n">
        <f aca="false">IF(D242="","",MAX(0,MIN($B$8,IFERROR(LOOKUP(2,1/($U$24:U241&lt;&gt;""),$U$24:U241),$B$11))))</f>
        <v>14.6711766457119</v>
      </c>
      <c r="I242" s="16" t="n">
        <f aca="false" t="array" ref="I242: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>3.53665918448719</v>
      </c>
      <c r="J242" s="16" t="n">
        <f aca="false">IF(D242="","",$B$12)</f>
        <v>0.35</v>
      </c>
      <c r="K242" s="16" t="n">
        <f aca="false">IF(J242="","",J242*$B$15)</f>
        <v>0.9072</v>
      </c>
      <c r="L242" s="16" t="n">
        <f aca="false">IF(D242="","",H242+E242-K242-G242*I242)</f>
        <v>16.9050666401207</v>
      </c>
      <c r="M242" s="16" t="n">
        <f aca="false" t="array" ref="M242: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>3.75816650089247</v>
      </c>
      <c r="N242" s="16" t="n">
        <f aca="false">IF(D242="","",(I242+M242)/2)</f>
        <v>3.64741284268983</v>
      </c>
      <c r="O242" s="16" t="n">
        <f aca="false">IF(D242="","",G242*N242)</f>
        <v>0.392826363157695</v>
      </c>
      <c r="P242" s="16" t="n">
        <f aca="false">IF(D242="","",H242+E242-K242-O242)</f>
        <v>16.8931384711322</v>
      </c>
      <c r="Q242" s="16" t="n">
        <f aca="false">IF(D242="","",IF(P242&gt;=0,K242,MAX(0,K242+P242)))</f>
        <v>0.9072</v>
      </c>
      <c r="R242" s="16" t="n">
        <f aca="false">IF(D242="","",Q242/$B$15)</f>
        <v>0.35</v>
      </c>
      <c r="S242" s="16" t="n">
        <f aca="false">IF(D242="","",MAX(0,J242-R242))</f>
        <v>0</v>
      </c>
      <c r="T242" s="16" t="n">
        <f aca="false">IF(D242="","",MAX(0,Z242-$B$8))</f>
        <v>0</v>
      </c>
      <c r="U242" s="16" t="n">
        <f aca="false">IF(D242="","",MAX(0,MIN($B$8,Z242)))</f>
        <v>16.8931384711322</v>
      </c>
      <c r="V242" s="16" t="str">
        <f aca="false">IF(D242="","",IF(S242&gt;0.0000001,"Sim","Não"))</f>
        <v>Não</v>
      </c>
      <c r="W242" s="16" t="n">
        <f aca="false">IF(D242="","",U242-(H242+E242-Q242-O242-T242))</f>
        <v>0</v>
      </c>
      <c r="X242" s="16" t="n">
        <f aca="false">IF(W242="","",ABS(W242))</f>
        <v>0</v>
      </c>
      <c r="Y242" s="16" t="n">
        <f aca="false">IF(U242="","",IF($B$8=0,0,U242/$B$8*100))</f>
        <v>35.775388545388</v>
      </c>
      <c r="Z242" s="18" t="n">
        <f aca="false">IF(D242="","",MAX(0,IF(P242&gt;=0,P242,IF(K242+P242&gt;=0,0,P242+K242))))</f>
        <v>16.8931384711322</v>
      </c>
      <c r="AA242" s="18" t="n">
        <f aca="false">IF(D242="","",IF(H242&lt;=$B$16,1,IF(H242&gt;=$B$17,$B$21,MATCH(H242,Aux_CAV!$A$2:$A$121,1))))</f>
        <v>10</v>
      </c>
      <c r="AB242" s="18" t="n">
        <f aca="false">IF(D242="","",IF(L242&lt;=$B$16,1,IF(L242&gt;=$B$17,$B$21,MATCH(L242,Aux_CAV!$A$2:$A$121,1))))</f>
        <v>11</v>
      </c>
      <c r="AC242" s="19" t="n">
        <f aca="false">IF(D242="","",COUNT($D$24:D242))</f>
        <v>207</v>
      </c>
    </row>
    <row r="243" customFormat="false" ht="12.75" hidden="false" customHeight="true" outlineLevel="0" collapsed="false">
      <c r="A243" s="14" t="n">
        <f aca="false">IF(D243="","",DATE(B243,C243,1))</f>
        <v>10319</v>
      </c>
      <c r="B243" s="15" t="n">
        <f aca="false" t="array" ref="B243:B243">IF(D243="","",IFERROR(VALUE(INDEX(Vazoes_COLAR!$A$2:$A$200,INT((ROW()-24)/12)+1)),""))</f>
        <v>1928</v>
      </c>
      <c r="C243" s="15" t="n">
        <f aca="false">IF(D243="","",MOD(ROW()-24,12)+1)</f>
        <v>4</v>
      </c>
      <c r="D243" s="16" t="n">
        <f aca="false" t="array" ref="D243: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1.66303388357973</v>
      </c>
      <c r="E243" s="16" t="n">
        <f aca="false">IF(D243="","",D243*$B$15)</f>
        <v>4.31058382623866</v>
      </c>
      <c r="F243" s="16" t="n">
        <f aca="false" t="array" ref="F243:F243">IF(D243="","",IFERROR(INDEX(Dados_Evap!$C$2:$N$15,MATCH($B$9,Dados_Evap!$A$2:$A$15,0),C243),0))</f>
        <v>100.5</v>
      </c>
      <c r="G243" s="16" t="n">
        <f aca="false">IF(F243="","",F243/1000)</f>
        <v>0.1005</v>
      </c>
      <c r="H243" s="16" t="n">
        <f aca="false">IF(D243="","",MAX(0,MIN($B$8,IFERROR(LOOKUP(2,1/($U$24:U242&lt;&gt;""),$U$24:U242),$B$11))))</f>
        <v>16.8931384711322</v>
      </c>
      <c r="I243" s="16" t="n">
        <f aca="false" t="array" ref="I243: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>3.75674093923288</v>
      </c>
      <c r="J243" s="16" t="n">
        <f aca="false">IF(D243="","",$B$12)</f>
        <v>0.35</v>
      </c>
      <c r="K243" s="16" t="n">
        <f aca="false">IF(J243="","",J243*$B$15)</f>
        <v>0.9072</v>
      </c>
      <c r="L243" s="16" t="n">
        <f aca="false">IF(D243="","",H243+E243-K243-G243*I243)</f>
        <v>19.918969832978</v>
      </c>
      <c r="M243" s="16" t="n">
        <f aca="false" t="array" ref="M243: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>4.11836468735591</v>
      </c>
      <c r="N243" s="16" t="n">
        <f aca="false">IF(D243="","",(I243+M243)/2)</f>
        <v>3.93755281329439</v>
      </c>
      <c r="O243" s="16" t="n">
        <f aca="false">IF(D243="","",G243*N243)</f>
        <v>0.395724057736086</v>
      </c>
      <c r="P243" s="16" t="n">
        <f aca="false">IF(D243="","",H243+E243-K243-O243)</f>
        <v>19.9007982396348</v>
      </c>
      <c r="Q243" s="16" t="n">
        <f aca="false">IF(D243="","",IF(P243&gt;=0,K243,MAX(0,K243+P243)))</f>
        <v>0.9072</v>
      </c>
      <c r="R243" s="16" t="n">
        <f aca="false">IF(D243="","",Q243/$B$15)</f>
        <v>0.35</v>
      </c>
      <c r="S243" s="16" t="n">
        <f aca="false">IF(D243="","",MAX(0,J243-R243))</f>
        <v>0</v>
      </c>
      <c r="T243" s="16" t="n">
        <f aca="false">IF(D243="","",MAX(0,Z243-$B$8))</f>
        <v>0</v>
      </c>
      <c r="U243" s="16" t="n">
        <f aca="false">IF(D243="","",MAX(0,MIN($B$8,Z243)))</f>
        <v>19.9007982396348</v>
      </c>
      <c r="V243" s="16" t="str">
        <f aca="false">IF(D243="","",IF(S243&gt;0.0000001,"Sim","Não"))</f>
        <v>Não</v>
      </c>
      <c r="W243" s="16" t="n">
        <f aca="false">IF(D243="","",U243-(H243+E243-Q243-O243-T243))</f>
        <v>0</v>
      </c>
      <c r="X243" s="16" t="n">
        <f aca="false">IF(W243="","",ABS(W243))</f>
        <v>0</v>
      </c>
      <c r="Y243" s="16" t="n">
        <f aca="false">IF(U243="","",IF($B$8=0,0,U243/$B$8*100))</f>
        <v>42.1448501474689</v>
      </c>
      <c r="Z243" s="18" t="n">
        <f aca="false">IF(D243="","",MAX(0,IF(P243&gt;=0,P243,IF(K243+P243&gt;=0,0,P243+K243))))</f>
        <v>19.9007982396348</v>
      </c>
      <c r="AA243" s="18" t="n">
        <f aca="false">IF(D243="","",IF(H243&lt;=$B$16,1,IF(H243&gt;=$B$17,$B$21,MATCH(H243,Aux_CAV!$A$2:$A$121,1))))</f>
        <v>11</v>
      </c>
      <c r="AB243" s="18" t="n">
        <f aca="false">IF(D243="","",IF(L243&lt;=$B$16,1,IF(L243&gt;=$B$17,$B$21,MATCH(L243,Aux_CAV!$A$2:$A$121,1))))</f>
        <v>11</v>
      </c>
      <c r="AC243" s="19" t="n">
        <f aca="false">IF(D243="","",COUNT($D$24:D243))</f>
        <v>208</v>
      </c>
    </row>
    <row r="244" customFormat="false" ht="12.75" hidden="false" customHeight="true" outlineLevel="0" collapsed="false">
      <c r="A244" s="14" t="n">
        <f aca="false">IF(D244="","",DATE(B244,C244,1))</f>
        <v>10349</v>
      </c>
      <c r="B244" s="15" t="n">
        <f aca="false" t="array" ref="B244:B244">IF(D244="","",IFERROR(VALUE(INDEX(Vazoes_COLAR!$A$2:$A$200,INT((ROW()-24)/12)+1)),""))</f>
        <v>1928</v>
      </c>
      <c r="C244" s="15" t="n">
        <f aca="false">IF(D244="","",MOD(ROW()-24,12)+1)</f>
        <v>5</v>
      </c>
      <c r="D244" s="16" t="n">
        <f aca="false" t="array" ref="D244: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0.658822958155981</v>
      </c>
      <c r="E244" s="16" t="n">
        <f aca="false">IF(D244="","",D244*$B$15)</f>
        <v>1.7076691075403</v>
      </c>
      <c r="F244" s="16" t="n">
        <f aca="false" t="array" ref="F244:F244">IF(D244="","",IFERROR(INDEX(Dados_Evap!$C$2:$N$15,MATCH($B$9,Dados_Evap!$A$2:$A$15,0),C244),0))</f>
        <v>145.8</v>
      </c>
      <c r="G244" s="16" t="n">
        <f aca="false">IF(F244="","",F244/1000)</f>
        <v>0.1458</v>
      </c>
      <c r="H244" s="16" t="n">
        <f aca="false">IF(D244="","",MAX(0,MIN($B$8,IFERROR(LOOKUP(2,1/($U$24:U243&lt;&gt;""),$U$24:U243),$B$11))))</f>
        <v>19.9007982396348</v>
      </c>
      <c r="I244" s="16" t="n">
        <f aca="false" t="array" ref="I244: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>4.1161929603466</v>
      </c>
      <c r="J244" s="16" t="n">
        <f aca="false">IF(D244="","",$B$12)</f>
        <v>0.35</v>
      </c>
      <c r="K244" s="16" t="n">
        <f aca="false">IF(J244="","",J244*$B$15)</f>
        <v>0.9072</v>
      </c>
      <c r="L244" s="16" t="n">
        <f aca="false">IF(D244="","",H244+E244-K244-G244*I244)</f>
        <v>20.1011264135566</v>
      </c>
      <c r="M244" s="16" t="n">
        <f aca="false" t="array" ref="M244: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>4.14013462015676</v>
      </c>
      <c r="N244" s="16" t="n">
        <f aca="false">IF(D244="","",(I244+M244)/2)</f>
        <v>4.12816379025168</v>
      </c>
      <c r="O244" s="16" t="n">
        <f aca="false">IF(D244="","",G244*N244)</f>
        <v>0.601886280618695</v>
      </c>
      <c r="P244" s="16" t="n">
        <f aca="false">IF(D244="","",H244+E244-K244-O244)</f>
        <v>20.0993810665564</v>
      </c>
      <c r="Q244" s="16" t="n">
        <f aca="false">IF(D244="","",IF(P244&gt;=0,K244,MAX(0,K244+P244)))</f>
        <v>0.9072</v>
      </c>
      <c r="R244" s="16" t="n">
        <f aca="false">IF(D244="","",Q244/$B$15)</f>
        <v>0.35</v>
      </c>
      <c r="S244" s="16" t="n">
        <f aca="false">IF(D244="","",MAX(0,J244-R244))</f>
        <v>0</v>
      </c>
      <c r="T244" s="16" t="n">
        <f aca="false">IF(D244="","",MAX(0,Z244-$B$8))</f>
        <v>0</v>
      </c>
      <c r="U244" s="16" t="n">
        <f aca="false">IF(D244="","",MAX(0,MIN($B$8,Z244)))</f>
        <v>20.0993810665564</v>
      </c>
      <c r="V244" s="16" t="str">
        <f aca="false">IF(D244="","",IF(S244&gt;0.0000001,"Sim","Não"))</f>
        <v>Não</v>
      </c>
      <c r="W244" s="16" t="n">
        <f aca="false">IF(D244="","",U244-(H244+E244-Q244-O244-T244))</f>
        <v>0</v>
      </c>
      <c r="X244" s="16" t="n">
        <f aca="false">IF(W244="","",ABS(W244))</f>
        <v>0</v>
      </c>
      <c r="Y244" s="16" t="n">
        <f aca="false">IF(U244="","",IF($B$8=0,0,U244/$B$8*100))</f>
        <v>42.5653982773325</v>
      </c>
      <c r="Z244" s="18" t="n">
        <f aca="false">IF(D244="","",MAX(0,IF(P244&gt;=0,P244,IF(K244+P244&gt;=0,0,P244+K244))))</f>
        <v>20.0993810665564</v>
      </c>
      <c r="AA244" s="18" t="n">
        <f aca="false">IF(D244="","",IF(H244&lt;=$B$16,1,IF(H244&gt;=$B$17,$B$21,MATCH(H244,Aux_CAV!$A$2:$A$121,1))))</f>
        <v>11</v>
      </c>
      <c r="AB244" s="18" t="n">
        <f aca="false">IF(D244="","",IF(L244&lt;=$B$16,1,IF(L244&gt;=$B$17,$B$21,MATCH(L244,Aux_CAV!$A$2:$A$121,1))))</f>
        <v>11</v>
      </c>
      <c r="AC244" s="19" t="n">
        <f aca="false">IF(D244="","",COUNT($D$24:D244))</f>
        <v>209</v>
      </c>
    </row>
    <row r="245" customFormat="false" ht="12.75" hidden="false" customHeight="true" outlineLevel="0" collapsed="false">
      <c r="A245" s="14" t="n">
        <f aca="false">IF(D245="","",DATE(B245,C245,1))</f>
        <v>10380</v>
      </c>
      <c r="B245" s="15" t="n">
        <f aca="false" t="array" ref="B245:B245">IF(D245="","",IFERROR(VALUE(INDEX(Vazoes_COLAR!$A$2:$A$200,INT((ROW()-24)/12)+1)),""))</f>
        <v>1928</v>
      </c>
      <c r="C245" s="15" t="n">
        <f aca="false">IF(D245="","",MOD(ROW()-24,12)+1)</f>
        <v>6</v>
      </c>
      <c r="D245" s="16" t="n">
        <f aca="false" t="array" ref="D245: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0.236711483594997</v>
      </c>
      <c r="E245" s="16" t="n">
        <f aca="false">IF(D245="","",D245*$B$15)</f>
        <v>0.613556165478232</v>
      </c>
      <c r="F245" s="16" t="n">
        <f aca="false" t="array" ref="F245:F245">IF(D245="","",IFERROR(INDEX(Dados_Evap!$C$2:$N$15,MATCH($B$9,Dados_Evap!$A$2:$A$15,0),C245),0))</f>
        <v>161.3</v>
      </c>
      <c r="G245" s="16" t="n">
        <f aca="false">IF(F245="","",F245/1000)</f>
        <v>0.1613</v>
      </c>
      <c r="H245" s="16" t="n">
        <f aca="false">IF(D245="","",MAX(0,MIN($B$8,IFERROR(LOOKUP(2,1/($U$24:U244&lt;&gt;""),$U$24:U244),$B$11))))</f>
        <v>20.0993810665564</v>
      </c>
      <c r="I245" s="16" t="n">
        <f aca="false" t="array" ref="I245: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>4.13992602990552</v>
      </c>
      <c r="J245" s="16" t="n">
        <f aca="false">IF(D245="","",$B$12)</f>
        <v>0.35</v>
      </c>
      <c r="K245" s="16" t="n">
        <f aca="false">IF(J245="","",J245*$B$15)</f>
        <v>0.9072</v>
      </c>
      <c r="L245" s="16" t="n">
        <f aca="false">IF(D245="","",H245+E245-K245-G245*I245)</f>
        <v>19.1379671634109</v>
      </c>
      <c r="M245" s="16" t="n">
        <f aca="false" t="array" ref="M245: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>4.02502534391984</v>
      </c>
      <c r="N245" s="16" t="n">
        <f aca="false">IF(D245="","",(I245+M245)/2)</f>
        <v>4.08247568691268</v>
      </c>
      <c r="O245" s="16" t="n">
        <f aca="false">IF(D245="","",G245*N245)</f>
        <v>0.658503328299015</v>
      </c>
      <c r="P245" s="16" t="n">
        <f aca="false">IF(D245="","",H245+E245-K245-O245)</f>
        <v>19.1472339037356</v>
      </c>
      <c r="Q245" s="16" t="n">
        <f aca="false">IF(D245="","",IF(P245&gt;=0,K245,MAX(0,K245+P245)))</f>
        <v>0.9072</v>
      </c>
      <c r="R245" s="16" t="n">
        <f aca="false">IF(D245="","",Q245/$B$15)</f>
        <v>0.35</v>
      </c>
      <c r="S245" s="16" t="n">
        <f aca="false">IF(D245="","",MAX(0,J245-R245))</f>
        <v>0</v>
      </c>
      <c r="T245" s="16" t="n">
        <f aca="false">IF(D245="","",MAX(0,Z245-$B$8))</f>
        <v>0</v>
      </c>
      <c r="U245" s="16" t="n">
        <f aca="false">IF(D245="","",MAX(0,MIN($B$8,Z245)))</f>
        <v>19.1472339037356</v>
      </c>
      <c r="V245" s="16" t="str">
        <f aca="false">IF(D245="","",IF(S245&gt;0.0000001,"Sim","Não"))</f>
        <v>Não</v>
      </c>
      <c r="W245" s="16" t="n">
        <f aca="false">IF(D245="","",U245-(H245+E245-Q245-O245-T245))</f>
        <v>0</v>
      </c>
      <c r="X245" s="16" t="n">
        <f aca="false">IF(W245="","",ABS(W245))</f>
        <v>0</v>
      </c>
      <c r="Y245" s="16" t="n">
        <f aca="false">IF(U245="","",IF($B$8=0,0,U245/$B$8*100))</f>
        <v>40.5489917486989</v>
      </c>
      <c r="Z245" s="18" t="n">
        <f aca="false">IF(D245="","",MAX(0,IF(P245&gt;=0,P245,IF(K245+P245&gt;=0,0,P245+K245))))</f>
        <v>19.1472339037356</v>
      </c>
      <c r="AA245" s="18" t="n">
        <f aca="false">IF(D245="","",IF(H245&lt;=$B$16,1,IF(H245&gt;=$B$17,$B$21,MATCH(H245,Aux_CAV!$A$2:$A$121,1))))</f>
        <v>11</v>
      </c>
      <c r="AB245" s="18" t="n">
        <f aca="false">IF(D245="","",IF(L245&lt;=$B$16,1,IF(L245&gt;=$B$17,$B$21,MATCH(L245,Aux_CAV!$A$2:$A$121,1))))</f>
        <v>11</v>
      </c>
      <c r="AC245" s="19" t="n">
        <f aca="false">IF(D245="","",COUNT($D$24:D245))</f>
        <v>210</v>
      </c>
    </row>
    <row r="246" customFormat="false" ht="12.75" hidden="false" customHeight="true" outlineLevel="0" collapsed="false">
      <c r="A246" s="14" t="n">
        <f aca="false">IF(D246="","",DATE(B246,C246,1))</f>
        <v>10410</v>
      </c>
      <c r="B246" s="15" t="n">
        <f aca="false" t="array" ref="B246:B246">IF(D246="","",IFERROR(VALUE(INDEX(Vazoes_COLAR!$A$2:$A$200,INT((ROW()-24)/12)+1)),""))</f>
        <v>1928</v>
      </c>
      <c r="C246" s="15" t="n">
        <f aca="false">IF(D246="","",MOD(ROW()-24,12)+1)</f>
        <v>7</v>
      </c>
      <c r="D246" s="16" t="n">
        <f aca="false" t="array" ref="D246: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0.0221179644938829</v>
      </c>
      <c r="E246" s="16" t="n">
        <f aca="false">IF(D246="","",D246*$B$15)</f>
        <v>0.0573297639681445</v>
      </c>
      <c r="F246" s="16" t="n">
        <f aca="false" t="array" ref="F246:F246">IF(D246="","",IFERROR(INDEX(Dados_Evap!$C$2:$N$15,MATCH($B$9,Dados_Evap!$A$2:$A$15,0),C246),0))</f>
        <v>224.8</v>
      </c>
      <c r="G246" s="16" t="n">
        <f aca="false">IF(F246="","",F246/1000)</f>
        <v>0.2248</v>
      </c>
      <c r="H246" s="16" t="n">
        <f aca="false">IF(D246="","",MAX(0,MIN($B$8,IFERROR(LOOKUP(2,1/($U$24:U245&lt;&gt;""),$U$24:U245),$B$11))))</f>
        <v>19.1472339037356</v>
      </c>
      <c r="I246" s="16" t="n">
        <f aca="false" t="array" ref="I246: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>4.02613283239767</v>
      </c>
      <c r="J246" s="16" t="n">
        <f aca="false">IF(D246="","",$B$12)</f>
        <v>0.35</v>
      </c>
      <c r="K246" s="16" t="n">
        <f aca="false">IF(J246="","",J246*$B$15)</f>
        <v>0.9072</v>
      </c>
      <c r="L246" s="16" t="n">
        <f aca="false">IF(D246="","",H246+E246-K246-G246*I246)</f>
        <v>17.3922890069808</v>
      </c>
      <c r="M246" s="16" t="n">
        <f aca="false" t="array" ref="M246: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>3.81639551546843</v>
      </c>
      <c r="N246" s="16" t="n">
        <f aca="false">IF(D246="","",(I246+M246)/2)</f>
        <v>3.92126417393305</v>
      </c>
      <c r="O246" s="16" t="n">
        <f aca="false">IF(D246="","",G246*N246)</f>
        <v>0.88150018630015</v>
      </c>
      <c r="P246" s="16" t="n">
        <f aca="false">IF(D246="","",H246+E246-K246-O246)</f>
        <v>17.4158634814036</v>
      </c>
      <c r="Q246" s="16" t="n">
        <f aca="false">IF(D246="","",IF(P246&gt;=0,K246,MAX(0,K246+P246)))</f>
        <v>0.9072</v>
      </c>
      <c r="R246" s="16" t="n">
        <f aca="false">IF(D246="","",Q246/$B$15)</f>
        <v>0.35</v>
      </c>
      <c r="S246" s="16" t="n">
        <f aca="false">IF(D246="","",MAX(0,J246-R246))</f>
        <v>0</v>
      </c>
      <c r="T246" s="16" t="n">
        <f aca="false">IF(D246="","",MAX(0,Z246-$B$8))</f>
        <v>0</v>
      </c>
      <c r="U246" s="16" t="n">
        <f aca="false">IF(D246="","",MAX(0,MIN($B$8,Z246)))</f>
        <v>17.4158634814036</v>
      </c>
      <c r="V246" s="16" t="str">
        <f aca="false">IF(D246="","",IF(S246&gt;0.0000001,"Sim","Não"))</f>
        <v>Não</v>
      </c>
      <c r="W246" s="16" t="n">
        <f aca="false">IF(D246="","",U246-(H246+E246-Q246-O246-T246))</f>
        <v>0</v>
      </c>
      <c r="X246" s="16" t="n">
        <f aca="false">IF(W246="","",ABS(W246))</f>
        <v>0</v>
      </c>
      <c r="Y246" s="16" t="n">
        <f aca="false">IF(U246="","",IF($B$8=0,0,U246/$B$8*100))</f>
        <v>36.8823877200415</v>
      </c>
      <c r="Z246" s="18" t="n">
        <f aca="false">IF(D246="","",MAX(0,IF(P246&gt;=0,P246,IF(K246+P246&gt;=0,0,P246+K246))))</f>
        <v>17.4158634814036</v>
      </c>
      <c r="AA246" s="18" t="n">
        <f aca="false">IF(D246="","",IF(H246&lt;=$B$16,1,IF(H246&gt;=$B$17,$B$21,MATCH(H246,Aux_CAV!$A$2:$A$121,1))))</f>
        <v>11</v>
      </c>
      <c r="AB246" s="18" t="n">
        <f aca="false">IF(D246="","",IF(L246&lt;=$B$16,1,IF(L246&gt;=$B$17,$B$21,MATCH(L246,Aux_CAV!$A$2:$A$121,1))))</f>
        <v>11</v>
      </c>
      <c r="AC246" s="19" t="n">
        <f aca="false">IF(D246="","",COUNT($D$24:D246))</f>
        <v>211</v>
      </c>
    </row>
    <row r="247" customFormat="false" ht="12.75" hidden="false" customHeight="true" outlineLevel="0" collapsed="false">
      <c r="A247" s="14" t="n">
        <f aca="false">IF(D247="","",DATE(B247,C247,1))</f>
        <v>10441</v>
      </c>
      <c r="B247" s="15" t="n">
        <f aca="false" t="array" ref="B247:B247">IF(D247="","",IFERROR(VALUE(INDEX(Vazoes_COLAR!$A$2:$A$200,INT((ROW()-24)/12)+1)),""))</f>
        <v>1928</v>
      </c>
      <c r="C247" s="15" t="n">
        <f aca="false">IF(D247="","",MOD(ROW()-24,12)+1)</f>
        <v>8</v>
      </c>
      <c r="D247" s="16" t="n">
        <f aca="false" t="array" ref="D247: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0.00927565131574882</v>
      </c>
      <c r="E247" s="16" t="n">
        <f aca="false">IF(D247="","",D247*$B$15)</f>
        <v>0.0240424882104209</v>
      </c>
      <c r="F247" s="16" t="n">
        <f aca="false" t="array" ref="F247:F247">IF(D247="","",IFERROR(INDEX(Dados_Evap!$C$2:$N$15,MATCH($B$9,Dados_Evap!$A$2:$A$15,0),C247),0))</f>
        <v>268.7</v>
      </c>
      <c r="G247" s="16" t="n">
        <f aca="false">IF(F247="","",F247/1000)</f>
        <v>0.2687</v>
      </c>
      <c r="H247" s="16" t="n">
        <f aca="false">IF(D247="","",MAX(0,MIN($B$8,IFERROR(LOOKUP(2,1/($U$24:U246&lt;&gt;""),$U$24:U246),$B$11))))</f>
        <v>17.4158634814036</v>
      </c>
      <c r="I247" s="16" t="n">
        <f aca="false" t="array" ref="I247: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>3.81921295265555</v>
      </c>
      <c r="J247" s="16" t="n">
        <f aca="false">IF(D247="","",$B$12)</f>
        <v>0.35</v>
      </c>
      <c r="K247" s="16" t="n">
        <f aca="false">IF(J247="","",J247*$B$15)</f>
        <v>0.9072</v>
      </c>
      <c r="L247" s="16" t="n">
        <f aca="false">IF(D247="","",H247+E247-K247-G247*I247)</f>
        <v>15.5064834492355</v>
      </c>
      <c r="M247" s="16" t="n">
        <f aca="false" t="array" ref="M247: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>3.60790594125832</v>
      </c>
      <c r="N247" s="16" t="n">
        <f aca="false">IF(D247="","",(I247+M247)/2)</f>
        <v>3.71355944695694</v>
      </c>
      <c r="O247" s="16" t="n">
        <f aca="false">IF(D247="","",G247*N247)</f>
        <v>0.997833423397329</v>
      </c>
      <c r="P247" s="16" t="n">
        <f aca="false">IF(D247="","",H247+E247-K247-O247)</f>
        <v>15.5348725462167</v>
      </c>
      <c r="Q247" s="16" t="n">
        <f aca="false">IF(D247="","",IF(P247&gt;=0,K247,MAX(0,K247+P247)))</f>
        <v>0.9072</v>
      </c>
      <c r="R247" s="16" t="n">
        <f aca="false">IF(D247="","",Q247/$B$15)</f>
        <v>0.35</v>
      </c>
      <c r="S247" s="16" t="n">
        <f aca="false">IF(D247="","",MAX(0,J247-R247))</f>
        <v>0</v>
      </c>
      <c r="T247" s="16" t="n">
        <f aca="false">IF(D247="","",MAX(0,Z247-$B$8))</f>
        <v>0</v>
      </c>
      <c r="U247" s="16" t="n">
        <f aca="false">IF(D247="","",MAX(0,MIN($B$8,Z247)))</f>
        <v>15.5348725462167</v>
      </c>
      <c r="V247" s="16" t="str">
        <f aca="false">IF(D247="","",IF(S247&gt;0.0000001,"Sim","Não"))</f>
        <v>Não</v>
      </c>
      <c r="W247" s="16" t="n">
        <f aca="false">IF(D247="","",U247-(H247+E247-Q247-O247-T247))</f>
        <v>0</v>
      </c>
      <c r="X247" s="16" t="n">
        <f aca="false">IF(W247="","",ABS(W247))</f>
        <v>0</v>
      </c>
      <c r="Y247" s="16" t="n">
        <f aca="false">IF(U247="","",IF($B$8=0,0,U247/$B$8*100))</f>
        <v>32.8989253414162</v>
      </c>
      <c r="Z247" s="18" t="n">
        <f aca="false">IF(D247="","",MAX(0,IF(P247&gt;=0,P247,IF(K247+P247&gt;=0,0,P247+K247))))</f>
        <v>15.5348725462167</v>
      </c>
      <c r="AA247" s="18" t="n">
        <f aca="false">IF(D247="","",IF(H247&lt;=$B$16,1,IF(H247&gt;=$B$17,$B$21,MATCH(H247,Aux_CAV!$A$2:$A$121,1))))</f>
        <v>11</v>
      </c>
      <c r="AB247" s="18" t="n">
        <f aca="false">IF(D247="","",IF(L247&lt;=$B$16,1,IF(L247&gt;=$B$17,$B$21,MATCH(L247,Aux_CAV!$A$2:$A$121,1))))</f>
        <v>10</v>
      </c>
      <c r="AC247" s="19" t="n">
        <f aca="false">IF(D247="","",COUNT($D$24:D247))</f>
        <v>212</v>
      </c>
    </row>
    <row r="248" customFormat="false" ht="12.75" hidden="false" customHeight="true" outlineLevel="0" collapsed="false">
      <c r="A248" s="14" t="n">
        <f aca="false">IF(D248="","",DATE(B248,C248,1))</f>
        <v>10472</v>
      </c>
      <c r="B248" s="15" t="n">
        <f aca="false" t="array" ref="B248:B248">IF(D248="","",IFERROR(VALUE(INDEX(Vazoes_COLAR!$A$2:$A$200,INT((ROW()-24)/12)+1)),""))</f>
        <v>1928</v>
      </c>
      <c r="C248" s="15" t="n">
        <f aca="false">IF(D248="","",MOD(ROW()-24,12)+1)</f>
        <v>9</v>
      </c>
      <c r="D248" s="16" t="n">
        <f aca="false" t="array" ref="D248: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0.0111517376872951</v>
      </c>
      <c r="E248" s="16" t="n">
        <f aca="false">IF(D248="","",D248*$B$15)</f>
        <v>0.0289053040854689</v>
      </c>
      <c r="F248" s="16" t="n">
        <f aca="false" t="array" ref="F248:F248">IF(D248="","",IFERROR(INDEX(Dados_Evap!$C$2:$N$15,MATCH($B$9,Dados_Evap!$A$2:$A$15,0),C248),0))</f>
        <v>292.8</v>
      </c>
      <c r="G248" s="16" t="n">
        <f aca="false">IF(F248="","",F248/1000)</f>
        <v>0.2928</v>
      </c>
      <c r="H248" s="16" t="n">
        <f aca="false">IF(D248="","",MAX(0,MIN($B$8,IFERROR(LOOKUP(2,1/($U$24:U247&lt;&gt;""),$U$24:U247),$B$11))))</f>
        <v>15.5348725462167</v>
      </c>
      <c r="I248" s="16" t="n">
        <f aca="false" t="array" ref="I248: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>3.61032736423613</v>
      </c>
      <c r="J248" s="16" t="n">
        <f aca="false">IF(D248="","",$B$12)</f>
        <v>0.35</v>
      </c>
      <c r="K248" s="16" t="n">
        <f aca="false">IF(J248="","",J248*$B$15)</f>
        <v>0.9072</v>
      </c>
      <c r="L248" s="16" t="n">
        <f aca="false">IF(D248="","",H248+E248-K248-G248*I248)</f>
        <v>13.5994739980538</v>
      </c>
      <c r="M248" s="16" t="n">
        <f aca="false" t="array" ref="M248: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>3.44524925277518</v>
      </c>
      <c r="N248" s="16" t="n">
        <f aca="false">IF(D248="","",(I248+M248)/2)</f>
        <v>3.52778830850566</v>
      </c>
      <c r="O248" s="16" t="n">
        <f aca="false">IF(D248="","",G248*N248)</f>
        <v>1.03293641673046</v>
      </c>
      <c r="P248" s="16" t="n">
        <f aca="false">IF(D248="","",H248+E248-K248-O248)</f>
        <v>13.6236414335717</v>
      </c>
      <c r="Q248" s="16" t="n">
        <f aca="false">IF(D248="","",IF(P248&gt;=0,K248,MAX(0,K248+P248)))</f>
        <v>0.9072</v>
      </c>
      <c r="R248" s="16" t="n">
        <f aca="false">IF(D248="","",Q248/$B$15)</f>
        <v>0.35</v>
      </c>
      <c r="S248" s="16" t="n">
        <f aca="false">IF(D248="","",MAX(0,J248-R248))</f>
        <v>0</v>
      </c>
      <c r="T248" s="16" t="n">
        <f aca="false">IF(D248="","",MAX(0,Z248-$B$8))</f>
        <v>0</v>
      </c>
      <c r="U248" s="16" t="n">
        <f aca="false">IF(D248="","",MAX(0,MIN($B$8,Z248)))</f>
        <v>13.6236414335717</v>
      </c>
      <c r="V248" s="16" t="str">
        <f aca="false">IF(D248="","",IF(S248&gt;0.0000001,"Sim","Não"))</f>
        <v>Não</v>
      </c>
      <c r="W248" s="16" t="n">
        <f aca="false">IF(D248="","",U248-(H248+E248-Q248-O248-T248))</f>
        <v>0</v>
      </c>
      <c r="X248" s="16" t="n">
        <f aca="false">IF(W248="","",ABS(W248))</f>
        <v>0</v>
      </c>
      <c r="Y248" s="16" t="n">
        <f aca="false">IF(U248="","",IF($B$8=0,0,U248/$B$8*100))</f>
        <v>28.8514219262425</v>
      </c>
      <c r="Z248" s="18" t="n">
        <f aca="false">IF(D248="","",MAX(0,IF(P248&gt;=0,P248,IF(K248+P248&gt;=0,0,P248+K248))))</f>
        <v>13.6236414335717</v>
      </c>
      <c r="AA248" s="18" t="n">
        <f aca="false">IF(D248="","",IF(H248&lt;=$B$16,1,IF(H248&gt;=$B$17,$B$21,MATCH(H248,Aux_CAV!$A$2:$A$121,1))))</f>
        <v>10</v>
      </c>
      <c r="AB248" s="18" t="n">
        <f aca="false">IF(D248="","",IF(L248&lt;=$B$16,1,IF(L248&gt;=$B$17,$B$21,MATCH(L248,Aux_CAV!$A$2:$A$121,1))))</f>
        <v>10</v>
      </c>
      <c r="AC248" s="19" t="n">
        <f aca="false">IF(D248="","",COUNT($D$24:D248))</f>
        <v>213</v>
      </c>
    </row>
    <row r="249" customFormat="false" ht="12.75" hidden="false" customHeight="true" outlineLevel="0" collapsed="false">
      <c r="A249" s="14" t="n">
        <f aca="false">IF(D249="","",DATE(B249,C249,1))</f>
        <v>10502</v>
      </c>
      <c r="B249" s="15" t="n">
        <f aca="false" t="array" ref="B249:B249">IF(D249="","",IFERROR(VALUE(INDEX(Vazoes_COLAR!$A$2:$A$200,INT((ROW()-24)/12)+1)),""))</f>
        <v>1928</v>
      </c>
      <c r="C249" s="15" t="n">
        <f aca="false">IF(D249="","",MOD(ROW()-24,12)+1)</f>
        <v>10</v>
      </c>
      <c r="D249" s="16" t="n">
        <f aca="false" t="array" ref="D249: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0.0147132865238704</v>
      </c>
      <c r="E249" s="16" t="n">
        <f aca="false">IF(D249="","",D249*$B$15)</f>
        <v>0.0381368386698721</v>
      </c>
      <c r="F249" s="16" t="n">
        <f aca="false" t="array" ref="F249:F249">IF(D249="","",IFERROR(INDEX(Dados_Evap!$C$2:$N$15,MATCH($B$9,Dados_Evap!$A$2:$A$15,0),C249),0))</f>
        <v>262.9</v>
      </c>
      <c r="G249" s="16" t="n">
        <f aca="false">IF(F249="","",F249/1000)</f>
        <v>0.2629</v>
      </c>
      <c r="H249" s="16" t="n">
        <f aca="false">IF(D249="","",MAX(0,MIN($B$8,IFERROR(LOOKUP(2,1/($U$24:U248&lt;&gt;""),$U$24:U248),$B$11))))</f>
        <v>13.6236414335717</v>
      </c>
      <c r="I249" s="16" t="n">
        <f aca="false" t="array" ref="I249: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>3.44731059286347</v>
      </c>
      <c r="J249" s="16" t="n">
        <f aca="false">IF(D249="","",$B$12)</f>
        <v>0.35</v>
      </c>
      <c r="K249" s="16" t="n">
        <f aca="false">IF(J249="","",J249*$B$15)</f>
        <v>0.9072</v>
      </c>
      <c r="L249" s="16" t="n">
        <f aca="false">IF(D249="","",H249+E249-K249-G249*I249)</f>
        <v>11.8482803173778</v>
      </c>
      <c r="M249" s="16" t="n">
        <f aca="false" t="array" ref="M249: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>3.29588273295281</v>
      </c>
      <c r="N249" s="16" t="n">
        <f aca="false">IF(D249="","",(I249+M249)/2)</f>
        <v>3.37159666290814</v>
      </c>
      <c r="O249" s="16" t="n">
        <f aca="false">IF(D249="","",G249*N249)</f>
        <v>0.88639276267855</v>
      </c>
      <c r="P249" s="16" t="n">
        <f aca="false">IF(D249="","",H249+E249-K249-O249)</f>
        <v>11.868185509563</v>
      </c>
      <c r="Q249" s="16" t="n">
        <f aca="false">IF(D249="","",IF(P249&gt;=0,K249,MAX(0,K249+P249)))</f>
        <v>0.9072</v>
      </c>
      <c r="R249" s="16" t="n">
        <f aca="false">IF(D249="","",Q249/$B$15)</f>
        <v>0.35</v>
      </c>
      <c r="S249" s="16" t="n">
        <f aca="false">IF(D249="","",MAX(0,J249-R249))</f>
        <v>0</v>
      </c>
      <c r="T249" s="16" t="n">
        <f aca="false">IF(D249="","",MAX(0,Z249-$B$8))</f>
        <v>0</v>
      </c>
      <c r="U249" s="16" t="n">
        <f aca="false">IF(D249="","",MAX(0,MIN($B$8,Z249)))</f>
        <v>11.868185509563</v>
      </c>
      <c r="V249" s="16" t="str">
        <f aca="false">IF(D249="","",IF(S249&gt;0.0000001,"Sim","Não"))</f>
        <v>Não</v>
      </c>
      <c r="W249" s="16" t="n">
        <f aca="false">IF(D249="","",U249-(H249+E249-Q249-O249-T249))</f>
        <v>0</v>
      </c>
      <c r="X249" s="16" t="n">
        <f aca="false">IF(W249="","",ABS(W249))</f>
        <v>0</v>
      </c>
      <c r="Y249" s="16" t="n">
        <f aca="false">IF(U249="","",IF($B$8=0,0,U249/$B$8*100))</f>
        <v>25.1338109054702</v>
      </c>
      <c r="Z249" s="18" t="n">
        <f aca="false">IF(D249="","",MAX(0,IF(P249&gt;=0,P249,IF(K249+P249&gt;=0,0,P249+K249))))</f>
        <v>11.868185509563</v>
      </c>
      <c r="AA249" s="18" t="n">
        <f aca="false">IF(D249="","",IF(H249&lt;=$B$16,1,IF(H249&gt;=$B$17,$B$21,MATCH(H249,Aux_CAV!$A$2:$A$121,1))))</f>
        <v>10</v>
      </c>
      <c r="AB249" s="18" t="n">
        <f aca="false">IF(D249="","",IF(L249&lt;=$B$16,1,IF(L249&gt;=$B$17,$B$21,MATCH(L249,Aux_CAV!$A$2:$A$121,1))))</f>
        <v>10</v>
      </c>
      <c r="AC249" s="19" t="n">
        <f aca="false">IF(D249="","",COUNT($D$24:D249))</f>
        <v>214</v>
      </c>
    </row>
    <row r="250" customFormat="false" ht="12.75" hidden="false" customHeight="true" outlineLevel="0" collapsed="false">
      <c r="A250" s="14" t="n">
        <f aca="false">IF(D250="","",DATE(B250,C250,1))</f>
        <v>10533</v>
      </c>
      <c r="B250" s="15" t="n">
        <f aca="false" t="array" ref="B250:B250">IF(D250="","",IFERROR(VALUE(INDEX(Vazoes_COLAR!$A$2:$A$200,INT((ROW()-24)/12)+1)),""))</f>
        <v>1928</v>
      </c>
      <c r="C250" s="15" t="n">
        <f aca="false">IF(D250="","",MOD(ROW()-24,12)+1)</f>
        <v>11</v>
      </c>
      <c r="D250" s="16" t="n">
        <f aca="false" t="array" ref="D250: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0.0112530351608699</v>
      </c>
      <c r="E250" s="16" t="n">
        <f aca="false">IF(D250="","",D250*$B$15)</f>
        <v>0.0291678671369748</v>
      </c>
      <c r="F250" s="16" t="n">
        <f aca="false" t="array" ref="F250:F250">IF(D250="","",IFERROR(INDEX(Dados_Evap!$C$2:$N$15,MATCH($B$9,Dados_Evap!$A$2:$A$15,0),C250),0))</f>
        <v>223.7</v>
      </c>
      <c r="G250" s="16" t="n">
        <f aca="false">IF(F250="","",F250/1000)</f>
        <v>0.2237</v>
      </c>
      <c r="H250" s="16" t="n">
        <f aca="false">IF(D250="","",MAX(0,MIN($B$8,IFERROR(LOOKUP(2,1/($U$24:U249&lt;&gt;""),$U$24:U249),$B$11))))</f>
        <v>11.868185509563</v>
      </c>
      <c r="I250" s="16" t="n">
        <f aca="false" t="array" ref="I250: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>3.29758052875685</v>
      </c>
      <c r="J250" s="16" t="n">
        <f aca="false">IF(D250="","",$B$12)</f>
        <v>0.35</v>
      </c>
      <c r="K250" s="16" t="n">
        <f aca="false">IF(J250="","",J250*$B$15)</f>
        <v>0.9072</v>
      </c>
      <c r="L250" s="16" t="n">
        <f aca="false">IF(D250="","",H250+E250-K250-G250*I250)</f>
        <v>10.2524846124171</v>
      </c>
      <c r="M250" s="16" t="n">
        <f aca="false" t="array" ref="M250: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>3.15977074635322</v>
      </c>
      <c r="N250" s="16" t="n">
        <f aca="false">IF(D250="","",(I250+M250)/2)</f>
        <v>3.22867563755504</v>
      </c>
      <c r="O250" s="16" t="n">
        <f aca="false">IF(D250="","",G250*N250)</f>
        <v>0.722254740121062</v>
      </c>
      <c r="P250" s="16" t="n">
        <f aca="false">IF(D250="","",H250+E250-K250-O250)</f>
        <v>10.267898636579</v>
      </c>
      <c r="Q250" s="16" t="n">
        <f aca="false">IF(D250="","",IF(P250&gt;=0,K250,MAX(0,K250+P250)))</f>
        <v>0.9072</v>
      </c>
      <c r="R250" s="16" t="n">
        <f aca="false">IF(D250="","",Q250/$B$15)</f>
        <v>0.35</v>
      </c>
      <c r="S250" s="16" t="n">
        <f aca="false">IF(D250="","",MAX(0,J250-R250))</f>
        <v>0</v>
      </c>
      <c r="T250" s="16" t="n">
        <f aca="false">IF(D250="","",MAX(0,Z250-$B$8))</f>
        <v>0</v>
      </c>
      <c r="U250" s="16" t="n">
        <f aca="false">IF(D250="","",MAX(0,MIN($B$8,Z250)))</f>
        <v>10.267898636579</v>
      </c>
      <c r="V250" s="16" t="str">
        <f aca="false">IF(D250="","",IF(S250&gt;0.0000001,"Sim","Não"))</f>
        <v>Não</v>
      </c>
      <c r="W250" s="16" t="n">
        <f aca="false">IF(D250="","",U250-(H250+E250-Q250-O250-T250))</f>
        <v>0</v>
      </c>
      <c r="X250" s="16" t="n">
        <f aca="false">IF(W250="","",ABS(W250))</f>
        <v>0</v>
      </c>
      <c r="Y250" s="16" t="n">
        <f aca="false">IF(U250="","",IF($B$8=0,0,U250/$B$8*100))</f>
        <v>21.7448086331617</v>
      </c>
      <c r="Z250" s="18" t="n">
        <f aca="false">IF(D250="","",MAX(0,IF(P250&gt;=0,P250,IF(K250+P250&gt;=0,0,P250+K250))))</f>
        <v>10.267898636579</v>
      </c>
      <c r="AA250" s="18" t="n">
        <f aca="false">IF(D250="","",IF(H250&lt;=$B$16,1,IF(H250&gt;=$B$17,$B$21,MATCH(H250,Aux_CAV!$A$2:$A$121,1))))</f>
        <v>10</v>
      </c>
      <c r="AB250" s="18" t="n">
        <f aca="false">IF(D250="","",IF(L250&lt;=$B$16,1,IF(L250&gt;=$B$17,$B$21,MATCH(L250,Aux_CAV!$A$2:$A$121,1))))</f>
        <v>10</v>
      </c>
      <c r="AC250" s="19" t="n">
        <f aca="false">IF(D250="","",COUNT($D$24:D250))</f>
        <v>215</v>
      </c>
    </row>
    <row r="251" customFormat="false" ht="12.75" hidden="false" customHeight="true" outlineLevel="0" collapsed="false">
      <c r="A251" s="14" t="n">
        <f aca="false">IF(D251="","",DATE(B251,C251,1))</f>
        <v>10563</v>
      </c>
      <c r="B251" s="15" t="n">
        <f aca="false" t="array" ref="B251:B251">IF(D251="","",IFERROR(VALUE(INDEX(Vazoes_COLAR!$A$2:$A$200,INT((ROW()-24)/12)+1)),""))</f>
        <v>1928</v>
      </c>
      <c r="C251" s="15" t="n">
        <f aca="false">IF(D251="","",MOD(ROW()-24,12)+1)</f>
        <v>12</v>
      </c>
      <c r="D251" s="16" t="n">
        <f aca="false" t="array" ref="D251: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0.0306056386997529</v>
      </c>
      <c r="E251" s="16" t="n">
        <f aca="false">IF(D251="","",D251*$B$15)</f>
        <v>0.0793298155097595</v>
      </c>
      <c r="F251" s="16" t="n">
        <f aca="false" t="array" ref="F251:F251">IF(D251="","",IFERROR(INDEX(Dados_Evap!$C$2:$N$15,MATCH($B$9,Dados_Evap!$A$2:$A$15,0),C251),0))</f>
        <v>216.1</v>
      </c>
      <c r="G251" s="16" t="n">
        <f aca="false">IF(F251="","",F251/1000)</f>
        <v>0.2161</v>
      </c>
      <c r="H251" s="16" t="n">
        <f aca="false">IF(D251="","",MAX(0,MIN($B$8,IFERROR(LOOKUP(2,1/($U$24:U250&lt;&gt;""),$U$24:U250),$B$11))))</f>
        <v>10.267898636579</v>
      </c>
      <c r="I251" s="16" t="n">
        <f aca="false" t="array" ref="I251: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>3.1610854719435</v>
      </c>
      <c r="J251" s="16" t="n">
        <f aca="false">IF(D251="","",$B$12)</f>
        <v>0.35</v>
      </c>
      <c r="K251" s="16" t="n">
        <f aca="false">IF(J251="","",J251*$B$15)</f>
        <v>0.9072</v>
      </c>
      <c r="L251" s="16" t="n">
        <f aca="false">IF(D251="","",H251+E251-K251-G251*I251)</f>
        <v>8.75691788160173</v>
      </c>
      <c r="M251" s="16" t="n">
        <f aca="false" t="array" ref="M251: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>2.93518990865755</v>
      </c>
      <c r="N251" s="16" t="n">
        <f aca="false">IF(D251="","",(I251+M251)/2)</f>
        <v>3.04813769030052</v>
      </c>
      <c r="O251" s="16" t="n">
        <f aca="false">IF(D251="","",G251*N251)</f>
        <v>0.658702554873943</v>
      </c>
      <c r="P251" s="16" t="n">
        <f aca="false">IF(D251="","",H251+E251-K251-O251)</f>
        <v>8.78132589721477</v>
      </c>
      <c r="Q251" s="16" t="n">
        <f aca="false">IF(D251="","",IF(P251&gt;=0,K251,MAX(0,K251+P251)))</f>
        <v>0.9072</v>
      </c>
      <c r="R251" s="16" t="n">
        <f aca="false">IF(D251="","",Q251/$B$15)</f>
        <v>0.35</v>
      </c>
      <c r="S251" s="16" t="n">
        <f aca="false">IF(D251="","",MAX(0,J251-R251))</f>
        <v>0</v>
      </c>
      <c r="T251" s="16" t="n">
        <f aca="false">IF(D251="","",MAX(0,Z251-$B$8))</f>
        <v>0</v>
      </c>
      <c r="U251" s="16" t="n">
        <f aca="false">IF(D251="","",MAX(0,MIN($B$8,Z251)))</f>
        <v>8.78132589721477</v>
      </c>
      <c r="V251" s="16" t="str">
        <f aca="false">IF(D251="","",IF(S251&gt;0.0000001,"Sim","Não"))</f>
        <v>Não</v>
      </c>
      <c r="W251" s="16" t="n">
        <f aca="false">IF(D251="","",U251-(H251+E251-Q251-O251-T251))</f>
        <v>0</v>
      </c>
      <c r="X251" s="16" t="n">
        <f aca="false">IF(W251="","",ABS(W251))</f>
        <v>0</v>
      </c>
      <c r="Y251" s="16" t="n">
        <f aca="false">IF(U251="","",IF($B$8=0,0,U251/$B$8*100))</f>
        <v>18.5966240940592</v>
      </c>
      <c r="Z251" s="18" t="n">
        <f aca="false">IF(D251="","",MAX(0,IF(P251&gt;=0,P251,IF(K251+P251&gt;=0,0,P251+K251))))</f>
        <v>8.78132589721477</v>
      </c>
      <c r="AA251" s="18" t="n">
        <f aca="false">IF(D251="","",IF(H251&lt;=$B$16,1,IF(H251&gt;=$B$17,$B$21,MATCH(H251,Aux_CAV!$A$2:$A$121,1))))</f>
        <v>10</v>
      </c>
      <c r="AB251" s="18" t="n">
        <f aca="false">IF(D251="","",IF(L251&lt;=$B$16,1,IF(L251&gt;=$B$17,$B$21,MATCH(L251,Aux_CAV!$A$2:$A$121,1))))</f>
        <v>9</v>
      </c>
      <c r="AC251" s="19" t="n">
        <f aca="false">IF(D251="","",COUNT($D$24:D251))</f>
        <v>216</v>
      </c>
    </row>
    <row r="252" customFormat="false" ht="12.75" hidden="false" customHeight="true" outlineLevel="0" collapsed="false">
      <c r="A252" s="14" t="n">
        <f aca="false">IF(D252="","",DATE(B252,C252,1))</f>
        <v>10594</v>
      </c>
      <c r="B252" s="15" t="n">
        <f aca="false" t="array" ref="B252:B252">IF(D252="","",IFERROR(VALUE(INDEX(Vazoes_COLAR!$A$2:$A$200,INT((ROW()-24)/12)+1)),""))</f>
        <v>1929</v>
      </c>
      <c r="C252" s="15" t="n">
        <f aca="false">IF(D252="","",MOD(ROW()-24,12)+1)</f>
        <v>1</v>
      </c>
      <c r="D252" s="16" t="n">
        <f aca="false" t="array" ref="D252: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0.0776532358281536</v>
      </c>
      <c r="E252" s="16" t="n">
        <f aca="false">IF(D252="","",D252*$B$15)</f>
        <v>0.201277187266574</v>
      </c>
      <c r="F252" s="16" t="n">
        <f aca="false" t="array" ref="F252:F252">IF(D252="","",IFERROR(INDEX(Dados_Evap!$C$2:$N$15,MATCH($B$9,Dados_Evap!$A$2:$A$15,0),C252),0))</f>
        <v>160</v>
      </c>
      <c r="G252" s="16" t="n">
        <f aca="false">IF(F252="","",F252/1000)</f>
        <v>0.16</v>
      </c>
      <c r="H252" s="16" t="n">
        <f aca="false">IF(D252="","",MAX(0,MIN($B$8,IFERROR(LOOKUP(2,1/($U$24:U251&lt;&gt;""),$U$24:U251),$B$11))))</f>
        <v>8.78132589721477</v>
      </c>
      <c r="I252" s="16" t="n">
        <f aca="false" t="array" ref="I252: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>2.94261617723769</v>
      </c>
      <c r="J252" s="16" t="n">
        <f aca="false">IF(D252="","",$B$12)</f>
        <v>0.35</v>
      </c>
      <c r="K252" s="16" t="n">
        <f aca="false">IF(J252="","",J252*$B$15)</f>
        <v>0.9072</v>
      </c>
      <c r="L252" s="16" t="n">
        <f aca="false">IF(D252="","",H252+E252-K252-G252*I252)</f>
        <v>7.60458449612332</v>
      </c>
      <c r="M252" s="16" t="n">
        <f aca="false" t="array" ref="M252: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>2.58458634669284</v>
      </c>
      <c r="N252" s="16" t="n">
        <f aca="false">IF(D252="","",(I252+M252)/2)</f>
        <v>2.76360126196526</v>
      </c>
      <c r="O252" s="16" t="n">
        <f aca="false">IF(D252="","",G252*N252)</f>
        <v>0.442176201914442</v>
      </c>
      <c r="P252" s="16" t="n">
        <f aca="false">IF(D252="","",H252+E252-K252-O252)</f>
        <v>7.63322688256691</v>
      </c>
      <c r="Q252" s="16" t="n">
        <f aca="false">IF(D252="","",IF(P252&gt;=0,K252,MAX(0,K252+P252)))</f>
        <v>0.9072</v>
      </c>
      <c r="R252" s="16" t="n">
        <f aca="false">IF(D252="","",Q252/$B$15)</f>
        <v>0.35</v>
      </c>
      <c r="S252" s="16" t="n">
        <f aca="false">IF(D252="","",MAX(0,J252-R252))</f>
        <v>0</v>
      </c>
      <c r="T252" s="16" t="n">
        <f aca="false">IF(D252="","",MAX(0,Z252-$B$8))</f>
        <v>0</v>
      </c>
      <c r="U252" s="16" t="n">
        <f aca="false">IF(D252="","",MAX(0,MIN($B$8,Z252)))</f>
        <v>7.63322688256691</v>
      </c>
      <c r="V252" s="16" t="str">
        <f aca="false">IF(D252="","",IF(S252&gt;0.0000001,"Sim","Não"))</f>
        <v>Não</v>
      </c>
      <c r="W252" s="16" t="n">
        <f aca="false">IF(D252="","",U252-(H252+E252-Q252-O252-T252))</f>
        <v>0</v>
      </c>
      <c r="X252" s="16" t="n">
        <f aca="false">IF(W252="","",ABS(W252))</f>
        <v>0</v>
      </c>
      <c r="Y252" s="16" t="n">
        <f aca="false">IF(U252="","",IF($B$8=0,0,U252/$B$8*100))</f>
        <v>16.1652411744323</v>
      </c>
      <c r="Z252" s="18" t="n">
        <f aca="false">IF(D252="","",MAX(0,IF(P252&gt;=0,P252,IF(K252+P252&gt;=0,0,P252+K252))))</f>
        <v>7.63322688256691</v>
      </c>
      <c r="AA252" s="18" t="n">
        <f aca="false">IF(D252="","",IF(H252&lt;=$B$16,1,IF(H252&gt;=$B$17,$B$21,MATCH(H252,Aux_CAV!$A$2:$A$121,1))))</f>
        <v>9</v>
      </c>
      <c r="AB252" s="18" t="n">
        <f aca="false">IF(D252="","",IF(L252&lt;=$B$16,1,IF(L252&gt;=$B$17,$B$21,MATCH(L252,Aux_CAV!$A$2:$A$121,1))))</f>
        <v>9</v>
      </c>
      <c r="AC252" s="19" t="n">
        <f aca="false">IF(D252="","",COUNT($D$24:D252))</f>
        <v>217</v>
      </c>
    </row>
    <row r="253" customFormat="false" ht="12.75" hidden="false" customHeight="true" outlineLevel="0" collapsed="false">
      <c r="A253" s="14" t="n">
        <f aca="false">IF(D253="","",DATE(B253,C253,1))</f>
        <v>10625</v>
      </c>
      <c r="B253" s="15" t="n">
        <f aca="false" t="array" ref="B253:B253">IF(D253="","",IFERROR(VALUE(INDEX(Vazoes_COLAR!$A$2:$A$200,INT((ROW()-24)/12)+1)),""))</f>
        <v>1929</v>
      </c>
      <c r="C253" s="15" t="n">
        <f aca="false">IF(D253="","",MOD(ROW()-24,12)+1)</f>
        <v>2</v>
      </c>
      <c r="D253" s="16" t="n">
        <f aca="false" t="array" ref="D253: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0.518866387270214</v>
      </c>
      <c r="E253" s="16" t="n">
        <f aca="false">IF(D253="","",D253*$B$15)</f>
        <v>1.34490167580439</v>
      </c>
      <c r="F253" s="16" t="n">
        <f aca="false" t="array" ref="F253:F253">IF(D253="","",IFERROR(INDEX(Dados_Evap!$C$2:$N$15,MATCH($B$9,Dados_Evap!$A$2:$A$15,0),C253),0))</f>
        <v>124.3</v>
      </c>
      <c r="G253" s="16" t="n">
        <f aca="false">IF(F253="","",F253/1000)</f>
        <v>0.1243</v>
      </c>
      <c r="H253" s="16" t="n">
        <f aca="false">IF(D253="","",MAX(0,MIN($B$8,IFERROR(LOOKUP(2,1/($U$24:U252&lt;&gt;""),$U$24:U252),$B$11))))</f>
        <v>7.63322688256691</v>
      </c>
      <c r="I253" s="16" t="n">
        <f aca="false" t="array" ref="I253: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>2.59330094512142</v>
      </c>
      <c r="J253" s="16" t="n">
        <f aca="false">IF(D253="","",$B$12)</f>
        <v>0.35</v>
      </c>
      <c r="K253" s="16" t="n">
        <f aca="false">IF(J253="","",J253*$B$15)</f>
        <v>0.9072</v>
      </c>
      <c r="L253" s="16" t="n">
        <f aca="false">IF(D253="","",H253+E253-K253-G253*I253)</f>
        <v>7.74858125089271</v>
      </c>
      <c r="M253" s="16" t="n">
        <f aca="false" t="array" ref="M253: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>2.62839812527161</v>
      </c>
      <c r="N253" s="16" t="n">
        <f aca="false">IF(D253="","",(I253+M253)/2)</f>
        <v>2.61084953519652</v>
      </c>
      <c r="O253" s="16" t="n">
        <f aca="false">IF(D253="","",G253*N253)</f>
        <v>0.324528597224927</v>
      </c>
      <c r="P253" s="16" t="n">
        <f aca="false">IF(D253="","",H253+E253-K253-O253)</f>
        <v>7.74639996114637</v>
      </c>
      <c r="Q253" s="16" t="n">
        <f aca="false">IF(D253="","",IF(P253&gt;=0,K253,MAX(0,K253+P253)))</f>
        <v>0.9072</v>
      </c>
      <c r="R253" s="16" t="n">
        <f aca="false">IF(D253="","",Q253/$B$15)</f>
        <v>0.35</v>
      </c>
      <c r="S253" s="16" t="n">
        <f aca="false">IF(D253="","",MAX(0,J253-R253))</f>
        <v>0</v>
      </c>
      <c r="T253" s="16" t="n">
        <f aca="false">IF(D253="","",MAX(0,Z253-$B$8))</f>
        <v>0</v>
      </c>
      <c r="U253" s="16" t="n">
        <f aca="false">IF(D253="","",MAX(0,MIN($B$8,Z253)))</f>
        <v>7.74639996114637</v>
      </c>
      <c r="V253" s="16" t="str">
        <f aca="false">IF(D253="","",IF(S253&gt;0.0000001,"Sim","Não"))</f>
        <v>Não</v>
      </c>
      <c r="W253" s="16" t="n">
        <f aca="false">IF(D253="","",U253-(H253+E253-Q253-O253-T253))</f>
        <v>0</v>
      </c>
      <c r="X253" s="16" t="n">
        <f aca="false">IF(W253="","",ABS(W253))</f>
        <v>0</v>
      </c>
      <c r="Y253" s="16" t="n">
        <f aca="false">IF(U253="","",IF($B$8=0,0,U253/$B$8*100))</f>
        <v>16.4049130901024</v>
      </c>
      <c r="Z253" s="18" t="n">
        <f aca="false">IF(D253="","",MAX(0,IF(P253&gt;=0,P253,IF(K253+P253&gt;=0,0,P253+K253))))</f>
        <v>7.74639996114637</v>
      </c>
      <c r="AA253" s="18" t="n">
        <f aca="false">IF(D253="","",IF(H253&lt;=$B$16,1,IF(H253&gt;=$B$17,$B$21,MATCH(H253,Aux_CAV!$A$2:$A$121,1))))</f>
        <v>9</v>
      </c>
      <c r="AB253" s="18" t="n">
        <f aca="false">IF(D253="","",IF(L253&lt;=$B$16,1,IF(L253&gt;=$B$17,$B$21,MATCH(L253,Aux_CAV!$A$2:$A$121,1))))</f>
        <v>9</v>
      </c>
      <c r="AC253" s="19" t="n">
        <f aca="false">IF(D253="","",COUNT($D$24:D253))</f>
        <v>218</v>
      </c>
    </row>
    <row r="254" customFormat="false" ht="12.75" hidden="false" customHeight="true" outlineLevel="0" collapsed="false">
      <c r="A254" s="14" t="n">
        <f aca="false">IF(D254="","",DATE(B254,C254,1))</f>
        <v>10653</v>
      </c>
      <c r="B254" s="15" t="n">
        <f aca="false" t="array" ref="B254:B254">IF(D254="","",IFERROR(VALUE(INDEX(Vazoes_COLAR!$A$2:$A$200,INT((ROW()-24)/12)+1)),""))</f>
        <v>1929</v>
      </c>
      <c r="C254" s="15" t="n">
        <f aca="false">IF(D254="","",MOD(ROW()-24,12)+1)</f>
        <v>3</v>
      </c>
      <c r="D254" s="16" t="n">
        <f aca="false" t="array" ref="D254: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1.4362884674784</v>
      </c>
      <c r="E254" s="16" t="n">
        <f aca="false">IF(D254="","",D254*$B$15)</f>
        <v>3.72285970770401</v>
      </c>
      <c r="F254" s="16" t="n">
        <f aca="false" t="array" ref="F254:F254">IF(D254="","",IFERROR(INDEX(Dados_Evap!$C$2:$N$15,MATCH($B$9,Dados_Evap!$A$2:$A$15,0),C254),0))</f>
        <v>107.7</v>
      </c>
      <c r="G254" s="16" t="n">
        <f aca="false">IF(F254="","",F254/1000)</f>
        <v>0.1077</v>
      </c>
      <c r="H254" s="16" t="n">
        <f aca="false">IF(D254="","",MAX(0,MIN($B$8,IFERROR(LOOKUP(2,1/($U$24:U253&lt;&gt;""),$U$24:U253),$B$11))))</f>
        <v>7.74639996114637</v>
      </c>
      <c r="I254" s="16" t="n">
        <f aca="false" t="array" ref="I254: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>2.62773445626368</v>
      </c>
      <c r="J254" s="16" t="n">
        <f aca="false">IF(D254="","",$B$12)</f>
        <v>0.35</v>
      </c>
      <c r="K254" s="16" t="n">
        <f aca="false">IF(J254="","",J254*$B$15)</f>
        <v>0.9072</v>
      </c>
      <c r="L254" s="16" t="n">
        <f aca="false">IF(D254="","",H254+E254-K254-G254*I254)</f>
        <v>10.2790526679108</v>
      </c>
      <c r="M254" s="16" t="n">
        <f aca="false" t="array" ref="M254: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>3.16203684520416</v>
      </c>
      <c r="N254" s="16" t="n">
        <f aca="false">IF(D254="","",(I254+M254)/2)</f>
        <v>2.89488565073392</v>
      </c>
      <c r="O254" s="16" t="n">
        <f aca="false">IF(D254="","",G254*N254)</f>
        <v>0.311779184584043</v>
      </c>
      <c r="P254" s="16" t="n">
        <f aca="false">IF(D254="","",H254+E254-K254-O254)</f>
        <v>10.2502804842663</v>
      </c>
      <c r="Q254" s="16" t="n">
        <f aca="false">IF(D254="","",IF(P254&gt;=0,K254,MAX(0,K254+P254)))</f>
        <v>0.9072</v>
      </c>
      <c r="R254" s="16" t="n">
        <f aca="false">IF(D254="","",Q254/$B$15)</f>
        <v>0.35</v>
      </c>
      <c r="S254" s="16" t="n">
        <f aca="false">IF(D254="","",MAX(0,J254-R254))</f>
        <v>0</v>
      </c>
      <c r="T254" s="16" t="n">
        <f aca="false">IF(D254="","",MAX(0,Z254-$B$8))</f>
        <v>0</v>
      </c>
      <c r="U254" s="16" t="n">
        <f aca="false">IF(D254="","",MAX(0,MIN($B$8,Z254)))</f>
        <v>10.2502804842663</v>
      </c>
      <c r="V254" s="16" t="str">
        <f aca="false">IF(D254="","",IF(S254&gt;0.0000001,"Sim","Não"))</f>
        <v>Não</v>
      </c>
      <c r="W254" s="16" t="n">
        <f aca="false">IF(D254="","",U254-(H254+E254-Q254-O254-T254))</f>
        <v>0</v>
      </c>
      <c r="X254" s="16" t="n">
        <f aca="false">IF(W254="","",ABS(W254))</f>
        <v>0</v>
      </c>
      <c r="Y254" s="16" t="n">
        <f aca="false">IF(U254="","",IF($B$8=0,0,U254/$B$8*100))</f>
        <v>21.7074978489334</v>
      </c>
      <c r="Z254" s="18" t="n">
        <f aca="false">IF(D254="","",MAX(0,IF(P254&gt;=0,P254,IF(K254+P254&gt;=0,0,P254+K254))))</f>
        <v>10.2502804842663</v>
      </c>
      <c r="AA254" s="18" t="n">
        <f aca="false">IF(D254="","",IF(H254&lt;=$B$16,1,IF(H254&gt;=$B$17,$B$21,MATCH(H254,Aux_CAV!$A$2:$A$121,1))))</f>
        <v>9</v>
      </c>
      <c r="AB254" s="18" t="n">
        <f aca="false">IF(D254="","",IF(L254&lt;=$B$16,1,IF(L254&gt;=$B$17,$B$21,MATCH(L254,Aux_CAV!$A$2:$A$121,1))))</f>
        <v>10</v>
      </c>
      <c r="AC254" s="19" t="n">
        <f aca="false">IF(D254="","",COUNT($D$24:D254))</f>
        <v>219</v>
      </c>
    </row>
    <row r="255" customFormat="false" ht="12.75" hidden="false" customHeight="true" outlineLevel="0" collapsed="false">
      <c r="A255" s="14" t="n">
        <f aca="false">IF(D255="","",DATE(B255,C255,1))</f>
        <v>10684</v>
      </c>
      <c r="B255" s="15" t="n">
        <f aca="false" t="array" ref="B255:B255">IF(D255="","",IFERROR(VALUE(INDEX(Vazoes_COLAR!$A$2:$A$200,INT((ROW()-24)/12)+1)),""))</f>
        <v>1929</v>
      </c>
      <c r="C255" s="15" t="n">
        <f aca="false">IF(D255="","",MOD(ROW()-24,12)+1)</f>
        <v>4</v>
      </c>
      <c r="D255" s="16" t="n">
        <f aca="false" t="array" ref="D255: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1.32570557063252</v>
      </c>
      <c r="E255" s="16" t="n">
        <f aca="false">IF(D255="","",D255*$B$15)</f>
        <v>3.43622883907949</v>
      </c>
      <c r="F255" s="16" t="n">
        <f aca="false" t="array" ref="F255:F255">IF(D255="","",IFERROR(INDEX(Dados_Evap!$C$2:$N$15,MATCH($B$9,Dados_Evap!$A$2:$A$15,0),C255),0))</f>
        <v>100.5</v>
      </c>
      <c r="G255" s="16" t="n">
        <f aca="false">IF(F255="","",F255/1000)</f>
        <v>0.1005</v>
      </c>
      <c r="H255" s="16" t="n">
        <f aca="false">IF(D255="","",MAX(0,MIN($B$8,IFERROR(LOOKUP(2,1/($U$24:U254&lt;&gt;""),$U$24:U254),$B$11))))</f>
        <v>10.2502804842663</v>
      </c>
      <c r="I255" s="16" t="n">
        <f aca="false" t="array" ref="I255: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>3.15958274718742</v>
      </c>
      <c r="J255" s="16" t="n">
        <f aca="false">IF(D255="","",$B$12)</f>
        <v>0.35</v>
      </c>
      <c r="K255" s="16" t="n">
        <f aca="false">IF(J255="","",J255*$B$15)</f>
        <v>0.9072</v>
      </c>
      <c r="L255" s="16" t="n">
        <f aca="false">IF(D255="","",H255+E255-K255-G255*I255)</f>
        <v>12.4617712572535</v>
      </c>
      <c r="M255" s="16" t="n">
        <f aca="false" t="array" ref="M255: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>3.34820990135398</v>
      </c>
      <c r="N255" s="16" t="n">
        <f aca="false">IF(D255="","",(I255+M255)/2)</f>
        <v>3.2538963242707</v>
      </c>
      <c r="O255" s="16" t="n">
        <f aca="false">IF(D255="","",G255*N255)</f>
        <v>0.327016580589205</v>
      </c>
      <c r="P255" s="16" t="n">
        <f aca="false">IF(D255="","",H255+E255-K255-O255)</f>
        <v>12.4522927427566</v>
      </c>
      <c r="Q255" s="16" t="n">
        <f aca="false">IF(D255="","",IF(P255&gt;=0,K255,MAX(0,K255+P255)))</f>
        <v>0.9072</v>
      </c>
      <c r="R255" s="16" t="n">
        <f aca="false">IF(D255="","",Q255/$B$15)</f>
        <v>0.35</v>
      </c>
      <c r="S255" s="16" t="n">
        <f aca="false">IF(D255="","",MAX(0,J255-R255))</f>
        <v>0</v>
      </c>
      <c r="T255" s="16" t="n">
        <f aca="false">IF(D255="","",MAX(0,Z255-$B$8))</f>
        <v>0</v>
      </c>
      <c r="U255" s="16" t="n">
        <f aca="false">IF(D255="","",MAX(0,MIN($B$8,Z255)))</f>
        <v>12.4522927427566</v>
      </c>
      <c r="V255" s="16" t="str">
        <f aca="false">IF(D255="","",IF(S255&gt;0.0000001,"Sim","Não"))</f>
        <v>Não</v>
      </c>
      <c r="W255" s="16" t="n">
        <f aca="false">IF(D255="","",U255-(H255+E255-Q255-O255-T255))</f>
        <v>0</v>
      </c>
      <c r="X255" s="16" t="n">
        <f aca="false">IF(W255="","",ABS(W255))</f>
        <v>0</v>
      </c>
      <c r="Y255" s="16" t="n">
        <f aca="false">IF(U255="","",IF($B$8=0,0,U255/$B$8*100))</f>
        <v>26.3708020812296</v>
      </c>
      <c r="Z255" s="18" t="n">
        <f aca="false">IF(D255="","",MAX(0,IF(P255&gt;=0,P255,IF(K255+P255&gt;=0,0,P255+K255))))</f>
        <v>12.4522927427566</v>
      </c>
      <c r="AA255" s="18" t="n">
        <f aca="false">IF(D255="","",IF(H255&lt;=$B$16,1,IF(H255&gt;=$B$17,$B$21,MATCH(H255,Aux_CAV!$A$2:$A$121,1))))</f>
        <v>10</v>
      </c>
      <c r="AB255" s="18" t="n">
        <f aca="false">IF(D255="","",IF(L255&lt;=$B$16,1,IF(L255&gt;=$B$17,$B$21,MATCH(L255,Aux_CAV!$A$2:$A$121,1))))</f>
        <v>10</v>
      </c>
      <c r="AC255" s="19" t="n">
        <f aca="false">IF(D255="","",COUNT($D$24:D255))</f>
        <v>220</v>
      </c>
    </row>
    <row r="256" customFormat="false" ht="12.75" hidden="false" customHeight="true" outlineLevel="0" collapsed="false">
      <c r="A256" s="14" t="n">
        <f aca="false">IF(D256="","",DATE(B256,C256,1))</f>
        <v>10714</v>
      </c>
      <c r="B256" s="15" t="n">
        <f aca="false" t="array" ref="B256:B256">IF(D256="","",IFERROR(VALUE(INDEX(Vazoes_COLAR!$A$2:$A$200,INT((ROW()-24)/12)+1)),""))</f>
        <v>1929</v>
      </c>
      <c r="C256" s="15" t="n">
        <f aca="false">IF(D256="","",MOD(ROW()-24,12)+1)</f>
        <v>5</v>
      </c>
      <c r="D256" s="16" t="n">
        <f aca="false" t="array" ref="D256: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0.437618599239633</v>
      </c>
      <c r="E256" s="16" t="n">
        <f aca="false">IF(D256="","",D256*$B$15)</f>
        <v>1.13430740922913</v>
      </c>
      <c r="F256" s="16" t="n">
        <f aca="false" t="array" ref="F256:F256">IF(D256="","",IFERROR(INDEX(Dados_Evap!$C$2:$N$15,MATCH($B$9,Dados_Evap!$A$2:$A$15,0),C256),0))</f>
        <v>145.8</v>
      </c>
      <c r="G256" s="16" t="n">
        <f aca="false">IF(F256="","",F256/1000)</f>
        <v>0.1458</v>
      </c>
      <c r="H256" s="16" t="n">
        <f aca="false">IF(D256="","",MAX(0,MIN($B$8,IFERROR(LOOKUP(2,1/($U$24:U255&lt;&gt;""),$U$24:U255),$B$11))))</f>
        <v>12.4522927427566</v>
      </c>
      <c r="I256" s="16" t="n">
        <f aca="false" t="array" ref="I256: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>3.34740143982336</v>
      </c>
      <c r="J256" s="16" t="n">
        <f aca="false">IF(D256="","",$B$12)</f>
        <v>0.35</v>
      </c>
      <c r="K256" s="16" t="n">
        <f aca="false">IF(J256="","",J256*$B$15)</f>
        <v>0.9072</v>
      </c>
      <c r="L256" s="16" t="n">
        <f aca="false">IF(D256="","",H256+E256-K256-G256*I256)</f>
        <v>12.1913490220595</v>
      </c>
      <c r="M256" s="16" t="n">
        <f aca="false" t="array" ref="M256: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>3.32514447541096</v>
      </c>
      <c r="N256" s="16" t="n">
        <f aca="false">IF(D256="","",(I256+M256)/2)</f>
        <v>3.33627295761716</v>
      </c>
      <c r="O256" s="16" t="n">
        <f aca="false">IF(D256="","",G256*N256)</f>
        <v>0.486428597220582</v>
      </c>
      <c r="P256" s="16" t="n">
        <f aca="false">IF(D256="","",H256+E256-K256-O256)</f>
        <v>12.1929715547652</v>
      </c>
      <c r="Q256" s="16" t="n">
        <f aca="false">IF(D256="","",IF(P256&gt;=0,K256,MAX(0,K256+P256)))</f>
        <v>0.9072</v>
      </c>
      <c r="R256" s="16" t="n">
        <f aca="false">IF(D256="","",Q256/$B$15)</f>
        <v>0.35</v>
      </c>
      <c r="S256" s="16" t="n">
        <f aca="false">IF(D256="","",MAX(0,J256-R256))</f>
        <v>0</v>
      </c>
      <c r="T256" s="16" t="n">
        <f aca="false">IF(D256="","",MAX(0,Z256-$B$8))</f>
        <v>0</v>
      </c>
      <c r="U256" s="16" t="n">
        <f aca="false">IF(D256="","",MAX(0,MIN($B$8,Z256)))</f>
        <v>12.1929715547652</v>
      </c>
      <c r="V256" s="16" t="str">
        <f aca="false">IF(D256="","",IF(S256&gt;0.0000001,"Sim","Não"))</f>
        <v>Não</v>
      </c>
      <c r="W256" s="16" t="n">
        <f aca="false">IF(D256="","",U256-(H256+E256-Q256-O256-T256))</f>
        <v>0</v>
      </c>
      <c r="X256" s="16" t="n">
        <f aca="false">IF(W256="","",ABS(W256))</f>
        <v>0</v>
      </c>
      <c r="Y256" s="16" t="n">
        <f aca="false">IF(U256="","",IF($B$8=0,0,U256/$B$8*100))</f>
        <v>25.8216254865845</v>
      </c>
      <c r="Z256" s="18" t="n">
        <f aca="false">IF(D256="","",MAX(0,IF(P256&gt;=0,P256,IF(K256+P256&gt;=0,0,P256+K256))))</f>
        <v>12.1929715547652</v>
      </c>
      <c r="AA256" s="18" t="n">
        <f aca="false">IF(D256="","",IF(H256&lt;=$B$16,1,IF(H256&gt;=$B$17,$B$21,MATCH(H256,Aux_CAV!$A$2:$A$121,1))))</f>
        <v>10</v>
      </c>
      <c r="AB256" s="18" t="n">
        <f aca="false">IF(D256="","",IF(L256&lt;=$B$16,1,IF(L256&gt;=$B$17,$B$21,MATCH(L256,Aux_CAV!$A$2:$A$121,1))))</f>
        <v>10</v>
      </c>
      <c r="AC256" s="19" t="n">
        <f aca="false">IF(D256="","",COUNT($D$24:D256))</f>
        <v>221</v>
      </c>
    </row>
    <row r="257" customFormat="false" ht="12.75" hidden="false" customHeight="true" outlineLevel="0" collapsed="false">
      <c r="A257" s="14" t="n">
        <f aca="false">IF(D257="","",DATE(B257,C257,1))</f>
        <v>10745</v>
      </c>
      <c r="B257" s="15" t="n">
        <f aca="false" t="array" ref="B257:B257">IF(D257="","",IFERROR(VALUE(INDEX(Vazoes_COLAR!$A$2:$A$200,INT((ROW()-24)/12)+1)),""))</f>
        <v>1929</v>
      </c>
      <c r="C257" s="15" t="n">
        <f aca="false">IF(D257="","",MOD(ROW()-24,12)+1)</f>
        <v>6</v>
      </c>
      <c r="D257" s="16" t="n">
        <f aca="false" t="array" ref="D257: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0.0713545851613346</v>
      </c>
      <c r="E257" s="16" t="n">
        <f aca="false">IF(D257="","",D257*$B$15)</f>
        <v>0.184951084738179</v>
      </c>
      <c r="F257" s="16" t="n">
        <f aca="false" t="array" ref="F257:F257">IF(D257="","",IFERROR(INDEX(Dados_Evap!$C$2:$N$15,MATCH($B$9,Dados_Evap!$A$2:$A$15,0),C257),0))</f>
        <v>161.3</v>
      </c>
      <c r="G257" s="16" t="n">
        <f aca="false">IF(F257="","",F257/1000)</f>
        <v>0.1613</v>
      </c>
      <c r="H257" s="16" t="n">
        <f aca="false">IF(D257="","",MAX(0,MIN($B$8,IFERROR(LOOKUP(2,1/($U$24:U256&lt;&gt;""),$U$24:U256),$B$11))))</f>
        <v>12.1929715547652</v>
      </c>
      <c r="I257" s="16" t="n">
        <f aca="false" t="array" ref="I257: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>3.32528286790644</v>
      </c>
      <c r="J257" s="16" t="n">
        <f aca="false">IF(D257="","",$B$12)</f>
        <v>0.35</v>
      </c>
      <c r="K257" s="16" t="n">
        <f aca="false">IF(J257="","",J257*$B$15)</f>
        <v>0.9072</v>
      </c>
      <c r="L257" s="16" t="n">
        <f aca="false">IF(D257="","",H257+E257-K257-G257*I257)</f>
        <v>10.93435451291</v>
      </c>
      <c r="M257" s="16" t="n">
        <f aca="false" t="array" ref="M257: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>3.21793023786586</v>
      </c>
      <c r="N257" s="16" t="n">
        <f aca="false">IF(D257="","",(I257+M257)/2)</f>
        <v>3.27160655288615</v>
      </c>
      <c r="O257" s="16" t="n">
        <f aca="false">IF(D257="","",G257*N257)</f>
        <v>0.527710136980536</v>
      </c>
      <c r="P257" s="16" t="n">
        <f aca="false">IF(D257="","",H257+E257-K257-O257)</f>
        <v>10.9430125025228</v>
      </c>
      <c r="Q257" s="16" t="n">
        <f aca="false">IF(D257="","",IF(P257&gt;=0,K257,MAX(0,K257+P257)))</f>
        <v>0.9072</v>
      </c>
      <c r="R257" s="16" t="n">
        <f aca="false">IF(D257="","",Q257/$B$15)</f>
        <v>0.35</v>
      </c>
      <c r="S257" s="16" t="n">
        <f aca="false">IF(D257="","",MAX(0,J257-R257))</f>
        <v>0</v>
      </c>
      <c r="T257" s="16" t="n">
        <f aca="false">IF(D257="","",MAX(0,Z257-$B$8))</f>
        <v>0</v>
      </c>
      <c r="U257" s="16" t="n">
        <f aca="false">IF(D257="","",MAX(0,MIN($B$8,Z257)))</f>
        <v>10.9430125025228</v>
      </c>
      <c r="V257" s="16" t="str">
        <f aca="false">IF(D257="","",IF(S257&gt;0.0000001,"Sim","Não"))</f>
        <v>Não</v>
      </c>
      <c r="W257" s="16" t="n">
        <f aca="false">IF(D257="","",U257-(H257+E257-Q257-O257-T257))</f>
        <v>0</v>
      </c>
      <c r="X257" s="16" t="n">
        <f aca="false">IF(W257="","",ABS(W257))</f>
        <v>0</v>
      </c>
      <c r="Y257" s="16" t="n">
        <f aca="false">IF(U257="","",IF($B$8=0,0,U257/$B$8*100))</f>
        <v>23.1745288066981</v>
      </c>
      <c r="Z257" s="18" t="n">
        <f aca="false">IF(D257="","",MAX(0,IF(P257&gt;=0,P257,IF(K257+P257&gt;=0,0,P257+K257))))</f>
        <v>10.9430125025228</v>
      </c>
      <c r="AA257" s="18" t="n">
        <f aca="false">IF(D257="","",IF(H257&lt;=$B$16,1,IF(H257&gt;=$B$17,$B$21,MATCH(H257,Aux_CAV!$A$2:$A$121,1))))</f>
        <v>10</v>
      </c>
      <c r="AB257" s="18" t="n">
        <f aca="false">IF(D257="","",IF(L257&lt;=$B$16,1,IF(L257&gt;=$B$17,$B$21,MATCH(L257,Aux_CAV!$A$2:$A$121,1))))</f>
        <v>10</v>
      </c>
      <c r="AC257" s="19" t="n">
        <f aca="false">IF(D257="","",COUNT($D$24:D257))</f>
        <v>222</v>
      </c>
    </row>
    <row r="258" customFormat="false" ht="12.75" hidden="false" customHeight="true" outlineLevel="0" collapsed="false">
      <c r="A258" s="14" t="n">
        <f aca="false">IF(D258="","",DATE(B258,C258,1))</f>
        <v>10775</v>
      </c>
      <c r="B258" s="15" t="n">
        <f aca="false" t="array" ref="B258:B258">IF(D258="","",IFERROR(VALUE(INDEX(Vazoes_COLAR!$A$2:$A$200,INT((ROW()-24)/12)+1)),""))</f>
        <v>1929</v>
      </c>
      <c r="C258" s="15" t="n">
        <f aca="false">IF(D258="","",MOD(ROW()-24,12)+1)</f>
        <v>7</v>
      </c>
      <c r="D258" s="16" t="n">
        <f aca="false" t="array" ref="D258: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0.0298435355344571</v>
      </c>
      <c r="E258" s="16" t="n">
        <f aca="false">IF(D258="","",D258*$B$15)</f>
        <v>0.0773544441053128</v>
      </c>
      <c r="F258" s="16" t="n">
        <f aca="false" t="array" ref="F258:F258">IF(D258="","",IFERROR(INDEX(Dados_Evap!$C$2:$N$15,MATCH($B$9,Dados_Evap!$A$2:$A$15,0),C258),0))</f>
        <v>224.8</v>
      </c>
      <c r="G258" s="16" t="n">
        <f aca="false">IF(F258="","",F258/1000)</f>
        <v>0.2248</v>
      </c>
      <c r="H258" s="16" t="n">
        <f aca="false">IF(D258="","",MAX(0,MIN($B$8,IFERROR(LOOKUP(2,1/($U$24:U257&lt;&gt;""),$U$24:U257),$B$11))))</f>
        <v>10.9430125025228</v>
      </c>
      <c r="I258" s="16" t="n">
        <f aca="false" t="array" ref="I258: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>3.21866871345048</v>
      </c>
      <c r="J258" s="16" t="n">
        <f aca="false">IF(D258="","",$B$12)</f>
        <v>0.35</v>
      </c>
      <c r="K258" s="16" t="n">
        <f aca="false">IF(J258="","",J258*$B$15)</f>
        <v>0.9072</v>
      </c>
      <c r="L258" s="16" t="n">
        <f aca="false">IF(D258="","",H258+E258-K258-G258*I258)</f>
        <v>9.38961021984447</v>
      </c>
      <c r="M258" s="16" t="n">
        <f aca="false" t="array" ref="M258: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>3.0861726363985</v>
      </c>
      <c r="N258" s="16" t="n">
        <f aca="false">IF(D258="","",(I258+M258)/2)</f>
        <v>3.15242067492449</v>
      </c>
      <c r="O258" s="16" t="n">
        <f aca="false">IF(D258="","",G258*N258)</f>
        <v>0.708664167723025</v>
      </c>
      <c r="P258" s="16" t="n">
        <f aca="false">IF(D258="","",H258+E258-K258-O258)</f>
        <v>9.40450277890511</v>
      </c>
      <c r="Q258" s="16" t="n">
        <f aca="false">IF(D258="","",IF(P258&gt;=0,K258,MAX(0,K258+P258)))</f>
        <v>0.9072</v>
      </c>
      <c r="R258" s="16" t="n">
        <f aca="false">IF(D258="","",Q258/$B$15)</f>
        <v>0.35</v>
      </c>
      <c r="S258" s="16" t="n">
        <f aca="false">IF(D258="","",MAX(0,J258-R258))</f>
        <v>0</v>
      </c>
      <c r="T258" s="16" t="n">
        <f aca="false">IF(D258="","",MAX(0,Z258-$B$8))</f>
        <v>0</v>
      </c>
      <c r="U258" s="16" t="n">
        <f aca="false">IF(D258="","",MAX(0,MIN($B$8,Z258)))</f>
        <v>9.40450277890511</v>
      </c>
      <c r="V258" s="16" t="str">
        <f aca="false">IF(D258="","",IF(S258&gt;0.0000001,"Sim","Não"))</f>
        <v>Não</v>
      </c>
      <c r="W258" s="16" t="n">
        <f aca="false">IF(D258="","",U258-(H258+E258-Q258-O258-T258))</f>
        <v>0</v>
      </c>
      <c r="X258" s="16" t="n">
        <f aca="false">IF(W258="","",ABS(W258))</f>
        <v>0</v>
      </c>
      <c r="Y258" s="16" t="n">
        <f aca="false">IF(U258="","",IF($B$8=0,0,U258/$B$8*100))</f>
        <v>19.9163548896762</v>
      </c>
      <c r="Z258" s="18" t="n">
        <f aca="false">IF(D258="","",MAX(0,IF(P258&gt;=0,P258,IF(K258+P258&gt;=0,0,P258+K258))))</f>
        <v>9.40450277890511</v>
      </c>
      <c r="AA258" s="18" t="n">
        <f aca="false">IF(D258="","",IF(H258&lt;=$B$16,1,IF(H258&gt;=$B$17,$B$21,MATCH(H258,Aux_CAV!$A$2:$A$121,1))))</f>
        <v>10</v>
      </c>
      <c r="AB258" s="18" t="n">
        <f aca="false">IF(D258="","",IF(L258&lt;=$B$16,1,IF(L258&gt;=$B$17,$B$21,MATCH(L258,Aux_CAV!$A$2:$A$121,1))))</f>
        <v>10</v>
      </c>
      <c r="AC258" s="19" t="n">
        <f aca="false">IF(D258="","",COUNT($D$24:D258))</f>
        <v>223</v>
      </c>
    </row>
    <row r="259" customFormat="false" ht="12.75" hidden="false" customHeight="true" outlineLevel="0" collapsed="false">
      <c r="A259" s="14" t="n">
        <f aca="false">IF(D259="","",DATE(B259,C259,1))</f>
        <v>10806</v>
      </c>
      <c r="B259" s="15" t="n">
        <f aca="false" t="array" ref="B259:B259">IF(D259="","",IFERROR(VALUE(INDEX(Vazoes_COLAR!$A$2:$A$200,INT((ROW()-24)/12)+1)),""))</f>
        <v>1929</v>
      </c>
      <c r="C259" s="15" t="n">
        <f aca="false">IF(D259="","",MOD(ROW()-24,12)+1)</f>
        <v>8</v>
      </c>
      <c r="D259" s="16" t="n">
        <f aca="false" t="array" ref="D259: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0.0104042072503821</v>
      </c>
      <c r="E259" s="16" t="n">
        <f aca="false">IF(D259="","",D259*$B$15)</f>
        <v>0.0269677051929904</v>
      </c>
      <c r="F259" s="16" t="n">
        <f aca="false" t="array" ref="F259:F259">IF(D259="","",IFERROR(INDEX(Dados_Evap!$C$2:$N$15,MATCH($B$9,Dados_Evap!$A$2:$A$15,0),C259),0))</f>
        <v>268.7</v>
      </c>
      <c r="G259" s="16" t="n">
        <f aca="false">IF(F259="","",F259/1000)</f>
        <v>0.2687</v>
      </c>
      <c r="H259" s="16" t="n">
        <f aca="false">IF(D259="","",MAX(0,MIN($B$8,IFERROR(LOOKUP(2,1/($U$24:U258&lt;&gt;""),$U$24:U258),$B$11))))</f>
        <v>9.40450277890511</v>
      </c>
      <c r="I259" s="16" t="n">
        <f aca="false" t="array" ref="I259: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>3.08744288408308</v>
      </c>
      <c r="J259" s="16" t="n">
        <f aca="false">IF(D259="","",$B$12)</f>
        <v>0.35</v>
      </c>
      <c r="K259" s="16" t="n">
        <f aca="false">IF(J259="","",J259*$B$15)</f>
        <v>0.9072</v>
      </c>
      <c r="L259" s="16" t="n">
        <f aca="false">IF(D259="","",H259+E259-K259-G259*I259)</f>
        <v>7.69467458114498</v>
      </c>
      <c r="M259" s="16" t="n">
        <f aca="false" t="array" ref="M259: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>2.61199673426326</v>
      </c>
      <c r="N259" s="16" t="n">
        <f aca="false">IF(D259="","",(I259+M259)/2)</f>
        <v>2.84971980917317</v>
      </c>
      <c r="O259" s="16" t="n">
        <f aca="false">IF(D259="","",G259*N259)</f>
        <v>0.765719712724831</v>
      </c>
      <c r="P259" s="16" t="n">
        <f aca="false">IF(D259="","",H259+E259-K259-O259)</f>
        <v>7.75855077137327</v>
      </c>
      <c r="Q259" s="16" t="n">
        <f aca="false">IF(D259="","",IF(P259&gt;=0,K259,MAX(0,K259+P259)))</f>
        <v>0.9072</v>
      </c>
      <c r="R259" s="16" t="n">
        <f aca="false">IF(D259="","",Q259/$B$15)</f>
        <v>0.35</v>
      </c>
      <c r="S259" s="16" t="n">
        <f aca="false">IF(D259="","",MAX(0,J259-R259))</f>
        <v>0</v>
      </c>
      <c r="T259" s="16" t="n">
        <f aca="false">IF(D259="","",MAX(0,Z259-$B$8))</f>
        <v>0</v>
      </c>
      <c r="U259" s="16" t="n">
        <f aca="false">IF(D259="","",MAX(0,MIN($B$8,Z259)))</f>
        <v>7.75855077137327</v>
      </c>
      <c r="V259" s="16" t="str">
        <f aca="false">IF(D259="","",IF(S259&gt;0.0000001,"Sim","Não"))</f>
        <v>Não</v>
      </c>
      <c r="W259" s="16" t="n">
        <f aca="false">IF(D259="","",U259-(H259+E259-Q259-O259-T259))</f>
        <v>0</v>
      </c>
      <c r="X259" s="16" t="n">
        <f aca="false">IF(W259="","",ABS(W259))</f>
        <v>0</v>
      </c>
      <c r="Y259" s="16" t="n">
        <f aca="false">IF(U259="","",IF($B$8=0,0,U259/$B$8*100))</f>
        <v>16.4306454285753</v>
      </c>
      <c r="Z259" s="18" t="n">
        <f aca="false">IF(D259="","",MAX(0,IF(P259&gt;=0,P259,IF(K259+P259&gt;=0,0,P259+K259))))</f>
        <v>7.75855077137327</v>
      </c>
      <c r="AA259" s="18" t="n">
        <f aca="false">IF(D259="","",IF(H259&lt;=$B$16,1,IF(H259&gt;=$B$17,$B$21,MATCH(H259,Aux_CAV!$A$2:$A$121,1))))</f>
        <v>10</v>
      </c>
      <c r="AB259" s="18" t="n">
        <f aca="false">IF(D259="","",IF(L259&lt;=$B$16,1,IF(L259&gt;=$B$17,$B$21,MATCH(L259,Aux_CAV!$A$2:$A$121,1))))</f>
        <v>9</v>
      </c>
      <c r="AC259" s="19" t="n">
        <f aca="false">IF(D259="","",COUNT($D$24:D259))</f>
        <v>224</v>
      </c>
    </row>
    <row r="260" customFormat="false" ht="12.75" hidden="false" customHeight="true" outlineLevel="0" collapsed="false">
      <c r="A260" s="14" t="n">
        <f aca="false">IF(D260="","",DATE(B260,C260,1))</f>
        <v>10837</v>
      </c>
      <c r="B260" s="15" t="n">
        <f aca="false" t="array" ref="B260:B260">IF(D260="","",IFERROR(VALUE(INDEX(Vazoes_COLAR!$A$2:$A$200,INT((ROW()-24)/12)+1)),""))</f>
        <v>1929</v>
      </c>
      <c r="C260" s="15" t="n">
        <f aca="false">IF(D260="","",MOD(ROW()-24,12)+1)</f>
        <v>9</v>
      </c>
      <c r="D260" s="16" t="n">
        <f aca="false" t="array" ref="D260: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0.0152479254509013</v>
      </c>
      <c r="E260" s="16" t="n">
        <f aca="false">IF(D260="","",D260*$B$15)</f>
        <v>0.0395226227687362</v>
      </c>
      <c r="F260" s="16" t="n">
        <f aca="false" t="array" ref="F260:F260">IF(D260="","",IFERROR(INDEX(Dados_Evap!$C$2:$N$15,MATCH($B$9,Dados_Evap!$A$2:$A$15,0),C260),0))</f>
        <v>292.8</v>
      </c>
      <c r="G260" s="16" t="n">
        <f aca="false">IF(F260="","",F260/1000)</f>
        <v>0.2928</v>
      </c>
      <c r="H260" s="16" t="n">
        <f aca="false">IF(D260="","",MAX(0,MIN($B$8,IFERROR(LOOKUP(2,1/($U$24:U259&lt;&gt;""),$U$24:U259),$B$11))))</f>
        <v>7.75855077137327</v>
      </c>
      <c r="I260" s="16" t="n">
        <f aca="false" t="array" ref="I260: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>2.63143140490719</v>
      </c>
      <c r="J260" s="16" t="n">
        <f aca="false">IF(D260="","",$B$12)</f>
        <v>0.35</v>
      </c>
      <c r="K260" s="16" t="n">
        <f aca="false">IF(J260="","",J260*$B$15)</f>
        <v>0.9072</v>
      </c>
      <c r="L260" s="16" t="n">
        <f aca="false">IF(D260="","",H260+E260-K260-G260*I260)</f>
        <v>6.12039027878518</v>
      </c>
      <c r="M260" s="16" t="n">
        <f aca="false" t="array" ref="M260: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>2.13301236141762</v>
      </c>
      <c r="N260" s="16" t="n">
        <f aca="false">IF(D260="","",(I260+M260)/2)</f>
        <v>2.3822218831624</v>
      </c>
      <c r="O260" s="16" t="n">
        <f aca="false">IF(D260="","",G260*N260)</f>
        <v>0.697514567389951</v>
      </c>
      <c r="P260" s="16" t="n">
        <f aca="false">IF(D260="","",H260+E260-K260-O260)</f>
        <v>6.19335882675205</v>
      </c>
      <c r="Q260" s="16" t="n">
        <f aca="false">IF(D260="","",IF(P260&gt;=0,K260,MAX(0,K260+P260)))</f>
        <v>0.9072</v>
      </c>
      <c r="R260" s="16" t="n">
        <f aca="false">IF(D260="","",Q260/$B$15)</f>
        <v>0.35</v>
      </c>
      <c r="S260" s="16" t="n">
        <f aca="false">IF(D260="","",MAX(0,J260-R260))</f>
        <v>0</v>
      </c>
      <c r="T260" s="16" t="n">
        <f aca="false">IF(D260="","",MAX(0,Z260-$B$8))</f>
        <v>0</v>
      </c>
      <c r="U260" s="16" t="n">
        <f aca="false">IF(D260="","",MAX(0,MIN($B$8,Z260)))</f>
        <v>6.19335882675205</v>
      </c>
      <c r="V260" s="16" t="str">
        <f aca="false">IF(D260="","",IF(S260&gt;0.0000001,"Sim","Não"))</f>
        <v>Não</v>
      </c>
      <c r="W260" s="16" t="n">
        <f aca="false">IF(D260="","",U260-(H260+E260-Q260-O260-T260))</f>
        <v>0</v>
      </c>
      <c r="X260" s="16" t="n">
        <f aca="false">IF(W260="","",ABS(W260))</f>
        <v>0</v>
      </c>
      <c r="Y260" s="16" t="n">
        <f aca="false">IF(U260="","",IF($B$8=0,0,U260/$B$8*100))</f>
        <v>13.1159653256079</v>
      </c>
      <c r="Z260" s="18" t="n">
        <f aca="false">IF(D260="","",MAX(0,IF(P260&gt;=0,P260,IF(K260+P260&gt;=0,0,P260+K260))))</f>
        <v>6.19335882675205</v>
      </c>
      <c r="AA260" s="18" t="n">
        <f aca="false">IF(D260="","",IF(H260&lt;=$B$16,1,IF(H260&gt;=$B$17,$B$21,MATCH(H260,Aux_CAV!$A$2:$A$121,1))))</f>
        <v>9</v>
      </c>
      <c r="AB260" s="18" t="n">
        <f aca="false">IF(D260="","",IF(L260&lt;=$B$16,1,IF(L260&gt;=$B$17,$B$21,MATCH(L260,Aux_CAV!$A$2:$A$121,1))))</f>
        <v>9</v>
      </c>
      <c r="AC260" s="19" t="n">
        <f aca="false">IF(D260="","",COUNT($D$24:D260))</f>
        <v>225</v>
      </c>
    </row>
    <row r="261" customFormat="false" ht="12.75" hidden="false" customHeight="true" outlineLevel="0" collapsed="false">
      <c r="A261" s="14" t="n">
        <f aca="false">IF(D261="","",DATE(B261,C261,1))</f>
        <v>10867</v>
      </c>
      <c r="B261" s="15" t="n">
        <f aca="false" t="array" ref="B261:B261">IF(D261="","",IFERROR(VALUE(INDEX(Vazoes_COLAR!$A$2:$A$200,INT((ROW()-24)/12)+1)),""))</f>
        <v>1929</v>
      </c>
      <c r="C261" s="15" t="n">
        <f aca="false">IF(D261="","",MOD(ROW()-24,12)+1)</f>
        <v>10</v>
      </c>
      <c r="D261" s="16" t="n">
        <f aca="false" t="array" ref="D261: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0.0250123530991479</v>
      </c>
      <c r="E261" s="16" t="n">
        <f aca="false">IF(D261="","",D261*$B$15)</f>
        <v>0.0648320192329914</v>
      </c>
      <c r="F261" s="16" t="n">
        <f aca="false" t="array" ref="F261:F261">IF(D261="","",IFERROR(INDEX(Dados_Evap!$C$2:$N$15,MATCH($B$9,Dados_Evap!$A$2:$A$15,0),C261),0))</f>
        <v>262.9</v>
      </c>
      <c r="G261" s="16" t="n">
        <f aca="false">IF(F261="","",F261/1000)</f>
        <v>0.2629</v>
      </c>
      <c r="H261" s="16" t="n">
        <f aca="false">IF(D261="","",MAX(0,MIN($B$8,IFERROR(LOOKUP(2,1/($U$24:U260&lt;&gt;""),$U$24:U260),$B$11))))</f>
        <v>6.19335882675205</v>
      </c>
      <c r="I261" s="16" t="n">
        <f aca="false" t="array" ref="I261: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>2.15521343026711</v>
      </c>
      <c r="J261" s="16" t="n">
        <f aca="false">IF(D261="","",$B$12)</f>
        <v>0.35</v>
      </c>
      <c r="K261" s="16" t="n">
        <f aca="false">IF(J261="","",J261*$B$15)</f>
        <v>0.9072</v>
      </c>
      <c r="L261" s="16" t="n">
        <f aca="false">IF(D261="","",H261+E261-K261-G261*I261)</f>
        <v>4.78438523516782</v>
      </c>
      <c r="M261" s="16" t="n">
        <f aca="false" t="array" ref="M261: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>1.72652572048723</v>
      </c>
      <c r="N261" s="16" t="n">
        <f aca="false">IF(D261="","",(I261+M261)/2)</f>
        <v>1.94086957537717</v>
      </c>
      <c r="O261" s="16" t="n">
        <f aca="false">IF(D261="","",G261*N261)</f>
        <v>0.510254611366659</v>
      </c>
      <c r="P261" s="16" t="n">
        <f aca="false">IF(D261="","",H261+E261-K261-O261)</f>
        <v>4.84073623461839</v>
      </c>
      <c r="Q261" s="16" t="n">
        <f aca="false">IF(D261="","",IF(P261&gt;=0,K261,MAX(0,K261+P261)))</f>
        <v>0.9072</v>
      </c>
      <c r="R261" s="16" t="n">
        <f aca="false">IF(D261="","",Q261/$B$15)</f>
        <v>0.35</v>
      </c>
      <c r="S261" s="16" t="n">
        <f aca="false">IF(D261="","",MAX(0,J261-R261))</f>
        <v>0</v>
      </c>
      <c r="T261" s="16" t="n">
        <f aca="false">IF(D261="","",MAX(0,Z261-$B$8))</f>
        <v>0</v>
      </c>
      <c r="U261" s="16" t="n">
        <f aca="false">IF(D261="","",MAX(0,MIN($B$8,Z261)))</f>
        <v>4.84073623461839</v>
      </c>
      <c r="V261" s="16" t="str">
        <f aca="false">IF(D261="","",IF(S261&gt;0.0000001,"Sim","Não"))</f>
        <v>Não</v>
      </c>
      <c r="W261" s="16" t="n">
        <f aca="false">IF(D261="","",U261-(H261+E261-Q261-O261-T261))</f>
        <v>0</v>
      </c>
      <c r="X261" s="16" t="n">
        <f aca="false">IF(W261="","",ABS(W261))</f>
        <v>0</v>
      </c>
      <c r="Y261" s="16" t="n">
        <f aca="false">IF(U261="","",IF($B$8=0,0,U261/$B$8*100))</f>
        <v>10.2514532711105</v>
      </c>
      <c r="Z261" s="18" t="n">
        <f aca="false">IF(D261="","",MAX(0,IF(P261&gt;=0,P261,IF(K261+P261&gt;=0,0,P261+K261))))</f>
        <v>4.84073623461839</v>
      </c>
      <c r="AA261" s="18" t="n">
        <f aca="false">IF(D261="","",IF(H261&lt;=$B$16,1,IF(H261&gt;=$B$17,$B$21,MATCH(H261,Aux_CAV!$A$2:$A$121,1))))</f>
        <v>9</v>
      </c>
      <c r="AB261" s="18" t="n">
        <f aca="false">IF(D261="","",IF(L261&lt;=$B$16,1,IF(L261&gt;=$B$17,$B$21,MATCH(L261,Aux_CAV!$A$2:$A$121,1))))</f>
        <v>9</v>
      </c>
      <c r="AC261" s="19" t="n">
        <f aca="false">IF(D261="","",COUNT($D$24:D261))</f>
        <v>226</v>
      </c>
    </row>
    <row r="262" customFormat="false" ht="12.75" hidden="false" customHeight="true" outlineLevel="0" collapsed="false">
      <c r="A262" s="14" t="n">
        <f aca="false">IF(D262="","",DATE(B262,C262,1))</f>
        <v>10898</v>
      </c>
      <c r="B262" s="15" t="n">
        <f aca="false" t="array" ref="B262:B262">IF(D262="","",IFERROR(VALUE(INDEX(Vazoes_COLAR!$A$2:$A$200,INT((ROW()-24)/12)+1)),""))</f>
        <v>1929</v>
      </c>
      <c r="C262" s="15" t="n">
        <f aca="false">IF(D262="","",MOD(ROW()-24,12)+1)</f>
        <v>11</v>
      </c>
      <c r="D262" s="16" t="n">
        <f aca="false" t="array" ref="D262: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0.00971376849111217</v>
      </c>
      <c r="E262" s="16" t="n">
        <f aca="false">IF(D262="","",D262*$B$15)</f>
        <v>0.0251780879289627</v>
      </c>
      <c r="F262" s="16" t="n">
        <f aca="false" t="array" ref="F262:F262">IF(D262="","",IFERROR(INDEX(Dados_Evap!$C$2:$N$15,MATCH($B$9,Dados_Evap!$A$2:$A$15,0),C262),0))</f>
        <v>223.7</v>
      </c>
      <c r="G262" s="16" t="n">
        <f aca="false">IF(F262="","",F262/1000)</f>
        <v>0.2237</v>
      </c>
      <c r="H262" s="16" t="n">
        <f aca="false">IF(D262="","",MAX(0,MIN($B$8,IFERROR(LOOKUP(2,1/($U$24:U261&lt;&gt;""),$U$24:U261),$B$11))))</f>
        <v>4.84073623461839</v>
      </c>
      <c r="I262" s="16" t="n">
        <f aca="false" t="array" ref="I262: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>1.74367081180942</v>
      </c>
      <c r="J262" s="16" t="n">
        <f aca="false">IF(D262="","",$B$12)</f>
        <v>0.35</v>
      </c>
      <c r="K262" s="16" t="n">
        <f aca="false">IF(J262="","",J262*$B$15)</f>
        <v>0.9072</v>
      </c>
      <c r="L262" s="16" t="n">
        <f aca="false">IF(D262="","",H262+E262-K262-G262*I262)</f>
        <v>3.56865516194558</v>
      </c>
      <c r="M262" s="16" t="n">
        <f aca="false" t="array" ref="M262: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>1.3866742040492</v>
      </c>
      <c r="N262" s="16" t="n">
        <f aca="false">IF(D262="","",(I262+M262)/2)</f>
        <v>1.56517250792931</v>
      </c>
      <c r="O262" s="16" t="n">
        <f aca="false">IF(D262="","",G262*N262)</f>
        <v>0.350129090023787</v>
      </c>
      <c r="P262" s="16" t="n">
        <f aca="false">IF(D262="","",H262+E262-K262-O262)</f>
        <v>3.60858523252356</v>
      </c>
      <c r="Q262" s="16" t="n">
        <f aca="false">IF(D262="","",IF(P262&gt;=0,K262,MAX(0,K262+P262)))</f>
        <v>0.9072</v>
      </c>
      <c r="R262" s="16" t="n">
        <f aca="false">IF(D262="","",Q262/$B$15)</f>
        <v>0.35</v>
      </c>
      <c r="S262" s="16" t="n">
        <f aca="false">IF(D262="","",MAX(0,J262-R262))</f>
        <v>0</v>
      </c>
      <c r="T262" s="16" t="n">
        <f aca="false">IF(D262="","",MAX(0,Z262-$B$8))</f>
        <v>0</v>
      </c>
      <c r="U262" s="16" t="n">
        <f aca="false">IF(D262="","",MAX(0,MIN($B$8,Z262)))</f>
        <v>3.60858523252356</v>
      </c>
      <c r="V262" s="16" t="str">
        <f aca="false">IF(D262="","",IF(S262&gt;0.0000001,"Sim","Não"))</f>
        <v>Não</v>
      </c>
      <c r="W262" s="16" t="n">
        <f aca="false">IF(D262="","",U262-(H262+E262-Q262-O262-T262))</f>
        <v>0</v>
      </c>
      <c r="X262" s="16" t="n">
        <f aca="false">IF(W262="","",ABS(W262))</f>
        <v>0</v>
      </c>
      <c r="Y262" s="16" t="n">
        <f aca="false">IF(U262="","",IF($B$8=0,0,U262/$B$8*100))</f>
        <v>7.642069530969</v>
      </c>
      <c r="Z262" s="18" t="n">
        <f aca="false">IF(D262="","",MAX(0,IF(P262&gt;=0,P262,IF(K262+P262&gt;=0,0,P262+K262))))</f>
        <v>3.60858523252356</v>
      </c>
      <c r="AA262" s="18" t="n">
        <f aca="false">IF(D262="","",IF(H262&lt;=$B$16,1,IF(H262&gt;=$B$17,$B$21,MATCH(H262,Aux_CAV!$A$2:$A$121,1))))</f>
        <v>9</v>
      </c>
      <c r="AB262" s="18" t="n">
        <f aca="false">IF(D262="","",IF(L262&lt;=$B$16,1,IF(L262&gt;=$B$17,$B$21,MATCH(L262,Aux_CAV!$A$2:$A$121,1))))</f>
        <v>8</v>
      </c>
      <c r="AC262" s="19" t="n">
        <f aca="false">IF(D262="","",COUNT($D$24:D262))</f>
        <v>227</v>
      </c>
    </row>
    <row r="263" customFormat="false" ht="12.75" hidden="false" customHeight="true" outlineLevel="0" collapsed="false">
      <c r="A263" s="14" t="n">
        <f aca="false">IF(D263="","",DATE(B263,C263,1))</f>
        <v>10928</v>
      </c>
      <c r="B263" s="15" t="n">
        <f aca="false" t="array" ref="B263:B263">IF(D263="","",IFERROR(VALUE(INDEX(Vazoes_COLAR!$A$2:$A$200,INT((ROW()-24)/12)+1)),""))</f>
        <v>1929</v>
      </c>
      <c r="C263" s="15" t="n">
        <f aca="false">IF(D263="","",MOD(ROW()-24,12)+1)</f>
        <v>12</v>
      </c>
      <c r="D263" s="16" t="n">
        <f aca="false" t="array" ref="D263: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0.0482776387335572</v>
      </c>
      <c r="E263" s="16" t="n">
        <f aca="false">IF(D263="","",D263*$B$15)</f>
        <v>0.12513563959738</v>
      </c>
      <c r="F263" s="16" t="n">
        <f aca="false" t="array" ref="F263:F263">IF(D263="","",IFERROR(INDEX(Dados_Evap!$C$2:$N$15,MATCH($B$9,Dados_Evap!$A$2:$A$15,0),C263),0))</f>
        <v>216.1</v>
      </c>
      <c r="G263" s="16" t="n">
        <f aca="false">IF(F263="","",F263/1000)</f>
        <v>0.2161</v>
      </c>
      <c r="H263" s="16" t="n">
        <f aca="false">IF(D263="","",MAX(0,MIN($B$8,IFERROR(LOOKUP(2,1/($U$24:U262&lt;&gt;""),$U$24:U262),$B$11))))</f>
        <v>3.60858523252356</v>
      </c>
      <c r="I263" s="16" t="n">
        <f aca="false" t="array" ref="I263: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>1.39753518324641</v>
      </c>
      <c r="J263" s="16" t="n">
        <f aca="false">IF(D263="","",$B$12)</f>
        <v>0.35</v>
      </c>
      <c r="K263" s="16" t="n">
        <f aca="false">IF(J263="","",J263*$B$15)</f>
        <v>0.9072</v>
      </c>
      <c r="L263" s="16" t="n">
        <f aca="false">IF(D263="","",H263+E263-K263-G263*I263)</f>
        <v>2.52451351902139</v>
      </c>
      <c r="M263" s="16" t="n">
        <f aca="false" t="array" ref="M263: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>1.10266767717382</v>
      </c>
      <c r="N263" s="16" t="n">
        <f aca="false">IF(D263="","",(I263+M263)/2)</f>
        <v>1.25010143021011</v>
      </c>
      <c r="O263" s="16" t="n">
        <f aca="false">IF(D263="","",G263*N263)</f>
        <v>0.270146919068406</v>
      </c>
      <c r="P263" s="16" t="n">
        <f aca="false">IF(D263="","",H263+E263-K263-O263)</f>
        <v>2.55637395305254</v>
      </c>
      <c r="Q263" s="16" t="n">
        <f aca="false">IF(D263="","",IF(P263&gt;=0,K263,MAX(0,K263+P263)))</f>
        <v>0.9072</v>
      </c>
      <c r="R263" s="16" t="n">
        <f aca="false">IF(D263="","",Q263/$B$15)</f>
        <v>0.35</v>
      </c>
      <c r="S263" s="16" t="n">
        <f aca="false">IF(D263="","",MAX(0,J263-R263))</f>
        <v>0</v>
      </c>
      <c r="T263" s="16" t="n">
        <f aca="false">IF(D263="","",MAX(0,Z263-$B$8))</f>
        <v>0</v>
      </c>
      <c r="U263" s="16" t="n">
        <f aca="false">IF(D263="","",MAX(0,MIN($B$8,Z263)))</f>
        <v>2.55637395305254</v>
      </c>
      <c r="V263" s="16" t="str">
        <f aca="false">IF(D263="","",IF(S263&gt;0.0000001,"Sim","Não"))</f>
        <v>Não</v>
      </c>
      <c r="W263" s="16" t="n">
        <f aca="false">IF(D263="","",U263-(H263+E263-Q263-O263-T263))</f>
        <v>0</v>
      </c>
      <c r="X263" s="16" t="n">
        <f aca="false">IF(W263="","",ABS(W263))</f>
        <v>0</v>
      </c>
      <c r="Y263" s="16" t="n">
        <f aca="false">IF(U263="","",IF($B$8=0,0,U263/$B$8*100))</f>
        <v>5.41375254776056</v>
      </c>
      <c r="Z263" s="18" t="n">
        <f aca="false">IF(D263="","",MAX(0,IF(P263&gt;=0,P263,IF(K263+P263&gt;=0,0,P263+K263))))</f>
        <v>2.55637395305254</v>
      </c>
      <c r="AA263" s="18" t="n">
        <f aca="false">IF(D263="","",IF(H263&lt;=$B$16,1,IF(H263&gt;=$B$17,$B$21,MATCH(H263,Aux_CAV!$A$2:$A$121,1))))</f>
        <v>8</v>
      </c>
      <c r="AB263" s="18" t="n">
        <f aca="false">IF(D263="","",IF(L263&lt;=$B$16,1,IF(L263&gt;=$B$17,$B$21,MATCH(L263,Aux_CAV!$A$2:$A$121,1))))</f>
        <v>8</v>
      </c>
      <c r="AC263" s="19" t="n">
        <f aca="false">IF(D263="","",COUNT($D$24:D263))</f>
        <v>228</v>
      </c>
    </row>
    <row r="264" customFormat="false" ht="12.75" hidden="false" customHeight="true" outlineLevel="0" collapsed="false">
      <c r="A264" s="14" t="n">
        <f aca="false">IF(D264="","",DATE(B264,C264,1))</f>
        <v>10959</v>
      </c>
      <c r="B264" s="15" t="n">
        <f aca="false" t="array" ref="B264:B264">IF(D264="","",IFERROR(VALUE(INDEX(Vazoes_COLAR!$A$2:$A$200,INT((ROW()-24)/12)+1)),""))</f>
        <v>1930</v>
      </c>
      <c r="C264" s="15" t="n">
        <f aca="false">IF(D264="","",MOD(ROW()-24,12)+1)</f>
        <v>1</v>
      </c>
      <c r="D264" s="16" t="n">
        <f aca="false" t="array" ref="D264: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0.0492012767354517</v>
      </c>
      <c r="E264" s="16" t="n">
        <f aca="false">IF(D264="","",D264*$B$15)</f>
        <v>0.127529709298291</v>
      </c>
      <c r="F264" s="16" t="n">
        <f aca="false" t="array" ref="F264:F264">IF(D264="","",IFERROR(INDEX(Dados_Evap!$C$2:$N$15,MATCH($B$9,Dados_Evap!$A$2:$A$15,0),C264),0))</f>
        <v>160</v>
      </c>
      <c r="G264" s="16" t="n">
        <f aca="false">IF(F264="","",F264/1000)</f>
        <v>0.16</v>
      </c>
      <c r="H264" s="16" t="n">
        <f aca="false">IF(D264="","",MAX(0,MIN($B$8,IFERROR(LOOKUP(2,1/($U$24:U263&lt;&gt;""),$U$24:U263),$B$11))))</f>
        <v>2.55637395305254</v>
      </c>
      <c r="I264" s="16" t="n">
        <f aca="false" t="array" ref="I264: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>1.11133371523029</v>
      </c>
      <c r="J264" s="16" t="n">
        <f aca="false">IF(D264="","",$B$12)</f>
        <v>0.35</v>
      </c>
      <c r="K264" s="16" t="n">
        <f aca="false">IF(J264="","",J264*$B$15)</f>
        <v>0.9072</v>
      </c>
      <c r="L264" s="16" t="n">
        <f aca="false">IF(D264="","",H264+E264-K264-G264*I264)</f>
        <v>1.59889026791398</v>
      </c>
      <c r="M264" s="16" t="n">
        <f aca="false" t="array" ref="M264: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>0.854444807345785</v>
      </c>
      <c r="N264" s="16" t="n">
        <f aca="false">IF(D264="","",(I264+M264)/2)</f>
        <v>0.982889261288037</v>
      </c>
      <c r="O264" s="16" t="n">
        <f aca="false">IF(D264="","",G264*N264)</f>
        <v>0.157262281806086</v>
      </c>
      <c r="P264" s="16" t="n">
        <f aca="false">IF(D264="","",H264+E264-K264-O264)</f>
        <v>1.61944138054474</v>
      </c>
      <c r="Q264" s="16" t="n">
        <f aca="false">IF(D264="","",IF(P264&gt;=0,K264,MAX(0,K264+P264)))</f>
        <v>0.9072</v>
      </c>
      <c r="R264" s="16" t="n">
        <f aca="false">IF(D264="","",Q264/$B$15)</f>
        <v>0.35</v>
      </c>
      <c r="S264" s="16" t="n">
        <f aca="false">IF(D264="","",MAX(0,J264-R264))</f>
        <v>0</v>
      </c>
      <c r="T264" s="16" t="n">
        <f aca="false">IF(D264="","",MAX(0,Z264-$B$8))</f>
        <v>0</v>
      </c>
      <c r="U264" s="16" t="n">
        <f aca="false">IF(D264="","",MAX(0,MIN($B$8,Z264)))</f>
        <v>1.61944138054474</v>
      </c>
      <c r="V264" s="16" t="str">
        <f aca="false">IF(D264="","",IF(S264&gt;0.0000001,"Sim","Não"))</f>
        <v>Não</v>
      </c>
      <c r="W264" s="16" t="n">
        <f aca="false">IF(D264="","",U264-(H264+E264-Q264-O264-T264))</f>
        <v>0</v>
      </c>
      <c r="X264" s="16" t="n">
        <f aca="false">IF(W264="","",ABS(W264))</f>
        <v>0</v>
      </c>
      <c r="Y264" s="16" t="n">
        <f aca="false">IF(U264="","",IF($B$8=0,0,U264/$B$8*100))</f>
        <v>3.42956666782029</v>
      </c>
      <c r="Z264" s="18" t="n">
        <f aca="false">IF(D264="","",MAX(0,IF(P264&gt;=0,P264,IF(K264+P264&gt;=0,0,P264+K264))))</f>
        <v>1.61944138054474</v>
      </c>
      <c r="AA264" s="18" t="n">
        <f aca="false">IF(D264="","",IF(H264&lt;=$B$16,1,IF(H264&gt;=$B$17,$B$21,MATCH(H264,Aux_CAV!$A$2:$A$121,1))))</f>
        <v>8</v>
      </c>
      <c r="AB264" s="18" t="n">
        <f aca="false">IF(D264="","",IF(L264&lt;=$B$16,1,IF(L264&gt;=$B$17,$B$21,MATCH(L264,Aux_CAV!$A$2:$A$121,1))))</f>
        <v>7</v>
      </c>
      <c r="AC264" s="19" t="n">
        <f aca="false">IF(D264="","",COUNT($D$24:D264))</f>
        <v>229</v>
      </c>
    </row>
    <row r="265" customFormat="false" ht="12.75" hidden="false" customHeight="true" outlineLevel="0" collapsed="false">
      <c r="A265" s="14" t="n">
        <f aca="false">IF(D265="","",DATE(B265,C265,1))</f>
        <v>10990</v>
      </c>
      <c r="B265" s="15" t="n">
        <f aca="false" t="array" ref="B265:B265">IF(D265="","",IFERROR(VALUE(INDEX(Vazoes_COLAR!$A$2:$A$200,INT((ROW()-24)/12)+1)),""))</f>
        <v>1930</v>
      </c>
      <c r="C265" s="15" t="n">
        <f aca="false">IF(D265="","",MOD(ROW()-24,12)+1)</f>
        <v>2</v>
      </c>
      <c r="D265" s="16" t="n">
        <f aca="false" t="array" ref="D265: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0.0743767003037521</v>
      </c>
      <c r="E265" s="16" t="n">
        <f aca="false">IF(D265="","",D265*$B$15)</f>
        <v>0.192784407187325</v>
      </c>
      <c r="F265" s="16" t="n">
        <f aca="false" t="array" ref="F265:F265">IF(D265="","",IFERROR(INDEX(Dados_Evap!$C$2:$N$15,MATCH($B$9,Dados_Evap!$A$2:$A$15,0),C265),0))</f>
        <v>124.3</v>
      </c>
      <c r="G265" s="16" t="n">
        <f aca="false">IF(F265="","",F265/1000)</f>
        <v>0.1243</v>
      </c>
      <c r="H265" s="16" t="n">
        <f aca="false">IF(D265="","",MAX(0,MIN($B$8,IFERROR(LOOKUP(2,1/($U$24:U264&lt;&gt;""),$U$24:U264),$B$11))))</f>
        <v>1.61944138054474</v>
      </c>
      <c r="I265" s="16" t="n">
        <f aca="false" t="array" ref="I265: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>0.859852994880195</v>
      </c>
      <c r="J265" s="16" t="n">
        <f aca="false">IF(D265="","",$B$12)</f>
        <v>0.35</v>
      </c>
      <c r="K265" s="16" t="n">
        <f aca="false">IF(J265="","",J265*$B$15)</f>
        <v>0.9072</v>
      </c>
      <c r="L265" s="16" t="n">
        <f aca="false">IF(D265="","",H265+E265-K265-G265*I265)</f>
        <v>0.798146060468459</v>
      </c>
      <c r="M265" s="16" t="n">
        <f aca="false" t="array" ref="M265: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>0.580729836346643</v>
      </c>
      <c r="N265" s="16" t="n">
        <f aca="false">IF(D265="","",(I265+M265)/2)</f>
        <v>0.720291415613419</v>
      </c>
      <c r="O265" s="16" t="n">
        <f aca="false">IF(D265="","",G265*N265)</f>
        <v>0.089532222960748</v>
      </c>
      <c r="P265" s="16" t="n">
        <f aca="false">IF(D265="","",H265+E265-K265-O265)</f>
        <v>0.815493564771319</v>
      </c>
      <c r="Q265" s="16" t="n">
        <f aca="false">IF(D265="","",IF(P265&gt;=0,K265,MAX(0,K265+P265)))</f>
        <v>0.9072</v>
      </c>
      <c r="R265" s="16" t="n">
        <f aca="false">IF(D265="","",Q265/$B$15)</f>
        <v>0.35</v>
      </c>
      <c r="S265" s="16" t="n">
        <f aca="false">IF(D265="","",MAX(0,J265-R265))</f>
        <v>0</v>
      </c>
      <c r="T265" s="16" t="n">
        <f aca="false">IF(D265="","",MAX(0,Z265-$B$8))</f>
        <v>0</v>
      </c>
      <c r="U265" s="16" t="n">
        <f aca="false">IF(D265="","",MAX(0,MIN($B$8,Z265)))</f>
        <v>0.815493564771319</v>
      </c>
      <c r="V265" s="16" t="str">
        <f aca="false">IF(D265="","",IF(S265&gt;0.0000001,"Sim","Não"))</f>
        <v>Não</v>
      </c>
      <c r="W265" s="16" t="n">
        <f aca="false">IF(D265="","",U265-(H265+E265-Q265-O265-T265))</f>
        <v>0</v>
      </c>
      <c r="X265" s="16" t="n">
        <f aca="false">IF(W265="","",ABS(W265))</f>
        <v>0</v>
      </c>
      <c r="Y265" s="16" t="n">
        <f aca="false">IF(U265="","",IF($B$8=0,0,U265/$B$8*100))</f>
        <v>1.72700881993079</v>
      </c>
      <c r="Z265" s="18" t="n">
        <f aca="false">IF(D265="","",MAX(0,IF(P265&gt;=0,P265,IF(K265+P265&gt;=0,0,P265+K265))))</f>
        <v>0.815493564771319</v>
      </c>
      <c r="AA265" s="18" t="n">
        <f aca="false">IF(D265="","",IF(H265&lt;=$B$16,1,IF(H265&gt;=$B$17,$B$21,MATCH(H265,Aux_CAV!$A$2:$A$121,1))))</f>
        <v>7</v>
      </c>
      <c r="AB265" s="18" t="n">
        <f aca="false">IF(D265="","",IF(L265&lt;=$B$16,1,IF(L265&gt;=$B$17,$B$21,MATCH(L265,Aux_CAV!$A$2:$A$121,1))))</f>
        <v>6</v>
      </c>
      <c r="AC265" s="19" t="n">
        <f aca="false">IF(D265="","",COUNT($D$24:D265))</f>
        <v>230</v>
      </c>
    </row>
    <row r="266" customFormat="false" ht="12.75" hidden="false" customHeight="true" outlineLevel="0" collapsed="false">
      <c r="A266" s="14" t="n">
        <f aca="false">IF(D266="","",DATE(B266,C266,1))</f>
        <v>11018</v>
      </c>
      <c r="B266" s="15" t="n">
        <f aca="false" t="array" ref="B266:B266">IF(D266="","",IFERROR(VALUE(INDEX(Vazoes_COLAR!$A$2:$A$200,INT((ROW()-24)/12)+1)),""))</f>
        <v>1930</v>
      </c>
      <c r="C266" s="15" t="n">
        <f aca="false">IF(D266="","",MOD(ROW()-24,12)+1)</f>
        <v>3</v>
      </c>
      <c r="D266" s="16" t="n">
        <f aca="false" t="array" ref="D266: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0.50075974386579</v>
      </c>
      <c r="E266" s="16" t="n">
        <f aca="false">IF(D266="","",D266*$B$15)</f>
        <v>1.29796925610013</v>
      </c>
      <c r="F266" s="16" t="n">
        <f aca="false" t="array" ref="F266:F266">IF(D266="","",IFERROR(INDEX(Dados_Evap!$C$2:$N$15,MATCH($B$9,Dados_Evap!$A$2:$A$15,0),C266),0))</f>
        <v>107.7</v>
      </c>
      <c r="G266" s="16" t="n">
        <f aca="false">IF(F266="","",F266/1000)</f>
        <v>0.1077</v>
      </c>
      <c r="H266" s="16" t="n">
        <f aca="false">IF(D266="","",MAX(0,MIN($B$8,IFERROR(LOOKUP(2,1/($U$24:U265&lt;&gt;""),$U$24:U265),$B$11))))</f>
        <v>0.815493564771319</v>
      </c>
      <c r="I266" s="16" t="n">
        <f aca="false" t="array" ref="I266: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>0.589633865103863</v>
      </c>
      <c r="J266" s="16" t="n">
        <f aca="false">IF(D266="","",$B$12)</f>
        <v>0.35</v>
      </c>
      <c r="K266" s="16" t="n">
        <f aca="false">IF(J266="","",J266*$B$15)</f>
        <v>0.9072</v>
      </c>
      <c r="L266" s="16" t="n">
        <f aca="false">IF(D266="","",H266+E266-K266-G266*I266)</f>
        <v>1.14275925359976</v>
      </c>
      <c r="M266" s="16" t="n">
        <f aca="false" t="array" ref="M266: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>0.734410329894674</v>
      </c>
      <c r="N266" s="16" t="n">
        <f aca="false">IF(D266="","",(I266+M266)/2)</f>
        <v>0.662022097499268</v>
      </c>
      <c r="O266" s="16" t="n">
        <f aca="false">IF(D266="","",G266*N266)</f>
        <v>0.0712997799006712</v>
      </c>
      <c r="P266" s="16" t="n">
        <f aca="false">IF(D266="","",H266+E266-K266-O266)</f>
        <v>1.13496304097078</v>
      </c>
      <c r="Q266" s="16" t="n">
        <f aca="false">IF(D266="","",IF(P266&gt;=0,K266,MAX(0,K266+P266)))</f>
        <v>0.9072</v>
      </c>
      <c r="R266" s="16" t="n">
        <f aca="false">IF(D266="","",Q266/$B$15)</f>
        <v>0.35</v>
      </c>
      <c r="S266" s="16" t="n">
        <f aca="false">IF(D266="","",MAX(0,J266-R266))</f>
        <v>0</v>
      </c>
      <c r="T266" s="16" t="n">
        <f aca="false">IF(D266="","",MAX(0,Z266-$B$8))</f>
        <v>0</v>
      </c>
      <c r="U266" s="16" t="n">
        <f aca="false">IF(D266="","",MAX(0,MIN($B$8,Z266)))</f>
        <v>1.13496304097078</v>
      </c>
      <c r="V266" s="16" t="str">
        <f aca="false">IF(D266="","",IF(S266&gt;0.0000001,"Sim","Não"))</f>
        <v>Não</v>
      </c>
      <c r="W266" s="16" t="n">
        <f aca="false">IF(D266="","",U266-(H266+E266-Q266-O266-T266))</f>
        <v>0</v>
      </c>
      <c r="X266" s="16" t="n">
        <f aca="false">IF(W266="","",ABS(W266))</f>
        <v>0</v>
      </c>
      <c r="Y266" s="16" t="n">
        <f aca="false">IF(U266="","",IF($B$8=0,0,U266/$B$8*100))</f>
        <v>2.40356425449127</v>
      </c>
      <c r="Z266" s="18" t="n">
        <f aca="false">IF(D266="","",MAX(0,IF(P266&gt;=0,P266,IF(K266+P266&gt;=0,0,P266+K266))))</f>
        <v>1.13496304097078</v>
      </c>
      <c r="AA266" s="18" t="n">
        <f aca="false">IF(D266="","",IF(H266&lt;=$B$16,1,IF(H266&gt;=$B$17,$B$21,MATCH(H266,Aux_CAV!$A$2:$A$121,1))))</f>
        <v>6</v>
      </c>
      <c r="AB266" s="18" t="n">
        <f aca="false">IF(D266="","",IF(L266&lt;=$B$16,1,IF(L266&gt;=$B$17,$B$21,MATCH(L266,Aux_CAV!$A$2:$A$121,1))))</f>
        <v>7</v>
      </c>
      <c r="AC266" s="19" t="n">
        <f aca="false">IF(D266="","",COUNT($D$24:D266))</f>
        <v>231</v>
      </c>
    </row>
    <row r="267" customFormat="false" ht="12.75" hidden="false" customHeight="true" outlineLevel="0" collapsed="false">
      <c r="A267" s="14" t="n">
        <f aca="false">IF(D267="","",DATE(B267,C267,1))</f>
        <v>11049</v>
      </c>
      <c r="B267" s="15" t="n">
        <f aca="false" t="array" ref="B267:B267">IF(D267="","",IFERROR(VALUE(INDEX(Vazoes_COLAR!$A$2:$A$200,INT((ROW()-24)/12)+1)),""))</f>
        <v>1930</v>
      </c>
      <c r="C267" s="15" t="n">
        <f aca="false">IF(D267="","",MOD(ROW()-24,12)+1)</f>
        <v>4</v>
      </c>
      <c r="D267" s="16" t="n">
        <f aca="false" t="array" ref="D267: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0.491380810465074</v>
      </c>
      <c r="E267" s="16" t="n">
        <f aca="false">IF(D267="","",D267*$B$15)</f>
        <v>1.27365906072547</v>
      </c>
      <c r="F267" s="16" t="n">
        <f aca="false" t="array" ref="F267:F267">IF(D267="","",IFERROR(INDEX(Dados_Evap!$C$2:$N$15,MATCH($B$9,Dados_Evap!$A$2:$A$15,0),C267),0))</f>
        <v>100.5</v>
      </c>
      <c r="G267" s="16" t="n">
        <f aca="false">IF(F267="","",F267/1000)</f>
        <v>0.1005</v>
      </c>
      <c r="H267" s="16" t="n">
        <f aca="false">IF(D267="","",MAX(0,MIN($B$8,IFERROR(LOOKUP(2,1/($U$24:U266&lt;&gt;""),$U$24:U266),$B$11))))</f>
        <v>1.13496304097078</v>
      </c>
      <c r="I267" s="16" t="n">
        <f aca="false" t="array" ref="I267: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>0.732358694992309</v>
      </c>
      <c r="J267" s="16" t="n">
        <f aca="false">IF(D267="","",$B$12)</f>
        <v>0.35</v>
      </c>
      <c r="K267" s="16" t="n">
        <f aca="false">IF(J267="","",J267*$B$15)</f>
        <v>0.9072</v>
      </c>
      <c r="L267" s="16" t="n">
        <f aca="false">IF(D267="","",H267+E267-K267-G267*I267)</f>
        <v>1.42782005284952</v>
      </c>
      <c r="M267" s="16" t="n">
        <f aca="false" t="array" ref="M267: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>0.809426329697242</v>
      </c>
      <c r="N267" s="16" t="n">
        <f aca="false">IF(D267="","",(I267+M267)/2)</f>
        <v>0.770892512344776</v>
      </c>
      <c r="O267" s="16" t="n">
        <f aca="false">IF(D267="","",G267*N267)</f>
        <v>0.07747469749065</v>
      </c>
      <c r="P267" s="16" t="n">
        <f aca="false">IF(D267="","",H267+E267-K267-O267)</f>
        <v>1.4239474042056</v>
      </c>
      <c r="Q267" s="16" t="n">
        <f aca="false">IF(D267="","",IF(P267&gt;=0,K267,MAX(0,K267+P267)))</f>
        <v>0.9072</v>
      </c>
      <c r="R267" s="16" t="n">
        <f aca="false">IF(D267="","",Q267/$B$15)</f>
        <v>0.35</v>
      </c>
      <c r="S267" s="16" t="n">
        <f aca="false">IF(D267="","",MAX(0,J267-R267))</f>
        <v>0</v>
      </c>
      <c r="T267" s="16" t="n">
        <f aca="false">IF(D267="","",MAX(0,Z267-$B$8))</f>
        <v>0</v>
      </c>
      <c r="U267" s="16" t="n">
        <f aca="false">IF(D267="","",MAX(0,MIN($B$8,Z267)))</f>
        <v>1.4239474042056</v>
      </c>
      <c r="V267" s="16" t="str">
        <f aca="false">IF(D267="","",IF(S267&gt;0.0000001,"Sim","Não"))</f>
        <v>Não</v>
      </c>
      <c r="W267" s="16" t="n">
        <f aca="false">IF(D267="","",U267-(H267+E267-Q267-O267-T267))</f>
        <v>0</v>
      </c>
      <c r="X267" s="16" t="n">
        <f aca="false">IF(W267="","",ABS(W267))</f>
        <v>0</v>
      </c>
      <c r="Y267" s="16" t="n">
        <f aca="false">IF(U267="","",IF($B$8=0,0,U267/$B$8*100))</f>
        <v>3.0155599411385</v>
      </c>
      <c r="Z267" s="18" t="n">
        <f aca="false">IF(D267="","",MAX(0,IF(P267&gt;=0,P267,IF(K267+P267&gt;=0,0,P267+K267))))</f>
        <v>1.4239474042056</v>
      </c>
      <c r="AA267" s="18" t="n">
        <f aca="false">IF(D267="","",IF(H267&lt;=$B$16,1,IF(H267&gt;=$B$17,$B$21,MATCH(H267,Aux_CAV!$A$2:$A$121,1))))</f>
        <v>7</v>
      </c>
      <c r="AB267" s="18" t="n">
        <f aca="false">IF(D267="","",IF(L267&lt;=$B$16,1,IF(L267&gt;=$B$17,$B$21,MATCH(L267,Aux_CAV!$A$2:$A$121,1))))</f>
        <v>7</v>
      </c>
      <c r="AC267" s="19" t="n">
        <f aca="false">IF(D267="","",COUNT($D$24:D267))</f>
        <v>232</v>
      </c>
    </row>
    <row r="268" customFormat="false" ht="12.75" hidden="false" customHeight="true" outlineLevel="0" collapsed="false">
      <c r="A268" s="14" t="n">
        <f aca="false">IF(D268="","",DATE(B268,C268,1))</f>
        <v>11079</v>
      </c>
      <c r="B268" s="15" t="n">
        <f aca="false" t="array" ref="B268:B268">IF(D268="","",IFERROR(VALUE(INDEX(Vazoes_COLAR!$A$2:$A$200,INT((ROW()-24)/12)+1)),""))</f>
        <v>1930</v>
      </c>
      <c r="C268" s="15" t="n">
        <f aca="false">IF(D268="","",MOD(ROW()-24,12)+1)</f>
        <v>5</v>
      </c>
      <c r="D268" s="16" t="n">
        <f aca="false" t="array" ref="D268: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0.398737579521108</v>
      </c>
      <c r="E268" s="16" t="n">
        <f aca="false">IF(D268="","",D268*$B$15)</f>
        <v>1.03352780611871</v>
      </c>
      <c r="F268" s="16" t="n">
        <f aca="false" t="array" ref="F268:F268">IF(D268="","",IFERROR(INDEX(Dados_Evap!$C$2:$N$15,MATCH($B$9,Dados_Evap!$A$2:$A$15,0),C268),0))</f>
        <v>145.8</v>
      </c>
      <c r="G268" s="16" t="n">
        <f aca="false">IF(F268="","",F268/1000)</f>
        <v>0.1458</v>
      </c>
      <c r="H268" s="16" t="n">
        <f aca="false">IF(D268="","",MAX(0,MIN($B$8,IFERROR(LOOKUP(2,1/($U$24:U267&lt;&gt;""),$U$24:U267),$B$11))))</f>
        <v>1.4239474042056</v>
      </c>
      <c r="I268" s="16" t="n">
        <f aca="false" t="array" ref="I268: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>0.808407211633052</v>
      </c>
      <c r="J268" s="16" t="n">
        <f aca="false">IF(D268="","",$B$12)</f>
        <v>0.35</v>
      </c>
      <c r="K268" s="16" t="n">
        <f aca="false">IF(J268="","",J268*$B$15)</f>
        <v>0.9072</v>
      </c>
      <c r="L268" s="16" t="n">
        <f aca="false">IF(D268="","",H268+E268-K268-G268*I268)</f>
        <v>1.43240943886821</v>
      </c>
      <c r="M268" s="16" t="n">
        <f aca="false" t="array" ref="M268: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>0.810634062860056</v>
      </c>
      <c r="N268" s="16" t="n">
        <f aca="false">IF(D268="","",(I268+M268)/2)</f>
        <v>0.809520637246554</v>
      </c>
      <c r="O268" s="16" t="n">
        <f aca="false">IF(D268="","",G268*N268)</f>
        <v>0.118028108910548</v>
      </c>
      <c r="P268" s="16" t="n">
        <f aca="false">IF(D268="","",H268+E268-K268-O268)</f>
        <v>1.43224710141376</v>
      </c>
      <c r="Q268" s="16" t="n">
        <f aca="false">IF(D268="","",IF(P268&gt;=0,K268,MAX(0,K268+P268)))</f>
        <v>0.9072</v>
      </c>
      <c r="R268" s="16" t="n">
        <f aca="false">IF(D268="","",Q268/$B$15)</f>
        <v>0.35</v>
      </c>
      <c r="S268" s="16" t="n">
        <f aca="false">IF(D268="","",MAX(0,J268-R268))</f>
        <v>0</v>
      </c>
      <c r="T268" s="16" t="n">
        <f aca="false">IF(D268="","",MAX(0,Z268-$B$8))</f>
        <v>0</v>
      </c>
      <c r="U268" s="16" t="n">
        <f aca="false">IF(D268="","",MAX(0,MIN($B$8,Z268)))</f>
        <v>1.43224710141376</v>
      </c>
      <c r="V268" s="16" t="str">
        <f aca="false">IF(D268="","",IF(S268&gt;0.0000001,"Sim","Não"))</f>
        <v>Não</v>
      </c>
      <c r="W268" s="16" t="n">
        <f aca="false">IF(D268="","",U268-(H268+E268-Q268-O268-T268))</f>
        <v>0</v>
      </c>
      <c r="X268" s="16" t="n">
        <f aca="false">IF(W268="","",ABS(W268))</f>
        <v>0</v>
      </c>
      <c r="Y268" s="16" t="n">
        <f aca="false">IF(U268="","",IF($B$8=0,0,U268/$B$8*100))</f>
        <v>3.03313659765727</v>
      </c>
      <c r="Z268" s="18" t="n">
        <f aca="false">IF(D268="","",MAX(0,IF(P268&gt;=0,P268,IF(K268+P268&gt;=0,0,P268+K268))))</f>
        <v>1.43224710141376</v>
      </c>
      <c r="AA268" s="18" t="n">
        <f aca="false">IF(D268="","",IF(H268&lt;=$B$16,1,IF(H268&gt;=$B$17,$B$21,MATCH(H268,Aux_CAV!$A$2:$A$121,1))))</f>
        <v>7</v>
      </c>
      <c r="AB268" s="18" t="n">
        <f aca="false">IF(D268="","",IF(L268&lt;=$B$16,1,IF(L268&gt;=$B$17,$B$21,MATCH(L268,Aux_CAV!$A$2:$A$121,1))))</f>
        <v>7</v>
      </c>
      <c r="AC268" s="19" t="n">
        <f aca="false">IF(D268="","",COUNT($D$24:D268))</f>
        <v>233</v>
      </c>
    </row>
    <row r="269" customFormat="false" ht="12.75" hidden="false" customHeight="true" outlineLevel="0" collapsed="false">
      <c r="A269" s="14" t="n">
        <f aca="false">IF(D269="","",DATE(B269,C269,1))</f>
        <v>11110</v>
      </c>
      <c r="B269" s="15" t="n">
        <f aca="false" t="array" ref="B269:B269">IF(D269="","",IFERROR(VALUE(INDEX(Vazoes_COLAR!$A$2:$A$200,INT((ROW()-24)/12)+1)),""))</f>
        <v>1930</v>
      </c>
      <c r="C269" s="15" t="n">
        <f aca="false">IF(D269="","",MOD(ROW()-24,12)+1)</f>
        <v>6</v>
      </c>
      <c r="D269" s="16" t="n">
        <f aca="false" t="array" ref="D269: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0.359538370545905</v>
      </c>
      <c r="E269" s="16" t="n">
        <f aca="false">IF(D269="","",D269*$B$15)</f>
        <v>0.931923456454986</v>
      </c>
      <c r="F269" s="16" t="n">
        <f aca="false" t="array" ref="F269:F269">IF(D269="","",IFERROR(INDEX(Dados_Evap!$C$2:$N$15,MATCH($B$9,Dados_Evap!$A$2:$A$15,0),C269),0))</f>
        <v>161.3</v>
      </c>
      <c r="G269" s="16" t="n">
        <f aca="false">IF(F269="","",F269/1000)</f>
        <v>0.1613</v>
      </c>
      <c r="H269" s="16" t="n">
        <f aca="false">IF(D269="","",MAX(0,MIN($B$8,IFERROR(LOOKUP(2,1/($U$24:U268&lt;&gt;""),$U$24:U268),$B$11))))</f>
        <v>1.43224710141376</v>
      </c>
      <c r="I269" s="16" t="n">
        <f aca="false" t="array" ref="I269: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>0.810591342477306</v>
      </c>
      <c r="J269" s="16" t="n">
        <f aca="false">IF(D269="","",$B$12)</f>
        <v>0.35</v>
      </c>
      <c r="K269" s="16" t="n">
        <f aca="false">IF(J269="","",J269*$B$15)</f>
        <v>0.9072</v>
      </c>
      <c r="L269" s="16" t="n">
        <f aca="false">IF(D269="","",H269+E269-K269-G269*I269)</f>
        <v>1.32622217432716</v>
      </c>
      <c r="M269" s="16" t="n">
        <f aca="false" t="array" ref="M269: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>0.782690045875568</v>
      </c>
      <c r="N269" s="16" t="n">
        <f aca="false">IF(D269="","",(I269+M269)/2)</f>
        <v>0.796640694176437</v>
      </c>
      <c r="O269" s="16" t="n">
        <f aca="false">IF(D269="","",G269*N269)</f>
        <v>0.128498143970659</v>
      </c>
      <c r="P269" s="16" t="n">
        <f aca="false">IF(D269="","",H269+E269-K269-O269)</f>
        <v>1.32847241389809</v>
      </c>
      <c r="Q269" s="16" t="n">
        <f aca="false">IF(D269="","",IF(P269&gt;=0,K269,MAX(0,K269+P269)))</f>
        <v>0.9072</v>
      </c>
      <c r="R269" s="16" t="n">
        <f aca="false">IF(D269="","",Q269/$B$15)</f>
        <v>0.35</v>
      </c>
      <c r="S269" s="16" t="n">
        <f aca="false">IF(D269="","",MAX(0,J269-R269))</f>
        <v>0</v>
      </c>
      <c r="T269" s="16" t="n">
        <f aca="false">IF(D269="","",MAX(0,Z269-$B$8))</f>
        <v>0</v>
      </c>
      <c r="U269" s="16" t="n">
        <f aca="false">IF(D269="","",MAX(0,MIN($B$8,Z269)))</f>
        <v>1.32847241389809</v>
      </c>
      <c r="V269" s="16" t="str">
        <f aca="false">IF(D269="","",IF(S269&gt;0.0000001,"Sim","Não"))</f>
        <v>Não</v>
      </c>
      <c r="W269" s="16" t="n">
        <f aca="false">IF(D269="","",U269-(H269+E269-Q269-O269-T269))</f>
        <v>0</v>
      </c>
      <c r="X269" s="16" t="n">
        <f aca="false">IF(W269="","",ABS(W269))</f>
        <v>0</v>
      </c>
      <c r="Y269" s="16" t="n">
        <f aca="false">IF(U269="","",IF($B$8=0,0,U269/$B$8*100))</f>
        <v>2.81336809381213</v>
      </c>
      <c r="Z269" s="18" t="n">
        <f aca="false">IF(D269="","",MAX(0,IF(P269&gt;=0,P269,IF(K269+P269&gt;=0,0,P269+K269))))</f>
        <v>1.32847241389809</v>
      </c>
      <c r="AA269" s="18" t="n">
        <f aca="false">IF(D269="","",IF(H269&lt;=$B$16,1,IF(H269&gt;=$B$17,$B$21,MATCH(H269,Aux_CAV!$A$2:$A$121,1))))</f>
        <v>7</v>
      </c>
      <c r="AB269" s="18" t="n">
        <f aca="false">IF(D269="","",IF(L269&lt;=$B$16,1,IF(L269&gt;=$B$17,$B$21,MATCH(L269,Aux_CAV!$A$2:$A$121,1))))</f>
        <v>7</v>
      </c>
      <c r="AC269" s="19" t="n">
        <f aca="false">IF(D269="","",COUNT($D$24:D269))</f>
        <v>234</v>
      </c>
    </row>
    <row r="270" customFormat="false" ht="12.75" hidden="false" customHeight="true" outlineLevel="0" collapsed="false">
      <c r="A270" s="14" t="n">
        <f aca="false">IF(D270="","",DATE(B270,C270,1))</f>
        <v>11140</v>
      </c>
      <c r="B270" s="15" t="n">
        <f aca="false" t="array" ref="B270:B270">IF(D270="","",IFERROR(VALUE(INDEX(Vazoes_COLAR!$A$2:$A$200,INT((ROW()-24)/12)+1)),""))</f>
        <v>1930</v>
      </c>
      <c r="C270" s="15" t="n">
        <f aca="false">IF(D270="","",MOD(ROW()-24,12)+1)</f>
        <v>7</v>
      </c>
      <c r="D270" s="16" t="n">
        <f aca="false" t="array" ref="D270: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0.0100031181241074</v>
      </c>
      <c r="E270" s="16" t="n">
        <f aca="false">IF(D270="","",D270*$B$15)</f>
        <v>0.0259280821776864</v>
      </c>
      <c r="F270" s="16" t="n">
        <f aca="false" t="array" ref="F270:F270">IF(D270="","",IFERROR(INDEX(Dados_Evap!$C$2:$N$15,MATCH($B$9,Dados_Evap!$A$2:$A$15,0),C270),0))</f>
        <v>224.8</v>
      </c>
      <c r="G270" s="16" t="n">
        <f aca="false">IF(F270="","",F270/1000)</f>
        <v>0.2248</v>
      </c>
      <c r="H270" s="16" t="n">
        <f aca="false">IF(D270="","",MAX(0,MIN($B$8,IFERROR(LOOKUP(2,1/($U$24:U269&lt;&gt;""),$U$24:U269),$B$11))))</f>
        <v>1.32847241389809</v>
      </c>
      <c r="I270" s="16" t="n">
        <f aca="false" t="array" ref="I270: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>0.783282214183708</v>
      </c>
      <c r="J270" s="16" t="n">
        <f aca="false">IF(D270="","",$B$12)</f>
        <v>0.35</v>
      </c>
      <c r="K270" s="16" t="n">
        <f aca="false">IF(J270="","",J270*$B$15)</f>
        <v>0.9072</v>
      </c>
      <c r="L270" s="16" t="n">
        <f aca="false">IF(D270="","",H270+E270-K270-G270*I270)</f>
        <v>0.271118654327278</v>
      </c>
      <c r="M270" s="16" t="n">
        <f aca="false" t="array" ref="M270: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>0.25818187662919</v>
      </c>
      <c r="N270" s="16" t="n">
        <f aca="false">IF(D270="","",(I270+M270)/2)</f>
        <v>0.520732045406449</v>
      </c>
      <c r="O270" s="16" t="n">
        <f aca="false">IF(D270="","",G270*N270)</f>
        <v>0.11706056380737</v>
      </c>
      <c r="P270" s="16" t="n">
        <f aca="false">IF(D270="","",H270+E270-K270-O270)</f>
        <v>0.330139932268405</v>
      </c>
      <c r="Q270" s="16" t="n">
        <f aca="false">IF(D270="","",IF(P270&gt;=0,K270,MAX(0,K270+P270)))</f>
        <v>0.9072</v>
      </c>
      <c r="R270" s="16" t="n">
        <f aca="false">IF(D270="","",Q270/$B$15)</f>
        <v>0.35</v>
      </c>
      <c r="S270" s="16" t="n">
        <f aca="false">IF(D270="","",MAX(0,J270-R270))</f>
        <v>0</v>
      </c>
      <c r="T270" s="16" t="n">
        <f aca="false">IF(D270="","",MAX(0,Z270-$B$8))</f>
        <v>0</v>
      </c>
      <c r="U270" s="16" t="n">
        <f aca="false">IF(D270="","",MAX(0,MIN($B$8,Z270)))</f>
        <v>0.330139932268405</v>
      </c>
      <c r="V270" s="16" t="str">
        <f aca="false">IF(D270="","",IF(S270&gt;0.0000001,"Sim","Não"))</f>
        <v>Não</v>
      </c>
      <c r="W270" s="16" t="n">
        <f aca="false">IF(D270="","",U270-(H270+E270-Q270-O270-T270))</f>
        <v>0</v>
      </c>
      <c r="X270" s="16" t="n">
        <f aca="false">IF(W270="","",ABS(W270))</f>
        <v>0</v>
      </c>
      <c r="Y270" s="16" t="n">
        <f aca="false">IF(U270="","",IF($B$8=0,0,U270/$B$8*100))</f>
        <v>0.699152757874641</v>
      </c>
      <c r="Z270" s="18" t="n">
        <f aca="false">IF(D270="","",MAX(0,IF(P270&gt;=0,P270,IF(K270+P270&gt;=0,0,P270+K270))))</f>
        <v>0.330139932268405</v>
      </c>
      <c r="AA270" s="18" t="n">
        <f aca="false">IF(D270="","",IF(H270&lt;=$B$16,1,IF(H270&gt;=$B$17,$B$21,MATCH(H270,Aux_CAV!$A$2:$A$121,1))))</f>
        <v>7</v>
      </c>
      <c r="AB270" s="18" t="n">
        <f aca="false">IF(D270="","",IF(L270&lt;=$B$16,1,IF(L270&gt;=$B$17,$B$21,MATCH(L270,Aux_CAV!$A$2:$A$121,1))))</f>
        <v>5</v>
      </c>
      <c r="AC270" s="19" t="n">
        <f aca="false">IF(D270="","",COUNT($D$24:D270))</f>
        <v>235</v>
      </c>
    </row>
    <row r="271" customFormat="false" ht="12.75" hidden="false" customHeight="true" outlineLevel="0" collapsed="false">
      <c r="A271" s="14" t="n">
        <f aca="false">IF(D271="","",DATE(B271,C271,1))</f>
        <v>11171</v>
      </c>
      <c r="B271" s="15" t="n">
        <f aca="false" t="array" ref="B271:B271">IF(D271="","",IFERROR(VALUE(INDEX(Vazoes_COLAR!$A$2:$A$200,INT((ROW()-24)/12)+1)),""))</f>
        <v>1930</v>
      </c>
      <c r="C271" s="15" t="n">
        <f aca="false">IF(D271="","",MOD(ROW()-24,12)+1)</f>
        <v>8</v>
      </c>
      <c r="D271" s="16" t="n">
        <f aca="false" t="array" ref="D271: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0.00517392429530141</v>
      </c>
      <c r="E271" s="16" t="n">
        <f aca="false">IF(D271="","",D271*$B$15)</f>
        <v>0.0134108117734213</v>
      </c>
      <c r="F271" s="16" t="n">
        <f aca="false" t="array" ref="F271:F271">IF(D271="","",IFERROR(INDEX(Dados_Evap!$C$2:$N$15,MATCH($B$9,Dados_Evap!$A$2:$A$15,0),C271),0))</f>
        <v>268.7</v>
      </c>
      <c r="G271" s="16" t="n">
        <f aca="false">IF(F271="","",F271/1000)</f>
        <v>0.2687</v>
      </c>
      <c r="H271" s="16" t="n">
        <f aca="false">IF(D271="","",MAX(0,MIN($B$8,IFERROR(LOOKUP(2,1/($U$24:U270&lt;&gt;""),$U$24:U270),$B$11))))</f>
        <v>0.330139932268405</v>
      </c>
      <c r="I271" s="16" t="n">
        <f aca="false" t="array" ref="I271: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>0.302836132966228</v>
      </c>
      <c r="J271" s="16" t="n">
        <f aca="false">IF(D271="","",$B$12)</f>
        <v>0.35</v>
      </c>
      <c r="K271" s="16" t="n">
        <f aca="false">IF(J271="","",J271*$B$15)</f>
        <v>0.9072</v>
      </c>
      <c r="L271" s="16" t="n">
        <f aca="false">IF(D271="","",H271+E271-K271-G271*I271)</f>
        <v>-0.645021324886199</v>
      </c>
      <c r="M271" s="16" t="n">
        <f aca="false" t="array" ref="M271: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>0</v>
      </c>
      <c r="N271" s="16" t="n">
        <f aca="false">IF(D271="","",(I271+M271)/2)</f>
        <v>0.151418066483114</v>
      </c>
      <c r="O271" s="16" t="n">
        <f aca="false">IF(D271="","",G271*N271)</f>
        <v>0.0406860344640127</v>
      </c>
      <c r="P271" s="16" t="n">
        <f aca="false">IF(D271="","",H271+E271-K271-O271)</f>
        <v>-0.604335290422186</v>
      </c>
      <c r="Q271" s="16" t="n">
        <f aca="false">IF(D271="","",IF(P271&gt;=0,K271,MAX(0,K271+P271)))</f>
        <v>0.302864709577814</v>
      </c>
      <c r="R271" s="16" t="n">
        <f aca="false">IF(D271="","",Q271/$B$15)</f>
        <v>0.116845952769218</v>
      </c>
      <c r="S271" s="16" t="n">
        <f aca="false">IF(D271="","",MAX(0,J271-R271))</f>
        <v>0.233154047230782</v>
      </c>
      <c r="T271" s="16" t="n">
        <f aca="false">IF(D271="","",MAX(0,Z271-$B$8))</f>
        <v>0</v>
      </c>
      <c r="U271" s="16" t="n">
        <f aca="false">IF(D271="","",MAX(0,MIN($B$8,Z271)))</f>
        <v>0</v>
      </c>
      <c r="V271" s="16" t="str">
        <f aca="false">IF(D271="","",IF(S271&gt;0.0000001,"Sim","Não"))</f>
        <v>Sim</v>
      </c>
      <c r="W271" s="16" t="n">
        <f aca="false">IF(D271="","",U271-(H271+E271-Q271-O271-T271))</f>
        <v>0</v>
      </c>
      <c r="X271" s="16" t="n">
        <f aca="false">IF(W271="","",ABS(W271))</f>
        <v>0</v>
      </c>
      <c r="Y271" s="16" t="n">
        <f aca="false">IF(U271="","",IF($B$8=0,0,U271/$B$8*100))</f>
        <v>0</v>
      </c>
      <c r="Z271" s="18" t="n">
        <f aca="false">IF(D271="","",MAX(0,IF(P271&gt;=0,P271,IF(K271+P271&gt;=0,0,P271+K271))))</f>
        <v>0</v>
      </c>
      <c r="AA271" s="18" t="n">
        <f aca="false">IF(D271="","",IF(H271&lt;=$B$16,1,IF(H271&gt;=$B$17,$B$21,MATCH(H271,Aux_CAV!$A$2:$A$121,1))))</f>
        <v>5</v>
      </c>
      <c r="AB271" s="18" t="n">
        <f aca="false">IF(D271="","",IF(L271&lt;=$B$16,1,IF(L271&gt;=$B$17,$B$21,MATCH(L271,Aux_CAV!$A$2:$A$121,1))))</f>
        <v>1</v>
      </c>
      <c r="AC271" s="19" t="n">
        <f aca="false">IF(D271="","",COUNT($D$24:D271))</f>
        <v>236</v>
      </c>
    </row>
    <row r="272" customFormat="false" ht="12.75" hidden="false" customHeight="true" outlineLevel="0" collapsed="false">
      <c r="A272" s="14" t="n">
        <f aca="false">IF(D272="","",DATE(B272,C272,1))</f>
        <v>11202</v>
      </c>
      <c r="B272" s="15" t="n">
        <f aca="false" t="array" ref="B272:B272">IF(D272="","",IFERROR(VALUE(INDEX(Vazoes_COLAR!$A$2:$A$200,INT((ROW()-24)/12)+1)),""))</f>
        <v>1930</v>
      </c>
      <c r="C272" s="15" t="n">
        <f aca="false">IF(D272="","",MOD(ROW()-24,12)+1)</f>
        <v>9</v>
      </c>
      <c r="D272" s="16" t="n">
        <f aca="false" t="array" ref="D272: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0.0043187511559581</v>
      </c>
      <c r="E272" s="16" t="n">
        <f aca="false">IF(D272="","",D272*$B$15)</f>
        <v>0.0111942029962434</v>
      </c>
      <c r="F272" s="16" t="n">
        <f aca="false" t="array" ref="F272:F272">IF(D272="","",IFERROR(INDEX(Dados_Evap!$C$2:$N$15,MATCH($B$9,Dados_Evap!$A$2:$A$15,0),C272),0))</f>
        <v>292.8</v>
      </c>
      <c r="G272" s="16" t="n">
        <f aca="false">IF(F272="","",F272/1000)</f>
        <v>0.2928</v>
      </c>
      <c r="H272" s="16" t="n">
        <f aca="false">IF(D272="","",MAX(0,MIN($B$8,IFERROR(LOOKUP(2,1/($U$24:U271&lt;&gt;""),$U$24:U271),$B$11))))</f>
        <v>0</v>
      </c>
      <c r="I272" s="16" t="n">
        <f aca="false" t="array" ref="I272: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>0</v>
      </c>
      <c r="J272" s="16" t="n">
        <f aca="false">IF(D272="","",$B$12)</f>
        <v>0.35</v>
      </c>
      <c r="K272" s="16" t="n">
        <f aca="false">IF(J272="","",J272*$B$15)</f>
        <v>0.9072</v>
      </c>
      <c r="L272" s="16" t="n">
        <f aca="false">IF(D272="","",H272+E272-K272-G272*I272)</f>
        <v>-0.896005797003757</v>
      </c>
      <c r="M272" s="16" t="n">
        <f aca="false" t="array" ref="M272: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>0</v>
      </c>
      <c r="N272" s="16" t="n">
        <f aca="false">IF(D272="","",(I272+M272)/2)</f>
        <v>0</v>
      </c>
      <c r="O272" s="16" t="n">
        <f aca="false">IF(D272="","",G272*N272)</f>
        <v>0</v>
      </c>
      <c r="P272" s="16" t="n">
        <f aca="false">IF(D272="","",H272+E272-K272-O272)</f>
        <v>-0.896005797003757</v>
      </c>
      <c r="Q272" s="16" t="n">
        <f aca="false">IF(D272="","",IF(P272&gt;=0,K272,MAX(0,K272+P272)))</f>
        <v>0.0111942029962434</v>
      </c>
      <c r="R272" s="16" t="n">
        <f aca="false">IF(D272="","",Q272/$B$15)</f>
        <v>0.00431875115595811</v>
      </c>
      <c r="S272" s="16" t="n">
        <f aca="false">IF(D272="","",MAX(0,J272-R272))</f>
        <v>0.345681248844042</v>
      </c>
      <c r="T272" s="16" t="n">
        <f aca="false">IF(D272="","",MAX(0,Z272-$B$8))</f>
        <v>0</v>
      </c>
      <c r="U272" s="16" t="n">
        <f aca="false">IF(D272="","",MAX(0,MIN($B$8,Z272)))</f>
        <v>0</v>
      </c>
      <c r="V272" s="16" t="str">
        <f aca="false">IF(D272="","",IF(S272&gt;0.0000001,"Sim","Não"))</f>
        <v>Sim</v>
      </c>
      <c r="W272" s="16" t="n">
        <f aca="false">IF(D272="","",U272-(H272+E272-Q272-O272-T272))</f>
        <v>0</v>
      </c>
      <c r="X272" s="16" t="n">
        <f aca="false">IF(W272="","",ABS(W272))</f>
        <v>0</v>
      </c>
      <c r="Y272" s="16" t="n">
        <f aca="false">IF(U272="","",IF($B$8=0,0,U272/$B$8*100))</f>
        <v>0</v>
      </c>
      <c r="Z272" s="18" t="n">
        <f aca="false">IF(D272="","",MAX(0,IF(P272&gt;=0,P272,IF(K272+P272&gt;=0,0,P272+K272))))</f>
        <v>0</v>
      </c>
      <c r="AA272" s="18" t="n">
        <f aca="false">IF(D272="","",IF(H272&lt;=$B$16,1,IF(H272&gt;=$B$17,$B$21,MATCH(H272,Aux_CAV!$A$2:$A$121,1))))</f>
        <v>1</v>
      </c>
      <c r="AB272" s="18" t="n">
        <f aca="false">IF(D272="","",IF(L272&lt;=$B$16,1,IF(L272&gt;=$B$17,$B$21,MATCH(L272,Aux_CAV!$A$2:$A$121,1))))</f>
        <v>1</v>
      </c>
      <c r="AC272" s="19" t="n">
        <f aca="false">IF(D272="","",COUNT($D$24:D272))</f>
        <v>237</v>
      </c>
    </row>
    <row r="273" customFormat="false" ht="12.75" hidden="false" customHeight="true" outlineLevel="0" collapsed="false">
      <c r="A273" s="14" t="n">
        <f aca="false">IF(D273="","",DATE(B273,C273,1))</f>
        <v>11232</v>
      </c>
      <c r="B273" s="15" t="n">
        <f aca="false" t="array" ref="B273:B273">IF(D273="","",IFERROR(VALUE(INDEX(Vazoes_COLAR!$A$2:$A$200,INT((ROW()-24)/12)+1)),""))</f>
        <v>1930</v>
      </c>
      <c r="C273" s="15" t="n">
        <f aca="false">IF(D273="","",MOD(ROW()-24,12)+1)</f>
        <v>10</v>
      </c>
      <c r="D273" s="16" t="n">
        <f aca="false" t="array" ref="D273: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0.0160494001203441</v>
      </c>
      <c r="E273" s="16" t="n">
        <f aca="false">IF(D273="","",D273*$B$15)</f>
        <v>0.0416000451119319</v>
      </c>
      <c r="F273" s="16" t="n">
        <f aca="false" t="array" ref="F273:F273">IF(D273="","",IFERROR(INDEX(Dados_Evap!$C$2:$N$15,MATCH($B$9,Dados_Evap!$A$2:$A$15,0),C273),0))</f>
        <v>262.9</v>
      </c>
      <c r="G273" s="16" t="n">
        <f aca="false">IF(F273="","",F273/1000)</f>
        <v>0.2629</v>
      </c>
      <c r="H273" s="16" t="n">
        <f aca="false">IF(D273="","",MAX(0,MIN($B$8,IFERROR(LOOKUP(2,1/($U$24:U272&lt;&gt;""),$U$24:U272),$B$11))))</f>
        <v>0</v>
      </c>
      <c r="I273" s="16" t="n">
        <f aca="false" t="array" ref="I273: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>0</v>
      </c>
      <c r="J273" s="16" t="n">
        <f aca="false">IF(D273="","",$B$12)</f>
        <v>0.35</v>
      </c>
      <c r="K273" s="16" t="n">
        <f aca="false">IF(J273="","",J273*$B$15)</f>
        <v>0.9072</v>
      </c>
      <c r="L273" s="16" t="n">
        <f aca="false">IF(D273="","",H273+E273-K273-G273*I273)</f>
        <v>-0.865599954888068</v>
      </c>
      <c r="M273" s="16" t="n">
        <f aca="false" t="array" ref="M273: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>0</v>
      </c>
      <c r="N273" s="16" t="n">
        <f aca="false">IF(D273="","",(I273+M273)/2)</f>
        <v>0</v>
      </c>
      <c r="O273" s="16" t="n">
        <f aca="false">IF(D273="","",G273*N273)</f>
        <v>0</v>
      </c>
      <c r="P273" s="16" t="n">
        <f aca="false">IF(D273="","",H273+E273-K273-O273)</f>
        <v>-0.865599954888068</v>
      </c>
      <c r="Q273" s="16" t="n">
        <f aca="false">IF(D273="","",IF(P273&gt;=0,K273,MAX(0,K273+P273)))</f>
        <v>0.0416000451119319</v>
      </c>
      <c r="R273" s="16" t="n">
        <f aca="false">IF(D273="","",Q273/$B$15)</f>
        <v>0.0160494001203441</v>
      </c>
      <c r="S273" s="16" t="n">
        <f aca="false">IF(D273="","",MAX(0,J273-R273))</f>
        <v>0.333950599879656</v>
      </c>
      <c r="T273" s="16" t="n">
        <f aca="false">IF(D273="","",MAX(0,Z273-$B$8))</f>
        <v>0</v>
      </c>
      <c r="U273" s="16" t="n">
        <f aca="false">IF(D273="","",MAX(0,MIN($B$8,Z273)))</f>
        <v>0</v>
      </c>
      <c r="V273" s="16" t="str">
        <f aca="false">IF(D273="","",IF(S273&gt;0.0000001,"Sim","Não"))</f>
        <v>Sim</v>
      </c>
      <c r="W273" s="16" t="n">
        <f aca="false">IF(D273="","",U273-(H273+E273-Q273-O273-T273))</f>
        <v>0</v>
      </c>
      <c r="X273" s="16" t="n">
        <f aca="false">IF(W273="","",ABS(W273))</f>
        <v>0</v>
      </c>
      <c r="Y273" s="16" t="n">
        <f aca="false">IF(U273="","",IF($B$8=0,0,U273/$B$8*100))</f>
        <v>0</v>
      </c>
      <c r="Z273" s="18" t="n">
        <f aca="false">IF(D273="","",MAX(0,IF(P273&gt;=0,P273,IF(K273+P273&gt;=0,0,P273+K273))))</f>
        <v>0</v>
      </c>
      <c r="AA273" s="18" t="n">
        <f aca="false">IF(D273="","",IF(H273&lt;=$B$16,1,IF(H273&gt;=$B$17,$B$21,MATCH(H273,Aux_CAV!$A$2:$A$121,1))))</f>
        <v>1</v>
      </c>
      <c r="AB273" s="18" t="n">
        <f aca="false">IF(D273="","",IF(L273&lt;=$B$16,1,IF(L273&gt;=$B$17,$B$21,MATCH(L273,Aux_CAV!$A$2:$A$121,1))))</f>
        <v>1</v>
      </c>
      <c r="AC273" s="19" t="n">
        <f aca="false">IF(D273="","",COUNT($D$24:D273))</f>
        <v>238</v>
      </c>
    </row>
    <row r="274" customFormat="false" ht="12.75" hidden="false" customHeight="true" outlineLevel="0" collapsed="false">
      <c r="A274" s="14" t="n">
        <f aca="false">IF(D274="","",DATE(B274,C274,1))</f>
        <v>11263</v>
      </c>
      <c r="B274" s="15" t="n">
        <f aca="false" t="array" ref="B274:B274">IF(D274="","",IFERROR(VALUE(INDEX(Vazoes_COLAR!$A$2:$A$200,INT((ROW()-24)/12)+1)),""))</f>
        <v>1930</v>
      </c>
      <c r="C274" s="15" t="n">
        <f aca="false">IF(D274="","",MOD(ROW()-24,12)+1)</f>
        <v>11</v>
      </c>
      <c r="D274" s="16" t="n">
        <f aca="false" t="array" ref="D274: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0.00542904170882582</v>
      </c>
      <c r="E274" s="16" t="n">
        <f aca="false">IF(D274="","",D274*$B$15)</f>
        <v>0.0140720761092765</v>
      </c>
      <c r="F274" s="16" t="n">
        <f aca="false" t="array" ref="F274:F274">IF(D274="","",IFERROR(INDEX(Dados_Evap!$C$2:$N$15,MATCH($B$9,Dados_Evap!$A$2:$A$15,0),C274),0))</f>
        <v>223.7</v>
      </c>
      <c r="G274" s="16" t="n">
        <f aca="false">IF(F274="","",F274/1000)</f>
        <v>0.2237</v>
      </c>
      <c r="H274" s="16" t="n">
        <f aca="false">IF(D274="","",MAX(0,MIN($B$8,IFERROR(LOOKUP(2,1/($U$24:U273&lt;&gt;""),$U$24:U273),$B$11))))</f>
        <v>0</v>
      </c>
      <c r="I274" s="16" t="n">
        <f aca="false" t="array" ref="I274: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>0</v>
      </c>
      <c r="J274" s="16" t="n">
        <f aca="false">IF(D274="","",$B$12)</f>
        <v>0.35</v>
      </c>
      <c r="K274" s="16" t="n">
        <f aca="false">IF(J274="","",J274*$B$15)</f>
        <v>0.9072</v>
      </c>
      <c r="L274" s="16" t="n">
        <f aca="false">IF(D274="","",H274+E274-K274-G274*I274)</f>
        <v>-0.893127923890724</v>
      </c>
      <c r="M274" s="16" t="n">
        <f aca="false" t="array" ref="M274: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>0</v>
      </c>
      <c r="N274" s="16" t="n">
        <f aca="false">IF(D274="","",(I274+M274)/2)</f>
        <v>0</v>
      </c>
      <c r="O274" s="16" t="n">
        <f aca="false">IF(D274="","",G274*N274)</f>
        <v>0</v>
      </c>
      <c r="P274" s="16" t="n">
        <f aca="false">IF(D274="","",H274+E274-K274-O274)</f>
        <v>-0.893127923890724</v>
      </c>
      <c r="Q274" s="16" t="n">
        <f aca="false">IF(D274="","",IF(P274&gt;=0,K274,MAX(0,K274+P274)))</f>
        <v>0.0140720761092765</v>
      </c>
      <c r="R274" s="16" t="n">
        <f aca="false">IF(D274="","",Q274/$B$15)</f>
        <v>0.00542904170882582</v>
      </c>
      <c r="S274" s="16" t="n">
        <f aca="false">IF(D274="","",MAX(0,J274-R274))</f>
        <v>0.344570958291174</v>
      </c>
      <c r="T274" s="16" t="n">
        <f aca="false">IF(D274="","",MAX(0,Z274-$B$8))</f>
        <v>0</v>
      </c>
      <c r="U274" s="16" t="n">
        <f aca="false">IF(D274="","",MAX(0,MIN($B$8,Z274)))</f>
        <v>0</v>
      </c>
      <c r="V274" s="16" t="str">
        <f aca="false">IF(D274="","",IF(S274&gt;0.0000001,"Sim","Não"))</f>
        <v>Sim</v>
      </c>
      <c r="W274" s="16" t="n">
        <f aca="false">IF(D274="","",U274-(H274+E274-Q274-O274-T274))</f>
        <v>0</v>
      </c>
      <c r="X274" s="16" t="n">
        <f aca="false">IF(W274="","",ABS(W274))</f>
        <v>0</v>
      </c>
      <c r="Y274" s="16" t="n">
        <f aca="false">IF(U274="","",IF($B$8=0,0,U274/$B$8*100))</f>
        <v>0</v>
      </c>
      <c r="Z274" s="18" t="n">
        <f aca="false">IF(D274="","",MAX(0,IF(P274&gt;=0,P274,IF(K274+P274&gt;=0,0,P274+K274))))</f>
        <v>0</v>
      </c>
      <c r="AA274" s="18" t="n">
        <f aca="false">IF(D274="","",IF(H274&lt;=$B$16,1,IF(H274&gt;=$B$17,$B$21,MATCH(H274,Aux_CAV!$A$2:$A$121,1))))</f>
        <v>1</v>
      </c>
      <c r="AB274" s="18" t="n">
        <f aca="false">IF(D274="","",IF(L274&lt;=$B$16,1,IF(L274&gt;=$B$17,$B$21,MATCH(L274,Aux_CAV!$A$2:$A$121,1))))</f>
        <v>1</v>
      </c>
      <c r="AC274" s="19" t="n">
        <f aca="false">IF(D274="","",COUNT($D$24:D274))</f>
        <v>239</v>
      </c>
    </row>
    <row r="275" customFormat="false" ht="12.75" hidden="false" customHeight="true" outlineLevel="0" collapsed="false">
      <c r="A275" s="14" t="n">
        <f aca="false">IF(D275="","",DATE(B275,C275,1))</f>
        <v>11293</v>
      </c>
      <c r="B275" s="15" t="n">
        <f aca="false" t="array" ref="B275:B275">IF(D275="","",IFERROR(VALUE(INDEX(Vazoes_COLAR!$A$2:$A$200,INT((ROW()-24)/12)+1)),""))</f>
        <v>1930</v>
      </c>
      <c r="C275" s="15" t="n">
        <f aca="false">IF(D275="","",MOD(ROW()-24,12)+1)</f>
        <v>12</v>
      </c>
      <c r="D275" s="16" t="n">
        <f aca="false" t="array" ref="D275: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0.0208472475778626</v>
      </c>
      <c r="E275" s="16" t="n">
        <f aca="false">IF(D275="","",D275*$B$15)</f>
        <v>0.0540360657218199</v>
      </c>
      <c r="F275" s="16" t="n">
        <f aca="false" t="array" ref="F275:F275">IF(D275="","",IFERROR(INDEX(Dados_Evap!$C$2:$N$15,MATCH($B$9,Dados_Evap!$A$2:$A$15,0),C275),0))</f>
        <v>216.1</v>
      </c>
      <c r="G275" s="16" t="n">
        <f aca="false">IF(F275="","",F275/1000)</f>
        <v>0.2161</v>
      </c>
      <c r="H275" s="16" t="n">
        <f aca="false">IF(D275="","",MAX(0,MIN($B$8,IFERROR(LOOKUP(2,1/($U$24:U274&lt;&gt;""),$U$24:U274),$B$11))))</f>
        <v>0</v>
      </c>
      <c r="I275" s="16" t="n">
        <f aca="false" t="array" ref="I275: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>0</v>
      </c>
      <c r="J275" s="16" t="n">
        <f aca="false">IF(D275="","",$B$12)</f>
        <v>0.35</v>
      </c>
      <c r="K275" s="16" t="n">
        <f aca="false">IF(J275="","",J275*$B$15)</f>
        <v>0.9072</v>
      </c>
      <c r="L275" s="16" t="n">
        <f aca="false">IF(D275="","",H275+E275-K275-G275*I275)</f>
        <v>-0.85316393427818</v>
      </c>
      <c r="M275" s="16" t="n">
        <f aca="false" t="array" ref="M275: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>0</v>
      </c>
      <c r="N275" s="16" t="n">
        <f aca="false">IF(D275="","",(I275+M275)/2)</f>
        <v>0</v>
      </c>
      <c r="O275" s="16" t="n">
        <f aca="false">IF(D275="","",G275*N275)</f>
        <v>0</v>
      </c>
      <c r="P275" s="16" t="n">
        <f aca="false">IF(D275="","",H275+E275-K275-O275)</f>
        <v>-0.85316393427818</v>
      </c>
      <c r="Q275" s="16" t="n">
        <f aca="false">IF(D275="","",IF(P275&gt;=0,K275,MAX(0,K275+P275)))</f>
        <v>0.0540360657218199</v>
      </c>
      <c r="R275" s="16" t="n">
        <f aca="false">IF(D275="","",Q275/$B$15)</f>
        <v>0.0208472475778626</v>
      </c>
      <c r="S275" s="16" t="n">
        <f aca="false">IF(D275="","",MAX(0,J275-R275))</f>
        <v>0.329152752422137</v>
      </c>
      <c r="T275" s="16" t="n">
        <f aca="false">IF(D275="","",MAX(0,Z275-$B$8))</f>
        <v>0</v>
      </c>
      <c r="U275" s="16" t="n">
        <f aca="false">IF(D275="","",MAX(0,MIN($B$8,Z275)))</f>
        <v>0</v>
      </c>
      <c r="V275" s="16" t="str">
        <f aca="false">IF(D275="","",IF(S275&gt;0.0000001,"Sim","Não"))</f>
        <v>Sim</v>
      </c>
      <c r="W275" s="16" t="n">
        <f aca="false">IF(D275="","",U275-(H275+E275-Q275-O275-T275))</f>
        <v>0</v>
      </c>
      <c r="X275" s="16" t="n">
        <f aca="false">IF(W275="","",ABS(W275))</f>
        <v>0</v>
      </c>
      <c r="Y275" s="16" t="n">
        <f aca="false">IF(U275="","",IF($B$8=0,0,U275/$B$8*100))</f>
        <v>0</v>
      </c>
      <c r="Z275" s="18" t="n">
        <f aca="false">IF(D275="","",MAX(0,IF(P275&gt;=0,P275,IF(K275+P275&gt;=0,0,P275+K275))))</f>
        <v>0</v>
      </c>
      <c r="AA275" s="18" t="n">
        <f aca="false">IF(D275="","",IF(H275&lt;=$B$16,1,IF(H275&gt;=$B$17,$B$21,MATCH(H275,Aux_CAV!$A$2:$A$121,1))))</f>
        <v>1</v>
      </c>
      <c r="AB275" s="18" t="n">
        <f aca="false">IF(D275="","",IF(L275&lt;=$B$16,1,IF(L275&gt;=$B$17,$B$21,MATCH(L275,Aux_CAV!$A$2:$A$121,1))))</f>
        <v>1</v>
      </c>
      <c r="AC275" s="19" t="n">
        <f aca="false">IF(D275="","",COUNT($D$24:D275))</f>
        <v>240</v>
      </c>
    </row>
    <row r="276" customFormat="false" ht="12.75" hidden="false" customHeight="true" outlineLevel="0" collapsed="false">
      <c r="A276" s="14" t="n">
        <f aca="false">IF(D276="","",DATE(B276,C276,1))</f>
        <v>11324</v>
      </c>
      <c r="B276" s="15" t="n">
        <f aca="false" t="array" ref="B276:B276">IF(D276="","",IFERROR(VALUE(INDEX(Vazoes_COLAR!$A$2:$A$200,INT((ROW()-24)/12)+1)),""))</f>
        <v>1931</v>
      </c>
      <c r="C276" s="15" t="n">
        <f aca="false">IF(D276="","",MOD(ROW()-24,12)+1)</f>
        <v>1</v>
      </c>
      <c r="D276" s="16" t="n">
        <f aca="false" t="array" ref="D276: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0.0488085619346513</v>
      </c>
      <c r="E276" s="16" t="n">
        <f aca="false">IF(D276="","",D276*$B$15)</f>
        <v>0.126511792534616</v>
      </c>
      <c r="F276" s="16" t="n">
        <f aca="false" t="array" ref="F276:F276">IF(D276="","",IFERROR(INDEX(Dados_Evap!$C$2:$N$15,MATCH($B$9,Dados_Evap!$A$2:$A$15,0),C276),0))</f>
        <v>160</v>
      </c>
      <c r="G276" s="16" t="n">
        <f aca="false">IF(F276="","",F276/1000)</f>
        <v>0.16</v>
      </c>
      <c r="H276" s="16" t="n">
        <f aca="false">IF(D276="","",MAX(0,MIN($B$8,IFERROR(LOOKUP(2,1/($U$24:U275&lt;&gt;""),$U$24:U275),$B$11))))</f>
        <v>0</v>
      </c>
      <c r="I276" s="16" t="n">
        <f aca="false" t="array" ref="I276: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>0</v>
      </c>
      <c r="J276" s="16" t="n">
        <f aca="false">IF(D276="","",$B$12)</f>
        <v>0.35</v>
      </c>
      <c r="K276" s="16" t="n">
        <f aca="false">IF(J276="","",J276*$B$15)</f>
        <v>0.9072</v>
      </c>
      <c r="L276" s="16" t="n">
        <f aca="false">IF(D276="","",H276+E276-K276-G276*I276)</f>
        <v>-0.780688207465384</v>
      </c>
      <c r="M276" s="16" t="n">
        <f aca="false" t="array" ref="M276: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>0</v>
      </c>
      <c r="N276" s="16" t="n">
        <f aca="false">IF(D276="","",(I276+M276)/2)</f>
        <v>0</v>
      </c>
      <c r="O276" s="16" t="n">
        <f aca="false">IF(D276="","",G276*N276)</f>
        <v>0</v>
      </c>
      <c r="P276" s="16" t="n">
        <f aca="false">IF(D276="","",H276+E276-K276-O276)</f>
        <v>-0.780688207465384</v>
      </c>
      <c r="Q276" s="16" t="n">
        <f aca="false">IF(D276="","",IF(P276&gt;=0,K276,MAX(0,K276+P276)))</f>
        <v>0.126511792534616</v>
      </c>
      <c r="R276" s="16" t="n">
        <f aca="false">IF(D276="","",Q276/$B$15)</f>
        <v>0.0488085619346513</v>
      </c>
      <c r="S276" s="16" t="n">
        <f aca="false">IF(D276="","",MAX(0,J276-R276))</f>
        <v>0.301191438065349</v>
      </c>
      <c r="T276" s="16" t="n">
        <f aca="false">IF(D276="","",MAX(0,Z276-$B$8))</f>
        <v>0</v>
      </c>
      <c r="U276" s="16" t="n">
        <f aca="false">IF(D276="","",MAX(0,MIN($B$8,Z276)))</f>
        <v>0</v>
      </c>
      <c r="V276" s="16" t="str">
        <f aca="false">IF(D276="","",IF(S276&gt;0.0000001,"Sim","Não"))</f>
        <v>Sim</v>
      </c>
      <c r="W276" s="16" t="n">
        <f aca="false">IF(D276="","",U276-(H276+E276-Q276-O276-T276))</f>
        <v>0</v>
      </c>
      <c r="X276" s="16" t="n">
        <f aca="false">IF(W276="","",ABS(W276))</f>
        <v>0</v>
      </c>
      <c r="Y276" s="16" t="n">
        <f aca="false">IF(U276="","",IF($B$8=0,0,U276/$B$8*100))</f>
        <v>0</v>
      </c>
      <c r="Z276" s="18" t="n">
        <f aca="false">IF(D276="","",MAX(0,IF(P276&gt;=0,P276,IF(K276+P276&gt;=0,0,P276+K276))))</f>
        <v>0</v>
      </c>
      <c r="AA276" s="18" t="n">
        <f aca="false">IF(D276="","",IF(H276&lt;=$B$16,1,IF(H276&gt;=$B$17,$B$21,MATCH(H276,Aux_CAV!$A$2:$A$121,1))))</f>
        <v>1</v>
      </c>
      <c r="AB276" s="18" t="n">
        <f aca="false">IF(D276="","",IF(L276&lt;=$B$16,1,IF(L276&gt;=$B$17,$B$21,MATCH(L276,Aux_CAV!$A$2:$A$121,1))))</f>
        <v>1</v>
      </c>
      <c r="AC276" s="19" t="n">
        <f aca="false">IF(D276="","",COUNT($D$24:D276))</f>
        <v>241</v>
      </c>
    </row>
    <row r="277" customFormat="false" ht="12.75" hidden="false" customHeight="true" outlineLevel="0" collapsed="false">
      <c r="A277" s="14" t="n">
        <f aca="false">IF(D277="","",DATE(B277,C277,1))</f>
        <v>11355</v>
      </c>
      <c r="B277" s="15" t="n">
        <f aca="false" t="array" ref="B277:B277">IF(D277="","",IFERROR(VALUE(INDEX(Vazoes_COLAR!$A$2:$A$200,INT((ROW()-24)/12)+1)),""))</f>
        <v>1931</v>
      </c>
      <c r="C277" s="15" t="n">
        <f aca="false">IF(D277="","",MOD(ROW()-24,12)+1)</f>
        <v>2</v>
      </c>
      <c r="D277" s="16" t="n">
        <f aca="false" t="array" ref="D277: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0.390828569130847</v>
      </c>
      <c r="E277" s="16" t="n">
        <f aca="false">IF(D277="","",D277*$B$15)</f>
        <v>1.01302765118716</v>
      </c>
      <c r="F277" s="16" t="n">
        <f aca="false" t="array" ref="F277:F277">IF(D277="","",IFERROR(INDEX(Dados_Evap!$C$2:$N$15,MATCH($B$9,Dados_Evap!$A$2:$A$15,0),C277),0))</f>
        <v>124.3</v>
      </c>
      <c r="G277" s="16" t="n">
        <f aca="false">IF(F277="","",F277/1000)</f>
        <v>0.1243</v>
      </c>
      <c r="H277" s="16" t="n">
        <f aca="false">IF(D277="","",MAX(0,MIN($B$8,IFERROR(LOOKUP(2,1/($U$24:U276&lt;&gt;""),$U$24:U276),$B$11))))</f>
        <v>0</v>
      </c>
      <c r="I277" s="16" t="n">
        <f aca="false" t="array" ref="I277: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>0</v>
      </c>
      <c r="J277" s="16" t="n">
        <f aca="false">IF(D277="","",$B$12)</f>
        <v>0.35</v>
      </c>
      <c r="K277" s="16" t="n">
        <f aca="false">IF(J277="","",J277*$B$15)</f>
        <v>0.9072</v>
      </c>
      <c r="L277" s="16" t="n">
        <f aca="false">IF(D277="","",H277+E277-K277-G277*I277)</f>
        <v>0.105827651187155</v>
      </c>
      <c r="M277" s="16" t="n">
        <f aca="false" t="array" ref="M277: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>0.109236319457274</v>
      </c>
      <c r="N277" s="16" t="n">
        <f aca="false">IF(D277="","",(I277+M277)/2)</f>
        <v>0.0546181597286372</v>
      </c>
      <c r="O277" s="16" t="n">
        <f aca="false">IF(D277="","",G277*N277)</f>
        <v>0.00678903725426961</v>
      </c>
      <c r="P277" s="16" t="n">
        <f aca="false">IF(D277="","",H277+E277-K277-O277)</f>
        <v>0.0990386139328858</v>
      </c>
      <c r="Q277" s="16" t="n">
        <f aca="false">IF(D277="","",IF(P277&gt;=0,K277,MAX(0,K277+P277)))</f>
        <v>0.9072</v>
      </c>
      <c r="R277" s="16" t="n">
        <f aca="false">IF(D277="","",Q277/$B$15)</f>
        <v>0.35</v>
      </c>
      <c r="S277" s="16" t="n">
        <f aca="false">IF(D277="","",MAX(0,J277-R277))</f>
        <v>0</v>
      </c>
      <c r="T277" s="16" t="n">
        <f aca="false">IF(D277="","",MAX(0,Z277-$B$8))</f>
        <v>0</v>
      </c>
      <c r="U277" s="16" t="n">
        <f aca="false">IF(D277="","",MAX(0,MIN($B$8,Z277)))</f>
        <v>0.0990386139328858</v>
      </c>
      <c r="V277" s="16" t="str">
        <f aca="false">IF(D277="","",IF(S277&gt;0.0000001,"Sim","Não"))</f>
        <v>Não</v>
      </c>
      <c r="W277" s="16" t="n">
        <f aca="false">IF(D277="","",U277-(H277+E277-Q277-O277-T277))</f>
        <v>0</v>
      </c>
      <c r="X277" s="16" t="n">
        <f aca="false">IF(W277="","",ABS(W277))</f>
        <v>0</v>
      </c>
      <c r="Y277" s="16" t="n">
        <f aca="false">IF(U277="","",IF($B$8=0,0,U277/$B$8*100))</f>
        <v>0.209738699561385</v>
      </c>
      <c r="Z277" s="18" t="n">
        <f aca="false">IF(D277="","",MAX(0,IF(P277&gt;=0,P277,IF(K277+P277&gt;=0,0,P277+K277))))</f>
        <v>0.0990386139328858</v>
      </c>
      <c r="AA277" s="18" t="n">
        <f aca="false">IF(D277="","",IF(H277&lt;=$B$16,1,IF(H277&gt;=$B$17,$B$21,MATCH(H277,Aux_CAV!$A$2:$A$121,1))))</f>
        <v>1</v>
      </c>
      <c r="AB277" s="18" t="n">
        <f aca="false">IF(D277="","",IF(L277&lt;=$B$16,1,IF(L277&gt;=$B$17,$B$21,MATCH(L277,Aux_CAV!$A$2:$A$121,1))))</f>
        <v>4</v>
      </c>
      <c r="AC277" s="19" t="n">
        <f aca="false">IF(D277="","",COUNT($D$24:D277))</f>
        <v>242</v>
      </c>
    </row>
    <row r="278" customFormat="false" ht="12.75" hidden="false" customHeight="true" outlineLevel="0" collapsed="false">
      <c r="A278" s="14" t="n">
        <f aca="false">IF(D278="","",DATE(B278,C278,1))</f>
        <v>11383</v>
      </c>
      <c r="B278" s="15" t="n">
        <f aca="false" t="array" ref="B278:B278">IF(D278="","",IFERROR(VALUE(INDEX(Vazoes_COLAR!$A$2:$A$200,INT((ROW()-24)/12)+1)),""))</f>
        <v>1931</v>
      </c>
      <c r="C278" s="15" t="n">
        <f aca="false">IF(D278="","",MOD(ROW()-24,12)+1)</f>
        <v>3</v>
      </c>
      <c r="D278" s="16" t="n">
        <f aca="false" t="array" ref="D278: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0.910596074539564</v>
      </c>
      <c r="E278" s="16" t="n">
        <f aca="false">IF(D278="","",D278*$B$15)</f>
        <v>2.36026502520655</v>
      </c>
      <c r="F278" s="16" t="n">
        <f aca="false" t="array" ref="F278:F278">IF(D278="","",IFERROR(INDEX(Dados_Evap!$C$2:$N$15,MATCH($B$9,Dados_Evap!$A$2:$A$15,0),C278),0))</f>
        <v>107.7</v>
      </c>
      <c r="G278" s="16" t="n">
        <f aca="false">IF(F278="","",F278/1000)</f>
        <v>0.1077</v>
      </c>
      <c r="H278" s="16" t="n">
        <f aca="false">IF(D278="","",MAX(0,MIN($B$8,IFERROR(LOOKUP(2,1/($U$24:U277&lt;&gt;""),$U$24:U277),$B$11))))</f>
        <v>0.0990386139328858</v>
      </c>
      <c r="I278" s="16" t="n">
        <f aca="false" t="array" ref="I278: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>0.101942312489877</v>
      </c>
      <c r="J278" s="16" t="n">
        <f aca="false">IF(D278="","",$B$12)</f>
        <v>0.35</v>
      </c>
      <c r="K278" s="16" t="n">
        <f aca="false">IF(J278="","",J278*$B$15)</f>
        <v>0.9072</v>
      </c>
      <c r="L278" s="16" t="n">
        <f aca="false">IF(D278="","",H278+E278-K278-G278*I278)</f>
        <v>1.54112445208428</v>
      </c>
      <c r="M278" s="16" t="n">
        <f aca="false" t="array" ref="M278: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>0.839243276864283</v>
      </c>
      <c r="N278" s="16" t="n">
        <f aca="false">IF(D278="","",(I278+M278)/2)</f>
        <v>0.47059279467708</v>
      </c>
      <c r="O278" s="16" t="n">
        <f aca="false">IF(D278="","",G278*N278)</f>
        <v>0.0506828439867215</v>
      </c>
      <c r="P278" s="16" t="n">
        <f aca="false">IF(D278="","",H278+E278-K278-O278)</f>
        <v>1.50142079515271</v>
      </c>
      <c r="Q278" s="16" t="n">
        <f aca="false">IF(D278="","",IF(P278&gt;=0,K278,MAX(0,K278+P278)))</f>
        <v>0.9072</v>
      </c>
      <c r="R278" s="16" t="n">
        <f aca="false">IF(D278="","",Q278/$B$15)</f>
        <v>0.35</v>
      </c>
      <c r="S278" s="16" t="n">
        <f aca="false">IF(D278="","",MAX(0,J278-R278))</f>
        <v>0</v>
      </c>
      <c r="T278" s="16" t="n">
        <f aca="false">IF(D278="","",MAX(0,Z278-$B$8))</f>
        <v>0</v>
      </c>
      <c r="U278" s="16" t="n">
        <f aca="false">IF(D278="","",MAX(0,MIN($B$8,Z278)))</f>
        <v>1.50142079515271</v>
      </c>
      <c r="V278" s="16" t="str">
        <f aca="false">IF(D278="","",IF(S278&gt;0.0000001,"Sim","Não"))</f>
        <v>Não</v>
      </c>
      <c r="W278" s="16" t="n">
        <f aca="false">IF(D278="","",U278-(H278+E278-Q278-O278-T278))</f>
        <v>0</v>
      </c>
      <c r="X278" s="16" t="n">
        <f aca="false">IF(W278="","",ABS(W278))</f>
        <v>0</v>
      </c>
      <c r="Y278" s="16" t="n">
        <f aca="false">IF(U278="","",IF($B$8=0,0,U278/$B$8*100))</f>
        <v>3.17962896050977</v>
      </c>
      <c r="Z278" s="18" t="n">
        <f aca="false">IF(D278="","",MAX(0,IF(P278&gt;=0,P278,IF(K278+P278&gt;=0,0,P278+K278))))</f>
        <v>1.50142079515271</v>
      </c>
      <c r="AA278" s="18" t="n">
        <f aca="false">IF(D278="","",IF(H278&lt;=$B$16,1,IF(H278&gt;=$B$17,$B$21,MATCH(H278,Aux_CAV!$A$2:$A$121,1))))</f>
        <v>4</v>
      </c>
      <c r="AB278" s="18" t="n">
        <f aca="false">IF(D278="","",IF(L278&lt;=$B$16,1,IF(L278&gt;=$B$17,$B$21,MATCH(L278,Aux_CAV!$A$2:$A$121,1))))</f>
        <v>7</v>
      </c>
      <c r="AC278" s="19" t="n">
        <f aca="false">IF(D278="","",COUNT($D$24:D278))</f>
        <v>243</v>
      </c>
    </row>
    <row r="279" customFormat="false" ht="12.75" hidden="false" customHeight="true" outlineLevel="0" collapsed="false">
      <c r="A279" s="14" t="n">
        <f aca="false">IF(D279="","",DATE(B279,C279,1))</f>
        <v>11414</v>
      </c>
      <c r="B279" s="15" t="n">
        <f aca="false" t="array" ref="B279:B279">IF(D279="","",IFERROR(VALUE(INDEX(Vazoes_COLAR!$A$2:$A$200,INT((ROW()-24)/12)+1)),""))</f>
        <v>1931</v>
      </c>
      <c r="C279" s="15" t="n">
        <f aca="false">IF(D279="","",MOD(ROW()-24,12)+1)</f>
        <v>4</v>
      </c>
      <c r="D279" s="16" t="n">
        <f aca="false" t="array" ref="D279: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0.988493437952831</v>
      </c>
      <c r="E279" s="16" t="n">
        <f aca="false">IF(D279="","",D279*$B$15)</f>
        <v>2.56217499117374</v>
      </c>
      <c r="F279" s="16" t="n">
        <f aca="false" t="array" ref="F279:F279">IF(D279="","",IFERROR(INDEX(Dados_Evap!$C$2:$N$15,MATCH($B$9,Dados_Evap!$A$2:$A$15,0),C279),0))</f>
        <v>100.5</v>
      </c>
      <c r="G279" s="16" t="n">
        <f aca="false">IF(F279="","",F279/1000)</f>
        <v>0.1005</v>
      </c>
      <c r="H279" s="16" t="n">
        <f aca="false">IF(D279="","",MAX(0,MIN($B$8,IFERROR(LOOKUP(2,1/($U$24:U278&lt;&gt;""),$U$24:U278),$B$11))))</f>
        <v>1.50142079515271</v>
      </c>
      <c r="I279" s="16" t="n">
        <f aca="false" t="array" ref="I279: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>0.82879494609282</v>
      </c>
      <c r="J279" s="16" t="n">
        <f aca="false">IF(D279="","",$B$12)</f>
        <v>0.35</v>
      </c>
      <c r="K279" s="16" t="n">
        <f aca="false">IF(J279="","",J279*$B$15)</f>
        <v>0.9072</v>
      </c>
      <c r="L279" s="16" t="n">
        <f aca="false">IF(D279="","",H279+E279-K279-G279*I279)</f>
        <v>3.07310189424412</v>
      </c>
      <c r="M279" s="16" t="n">
        <f aca="false" t="array" ref="M279: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>1.2518837152344</v>
      </c>
      <c r="N279" s="16" t="n">
        <f aca="false">IF(D279="","",(I279+M279)/2)</f>
        <v>1.04033933066361</v>
      </c>
      <c r="O279" s="16" t="n">
        <f aca="false">IF(D279="","",G279*N279)</f>
        <v>0.104554102731693</v>
      </c>
      <c r="P279" s="16" t="n">
        <f aca="false">IF(D279="","",H279+E279-K279-O279)</f>
        <v>3.05184168359476</v>
      </c>
      <c r="Q279" s="16" t="n">
        <f aca="false">IF(D279="","",IF(P279&gt;=0,K279,MAX(0,K279+P279)))</f>
        <v>0.9072</v>
      </c>
      <c r="R279" s="16" t="n">
        <f aca="false">IF(D279="","",Q279/$B$15)</f>
        <v>0.35</v>
      </c>
      <c r="S279" s="16" t="n">
        <f aca="false">IF(D279="","",MAX(0,J279-R279))</f>
        <v>0</v>
      </c>
      <c r="T279" s="16" t="n">
        <f aca="false">IF(D279="","",MAX(0,Z279-$B$8))</f>
        <v>0</v>
      </c>
      <c r="U279" s="16" t="n">
        <f aca="false">IF(D279="","",MAX(0,MIN($B$8,Z279)))</f>
        <v>3.05184168359476</v>
      </c>
      <c r="V279" s="16" t="str">
        <f aca="false">IF(D279="","",IF(S279&gt;0.0000001,"Sim","Não"))</f>
        <v>Não</v>
      </c>
      <c r="W279" s="16" t="n">
        <f aca="false">IF(D279="","",U279-(H279+E279-Q279-O279-T279))</f>
        <v>0</v>
      </c>
      <c r="X279" s="16" t="n">
        <f aca="false">IF(W279="","",ABS(W279))</f>
        <v>0</v>
      </c>
      <c r="Y279" s="16" t="n">
        <f aca="false">IF(U279="","",IF($B$8=0,0,U279/$B$8*100))</f>
        <v>6.46302770773986</v>
      </c>
      <c r="Z279" s="18" t="n">
        <f aca="false">IF(D279="","",MAX(0,IF(P279&gt;=0,P279,IF(K279+P279&gt;=0,0,P279+K279))))</f>
        <v>3.05184168359476</v>
      </c>
      <c r="AA279" s="18" t="n">
        <f aca="false">IF(D279="","",IF(H279&lt;=$B$16,1,IF(H279&gt;=$B$17,$B$21,MATCH(H279,Aux_CAV!$A$2:$A$121,1))))</f>
        <v>7</v>
      </c>
      <c r="AB279" s="18" t="n">
        <f aca="false">IF(D279="","",IF(L279&lt;=$B$16,1,IF(L279&gt;=$B$17,$B$21,MATCH(L279,Aux_CAV!$A$2:$A$121,1))))</f>
        <v>8</v>
      </c>
      <c r="AC279" s="19" t="n">
        <f aca="false">IF(D279="","",COUNT($D$24:D279))</f>
        <v>244</v>
      </c>
    </row>
    <row r="280" customFormat="false" ht="12.75" hidden="false" customHeight="true" outlineLevel="0" collapsed="false">
      <c r="A280" s="14" t="n">
        <f aca="false">IF(D280="","",DATE(B280,C280,1))</f>
        <v>11444</v>
      </c>
      <c r="B280" s="15" t="n">
        <f aca="false" t="array" ref="B280:B280">IF(D280="","",IFERROR(VALUE(INDEX(Vazoes_COLAR!$A$2:$A$200,INT((ROW()-24)/12)+1)),""))</f>
        <v>1931</v>
      </c>
      <c r="C280" s="15" t="n">
        <f aca="false">IF(D280="","",MOD(ROW()-24,12)+1)</f>
        <v>5</v>
      </c>
      <c r="D280" s="16" t="n">
        <f aca="false" t="array" ref="D280: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0.284970030595138</v>
      </c>
      <c r="E280" s="16" t="n">
        <f aca="false">IF(D280="","",D280*$B$15)</f>
        <v>0.738642319302598</v>
      </c>
      <c r="F280" s="16" t="n">
        <f aca="false" t="array" ref="F280:F280">IF(D280="","",IFERROR(INDEX(Dados_Evap!$C$2:$N$15,MATCH($B$9,Dados_Evap!$A$2:$A$15,0),C280),0))</f>
        <v>145.8</v>
      </c>
      <c r="G280" s="16" t="n">
        <f aca="false">IF(F280="","",F280/1000)</f>
        <v>0.1458</v>
      </c>
      <c r="H280" s="16" t="n">
        <f aca="false">IF(D280="","",MAX(0,MIN($B$8,IFERROR(LOOKUP(2,1/($U$24:U279&lt;&gt;""),$U$24:U279),$B$11))))</f>
        <v>3.05184168359476</v>
      </c>
      <c r="I280" s="16" t="n">
        <f aca="false" t="array" ref="I280: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>1.24610093793777</v>
      </c>
      <c r="J280" s="16" t="n">
        <f aca="false">IF(D280="","",$B$12)</f>
        <v>0.35</v>
      </c>
      <c r="K280" s="16" t="n">
        <f aca="false">IF(J280="","",J280*$B$15)</f>
        <v>0.9072</v>
      </c>
      <c r="L280" s="16" t="n">
        <f aca="false">IF(D280="","",H280+E280-K280-G280*I280)</f>
        <v>2.70160248614603</v>
      </c>
      <c r="M280" s="16" t="n">
        <f aca="false" t="array" ref="M280: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>1.15083587623172</v>
      </c>
      <c r="N280" s="16" t="n">
        <f aca="false">IF(D280="","",(I280+M280)/2)</f>
        <v>1.19846840708475</v>
      </c>
      <c r="O280" s="16" t="n">
        <f aca="false">IF(D280="","",G280*N280)</f>
        <v>0.174736693752956</v>
      </c>
      <c r="P280" s="16" t="n">
        <f aca="false">IF(D280="","",H280+E280-K280-O280)</f>
        <v>2.7085473091444</v>
      </c>
      <c r="Q280" s="16" t="n">
        <f aca="false">IF(D280="","",IF(P280&gt;=0,K280,MAX(0,K280+P280)))</f>
        <v>0.9072</v>
      </c>
      <c r="R280" s="16" t="n">
        <f aca="false">IF(D280="","",Q280/$B$15)</f>
        <v>0.35</v>
      </c>
      <c r="S280" s="16" t="n">
        <f aca="false">IF(D280="","",MAX(0,J280-R280))</f>
        <v>0</v>
      </c>
      <c r="T280" s="16" t="n">
        <f aca="false">IF(D280="","",MAX(0,Z280-$B$8))</f>
        <v>0</v>
      </c>
      <c r="U280" s="16" t="n">
        <f aca="false">IF(D280="","",MAX(0,MIN($B$8,Z280)))</f>
        <v>2.7085473091444</v>
      </c>
      <c r="V280" s="16" t="str">
        <f aca="false">IF(D280="","",IF(S280&gt;0.0000001,"Sim","Não"))</f>
        <v>Não</v>
      </c>
      <c r="W280" s="16" t="n">
        <f aca="false">IF(D280="","",U280-(H280+E280-Q280-O280-T280))</f>
        <v>0</v>
      </c>
      <c r="X280" s="16" t="n">
        <f aca="false">IF(W280="","",ABS(W280))</f>
        <v>0</v>
      </c>
      <c r="Y280" s="16" t="n">
        <f aca="false">IF(U280="","",IF($B$8=0,0,U280/$B$8*100))</f>
        <v>5.73601717311394</v>
      </c>
      <c r="Z280" s="18" t="n">
        <f aca="false">IF(D280="","",MAX(0,IF(P280&gt;=0,P280,IF(K280+P280&gt;=0,0,P280+K280))))</f>
        <v>2.7085473091444</v>
      </c>
      <c r="AA280" s="18" t="n">
        <f aca="false">IF(D280="","",IF(H280&lt;=$B$16,1,IF(H280&gt;=$B$17,$B$21,MATCH(H280,Aux_CAV!$A$2:$A$121,1))))</f>
        <v>8</v>
      </c>
      <c r="AB280" s="18" t="n">
        <f aca="false">IF(D280="","",IF(L280&lt;=$B$16,1,IF(L280&gt;=$B$17,$B$21,MATCH(L280,Aux_CAV!$A$2:$A$121,1))))</f>
        <v>8</v>
      </c>
      <c r="AC280" s="19" t="n">
        <f aca="false">IF(D280="","",COUNT($D$24:D280))</f>
        <v>245</v>
      </c>
    </row>
    <row r="281" customFormat="false" ht="12.75" hidden="false" customHeight="true" outlineLevel="0" collapsed="false">
      <c r="A281" s="14" t="n">
        <f aca="false">IF(D281="","",DATE(B281,C281,1))</f>
        <v>11475</v>
      </c>
      <c r="B281" s="15" t="n">
        <f aca="false" t="array" ref="B281:B281">IF(D281="","",IFERROR(VALUE(INDEX(Vazoes_COLAR!$A$2:$A$200,INT((ROW()-24)/12)+1)),""))</f>
        <v>1931</v>
      </c>
      <c r="C281" s="15" t="n">
        <f aca="false">IF(D281="","",MOD(ROW()-24,12)+1)</f>
        <v>6</v>
      </c>
      <c r="D281" s="16" t="n">
        <f aca="false" t="array" ref="D281: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0.0712011816145483</v>
      </c>
      <c r="E281" s="16" t="n">
        <f aca="false">IF(D281="","",D281*$B$15)</f>
        <v>0.184553462744909</v>
      </c>
      <c r="F281" s="16" t="n">
        <f aca="false" t="array" ref="F281:F281">IF(D281="","",IFERROR(INDEX(Dados_Evap!$C$2:$N$15,MATCH($B$9,Dados_Evap!$A$2:$A$15,0),C281),0))</f>
        <v>161.3</v>
      </c>
      <c r="G281" s="16" t="n">
        <f aca="false">IF(F281="","",F281/1000)</f>
        <v>0.1613</v>
      </c>
      <c r="H281" s="16" t="n">
        <f aca="false">IF(D281="","",MAX(0,MIN($B$8,IFERROR(LOOKUP(2,1/($U$24:U280&lt;&gt;""),$U$24:U280),$B$11))))</f>
        <v>2.7085473091444</v>
      </c>
      <c r="I281" s="16" t="n">
        <f aca="false" t="array" ref="I281: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>1.15272486808728</v>
      </c>
      <c r="J281" s="16" t="n">
        <f aca="false">IF(D281="","",$B$12)</f>
        <v>0.35</v>
      </c>
      <c r="K281" s="16" t="n">
        <f aca="false">IF(J281="","",J281*$B$15)</f>
        <v>0.9072</v>
      </c>
      <c r="L281" s="16" t="n">
        <f aca="false">IF(D281="","",H281+E281-K281-G281*I281)</f>
        <v>1.79996625066683</v>
      </c>
      <c r="M281" s="16" t="n">
        <f aca="false" t="array" ref="M281: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>0.907359539649167</v>
      </c>
      <c r="N281" s="16" t="n">
        <f aca="false">IF(D281="","",(I281+M281)/2)</f>
        <v>1.03004220386822</v>
      </c>
      <c r="O281" s="16" t="n">
        <f aca="false">IF(D281="","",G281*N281)</f>
        <v>0.166145807483944</v>
      </c>
      <c r="P281" s="16" t="n">
        <f aca="false">IF(D281="","",H281+E281-K281-O281)</f>
        <v>1.81975496440537</v>
      </c>
      <c r="Q281" s="16" t="n">
        <f aca="false">IF(D281="","",IF(P281&gt;=0,K281,MAX(0,K281+P281)))</f>
        <v>0.9072</v>
      </c>
      <c r="R281" s="16" t="n">
        <f aca="false">IF(D281="","",Q281/$B$15)</f>
        <v>0.35</v>
      </c>
      <c r="S281" s="16" t="n">
        <f aca="false">IF(D281="","",MAX(0,J281-R281))</f>
        <v>0</v>
      </c>
      <c r="T281" s="16" t="n">
        <f aca="false">IF(D281="","",MAX(0,Z281-$B$8))</f>
        <v>0</v>
      </c>
      <c r="U281" s="16" t="n">
        <f aca="false">IF(D281="","",MAX(0,MIN($B$8,Z281)))</f>
        <v>1.81975496440537</v>
      </c>
      <c r="V281" s="16" t="str">
        <f aca="false">IF(D281="","",IF(S281&gt;0.0000001,"Sim","Não"))</f>
        <v>Não</v>
      </c>
      <c r="W281" s="16" t="n">
        <f aca="false">IF(D281="","",U281-(H281+E281-Q281-O281-T281))</f>
        <v>0</v>
      </c>
      <c r="X281" s="16" t="n">
        <f aca="false">IF(W281="","",ABS(W281))</f>
        <v>0</v>
      </c>
      <c r="Y281" s="16" t="n">
        <f aca="false">IF(U281="","",IF($B$8=0,0,U281/$B$8*100))</f>
        <v>3.85378010251031</v>
      </c>
      <c r="Z281" s="18" t="n">
        <f aca="false">IF(D281="","",MAX(0,IF(P281&gt;=0,P281,IF(K281+P281&gt;=0,0,P281+K281))))</f>
        <v>1.81975496440537</v>
      </c>
      <c r="AA281" s="18" t="n">
        <f aca="false">IF(D281="","",IF(H281&lt;=$B$16,1,IF(H281&gt;=$B$17,$B$21,MATCH(H281,Aux_CAV!$A$2:$A$121,1))))</f>
        <v>8</v>
      </c>
      <c r="AB281" s="18" t="n">
        <f aca="false">IF(D281="","",IF(L281&lt;=$B$16,1,IF(L281&gt;=$B$17,$B$21,MATCH(L281,Aux_CAV!$A$2:$A$121,1))))</f>
        <v>7</v>
      </c>
      <c r="AC281" s="19" t="n">
        <f aca="false">IF(D281="","",COUNT($D$24:D281))</f>
        <v>246</v>
      </c>
    </row>
    <row r="282" customFormat="false" ht="12.75" hidden="false" customHeight="true" outlineLevel="0" collapsed="false">
      <c r="A282" s="14" t="n">
        <f aca="false">IF(D282="","",DATE(B282,C282,1))</f>
        <v>11505</v>
      </c>
      <c r="B282" s="15" t="n">
        <f aca="false" t="array" ref="B282:B282">IF(D282="","",IFERROR(VALUE(INDEX(Vazoes_COLAR!$A$2:$A$200,INT((ROW()-24)/12)+1)),""))</f>
        <v>1931</v>
      </c>
      <c r="C282" s="15" t="n">
        <f aca="false">IF(D282="","",MOD(ROW()-24,12)+1)</f>
        <v>7</v>
      </c>
      <c r="D282" s="16" t="n">
        <f aca="false" t="array" ref="D282: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0.013908741348406</v>
      </c>
      <c r="E282" s="16" t="n">
        <f aca="false">IF(D282="","",D282*$B$15)</f>
        <v>0.0360514575750684</v>
      </c>
      <c r="F282" s="16" t="n">
        <f aca="false" t="array" ref="F282:F282">IF(D282="","",IFERROR(INDEX(Dados_Evap!$C$2:$N$15,MATCH($B$9,Dados_Evap!$A$2:$A$15,0),C282),0))</f>
        <v>224.8</v>
      </c>
      <c r="G282" s="16" t="n">
        <f aca="false">IF(F282="","",F282/1000)</f>
        <v>0.2248</v>
      </c>
      <c r="H282" s="16" t="n">
        <f aca="false">IF(D282="","",MAX(0,MIN($B$8,IFERROR(LOOKUP(2,1/($U$24:U281&lt;&gt;""),$U$24:U281),$B$11))))</f>
        <v>1.81975496440537</v>
      </c>
      <c r="I282" s="16" t="n">
        <f aca="false" t="array" ref="I282: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>0.912567095896149</v>
      </c>
      <c r="J282" s="16" t="n">
        <f aca="false">IF(D282="","",$B$12)</f>
        <v>0.35</v>
      </c>
      <c r="K282" s="16" t="n">
        <f aca="false">IF(J282="","",J282*$B$15)</f>
        <v>0.9072</v>
      </c>
      <c r="L282" s="16" t="n">
        <f aca="false">IF(D282="","",H282+E282-K282-G282*I282)</f>
        <v>0.74346133882298</v>
      </c>
      <c r="M282" s="16" t="n">
        <f aca="false" t="array" ref="M282: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>0.552661572139229</v>
      </c>
      <c r="N282" s="16" t="n">
        <f aca="false">IF(D282="","",(I282+M282)/2)</f>
        <v>0.732614334017689</v>
      </c>
      <c r="O282" s="16" t="n">
        <f aca="false">IF(D282="","",G282*N282)</f>
        <v>0.164691702287176</v>
      </c>
      <c r="P282" s="16" t="n">
        <f aca="false">IF(D282="","",H282+E282-K282-O282)</f>
        <v>0.783914719693258</v>
      </c>
      <c r="Q282" s="16" t="n">
        <f aca="false">IF(D282="","",IF(P282&gt;=0,K282,MAX(0,K282+P282)))</f>
        <v>0.9072</v>
      </c>
      <c r="R282" s="16" t="n">
        <f aca="false">IF(D282="","",Q282/$B$15)</f>
        <v>0.35</v>
      </c>
      <c r="S282" s="16" t="n">
        <f aca="false">IF(D282="","",MAX(0,J282-R282))</f>
        <v>0</v>
      </c>
      <c r="T282" s="16" t="n">
        <f aca="false">IF(D282="","",MAX(0,Z282-$B$8))</f>
        <v>0</v>
      </c>
      <c r="U282" s="16" t="n">
        <f aca="false">IF(D282="","",MAX(0,MIN($B$8,Z282)))</f>
        <v>0.783914719693258</v>
      </c>
      <c r="V282" s="16" t="str">
        <f aca="false">IF(D282="","",IF(S282&gt;0.0000001,"Sim","Não"))</f>
        <v>Não</v>
      </c>
      <c r="W282" s="16" t="n">
        <f aca="false">IF(D282="","",U282-(H282+E282-Q282-O282-T282))</f>
        <v>0</v>
      </c>
      <c r="X282" s="16" t="n">
        <f aca="false">IF(W282="","",ABS(W282))</f>
        <v>0</v>
      </c>
      <c r="Y282" s="16" t="n">
        <f aca="false">IF(U282="","",IF($B$8=0,0,U282/$B$8*100))</f>
        <v>1.66013282442452</v>
      </c>
      <c r="Z282" s="18" t="n">
        <f aca="false">IF(D282="","",MAX(0,IF(P282&gt;=0,P282,IF(K282+P282&gt;=0,0,P282+K282))))</f>
        <v>0.783914719693258</v>
      </c>
      <c r="AA282" s="18" t="n">
        <f aca="false">IF(D282="","",IF(H282&lt;=$B$16,1,IF(H282&gt;=$B$17,$B$21,MATCH(H282,Aux_CAV!$A$2:$A$121,1))))</f>
        <v>7</v>
      </c>
      <c r="AB282" s="18" t="n">
        <f aca="false">IF(D282="","",IF(L282&lt;=$B$16,1,IF(L282&gt;=$B$17,$B$21,MATCH(L282,Aux_CAV!$A$2:$A$121,1))))</f>
        <v>6</v>
      </c>
      <c r="AC282" s="19" t="n">
        <f aca="false">IF(D282="","",COUNT($D$24:D282))</f>
        <v>247</v>
      </c>
    </row>
    <row r="283" customFormat="false" ht="12.75" hidden="false" customHeight="true" outlineLevel="0" collapsed="false">
      <c r="A283" s="14" t="n">
        <f aca="false">IF(D283="","",DATE(B283,C283,1))</f>
        <v>11536</v>
      </c>
      <c r="B283" s="15" t="n">
        <f aca="false" t="array" ref="B283:B283">IF(D283="","",IFERROR(VALUE(INDEX(Vazoes_COLAR!$A$2:$A$200,INT((ROW()-24)/12)+1)),""))</f>
        <v>1931</v>
      </c>
      <c r="C283" s="15" t="n">
        <f aca="false">IF(D283="","",MOD(ROW()-24,12)+1)</f>
        <v>8</v>
      </c>
      <c r="D283" s="16" t="n">
        <f aca="false" t="array" ref="D283: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0.0117576976497828</v>
      </c>
      <c r="E283" s="16" t="n">
        <f aca="false">IF(D283="","",D283*$B$15)</f>
        <v>0.030475952308237</v>
      </c>
      <c r="F283" s="16" t="n">
        <f aca="false" t="array" ref="F283:F283">IF(D283="","",IFERROR(INDEX(Dados_Evap!$C$2:$N$15,MATCH($B$9,Dados_Evap!$A$2:$A$15,0),C283),0))</f>
        <v>268.7</v>
      </c>
      <c r="G283" s="16" t="n">
        <f aca="false">IF(F283="","",F283/1000)</f>
        <v>0.2687</v>
      </c>
      <c r="H283" s="16" t="n">
        <f aca="false">IF(D283="","",MAX(0,MIN($B$8,IFERROR(LOOKUP(2,1/($U$24:U282&lt;&gt;""),$U$24:U282),$B$11))))</f>
        <v>0.783914719693258</v>
      </c>
      <c r="I283" s="16" t="n">
        <f aca="false" t="array" ref="I283: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>0.573425254355832</v>
      </c>
      <c r="J283" s="16" t="n">
        <f aca="false">IF(D283="","",$B$12)</f>
        <v>0.35</v>
      </c>
      <c r="K283" s="16" t="n">
        <f aca="false">IF(J283="","",J283*$B$15)</f>
        <v>0.9072</v>
      </c>
      <c r="L283" s="16" t="n">
        <f aca="false">IF(D283="","",H283+E283-K283-G283*I283)</f>
        <v>-0.246888693843917</v>
      </c>
      <c r="M283" s="16" t="n">
        <f aca="false" t="array" ref="M283: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>0</v>
      </c>
      <c r="N283" s="16" t="n">
        <f aca="false">IF(D283="","",(I283+M283)/2)</f>
        <v>0.286712627177916</v>
      </c>
      <c r="O283" s="16" t="n">
        <f aca="false">IF(D283="","",G283*N283)</f>
        <v>0.077039682922706</v>
      </c>
      <c r="P283" s="16" t="n">
        <f aca="false">IF(D283="","",H283+E283-K283-O283)</f>
        <v>-0.169849010921211</v>
      </c>
      <c r="Q283" s="16" t="n">
        <f aca="false">IF(D283="","",IF(P283&gt;=0,K283,MAX(0,K283+P283)))</f>
        <v>0.737350989078789</v>
      </c>
      <c r="R283" s="16" t="n">
        <f aca="false">IF(D283="","",Q283/$B$15)</f>
        <v>0.284471832206323</v>
      </c>
      <c r="S283" s="16" t="n">
        <f aca="false">IF(D283="","",MAX(0,J283-R283))</f>
        <v>0.065528167793677</v>
      </c>
      <c r="T283" s="16" t="n">
        <f aca="false">IF(D283="","",MAX(0,Z283-$B$8))</f>
        <v>0</v>
      </c>
      <c r="U283" s="16" t="n">
        <f aca="false">IF(D283="","",MAX(0,MIN($B$8,Z283)))</f>
        <v>0</v>
      </c>
      <c r="V283" s="16" t="str">
        <f aca="false">IF(D283="","",IF(S283&gt;0.0000001,"Sim","Não"))</f>
        <v>Sim</v>
      </c>
      <c r="W283" s="16" t="n">
        <f aca="false">IF(D283="","",U283-(H283+E283-Q283-O283-T283))</f>
        <v>0</v>
      </c>
      <c r="X283" s="16" t="n">
        <f aca="false">IF(W283="","",ABS(W283))</f>
        <v>0</v>
      </c>
      <c r="Y283" s="16" t="n">
        <f aca="false">IF(U283="","",IF($B$8=0,0,U283/$B$8*100))</f>
        <v>0</v>
      </c>
      <c r="Z283" s="18" t="n">
        <f aca="false">IF(D283="","",MAX(0,IF(P283&gt;=0,P283,IF(K283+P283&gt;=0,0,P283+K283))))</f>
        <v>0</v>
      </c>
      <c r="AA283" s="18" t="n">
        <f aca="false">IF(D283="","",IF(H283&lt;=$B$16,1,IF(H283&gt;=$B$17,$B$21,MATCH(H283,Aux_CAV!$A$2:$A$121,1))))</f>
        <v>6</v>
      </c>
      <c r="AB283" s="18" t="n">
        <f aca="false">IF(D283="","",IF(L283&lt;=$B$16,1,IF(L283&gt;=$B$17,$B$21,MATCH(L283,Aux_CAV!$A$2:$A$121,1))))</f>
        <v>1</v>
      </c>
      <c r="AC283" s="19" t="n">
        <f aca="false">IF(D283="","",COUNT($D$24:D283))</f>
        <v>248</v>
      </c>
    </row>
    <row r="284" customFormat="false" ht="12.75" hidden="false" customHeight="true" outlineLevel="0" collapsed="false">
      <c r="A284" s="14" t="n">
        <f aca="false">IF(D284="","",DATE(B284,C284,1))</f>
        <v>11567</v>
      </c>
      <c r="B284" s="15" t="n">
        <f aca="false" t="array" ref="B284:B284">IF(D284="","",IFERROR(VALUE(INDEX(Vazoes_COLAR!$A$2:$A$200,INT((ROW()-24)/12)+1)),""))</f>
        <v>1931</v>
      </c>
      <c r="C284" s="15" t="n">
        <f aca="false">IF(D284="","",MOD(ROW()-24,12)+1)</f>
        <v>9</v>
      </c>
      <c r="D284" s="16" t="n">
        <f aca="false" t="array" ref="D284: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0.00822330896326843</v>
      </c>
      <c r="E284" s="16" t="n">
        <f aca="false">IF(D284="","",D284*$B$15)</f>
        <v>0.0213148168327918</v>
      </c>
      <c r="F284" s="16" t="n">
        <f aca="false" t="array" ref="F284:F284">IF(D284="","",IFERROR(INDEX(Dados_Evap!$C$2:$N$15,MATCH($B$9,Dados_Evap!$A$2:$A$15,0),C284),0))</f>
        <v>292.8</v>
      </c>
      <c r="G284" s="16" t="n">
        <f aca="false">IF(F284="","",F284/1000)</f>
        <v>0.2928</v>
      </c>
      <c r="H284" s="16" t="n">
        <f aca="false">IF(D284="","",MAX(0,MIN($B$8,IFERROR(LOOKUP(2,1/($U$24:U283&lt;&gt;""),$U$24:U283),$B$11))))</f>
        <v>0</v>
      </c>
      <c r="I284" s="16" t="n">
        <f aca="false" t="array" ref="I284: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>0</v>
      </c>
      <c r="J284" s="16" t="n">
        <f aca="false">IF(D284="","",$B$12)</f>
        <v>0.35</v>
      </c>
      <c r="K284" s="16" t="n">
        <f aca="false">IF(J284="","",J284*$B$15)</f>
        <v>0.9072</v>
      </c>
      <c r="L284" s="16" t="n">
        <f aca="false">IF(D284="","",H284+E284-K284-G284*I284)</f>
        <v>-0.885885183167208</v>
      </c>
      <c r="M284" s="16" t="n">
        <f aca="false" t="array" ref="M284: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>0</v>
      </c>
      <c r="N284" s="16" t="n">
        <f aca="false">IF(D284="","",(I284+M284)/2)</f>
        <v>0</v>
      </c>
      <c r="O284" s="16" t="n">
        <f aca="false">IF(D284="","",G284*N284)</f>
        <v>0</v>
      </c>
      <c r="P284" s="16" t="n">
        <f aca="false">IF(D284="","",H284+E284-K284-O284)</f>
        <v>-0.885885183167208</v>
      </c>
      <c r="Q284" s="16" t="n">
        <f aca="false">IF(D284="","",IF(P284&gt;=0,K284,MAX(0,K284+P284)))</f>
        <v>0.0213148168327918</v>
      </c>
      <c r="R284" s="16" t="n">
        <f aca="false">IF(D284="","",Q284/$B$15)</f>
        <v>0.00822330896326844</v>
      </c>
      <c r="S284" s="16" t="n">
        <f aca="false">IF(D284="","",MAX(0,J284-R284))</f>
        <v>0.341776691036732</v>
      </c>
      <c r="T284" s="16" t="n">
        <f aca="false">IF(D284="","",MAX(0,Z284-$B$8))</f>
        <v>0</v>
      </c>
      <c r="U284" s="16" t="n">
        <f aca="false">IF(D284="","",MAX(0,MIN($B$8,Z284)))</f>
        <v>0</v>
      </c>
      <c r="V284" s="16" t="str">
        <f aca="false">IF(D284="","",IF(S284&gt;0.0000001,"Sim","Não"))</f>
        <v>Sim</v>
      </c>
      <c r="W284" s="16" t="n">
        <f aca="false">IF(D284="","",U284-(H284+E284-Q284-O284-T284))</f>
        <v>0</v>
      </c>
      <c r="X284" s="16" t="n">
        <f aca="false">IF(W284="","",ABS(W284))</f>
        <v>0</v>
      </c>
      <c r="Y284" s="16" t="n">
        <f aca="false">IF(U284="","",IF($B$8=0,0,U284/$B$8*100))</f>
        <v>0</v>
      </c>
      <c r="Z284" s="18" t="n">
        <f aca="false">IF(D284="","",MAX(0,IF(P284&gt;=0,P284,IF(K284+P284&gt;=0,0,P284+K284))))</f>
        <v>0</v>
      </c>
      <c r="AA284" s="18" t="n">
        <f aca="false">IF(D284="","",IF(H284&lt;=$B$16,1,IF(H284&gt;=$B$17,$B$21,MATCH(H284,Aux_CAV!$A$2:$A$121,1))))</f>
        <v>1</v>
      </c>
      <c r="AB284" s="18" t="n">
        <f aca="false">IF(D284="","",IF(L284&lt;=$B$16,1,IF(L284&gt;=$B$17,$B$21,MATCH(L284,Aux_CAV!$A$2:$A$121,1))))</f>
        <v>1</v>
      </c>
      <c r="AC284" s="19" t="n">
        <f aca="false">IF(D284="","",COUNT($D$24:D284))</f>
        <v>249</v>
      </c>
    </row>
    <row r="285" customFormat="false" ht="12.75" hidden="false" customHeight="true" outlineLevel="0" collapsed="false">
      <c r="A285" s="14" t="n">
        <f aca="false">IF(D285="","",DATE(B285,C285,1))</f>
        <v>11597</v>
      </c>
      <c r="B285" s="15" t="n">
        <f aca="false" t="array" ref="B285:B285">IF(D285="","",IFERROR(VALUE(INDEX(Vazoes_COLAR!$A$2:$A$200,INT((ROW()-24)/12)+1)),""))</f>
        <v>1931</v>
      </c>
      <c r="C285" s="15" t="n">
        <f aca="false">IF(D285="","",MOD(ROW()-24,12)+1)</f>
        <v>10</v>
      </c>
      <c r="D285" s="16" t="n">
        <f aca="false" t="array" ref="D285: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0.0215908759197093</v>
      </c>
      <c r="E285" s="16" t="n">
        <f aca="false">IF(D285="","",D285*$B$15)</f>
        <v>0.0559635503838865</v>
      </c>
      <c r="F285" s="16" t="n">
        <f aca="false" t="array" ref="F285:F285">IF(D285="","",IFERROR(INDEX(Dados_Evap!$C$2:$N$15,MATCH($B$9,Dados_Evap!$A$2:$A$15,0),C285),0))</f>
        <v>262.9</v>
      </c>
      <c r="G285" s="16" t="n">
        <f aca="false">IF(F285="","",F285/1000)</f>
        <v>0.2629</v>
      </c>
      <c r="H285" s="16" t="n">
        <f aca="false">IF(D285="","",MAX(0,MIN($B$8,IFERROR(LOOKUP(2,1/($U$24:U284&lt;&gt;""),$U$24:U284),$B$11))))</f>
        <v>0</v>
      </c>
      <c r="I285" s="16" t="n">
        <f aca="false" t="array" ref="I285: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>0</v>
      </c>
      <c r="J285" s="16" t="n">
        <f aca="false">IF(D285="","",$B$12)</f>
        <v>0.35</v>
      </c>
      <c r="K285" s="16" t="n">
        <f aca="false">IF(J285="","",J285*$B$15)</f>
        <v>0.9072</v>
      </c>
      <c r="L285" s="16" t="n">
        <f aca="false">IF(D285="","",H285+E285-K285-G285*I285)</f>
        <v>-0.851236449616114</v>
      </c>
      <c r="M285" s="16" t="n">
        <f aca="false" t="array" ref="M285: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>0</v>
      </c>
      <c r="N285" s="16" t="n">
        <f aca="false">IF(D285="","",(I285+M285)/2)</f>
        <v>0</v>
      </c>
      <c r="O285" s="16" t="n">
        <f aca="false">IF(D285="","",G285*N285)</f>
        <v>0</v>
      </c>
      <c r="P285" s="16" t="n">
        <f aca="false">IF(D285="","",H285+E285-K285-O285)</f>
        <v>-0.851236449616114</v>
      </c>
      <c r="Q285" s="16" t="n">
        <f aca="false">IF(D285="","",IF(P285&gt;=0,K285,MAX(0,K285+P285)))</f>
        <v>0.0559635503838865</v>
      </c>
      <c r="R285" s="16" t="n">
        <f aca="false">IF(D285="","",Q285/$B$15)</f>
        <v>0.0215908759197093</v>
      </c>
      <c r="S285" s="16" t="n">
        <f aca="false">IF(D285="","",MAX(0,J285-R285))</f>
        <v>0.328409124080291</v>
      </c>
      <c r="T285" s="16" t="n">
        <f aca="false">IF(D285="","",MAX(0,Z285-$B$8))</f>
        <v>0</v>
      </c>
      <c r="U285" s="16" t="n">
        <f aca="false">IF(D285="","",MAX(0,MIN($B$8,Z285)))</f>
        <v>0</v>
      </c>
      <c r="V285" s="16" t="str">
        <f aca="false">IF(D285="","",IF(S285&gt;0.0000001,"Sim","Não"))</f>
        <v>Sim</v>
      </c>
      <c r="W285" s="16" t="n">
        <f aca="false">IF(D285="","",U285-(H285+E285-Q285-O285-T285))</f>
        <v>0</v>
      </c>
      <c r="X285" s="16" t="n">
        <f aca="false">IF(W285="","",ABS(W285))</f>
        <v>0</v>
      </c>
      <c r="Y285" s="16" t="n">
        <f aca="false">IF(U285="","",IF($B$8=0,0,U285/$B$8*100))</f>
        <v>0</v>
      </c>
      <c r="Z285" s="18" t="n">
        <f aca="false">IF(D285="","",MAX(0,IF(P285&gt;=0,P285,IF(K285+P285&gt;=0,0,P285+K285))))</f>
        <v>0</v>
      </c>
      <c r="AA285" s="18" t="n">
        <f aca="false">IF(D285="","",IF(H285&lt;=$B$16,1,IF(H285&gt;=$B$17,$B$21,MATCH(H285,Aux_CAV!$A$2:$A$121,1))))</f>
        <v>1</v>
      </c>
      <c r="AB285" s="18" t="n">
        <f aca="false">IF(D285="","",IF(L285&lt;=$B$16,1,IF(L285&gt;=$B$17,$B$21,MATCH(L285,Aux_CAV!$A$2:$A$121,1))))</f>
        <v>1</v>
      </c>
      <c r="AC285" s="19" t="n">
        <f aca="false">IF(D285="","",COUNT($D$24:D285))</f>
        <v>250</v>
      </c>
    </row>
    <row r="286" customFormat="false" ht="12.75" hidden="false" customHeight="true" outlineLevel="0" collapsed="false">
      <c r="A286" s="14" t="n">
        <f aca="false">IF(D286="","",DATE(B286,C286,1))</f>
        <v>11628</v>
      </c>
      <c r="B286" s="15" t="n">
        <f aca="false" t="array" ref="B286:B286">IF(D286="","",IFERROR(VALUE(INDEX(Vazoes_COLAR!$A$2:$A$200,INT((ROW()-24)/12)+1)),""))</f>
        <v>1931</v>
      </c>
      <c r="C286" s="15" t="n">
        <f aca="false">IF(D286="","",MOD(ROW()-24,12)+1)</f>
        <v>11</v>
      </c>
      <c r="D286" s="16" t="n">
        <f aca="false" t="array" ref="D286: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0.00512736760865259</v>
      </c>
      <c r="E286" s="16" t="n">
        <f aca="false">IF(D286="","",D286*$B$15)</f>
        <v>0.0132901368416275</v>
      </c>
      <c r="F286" s="16" t="n">
        <f aca="false" t="array" ref="F286:F286">IF(D286="","",IFERROR(INDEX(Dados_Evap!$C$2:$N$15,MATCH($B$9,Dados_Evap!$A$2:$A$15,0),C286),0))</f>
        <v>223.7</v>
      </c>
      <c r="G286" s="16" t="n">
        <f aca="false">IF(F286="","",F286/1000)</f>
        <v>0.2237</v>
      </c>
      <c r="H286" s="16" t="n">
        <f aca="false">IF(D286="","",MAX(0,MIN($B$8,IFERROR(LOOKUP(2,1/($U$24:U285&lt;&gt;""),$U$24:U285),$B$11))))</f>
        <v>0</v>
      </c>
      <c r="I286" s="16" t="n">
        <f aca="false" t="array" ref="I286: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>0</v>
      </c>
      <c r="J286" s="16" t="n">
        <f aca="false">IF(D286="","",$B$12)</f>
        <v>0.35</v>
      </c>
      <c r="K286" s="16" t="n">
        <f aca="false">IF(J286="","",J286*$B$15)</f>
        <v>0.9072</v>
      </c>
      <c r="L286" s="16" t="n">
        <f aca="false">IF(D286="","",H286+E286-K286-G286*I286)</f>
        <v>-0.893909863158373</v>
      </c>
      <c r="M286" s="16" t="n">
        <f aca="false" t="array" ref="M286: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>0</v>
      </c>
      <c r="N286" s="16" t="n">
        <f aca="false">IF(D286="","",(I286+M286)/2)</f>
        <v>0</v>
      </c>
      <c r="O286" s="16" t="n">
        <f aca="false">IF(D286="","",G286*N286)</f>
        <v>0</v>
      </c>
      <c r="P286" s="16" t="n">
        <f aca="false">IF(D286="","",H286+E286-K286-O286)</f>
        <v>-0.893909863158373</v>
      </c>
      <c r="Q286" s="16" t="n">
        <f aca="false">IF(D286="","",IF(P286&gt;=0,K286,MAX(0,K286+P286)))</f>
        <v>0.0132901368416275</v>
      </c>
      <c r="R286" s="16" t="n">
        <f aca="false">IF(D286="","",Q286/$B$15)</f>
        <v>0.00512736760865258</v>
      </c>
      <c r="S286" s="16" t="n">
        <f aca="false">IF(D286="","",MAX(0,J286-R286))</f>
        <v>0.344872632391347</v>
      </c>
      <c r="T286" s="16" t="n">
        <f aca="false">IF(D286="","",MAX(0,Z286-$B$8))</f>
        <v>0</v>
      </c>
      <c r="U286" s="16" t="n">
        <f aca="false">IF(D286="","",MAX(0,MIN($B$8,Z286)))</f>
        <v>0</v>
      </c>
      <c r="V286" s="16" t="str">
        <f aca="false">IF(D286="","",IF(S286&gt;0.0000001,"Sim","Não"))</f>
        <v>Sim</v>
      </c>
      <c r="W286" s="16" t="n">
        <f aca="false">IF(D286="","",U286-(H286+E286-Q286-O286-T286))</f>
        <v>0</v>
      </c>
      <c r="X286" s="16" t="n">
        <f aca="false">IF(W286="","",ABS(W286))</f>
        <v>0</v>
      </c>
      <c r="Y286" s="16" t="n">
        <f aca="false">IF(U286="","",IF($B$8=0,0,U286/$B$8*100))</f>
        <v>0</v>
      </c>
      <c r="Z286" s="18" t="n">
        <f aca="false">IF(D286="","",MAX(0,IF(P286&gt;=0,P286,IF(K286+P286&gt;=0,0,P286+K286))))</f>
        <v>0</v>
      </c>
      <c r="AA286" s="18" t="n">
        <f aca="false">IF(D286="","",IF(H286&lt;=$B$16,1,IF(H286&gt;=$B$17,$B$21,MATCH(H286,Aux_CAV!$A$2:$A$121,1))))</f>
        <v>1</v>
      </c>
      <c r="AB286" s="18" t="n">
        <f aca="false">IF(D286="","",IF(L286&lt;=$B$16,1,IF(L286&gt;=$B$17,$B$21,MATCH(L286,Aux_CAV!$A$2:$A$121,1))))</f>
        <v>1</v>
      </c>
      <c r="AC286" s="19" t="n">
        <f aca="false">IF(D286="","",COUNT($D$24:D286))</f>
        <v>251</v>
      </c>
    </row>
    <row r="287" customFormat="false" ht="12.75" hidden="false" customHeight="true" outlineLevel="0" collapsed="false">
      <c r="A287" s="14" t="n">
        <f aca="false">IF(D287="","",DATE(B287,C287,1))</f>
        <v>11658</v>
      </c>
      <c r="B287" s="15" t="n">
        <f aca="false" t="array" ref="B287:B287">IF(D287="","",IFERROR(VALUE(INDEX(Vazoes_COLAR!$A$2:$A$200,INT((ROW()-24)/12)+1)),""))</f>
        <v>1931</v>
      </c>
      <c r="C287" s="15" t="n">
        <f aca="false">IF(D287="","",MOD(ROW()-24,12)+1)</f>
        <v>12</v>
      </c>
      <c r="D287" s="16" t="n">
        <f aca="false" t="array" ref="D287: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0.00487566959886351</v>
      </c>
      <c r="E287" s="16" t="n">
        <f aca="false">IF(D287="","",D287*$B$15)</f>
        <v>0.0126377356002542</v>
      </c>
      <c r="F287" s="16" t="n">
        <f aca="false" t="array" ref="F287:F287">IF(D287="","",IFERROR(INDEX(Dados_Evap!$C$2:$N$15,MATCH($B$9,Dados_Evap!$A$2:$A$15,0),C287),0))</f>
        <v>216.1</v>
      </c>
      <c r="G287" s="16" t="n">
        <f aca="false">IF(F287="","",F287/1000)</f>
        <v>0.2161</v>
      </c>
      <c r="H287" s="16" t="n">
        <f aca="false">IF(D287="","",MAX(0,MIN($B$8,IFERROR(LOOKUP(2,1/($U$24:U286&lt;&gt;""),$U$24:U286),$B$11))))</f>
        <v>0</v>
      </c>
      <c r="I287" s="16" t="n">
        <f aca="false" t="array" ref="I287: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>0</v>
      </c>
      <c r="J287" s="16" t="n">
        <f aca="false">IF(D287="","",$B$12)</f>
        <v>0.35</v>
      </c>
      <c r="K287" s="16" t="n">
        <f aca="false">IF(J287="","",J287*$B$15)</f>
        <v>0.9072</v>
      </c>
      <c r="L287" s="16" t="n">
        <f aca="false">IF(D287="","",H287+E287-K287-G287*I287)</f>
        <v>-0.894562264399746</v>
      </c>
      <c r="M287" s="16" t="n">
        <f aca="false" t="array" ref="M287: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>0</v>
      </c>
      <c r="N287" s="16" t="n">
        <f aca="false">IF(D287="","",(I287+M287)/2)</f>
        <v>0</v>
      </c>
      <c r="O287" s="16" t="n">
        <f aca="false">IF(D287="","",G287*N287)</f>
        <v>0</v>
      </c>
      <c r="P287" s="16" t="n">
        <f aca="false">IF(D287="","",H287+E287-K287-O287)</f>
        <v>-0.894562264399746</v>
      </c>
      <c r="Q287" s="16" t="n">
        <f aca="false">IF(D287="","",IF(P287&gt;=0,K287,MAX(0,K287+P287)))</f>
        <v>0.0126377356002543</v>
      </c>
      <c r="R287" s="16" t="n">
        <f aca="false">IF(D287="","",Q287/$B$15)</f>
        <v>0.00487566959886353</v>
      </c>
      <c r="S287" s="16" t="n">
        <f aca="false">IF(D287="","",MAX(0,J287-R287))</f>
        <v>0.345124330401136</v>
      </c>
      <c r="T287" s="16" t="n">
        <f aca="false">IF(D287="","",MAX(0,Z287-$B$8))</f>
        <v>0</v>
      </c>
      <c r="U287" s="16" t="n">
        <f aca="false">IF(D287="","",MAX(0,MIN($B$8,Z287)))</f>
        <v>0</v>
      </c>
      <c r="V287" s="16" t="str">
        <f aca="false">IF(D287="","",IF(S287&gt;0.0000001,"Sim","Não"))</f>
        <v>Sim</v>
      </c>
      <c r="W287" s="16" t="n">
        <f aca="false">IF(D287="","",U287-(H287+E287-Q287-O287-T287))</f>
        <v>5.55111512312578E-017</v>
      </c>
      <c r="X287" s="16" t="n">
        <f aca="false">IF(W287="","",ABS(W287))</f>
        <v>5.55111512312578E-017</v>
      </c>
      <c r="Y287" s="16" t="n">
        <f aca="false">IF(U287="","",IF($B$8=0,0,U287/$B$8*100))</f>
        <v>0</v>
      </c>
      <c r="Z287" s="18" t="n">
        <f aca="false">IF(D287="","",MAX(0,IF(P287&gt;=0,P287,IF(K287+P287&gt;=0,0,P287+K287))))</f>
        <v>0</v>
      </c>
      <c r="AA287" s="18" t="n">
        <f aca="false">IF(D287="","",IF(H287&lt;=$B$16,1,IF(H287&gt;=$B$17,$B$21,MATCH(H287,Aux_CAV!$A$2:$A$121,1))))</f>
        <v>1</v>
      </c>
      <c r="AB287" s="18" t="n">
        <f aca="false">IF(D287="","",IF(L287&lt;=$B$16,1,IF(L287&gt;=$B$17,$B$21,MATCH(L287,Aux_CAV!$A$2:$A$121,1))))</f>
        <v>1</v>
      </c>
      <c r="AC287" s="19" t="n">
        <f aca="false">IF(D287="","",COUNT($D$24:D287))</f>
        <v>252</v>
      </c>
    </row>
    <row r="288" customFormat="false" ht="12.75" hidden="false" customHeight="true" outlineLevel="0" collapsed="false">
      <c r="A288" s="14" t="n">
        <f aca="false">IF(D288="","",DATE(B288,C288,1))</f>
        <v>11689</v>
      </c>
      <c r="B288" s="15" t="n">
        <f aca="false" t="array" ref="B288:B288">IF(D288="","",IFERROR(VALUE(INDEX(Vazoes_COLAR!$A$2:$A$200,INT((ROW()-24)/12)+1)),""))</f>
        <v>1932</v>
      </c>
      <c r="C288" s="15" t="n">
        <f aca="false">IF(D288="","",MOD(ROW()-24,12)+1)</f>
        <v>1</v>
      </c>
      <c r="D288" s="16" t="n">
        <f aca="false" t="array" ref="D288: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0.0431226423306168</v>
      </c>
      <c r="E288" s="16" t="n">
        <f aca="false">IF(D288="","",D288*$B$15)</f>
        <v>0.111773888920959</v>
      </c>
      <c r="F288" s="16" t="n">
        <f aca="false" t="array" ref="F288:F288">IF(D288="","",IFERROR(INDEX(Dados_Evap!$C$2:$N$15,MATCH($B$9,Dados_Evap!$A$2:$A$15,0),C288),0))</f>
        <v>160</v>
      </c>
      <c r="G288" s="16" t="n">
        <f aca="false">IF(F288="","",F288/1000)</f>
        <v>0.16</v>
      </c>
      <c r="H288" s="16" t="n">
        <f aca="false">IF(D288="","",MAX(0,MIN($B$8,IFERROR(LOOKUP(2,1/($U$24:U287&lt;&gt;""),$U$24:U287),$B$11))))</f>
        <v>0</v>
      </c>
      <c r="I288" s="16" t="n">
        <f aca="false" t="array" ref="I288: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>0</v>
      </c>
      <c r="J288" s="16" t="n">
        <f aca="false">IF(D288="","",$B$12)</f>
        <v>0.35</v>
      </c>
      <c r="K288" s="16" t="n">
        <f aca="false">IF(J288="","",J288*$B$15)</f>
        <v>0.9072</v>
      </c>
      <c r="L288" s="16" t="n">
        <f aca="false">IF(D288="","",H288+E288-K288-G288*I288)</f>
        <v>-0.795426111079041</v>
      </c>
      <c r="M288" s="16" t="n">
        <f aca="false" t="array" ref="M288: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>0</v>
      </c>
      <c r="N288" s="16" t="n">
        <f aca="false">IF(D288="","",(I288+M288)/2)</f>
        <v>0</v>
      </c>
      <c r="O288" s="16" t="n">
        <f aca="false">IF(D288="","",G288*N288)</f>
        <v>0</v>
      </c>
      <c r="P288" s="16" t="n">
        <f aca="false">IF(D288="","",H288+E288-K288-O288)</f>
        <v>-0.795426111079041</v>
      </c>
      <c r="Q288" s="16" t="n">
        <f aca="false">IF(D288="","",IF(P288&gt;=0,K288,MAX(0,K288+P288)))</f>
        <v>0.111773888920959</v>
      </c>
      <c r="R288" s="16" t="n">
        <f aca="false">IF(D288="","",Q288/$B$15)</f>
        <v>0.0431226423306168</v>
      </c>
      <c r="S288" s="16" t="n">
        <f aca="false">IF(D288="","",MAX(0,J288-R288))</f>
        <v>0.306877357669383</v>
      </c>
      <c r="T288" s="16" t="n">
        <f aca="false">IF(D288="","",MAX(0,Z288-$B$8))</f>
        <v>0</v>
      </c>
      <c r="U288" s="16" t="n">
        <f aca="false">IF(D288="","",MAX(0,MIN($B$8,Z288)))</f>
        <v>0</v>
      </c>
      <c r="V288" s="16" t="str">
        <f aca="false">IF(D288="","",IF(S288&gt;0.0000001,"Sim","Não"))</f>
        <v>Sim</v>
      </c>
      <c r="W288" s="16" t="n">
        <f aca="false">IF(D288="","",U288-(H288+E288-Q288-O288-T288))</f>
        <v>0</v>
      </c>
      <c r="X288" s="16" t="n">
        <f aca="false">IF(W288="","",ABS(W288))</f>
        <v>0</v>
      </c>
      <c r="Y288" s="16" t="n">
        <f aca="false">IF(U288="","",IF($B$8=0,0,U288/$B$8*100))</f>
        <v>0</v>
      </c>
      <c r="Z288" s="18" t="n">
        <f aca="false">IF(D288="","",MAX(0,IF(P288&gt;=0,P288,IF(K288+P288&gt;=0,0,P288+K288))))</f>
        <v>0</v>
      </c>
      <c r="AA288" s="18" t="n">
        <f aca="false">IF(D288="","",IF(H288&lt;=$B$16,1,IF(H288&gt;=$B$17,$B$21,MATCH(H288,Aux_CAV!$A$2:$A$121,1))))</f>
        <v>1</v>
      </c>
      <c r="AB288" s="18" t="n">
        <f aca="false">IF(D288="","",IF(L288&lt;=$B$16,1,IF(L288&gt;=$B$17,$B$21,MATCH(L288,Aux_CAV!$A$2:$A$121,1))))</f>
        <v>1</v>
      </c>
      <c r="AC288" s="19" t="n">
        <f aca="false">IF(D288="","",COUNT($D$24:D288))</f>
        <v>253</v>
      </c>
    </row>
    <row r="289" customFormat="false" ht="12.75" hidden="false" customHeight="true" outlineLevel="0" collapsed="false">
      <c r="A289" s="14" t="n">
        <f aca="false">IF(D289="","",DATE(B289,C289,1))</f>
        <v>11720</v>
      </c>
      <c r="B289" s="15" t="n">
        <f aca="false" t="array" ref="B289:B289">IF(D289="","",IFERROR(VALUE(INDEX(Vazoes_COLAR!$A$2:$A$200,INT((ROW()-24)/12)+1)),""))</f>
        <v>1932</v>
      </c>
      <c r="C289" s="15" t="n">
        <f aca="false">IF(D289="","",MOD(ROW()-24,12)+1)</f>
        <v>2</v>
      </c>
      <c r="D289" s="16" t="n">
        <f aca="false" t="array" ref="D289: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0.101066941560476</v>
      </c>
      <c r="E289" s="16" t="n">
        <f aca="false">IF(D289="","",D289*$B$15)</f>
        <v>0.261965512524754</v>
      </c>
      <c r="F289" s="16" t="n">
        <f aca="false" t="array" ref="F289:F289">IF(D289="","",IFERROR(INDEX(Dados_Evap!$C$2:$N$15,MATCH($B$9,Dados_Evap!$A$2:$A$15,0),C289),0))</f>
        <v>124.3</v>
      </c>
      <c r="G289" s="16" t="n">
        <f aca="false">IF(F289="","",F289/1000)</f>
        <v>0.1243</v>
      </c>
      <c r="H289" s="16" t="n">
        <f aca="false">IF(D289="","",MAX(0,MIN($B$8,IFERROR(LOOKUP(2,1/($U$24:U288&lt;&gt;""),$U$24:U288),$B$11))))</f>
        <v>0</v>
      </c>
      <c r="I289" s="16" t="n">
        <f aca="false" t="array" ref="I289: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>0</v>
      </c>
      <c r="J289" s="16" t="n">
        <f aca="false">IF(D289="","",$B$12)</f>
        <v>0.35</v>
      </c>
      <c r="K289" s="16" t="n">
        <f aca="false">IF(J289="","",J289*$B$15)</f>
        <v>0.9072</v>
      </c>
      <c r="L289" s="16" t="n">
        <f aca="false">IF(D289="","",H289+E289-K289-G289*I289)</f>
        <v>-0.645234487475246</v>
      </c>
      <c r="M289" s="16" t="n">
        <f aca="false" t="array" ref="M289: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>0</v>
      </c>
      <c r="N289" s="16" t="n">
        <f aca="false">IF(D289="","",(I289+M289)/2)</f>
        <v>0</v>
      </c>
      <c r="O289" s="16" t="n">
        <f aca="false">IF(D289="","",G289*N289)</f>
        <v>0</v>
      </c>
      <c r="P289" s="16" t="n">
        <f aca="false">IF(D289="","",H289+E289-K289-O289)</f>
        <v>-0.645234487475246</v>
      </c>
      <c r="Q289" s="16" t="n">
        <f aca="false">IF(D289="","",IF(P289&gt;=0,K289,MAX(0,K289+P289)))</f>
        <v>0.261965512524754</v>
      </c>
      <c r="R289" s="16" t="n">
        <f aca="false">IF(D289="","",Q289/$B$15)</f>
        <v>0.101066941560476</v>
      </c>
      <c r="S289" s="16" t="n">
        <f aca="false">IF(D289="","",MAX(0,J289-R289))</f>
        <v>0.248933058439524</v>
      </c>
      <c r="T289" s="16" t="n">
        <f aca="false">IF(D289="","",MAX(0,Z289-$B$8))</f>
        <v>0</v>
      </c>
      <c r="U289" s="16" t="n">
        <f aca="false">IF(D289="","",MAX(0,MIN($B$8,Z289)))</f>
        <v>0</v>
      </c>
      <c r="V289" s="16" t="str">
        <f aca="false">IF(D289="","",IF(S289&gt;0.0000001,"Sim","Não"))</f>
        <v>Sim</v>
      </c>
      <c r="W289" s="16" t="n">
        <f aca="false">IF(D289="","",U289-(H289+E289-Q289-O289-T289))</f>
        <v>0</v>
      </c>
      <c r="X289" s="16" t="n">
        <f aca="false">IF(W289="","",ABS(W289))</f>
        <v>0</v>
      </c>
      <c r="Y289" s="16" t="n">
        <f aca="false">IF(U289="","",IF($B$8=0,0,U289/$B$8*100))</f>
        <v>0</v>
      </c>
      <c r="Z289" s="18" t="n">
        <f aca="false">IF(D289="","",MAX(0,IF(P289&gt;=0,P289,IF(K289+P289&gt;=0,0,P289+K289))))</f>
        <v>0</v>
      </c>
      <c r="AA289" s="18" t="n">
        <f aca="false">IF(D289="","",IF(H289&lt;=$B$16,1,IF(H289&gt;=$B$17,$B$21,MATCH(H289,Aux_CAV!$A$2:$A$121,1))))</f>
        <v>1</v>
      </c>
      <c r="AB289" s="18" t="n">
        <f aca="false">IF(D289="","",IF(L289&lt;=$B$16,1,IF(L289&gt;=$B$17,$B$21,MATCH(L289,Aux_CAV!$A$2:$A$121,1))))</f>
        <v>1</v>
      </c>
      <c r="AC289" s="19" t="n">
        <f aca="false">IF(D289="","",COUNT($D$24:D289))</f>
        <v>254</v>
      </c>
    </row>
    <row r="290" customFormat="false" ht="12.75" hidden="false" customHeight="true" outlineLevel="0" collapsed="false">
      <c r="A290" s="14" t="n">
        <f aca="false">IF(D290="","",DATE(B290,C290,1))</f>
        <v>11749</v>
      </c>
      <c r="B290" s="15" t="n">
        <f aca="false" t="array" ref="B290:B290">IF(D290="","",IFERROR(VALUE(INDEX(Vazoes_COLAR!$A$2:$A$200,INT((ROW()-24)/12)+1)),""))</f>
        <v>1932</v>
      </c>
      <c r="C290" s="15" t="n">
        <f aca="false">IF(D290="","",MOD(ROW()-24,12)+1)</f>
        <v>3</v>
      </c>
      <c r="D290" s="16" t="n">
        <f aca="false" t="array" ref="D290: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0.142714753345382</v>
      </c>
      <c r="E290" s="16" t="n">
        <f aca="false">IF(D290="","",D290*$B$15)</f>
        <v>0.36991664067123</v>
      </c>
      <c r="F290" s="16" t="n">
        <f aca="false" t="array" ref="F290:F290">IF(D290="","",IFERROR(INDEX(Dados_Evap!$C$2:$N$15,MATCH($B$9,Dados_Evap!$A$2:$A$15,0),C290),0))</f>
        <v>107.7</v>
      </c>
      <c r="G290" s="16" t="n">
        <f aca="false">IF(F290="","",F290/1000)</f>
        <v>0.1077</v>
      </c>
      <c r="H290" s="16" t="n">
        <f aca="false">IF(D290="","",MAX(0,MIN($B$8,IFERROR(LOOKUP(2,1/($U$24:U289&lt;&gt;""),$U$24:U289),$B$11))))</f>
        <v>0</v>
      </c>
      <c r="I290" s="16" t="n">
        <f aca="false" t="array" ref="I290: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>0</v>
      </c>
      <c r="J290" s="16" t="n">
        <f aca="false">IF(D290="","",$B$12)</f>
        <v>0.35</v>
      </c>
      <c r="K290" s="16" t="n">
        <f aca="false">IF(J290="","",J290*$B$15)</f>
        <v>0.9072</v>
      </c>
      <c r="L290" s="16" t="n">
        <f aca="false">IF(D290="","",H290+E290-K290-G290*I290)</f>
        <v>-0.53728335932877</v>
      </c>
      <c r="M290" s="16" t="n">
        <f aca="false" t="array" ref="M290: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>0</v>
      </c>
      <c r="N290" s="16" t="n">
        <f aca="false">IF(D290="","",(I290+M290)/2)</f>
        <v>0</v>
      </c>
      <c r="O290" s="16" t="n">
        <f aca="false">IF(D290="","",G290*N290)</f>
        <v>0</v>
      </c>
      <c r="P290" s="16" t="n">
        <f aca="false">IF(D290="","",H290+E290-K290-O290)</f>
        <v>-0.53728335932877</v>
      </c>
      <c r="Q290" s="16" t="n">
        <f aca="false">IF(D290="","",IF(P290&gt;=0,K290,MAX(0,K290+P290)))</f>
        <v>0.36991664067123</v>
      </c>
      <c r="R290" s="16" t="n">
        <f aca="false">IF(D290="","",Q290/$B$15)</f>
        <v>0.142714753345382</v>
      </c>
      <c r="S290" s="16" t="n">
        <f aca="false">IF(D290="","",MAX(0,J290-R290))</f>
        <v>0.207285246654618</v>
      </c>
      <c r="T290" s="16" t="n">
        <f aca="false">IF(D290="","",MAX(0,Z290-$B$8))</f>
        <v>0</v>
      </c>
      <c r="U290" s="16" t="n">
        <f aca="false">IF(D290="","",MAX(0,MIN($B$8,Z290)))</f>
        <v>0</v>
      </c>
      <c r="V290" s="16" t="str">
        <f aca="false">IF(D290="","",IF(S290&gt;0.0000001,"Sim","Não"))</f>
        <v>Sim</v>
      </c>
      <c r="W290" s="16" t="n">
        <f aca="false">IF(D290="","",U290-(H290+E290-Q290-O290-T290))</f>
        <v>0</v>
      </c>
      <c r="X290" s="16" t="n">
        <f aca="false">IF(W290="","",ABS(W290))</f>
        <v>0</v>
      </c>
      <c r="Y290" s="16" t="n">
        <f aca="false">IF(U290="","",IF($B$8=0,0,U290/$B$8*100))</f>
        <v>0</v>
      </c>
      <c r="Z290" s="18" t="n">
        <f aca="false">IF(D290="","",MAX(0,IF(P290&gt;=0,P290,IF(K290+P290&gt;=0,0,P290+K290))))</f>
        <v>0</v>
      </c>
      <c r="AA290" s="18" t="n">
        <f aca="false">IF(D290="","",IF(H290&lt;=$B$16,1,IF(H290&gt;=$B$17,$B$21,MATCH(H290,Aux_CAV!$A$2:$A$121,1))))</f>
        <v>1</v>
      </c>
      <c r="AB290" s="18" t="n">
        <f aca="false">IF(D290="","",IF(L290&lt;=$B$16,1,IF(L290&gt;=$B$17,$B$21,MATCH(L290,Aux_CAV!$A$2:$A$121,1))))</f>
        <v>1</v>
      </c>
      <c r="AC290" s="19" t="n">
        <f aca="false">IF(D290="","",COUNT($D$24:D290))</f>
        <v>255</v>
      </c>
    </row>
    <row r="291" customFormat="false" ht="12.75" hidden="false" customHeight="true" outlineLevel="0" collapsed="false">
      <c r="A291" s="14" t="n">
        <f aca="false">IF(D291="","",DATE(B291,C291,1))</f>
        <v>11780</v>
      </c>
      <c r="B291" s="15" t="n">
        <f aca="false" t="array" ref="B291:B291">IF(D291="","",IFERROR(VALUE(INDEX(Vazoes_COLAR!$A$2:$A$200,INT((ROW()-24)/12)+1)),""))</f>
        <v>1932</v>
      </c>
      <c r="C291" s="15" t="n">
        <f aca="false">IF(D291="","",MOD(ROW()-24,12)+1)</f>
        <v>4</v>
      </c>
      <c r="D291" s="16" t="n">
        <f aca="false" t="array" ref="D291: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0.124455729290114</v>
      </c>
      <c r="E291" s="16" t="n">
        <f aca="false">IF(D291="","",D291*$B$15)</f>
        <v>0.322589250319976</v>
      </c>
      <c r="F291" s="16" t="n">
        <f aca="false" t="array" ref="F291:F291">IF(D291="","",IFERROR(INDEX(Dados_Evap!$C$2:$N$15,MATCH($B$9,Dados_Evap!$A$2:$A$15,0),C291),0))</f>
        <v>100.5</v>
      </c>
      <c r="G291" s="16" t="n">
        <f aca="false">IF(F291="","",F291/1000)</f>
        <v>0.1005</v>
      </c>
      <c r="H291" s="16" t="n">
        <f aca="false">IF(D291="","",MAX(0,MIN($B$8,IFERROR(LOOKUP(2,1/($U$24:U290&lt;&gt;""),$U$24:U290),$B$11))))</f>
        <v>0</v>
      </c>
      <c r="I291" s="16" t="n">
        <f aca="false" t="array" ref="I291: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>0</v>
      </c>
      <c r="J291" s="16" t="n">
        <f aca="false">IF(D291="","",$B$12)</f>
        <v>0.35</v>
      </c>
      <c r="K291" s="16" t="n">
        <f aca="false">IF(J291="","",J291*$B$15)</f>
        <v>0.9072</v>
      </c>
      <c r="L291" s="16" t="n">
        <f aca="false">IF(D291="","",H291+E291-K291-G291*I291)</f>
        <v>-0.584610749680025</v>
      </c>
      <c r="M291" s="16" t="n">
        <f aca="false" t="array" ref="M291: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>0</v>
      </c>
      <c r="N291" s="16" t="n">
        <f aca="false">IF(D291="","",(I291+M291)/2)</f>
        <v>0</v>
      </c>
      <c r="O291" s="16" t="n">
        <f aca="false">IF(D291="","",G291*N291)</f>
        <v>0</v>
      </c>
      <c r="P291" s="16" t="n">
        <f aca="false">IF(D291="","",H291+E291-K291-O291)</f>
        <v>-0.584610749680025</v>
      </c>
      <c r="Q291" s="16" t="n">
        <f aca="false">IF(D291="","",IF(P291&gt;=0,K291,MAX(0,K291+P291)))</f>
        <v>0.322589250319975</v>
      </c>
      <c r="R291" s="16" t="n">
        <f aca="false">IF(D291="","",Q291/$B$15)</f>
        <v>0.124455729290114</v>
      </c>
      <c r="S291" s="16" t="n">
        <f aca="false">IF(D291="","",MAX(0,J291-R291))</f>
        <v>0.225544270709886</v>
      </c>
      <c r="T291" s="16" t="n">
        <f aca="false">IF(D291="","",MAX(0,Z291-$B$8))</f>
        <v>0</v>
      </c>
      <c r="U291" s="16" t="n">
        <f aca="false">IF(D291="","",MAX(0,MIN($B$8,Z291)))</f>
        <v>0</v>
      </c>
      <c r="V291" s="16" t="str">
        <f aca="false">IF(D291="","",IF(S291&gt;0.0000001,"Sim","Não"))</f>
        <v>Sim</v>
      </c>
      <c r="W291" s="16" t="n">
        <f aca="false">IF(D291="","",U291-(H291+E291-Q291-O291-T291))</f>
        <v>0</v>
      </c>
      <c r="X291" s="16" t="n">
        <f aca="false">IF(W291="","",ABS(W291))</f>
        <v>0</v>
      </c>
      <c r="Y291" s="16" t="n">
        <f aca="false">IF(U291="","",IF($B$8=0,0,U291/$B$8*100))</f>
        <v>0</v>
      </c>
      <c r="Z291" s="18" t="n">
        <f aca="false">IF(D291="","",MAX(0,IF(P291&gt;=0,P291,IF(K291+P291&gt;=0,0,P291+K291))))</f>
        <v>0</v>
      </c>
      <c r="AA291" s="18" t="n">
        <f aca="false">IF(D291="","",IF(H291&lt;=$B$16,1,IF(H291&gt;=$B$17,$B$21,MATCH(H291,Aux_CAV!$A$2:$A$121,1))))</f>
        <v>1</v>
      </c>
      <c r="AB291" s="18" t="n">
        <f aca="false">IF(D291="","",IF(L291&lt;=$B$16,1,IF(L291&gt;=$B$17,$B$21,MATCH(L291,Aux_CAV!$A$2:$A$121,1))))</f>
        <v>1</v>
      </c>
      <c r="AC291" s="19" t="n">
        <f aca="false">IF(D291="","",COUNT($D$24:D291))</f>
        <v>256</v>
      </c>
    </row>
    <row r="292" customFormat="false" ht="12.75" hidden="false" customHeight="true" outlineLevel="0" collapsed="false">
      <c r="A292" s="14" t="n">
        <f aca="false">IF(D292="","",DATE(B292,C292,1))</f>
        <v>11810</v>
      </c>
      <c r="B292" s="15" t="n">
        <f aca="false" t="array" ref="B292:B292">IF(D292="","",IFERROR(VALUE(INDEX(Vazoes_COLAR!$A$2:$A$200,INT((ROW()-24)/12)+1)),""))</f>
        <v>1932</v>
      </c>
      <c r="C292" s="15" t="n">
        <f aca="false">IF(D292="","",MOD(ROW()-24,12)+1)</f>
        <v>5</v>
      </c>
      <c r="D292" s="16" t="n">
        <f aca="false" t="array" ref="D292: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0.0640214171686164</v>
      </c>
      <c r="E292" s="16" t="n">
        <f aca="false">IF(D292="","",D292*$B$15)</f>
        <v>0.165943513301054</v>
      </c>
      <c r="F292" s="16" t="n">
        <f aca="false" t="array" ref="F292:F292">IF(D292="","",IFERROR(INDEX(Dados_Evap!$C$2:$N$15,MATCH($B$9,Dados_Evap!$A$2:$A$15,0),C292),0))</f>
        <v>145.8</v>
      </c>
      <c r="G292" s="16" t="n">
        <f aca="false">IF(F292="","",F292/1000)</f>
        <v>0.1458</v>
      </c>
      <c r="H292" s="16" t="n">
        <f aca="false">IF(D292="","",MAX(0,MIN($B$8,IFERROR(LOOKUP(2,1/($U$24:U291&lt;&gt;""),$U$24:U291),$B$11))))</f>
        <v>0</v>
      </c>
      <c r="I292" s="16" t="n">
        <f aca="false" t="array" ref="I292: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>0</v>
      </c>
      <c r="J292" s="16" t="n">
        <f aca="false">IF(D292="","",$B$12)</f>
        <v>0.35</v>
      </c>
      <c r="K292" s="16" t="n">
        <f aca="false">IF(J292="","",J292*$B$15)</f>
        <v>0.9072</v>
      </c>
      <c r="L292" s="16" t="n">
        <f aca="false">IF(D292="","",H292+E292-K292-G292*I292)</f>
        <v>-0.741256486698946</v>
      </c>
      <c r="M292" s="16" t="n">
        <f aca="false" t="array" ref="M292: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>0</v>
      </c>
      <c r="N292" s="16" t="n">
        <f aca="false">IF(D292="","",(I292+M292)/2)</f>
        <v>0</v>
      </c>
      <c r="O292" s="16" t="n">
        <f aca="false">IF(D292="","",G292*N292)</f>
        <v>0</v>
      </c>
      <c r="P292" s="16" t="n">
        <f aca="false">IF(D292="","",H292+E292-K292-O292)</f>
        <v>-0.741256486698946</v>
      </c>
      <c r="Q292" s="16" t="n">
        <f aca="false">IF(D292="","",IF(P292&gt;=0,K292,MAX(0,K292+P292)))</f>
        <v>0.165943513301054</v>
      </c>
      <c r="R292" s="16" t="n">
        <f aca="false">IF(D292="","",Q292/$B$15)</f>
        <v>0.0640214171686164</v>
      </c>
      <c r="S292" s="16" t="n">
        <f aca="false">IF(D292="","",MAX(0,J292-R292))</f>
        <v>0.285978582831384</v>
      </c>
      <c r="T292" s="16" t="n">
        <f aca="false">IF(D292="","",MAX(0,Z292-$B$8))</f>
        <v>0</v>
      </c>
      <c r="U292" s="16" t="n">
        <f aca="false">IF(D292="","",MAX(0,MIN($B$8,Z292)))</f>
        <v>0</v>
      </c>
      <c r="V292" s="16" t="str">
        <f aca="false">IF(D292="","",IF(S292&gt;0.0000001,"Sim","Não"))</f>
        <v>Sim</v>
      </c>
      <c r="W292" s="16" t="n">
        <f aca="false">IF(D292="","",U292-(H292+E292-Q292-O292-T292))</f>
        <v>0</v>
      </c>
      <c r="X292" s="16" t="n">
        <f aca="false">IF(W292="","",ABS(W292))</f>
        <v>0</v>
      </c>
      <c r="Y292" s="16" t="n">
        <f aca="false">IF(U292="","",IF($B$8=0,0,U292/$B$8*100))</f>
        <v>0</v>
      </c>
      <c r="Z292" s="18" t="n">
        <f aca="false">IF(D292="","",MAX(0,IF(P292&gt;=0,P292,IF(K292+P292&gt;=0,0,P292+K292))))</f>
        <v>0</v>
      </c>
      <c r="AA292" s="18" t="n">
        <f aca="false">IF(D292="","",IF(H292&lt;=$B$16,1,IF(H292&gt;=$B$17,$B$21,MATCH(H292,Aux_CAV!$A$2:$A$121,1))))</f>
        <v>1</v>
      </c>
      <c r="AB292" s="18" t="n">
        <f aca="false">IF(D292="","",IF(L292&lt;=$B$16,1,IF(L292&gt;=$B$17,$B$21,MATCH(L292,Aux_CAV!$A$2:$A$121,1))))</f>
        <v>1</v>
      </c>
      <c r="AC292" s="19" t="n">
        <f aca="false">IF(D292="","",COUNT($D$24:D292))</f>
        <v>257</v>
      </c>
    </row>
    <row r="293" customFormat="false" ht="12.75" hidden="false" customHeight="true" outlineLevel="0" collapsed="false">
      <c r="A293" s="14" t="n">
        <f aca="false">IF(D293="","",DATE(B293,C293,1))</f>
        <v>11841</v>
      </c>
      <c r="B293" s="15" t="n">
        <f aca="false" t="array" ref="B293:B293">IF(D293="","",IFERROR(VALUE(INDEX(Vazoes_COLAR!$A$2:$A$200,INT((ROW()-24)/12)+1)),""))</f>
        <v>1932</v>
      </c>
      <c r="C293" s="15" t="n">
        <f aca="false">IF(D293="","",MOD(ROW()-24,12)+1)</f>
        <v>6</v>
      </c>
      <c r="D293" s="16" t="n">
        <f aca="false" t="array" ref="D293: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0.0549941217028815</v>
      </c>
      <c r="E293" s="16" t="n">
        <f aca="false">IF(D293="","",D293*$B$15)</f>
        <v>0.142544763453869</v>
      </c>
      <c r="F293" s="16" t="n">
        <f aca="false" t="array" ref="F293:F293">IF(D293="","",IFERROR(INDEX(Dados_Evap!$C$2:$N$15,MATCH($B$9,Dados_Evap!$A$2:$A$15,0),C293),0))</f>
        <v>161.3</v>
      </c>
      <c r="G293" s="16" t="n">
        <f aca="false">IF(F293="","",F293/1000)</f>
        <v>0.1613</v>
      </c>
      <c r="H293" s="16" t="n">
        <f aca="false">IF(D293="","",MAX(0,MIN($B$8,IFERROR(LOOKUP(2,1/($U$24:U292&lt;&gt;""),$U$24:U292),$B$11))))</f>
        <v>0</v>
      </c>
      <c r="I293" s="16" t="n">
        <f aca="false" t="array" ref="I293: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>0</v>
      </c>
      <c r="J293" s="16" t="n">
        <f aca="false">IF(D293="","",$B$12)</f>
        <v>0.35</v>
      </c>
      <c r="K293" s="16" t="n">
        <f aca="false">IF(J293="","",J293*$B$15)</f>
        <v>0.9072</v>
      </c>
      <c r="L293" s="16" t="n">
        <f aca="false">IF(D293="","",H293+E293-K293-G293*I293)</f>
        <v>-0.764655236546131</v>
      </c>
      <c r="M293" s="16" t="n">
        <f aca="false" t="array" ref="M293: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>0</v>
      </c>
      <c r="N293" s="16" t="n">
        <f aca="false">IF(D293="","",(I293+M293)/2)</f>
        <v>0</v>
      </c>
      <c r="O293" s="16" t="n">
        <f aca="false">IF(D293="","",G293*N293)</f>
        <v>0</v>
      </c>
      <c r="P293" s="16" t="n">
        <f aca="false">IF(D293="","",H293+E293-K293-O293)</f>
        <v>-0.764655236546131</v>
      </c>
      <c r="Q293" s="16" t="n">
        <f aca="false">IF(D293="","",IF(P293&gt;=0,K293,MAX(0,K293+P293)))</f>
        <v>0.142544763453869</v>
      </c>
      <c r="R293" s="16" t="n">
        <f aca="false">IF(D293="","",Q293/$B$15)</f>
        <v>0.0549941217028815</v>
      </c>
      <c r="S293" s="16" t="n">
        <f aca="false">IF(D293="","",MAX(0,J293-R293))</f>
        <v>0.295005878297119</v>
      </c>
      <c r="T293" s="16" t="n">
        <f aca="false">IF(D293="","",MAX(0,Z293-$B$8))</f>
        <v>0</v>
      </c>
      <c r="U293" s="16" t="n">
        <f aca="false">IF(D293="","",MAX(0,MIN($B$8,Z293)))</f>
        <v>0</v>
      </c>
      <c r="V293" s="16" t="str">
        <f aca="false">IF(D293="","",IF(S293&gt;0.0000001,"Sim","Não"))</f>
        <v>Sim</v>
      </c>
      <c r="W293" s="16" t="n">
        <f aca="false">IF(D293="","",U293-(H293+E293-Q293-O293-T293))</f>
        <v>0</v>
      </c>
      <c r="X293" s="16" t="n">
        <f aca="false">IF(W293="","",ABS(W293))</f>
        <v>0</v>
      </c>
      <c r="Y293" s="16" t="n">
        <f aca="false">IF(U293="","",IF($B$8=0,0,U293/$B$8*100))</f>
        <v>0</v>
      </c>
      <c r="Z293" s="18" t="n">
        <f aca="false">IF(D293="","",MAX(0,IF(P293&gt;=0,P293,IF(K293+P293&gt;=0,0,P293+K293))))</f>
        <v>0</v>
      </c>
      <c r="AA293" s="18" t="n">
        <f aca="false">IF(D293="","",IF(H293&lt;=$B$16,1,IF(H293&gt;=$B$17,$B$21,MATCH(H293,Aux_CAV!$A$2:$A$121,1))))</f>
        <v>1</v>
      </c>
      <c r="AB293" s="18" t="n">
        <f aca="false">IF(D293="","",IF(L293&lt;=$B$16,1,IF(L293&gt;=$B$17,$B$21,MATCH(L293,Aux_CAV!$A$2:$A$121,1))))</f>
        <v>1</v>
      </c>
      <c r="AC293" s="19" t="n">
        <f aca="false">IF(D293="","",COUNT($D$24:D293))</f>
        <v>258</v>
      </c>
    </row>
    <row r="294" customFormat="false" ht="12.75" hidden="false" customHeight="true" outlineLevel="0" collapsed="false">
      <c r="A294" s="14" t="n">
        <f aca="false">IF(D294="","",DATE(B294,C294,1))</f>
        <v>11871</v>
      </c>
      <c r="B294" s="15" t="n">
        <f aca="false" t="array" ref="B294:B294">IF(D294="","",IFERROR(VALUE(INDEX(Vazoes_COLAR!$A$2:$A$200,INT((ROW()-24)/12)+1)),""))</f>
        <v>1932</v>
      </c>
      <c r="C294" s="15" t="n">
        <f aca="false">IF(D294="","",MOD(ROW()-24,12)+1)</f>
        <v>7</v>
      </c>
      <c r="D294" s="16" t="n">
        <f aca="false" t="array" ref="D294: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0.0382158504503742</v>
      </c>
      <c r="E294" s="16" t="n">
        <f aca="false">IF(D294="","",D294*$B$15)</f>
        <v>0.0990554843673699</v>
      </c>
      <c r="F294" s="16" t="n">
        <f aca="false" t="array" ref="F294:F294">IF(D294="","",IFERROR(INDEX(Dados_Evap!$C$2:$N$15,MATCH($B$9,Dados_Evap!$A$2:$A$15,0),C294),0))</f>
        <v>224.8</v>
      </c>
      <c r="G294" s="16" t="n">
        <f aca="false">IF(F294="","",F294/1000)</f>
        <v>0.2248</v>
      </c>
      <c r="H294" s="16" t="n">
        <f aca="false">IF(D294="","",MAX(0,MIN($B$8,IFERROR(LOOKUP(2,1/($U$24:U293&lt;&gt;""),$U$24:U293),$B$11))))</f>
        <v>0</v>
      </c>
      <c r="I294" s="16" t="n">
        <f aca="false" t="array" ref="I294: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>0</v>
      </c>
      <c r="J294" s="16" t="n">
        <f aca="false">IF(D294="","",$B$12)</f>
        <v>0.35</v>
      </c>
      <c r="K294" s="16" t="n">
        <f aca="false">IF(J294="","",J294*$B$15)</f>
        <v>0.9072</v>
      </c>
      <c r="L294" s="16" t="n">
        <f aca="false">IF(D294="","",H294+E294-K294-G294*I294)</f>
        <v>-0.80814451563263</v>
      </c>
      <c r="M294" s="16" t="n">
        <f aca="false" t="array" ref="M294: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>0</v>
      </c>
      <c r="N294" s="16" t="n">
        <f aca="false">IF(D294="","",(I294+M294)/2)</f>
        <v>0</v>
      </c>
      <c r="O294" s="16" t="n">
        <f aca="false">IF(D294="","",G294*N294)</f>
        <v>0</v>
      </c>
      <c r="P294" s="16" t="n">
        <f aca="false">IF(D294="","",H294+E294-K294-O294)</f>
        <v>-0.80814451563263</v>
      </c>
      <c r="Q294" s="16" t="n">
        <f aca="false">IF(D294="","",IF(P294&gt;=0,K294,MAX(0,K294+P294)))</f>
        <v>0.0990554843673699</v>
      </c>
      <c r="R294" s="16" t="n">
        <f aca="false">IF(D294="","",Q294/$B$15)</f>
        <v>0.0382158504503742</v>
      </c>
      <c r="S294" s="16" t="n">
        <f aca="false">IF(D294="","",MAX(0,J294-R294))</f>
        <v>0.311784149549626</v>
      </c>
      <c r="T294" s="16" t="n">
        <f aca="false">IF(D294="","",MAX(0,Z294-$B$8))</f>
        <v>0</v>
      </c>
      <c r="U294" s="16" t="n">
        <f aca="false">IF(D294="","",MAX(0,MIN($B$8,Z294)))</f>
        <v>0</v>
      </c>
      <c r="V294" s="16" t="str">
        <f aca="false">IF(D294="","",IF(S294&gt;0.0000001,"Sim","Não"))</f>
        <v>Sim</v>
      </c>
      <c r="W294" s="16" t="n">
        <f aca="false">IF(D294="","",U294-(H294+E294-Q294-O294-T294))</f>
        <v>0</v>
      </c>
      <c r="X294" s="16" t="n">
        <f aca="false">IF(W294="","",ABS(W294))</f>
        <v>0</v>
      </c>
      <c r="Y294" s="16" t="n">
        <f aca="false">IF(U294="","",IF($B$8=0,0,U294/$B$8*100))</f>
        <v>0</v>
      </c>
      <c r="Z294" s="18" t="n">
        <f aca="false">IF(D294="","",MAX(0,IF(P294&gt;=0,P294,IF(K294+P294&gt;=0,0,P294+K294))))</f>
        <v>0</v>
      </c>
      <c r="AA294" s="18" t="n">
        <f aca="false">IF(D294="","",IF(H294&lt;=$B$16,1,IF(H294&gt;=$B$17,$B$21,MATCH(H294,Aux_CAV!$A$2:$A$121,1))))</f>
        <v>1</v>
      </c>
      <c r="AB294" s="18" t="n">
        <f aca="false">IF(D294="","",IF(L294&lt;=$B$16,1,IF(L294&gt;=$B$17,$B$21,MATCH(L294,Aux_CAV!$A$2:$A$121,1))))</f>
        <v>1</v>
      </c>
      <c r="AC294" s="19" t="n">
        <f aca="false">IF(D294="","",COUNT($D$24:D294))</f>
        <v>259</v>
      </c>
    </row>
    <row r="295" customFormat="false" ht="12.75" hidden="false" customHeight="true" outlineLevel="0" collapsed="false">
      <c r="A295" s="14" t="n">
        <f aca="false">IF(D295="","",DATE(B295,C295,1))</f>
        <v>11902</v>
      </c>
      <c r="B295" s="15" t="n">
        <f aca="false" t="array" ref="B295:B295">IF(D295="","",IFERROR(VALUE(INDEX(Vazoes_COLAR!$A$2:$A$200,INT((ROW()-24)/12)+1)),""))</f>
        <v>1932</v>
      </c>
      <c r="C295" s="15" t="n">
        <f aca="false">IF(D295="","",MOD(ROW()-24,12)+1)</f>
        <v>8</v>
      </c>
      <c r="D295" s="16" t="n">
        <f aca="false" t="array" ref="D295: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0.00174155885982724</v>
      </c>
      <c r="E295" s="16" t="n">
        <f aca="false">IF(D295="","",D295*$B$15)</f>
        <v>0.00451412056467221</v>
      </c>
      <c r="F295" s="16" t="n">
        <f aca="false" t="array" ref="F295:F295">IF(D295="","",IFERROR(INDEX(Dados_Evap!$C$2:$N$15,MATCH($B$9,Dados_Evap!$A$2:$A$15,0),C295),0))</f>
        <v>268.7</v>
      </c>
      <c r="G295" s="16" t="n">
        <f aca="false">IF(F295="","",F295/1000)</f>
        <v>0.2687</v>
      </c>
      <c r="H295" s="16" t="n">
        <f aca="false">IF(D295="","",MAX(0,MIN($B$8,IFERROR(LOOKUP(2,1/($U$24:U294&lt;&gt;""),$U$24:U294),$B$11))))</f>
        <v>0</v>
      </c>
      <c r="I295" s="16" t="n">
        <f aca="false" t="array" ref="I295: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>0</v>
      </c>
      <c r="J295" s="16" t="n">
        <f aca="false">IF(D295="","",$B$12)</f>
        <v>0.35</v>
      </c>
      <c r="K295" s="16" t="n">
        <f aca="false">IF(J295="","",J295*$B$15)</f>
        <v>0.9072</v>
      </c>
      <c r="L295" s="16" t="n">
        <f aca="false">IF(D295="","",H295+E295-K295-G295*I295)</f>
        <v>-0.902685879435328</v>
      </c>
      <c r="M295" s="16" t="n">
        <f aca="false" t="array" ref="M295: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>0</v>
      </c>
      <c r="N295" s="16" t="n">
        <f aca="false">IF(D295="","",(I295+M295)/2)</f>
        <v>0</v>
      </c>
      <c r="O295" s="16" t="n">
        <f aca="false">IF(D295="","",G295*N295)</f>
        <v>0</v>
      </c>
      <c r="P295" s="16" t="n">
        <f aca="false">IF(D295="","",H295+E295-K295-O295)</f>
        <v>-0.902685879435328</v>
      </c>
      <c r="Q295" s="16" t="n">
        <f aca="false">IF(D295="","",IF(P295&gt;=0,K295,MAX(0,K295+P295)))</f>
        <v>0.00451412056467215</v>
      </c>
      <c r="R295" s="16" t="n">
        <f aca="false">IF(D295="","",Q295/$B$15)</f>
        <v>0.00174155885982722</v>
      </c>
      <c r="S295" s="16" t="n">
        <f aca="false">IF(D295="","",MAX(0,J295-R295))</f>
        <v>0.348258441140173</v>
      </c>
      <c r="T295" s="16" t="n">
        <f aca="false">IF(D295="","",MAX(0,Z295-$B$8))</f>
        <v>0</v>
      </c>
      <c r="U295" s="16" t="n">
        <f aca="false">IF(D295="","",MAX(0,MIN($B$8,Z295)))</f>
        <v>0</v>
      </c>
      <c r="V295" s="16" t="str">
        <f aca="false">IF(D295="","",IF(S295&gt;0.0000001,"Sim","Não"))</f>
        <v>Sim</v>
      </c>
      <c r="W295" s="16" t="n">
        <f aca="false">IF(D295="","",U295-(H295+E295-Q295-O295-T295))</f>
        <v>-5.3776427755281E-017</v>
      </c>
      <c r="X295" s="16" t="n">
        <f aca="false">IF(W295="","",ABS(W295))</f>
        <v>5.3776427755281E-017</v>
      </c>
      <c r="Y295" s="16" t="n">
        <f aca="false">IF(U295="","",IF($B$8=0,0,U295/$B$8*100))</f>
        <v>0</v>
      </c>
      <c r="Z295" s="18" t="n">
        <f aca="false">IF(D295="","",MAX(0,IF(P295&gt;=0,P295,IF(K295+P295&gt;=0,0,P295+K295))))</f>
        <v>0</v>
      </c>
      <c r="AA295" s="18" t="n">
        <f aca="false">IF(D295="","",IF(H295&lt;=$B$16,1,IF(H295&gt;=$B$17,$B$21,MATCH(H295,Aux_CAV!$A$2:$A$121,1))))</f>
        <v>1</v>
      </c>
      <c r="AB295" s="18" t="n">
        <f aca="false">IF(D295="","",IF(L295&lt;=$B$16,1,IF(L295&gt;=$B$17,$B$21,MATCH(L295,Aux_CAV!$A$2:$A$121,1))))</f>
        <v>1</v>
      </c>
      <c r="AC295" s="19" t="n">
        <f aca="false">IF(D295="","",COUNT($D$24:D295))</f>
        <v>260</v>
      </c>
    </row>
    <row r="296" customFormat="false" ht="12.75" hidden="false" customHeight="true" outlineLevel="0" collapsed="false">
      <c r="A296" s="14" t="n">
        <f aca="false">IF(D296="","",DATE(B296,C296,1))</f>
        <v>11933</v>
      </c>
      <c r="B296" s="15" t="n">
        <f aca="false" t="array" ref="B296:B296">IF(D296="","",IFERROR(VALUE(INDEX(Vazoes_COLAR!$A$2:$A$200,INT((ROW()-24)/12)+1)),""))</f>
        <v>1932</v>
      </c>
      <c r="C296" s="15" t="n">
        <f aca="false">IF(D296="","",MOD(ROW()-24,12)+1)</f>
        <v>9</v>
      </c>
      <c r="D296" s="16" t="n">
        <f aca="false" t="array" ref="D296: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0.0328376914795016</v>
      </c>
      <c r="E296" s="16" t="n">
        <f aca="false">IF(D296="","",D296*$B$15)</f>
        <v>0.0851152963148682</v>
      </c>
      <c r="F296" s="16" t="n">
        <f aca="false" t="array" ref="F296:F296">IF(D296="","",IFERROR(INDEX(Dados_Evap!$C$2:$N$15,MATCH($B$9,Dados_Evap!$A$2:$A$15,0),C296),0))</f>
        <v>292.8</v>
      </c>
      <c r="G296" s="16" t="n">
        <f aca="false">IF(F296="","",F296/1000)</f>
        <v>0.2928</v>
      </c>
      <c r="H296" s="16" t="n">
        <f aca="false">IF(D296="","",MAX(0,MIN($B$8,IFERROR(LOOKUP(2,1/($U$24:U295&lt;&gt;""),$U$24:U295),$B$11))))</f>
        <v>0</v>
      </c>
      <c r="I296" s="16" t="n">
        <f aca="false" t="array" ref="I296: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>0</v>
      </c>
      <c r="J296" s="16" t="n">
        <f aca="false">IF(D296="","",$B$12)</f>
        <v>0.35</v>
      </c>
      <c r="K296" s="16" t="n">
        <f aca="false">IF(J296="","",J296*$B$15)</f>
        <v>0.9072</v>
      </c>
      <c r="L296" s="16" t="n">
        <f aca="false">IF(D296="","",H296+E296-K296-G296*I296)</f>
        <v>-0.822084703685132</v>
      </c>
      <c r="M296" s="16" t="n">
        <f aca="false" t="array" ref="M296: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>0</v>
      </c>
      <c r="N296" s="16" t="n">
        <f aca="false">IF(D296="","",(I296+M296)/2)</f>
        <v>0</v>
      </c>
      <c r="O296" s="16" t="n">
        <f aca="false">IF(D296="","",G296*N296)</f>
        <v>0</v>
      </c>
      <c r="P296" s="16" t="n">
        <f aca="false">IF(D296="","",H296+E296-K296-O296)</f>
        <v>-0.822084703685132</v>
      </c>
      <c r="Q296" s="16" t="n">
        <f aca="false">IF(D296="","",IF(P296&gt;=0,K296,MAX(0,K296+P296)))</f>
        <v>0.0851152963148681</v>
      </c>
      <c r="R296" s="16" t="n">
        <f aca="false">IF(D296="","",Q296/$B$15)</f>
        <v>0.0328376914795016</v>
      </c>
      <c r="S296" s="16" t="n">
        <f aca="false">IF(D296="","",MAX(0,J296-R296))</f>
        <v>0.317162308520498</v>
      </c>
      <c r="T296" s="16" t="n">
        <f aca="false">IF(D296="","",MAX(0,Z296-$B$8))</f>
        <v>0</v>
      </c>
      <c r="U296" s="16" t="n">
        <f aca="false">IF(D296="","",MAX(0,MIN($B$8,Z296)))</f>
        <v>0</v>
      </c>
      <c r="V296" s="16" t="str">
        <f aca="false">IF(D296="","",IF(S296&gt;0.0000001,"Sim","Não"))</f>
        <v>Sim</v>
      </c>
      <c r="W296" s="16" t="n">
        <f aca="false">IF(D296="","",U296-(H296+E296-Q296-O296-T296))</f>
        <v>0</v>
      </c>
      <c r="X296" s="16" t="n">
        <f aca="false">IF(W296="","",ABS(W296))</f>
        <v>0</v>
      </c>
      <c r="Y296" s="16" t="n">
        <f aca="false">IF(U296="","",IF($B$8=0,0,U296/$B$8*100))</f>
        <v>0</v>
      </c>
      <c r="Z296" s="18" t="n">
        <f aca="false">IF(D296="","",MAX(0,IF(P296&gt;=0,P296,IF(K296+P296&gt;=0,0,P296+K296))))</f>
        <v>0</v>
      </c>
      <c r="AA296" s="18" t="n">
        <f aca="false">IF(D296="","",IF(H296&lt;=$B$16,1,IF(H296&gt;=$B$17,$B$21,MATCH(H296,Aux_CAV!$A$2:$A$121,1))))</f>
        <v>1</v>
      </c>
      <c r="AB296" s="18" t="n">
        <f aca="false">IF(D296="","",IF(L296&lt;=$B$16,1,IF(L296&gt;=$B$17,$B$21,MATCH(L296,Aux_CAV!$A$2:$A$121,1))))</f>
        <v>1</v>
      </c>
      <c r="AC296" s="19" t="n">
        <f aca="false">IF(D296="","",COUNT($D$24:D296))</f>
        <v>261</v>
      </c>
    </row>
    <row r="297" customFormat="false" ht="12.75" hidden="false" customHeight="true" outlineLevel="0" collapsed="false">
      <c r="A297" s="14" t="n">
        <f aca="false">IF(D297="","",DATE(B297,C297,1))</f>
        <v>11963</v>
      </c>
      <c r="B297" s="15" t="n">
        <f aca="false" t="array" ref="B297:B297">IF(D297="","",IFERROR(VALUE(INDEX(Vazoes_COLAR!$A$2:$A$200,INT((ROW()-24)/12)+1)),""))</f>
        <v>1932</v>
      </c>
      <c r="C297" s="15" t="n">
        <f aca="false">IF(D297="","",MOD(ROW()-24,12)+1)</f>
        <v>10</v>
      </c>
      <c r="D297" s="16" t="n">
        <f aca="false" t="array" ref="D297: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0.00731034414598439</v>
      </c>
      <c r="E297" s="16" t="n">
        <f aca="false">IF(D297="","",D297*$B$15)</f>
        <v>0.0189484120263915</v>
      </c>
      <c r="F297" s="16" t="n">
        <f aca="false" t="array" ref="F297:F297">IF(D297="","",IFERROR(INDEX(Dados_Evap!$C$2:$N$15,MATCH($B$9,Dados_Evap!$A$2:$A$15,0),C297),0))</f>
        <v>262.9</v>
      </c>
      <c r="G297" s="16" t="n">
        <f aca="false">IF(F297="","",F297/1000)</f>
        <v>0.2629</v>
      </c>
      <c r="H297" s="16" t="n">
        <f aca="false">IF(D297="","",MAX(0,MIN($B$8,IFERROR(LOOKUP(2,1/($U$24:U296&lt;&gt;""),$U$24:U296),$B$11))))</f>
        <v>0</v>
      </c>
      <c r="I297" s="16" t="n">
        <f aca="false" t="array" ref="I297: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>0</v>
      </c>
      <c r="J297" s="16" t="n">
        <f aca="false">IF(D297="","",$B$12)</f>
        <v>0.35</v>
      </c>
      <c r="K297" s="16" t="n">
        <f aca="false">IF(J297="","",J297*$B$15)</f>
        <v>0.9072</v>
      </c>
      <c r="L297" s="16" t="n">
        <f aca="false">IF(D297="","",H297+E297-K297-G297*I297)</f>
        <v>-0.888251587973609</v>
      </c>
      <c r="M297" s="16" t="n">
        <f aca="false" t="array" ref="M297: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>0</v>
      </c>
      <c r="N297" s="16" t="n">
        <f aca="false">IF(D297="","",(I297+M297)/2)</f>
        <v>0</v>
      </c>
      <c r="O297" s="16" t="n">
        <f aca="false">IF(D297="","",G297*N297)</f>
        <v>0</v>
      </c>
      <c r="P297" s="16" t="n">
        <f aca="false">IF(D297="","",H297+E297-K297-O297)</f>
        <v>-0.888251587973609</v>
      </c>
      <c r="Q297" s="16" t="n">
        <f aca="false">IF(D297="","",IF(P297&gt;=0,K297,MAX(0,K297+P297)))</f>
        <v>0.0189484120263915</v>
      </c>
      <c r="R297" s="16" t="n">
        <f aca="false">IF(D297="","",Q297/$B$15)</f>
        <v>0.00731034414598439</v>
      </c>
      <c r="S297" s="16" t="n">
        <f aca="false">IF(D297="","",MAX(0,J297-R297))</f>
        <v>0.342689655854016</v>
      </c>
      <c r="T297" s="16" t="n">
        <f aca="false">IF(D297="","",MAX(0,Z297-$B$8))</f>
        <v>0</v>
      </c>
      <c r="U297" s="16" t="n">
        <f aca="false">IF(D297="","",MAX(0,MIN($B$8,Z297)))</f>
        <v>0</v>
      </c>
      <c r="V297" s="16" t="str">
        <f aca="false">IF(D297="","",IF(S297&gt;0.0000001,"Sim","Não"))</f>
        <v>Sim</v>
      </c>
      <c r="W297" s="16" t="n">
        <f aca="false">IF(D297="","",U297-(H297+E297-Q297-O297-T297))</f>
        <v>0</v>
      </c>
      <c r="X297" s="16" t="n">
        <f aca="false">IF(W297="","",ABS(W297))</f>
        <v>0</v>
      </c>
      <c r="Y297" s="16" t="n">
        <f aca="false">IF(U297="","",IF($B$8=0,0,U297/$B$8*100))</f>
        <v>0</v>
      </c>
      <c r="Z297" s="18" t="n">
        <f aca="false">IF(D297="","",MAX(0,IF(P297&gt;=0,P297,IF(K297+P297&gt;=0,0,P297+K297))))</f>
        <v>0</v>
      </c>
      <c r="AA297" s="18" t="n">
        <f aca="false">IF(D297="","",IF(H297&lt;=$B$16,1,IF(H297&gt;=$B$17,$B$21,MATCH(H297,Aux_CAV!$A$2:$A$121,1))))</f>
        <v>1</v>
      </c>
      <c r="AB297" s="18" t="n">
        <f aca="false">IF(D297="","",IF(L297&lt;=$B$16,1,IF(L297&gt;=$B$17,$B$21,MATCH(L297,Aux_CAV!$A$2:$A$121,1))))</f>
        <v>1</v>
      </c>
      <c r="AC297" s="19" t="n">
        <f aca="false">IF(D297="","",COUNT($D$24:D297))</f>
        <v>262</v>
      </c>
    </row>
    <row r="298" customFormat="false" ht="12.75" hidden="false" customHeight="true" outlineLevel="0" collapsed="false">
      <c r="A298" s="14" t="n">
        <f aca="false">IF(D298="","",DATE(B298,C298,1))</f>
        <v>11994</v>
      </c>
      <c r="B298" s="15" t="n">
        <f aca="false" t="array" ref="B298:B298">IF(D298="","",IFERROR(VALUE(INDEX(Vazoes_COLAR!$A$2:$A$200,INT((ROW()-24)/12)+1)),""))</f>
        <v>1932</v>
      </c>
      <c r="C298" s="15" t="n">
        <f aca="false">IF(D298="","",MOD(ROW()-24,12)+1)</f>
        <v>11</v>
      </c>
      <c r="D298" s="16" t="n">
        <f aca="false" t="array" ref="D298: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0.011378367343437</v>
      </c>
      <c r="E298" s="16" t="n">
        <f aca="false">IF(D298="","",D298*$B$15)</f>
        <v>0.0294927281541887</v>
      </c>
      <c r="F298" s="16" t="n">
        <f aca="false" t="array" ref="F298:F298">IF(D298="","",IFERROR(INDEX(Dados_Evap!$C$2:$N$15,MATCH($B$9,Dados_Evap!$A$2:$A$15,0),C298),0))</f>
        <v>223.7</v>
      </c>
      <c r="G298" s="16" t="n">
        <f aca="false">IF(F298="","",F298/1000)</f>
        <v>0.2237</v>
      </c>
      <c r="H298" s="16" t="n">
        <f aca="false">IF(D298="","",MAX(0,MIN($B$8,IFERROR(LOOKUP(2,1/($U$24:U297&lt;&gt;""),$U$24:U297),$B$11))))</f>
        <v>0</v>
      </c>
      <c r="I298" s="16" t="n">
        <f aca="false" t="array" ref="I298: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>0</v>
      </c>
      <c r="J298" s="16" t="n">
        <f aca="false">IF(D298="","",$B$12)</f>
        <v>0.35</v>
      </c>
      <c r="K298" s="16" t="n">
        <f aca="false">IF(J298="","",J298*$B$15)</f>
        <v>0.9072</v>
      </c>
      <c r="L298" s="16" t="n">
        <f aca="false">IF(D298="","",H298+E298-K298-G298*I298)</f>
        <v>-0.877707271845811</v>
      </c>
      <c r="M298" s="16" t="n">
        <f aca="false" t="array" ref="M298: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>0</v>
      </c>
      <c r="N298" s="16" t="n">
        <f aca="false">IF(D298="","",(I298+M298)/2)</f>
        <v>0</v>
      </c>
      <c r="O298" s="16" t="n">
        <f aca="false">IF(D298="","",G298*N298)</f>
        <v>0</v>
      </c>
      <c r="P298" s="16" t="n">
        <f aca="false">IF(D298="","",H298+E298-K298-O298)</f>
        <v>-0.877707271845811</v>
      </c>
      <c r="Q298" s="16" t="n">
        <f aca="false">IF(D298="","",IF(P298&gt;=0,K298,MAX(0,K298+P298)))</f>
        <v>0.0294927281541887</v>
      </c>
      <c r="R298" s="16" t="n">
        <f aca="false">IF(D298="","",Q298/$B$15)</f>
        <v>0.011378367343437</v>
      </c>
      <c r="S298" s="16" t="n">
        <f aca="false">IF(D298="","",MAX(0,J298-R298))</f>
        <v>0.338621632656563</v>
      </c>
      <c r="T298" s="16" t="n">
        <f aca="false">IF(D298="","",MAX(0,Z298-$B$8))</f>
        <v>0</v>
      </c>
      <c r="U298" s="16" t="n">
        <f aca="false">IF(D298="","",MAX(0,MIN($B$8,Z298)))</f>
        <v>0</v>
      </c>
      <c r="V298" s="16" t="str">
        <f aca="false">IF(D298="","",IF(S298&gt;0.0000001,"Sim","Não"))</f>
        <v>Sim</v>
      </c>
      <c r="W298" s="16" t="n">
        <f aca="false">IF(D298="","",U298-(H298+E298-Q298-O298-T298))</f>
        <v>0</v>
      </c>
      <c r="X298" s="16" t="n">
        <f aca="false">IF(W298="","",ABS(W298))</f>
        <v>0</v>
      </c>
      <c r="Y298" s="16" t="n">
        <f aca="false">IF(U298="","",IF($B$8=0,0,U298/$B$8*100))</f>
        <v>0</v>
      </c>
      <c r="Z298" s="18" t="n">
        <f aca="false">IF(D298="","",MAX(0,IF(P298&gt;=0,P298,IF(K298+P298&gt;=0,0,P298+K298))))</f>
        <v>0</v>
      </c>
      <c r="AA298" s="18" t="n">
        <f aca="false">IF(D298="","",IF(H298&lt;=$B$16,1,IF(H298&gt;=$B$17,$B$21,MATCH(H298,Aux_CAV!$A$2:$A$121,1))))</f>
        <v>1</v>
      </c>
      <c r="AB298" s="18" t="n">
        <f aca="false">IF(D298="","",IF(L298&lt;=$B$16,1,IF(L298&gt;=$B$17,$B$21,MATCH(L298,Aux_CAV!$A$2:$A$121,1))))</f>
        <v>1</v>
      </c>
      <c r="AC298" s="19" t="n">
        <f aca="false">IF(D298="","",COUNT($D$24:D298))</f>
        <v>263</v>
      </c>
    </row>
    <row r="299" customFormat="false" ht="12.75" hidden="false" customHeight="true" outlineLevel="0" collapsed="false">
      <c r="A299" s="14" t="n">
        <f aca="false">IF(D299="","",DATE(B299,C299,1))</f>
        <v>12024</v>
      </c>
      <c r="B299" s="15" t="n">
        <f aca="false" t="array" ref="B299:B299">IF(D299="","",IFERROR(VALUE(INDEX(Vazoes_COLAR!$A$2:$A$200,INT((ROW()-24)/12)+1)),""))</f>
        <v>1932</v>
      </c>
      <c r="C299" s="15" t="n">
        <f aca="false">IF(D299="","",MOD(ROW()-24,12)+1)</f>
        <v>12</v>
      </c>
      <c r="D299" s="16" t="n">
        <f aca="false" t="array" ref="D299: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0.00219135157284374</v>
      </c>
      <c r="E299" s="16" t="n">
        <f aca="false">IF(D299="","",D299*$B$15)</f>
        <v>0.00567998327681098</v>
      </c>
      <c r="F299" s="16" t="n">
        <f aca="false" t="array" ref="F299:F299">IF(D299="","",IFERROR(INDEX(Dados_Evap!$C$2:$N$15,MATCH($B$9,Dados_Evap!$A$2:$A$15,0),C299),0))</f>
        <v>216.1</v>
      </c>
      <c r="G299" s="16" t="n">
        <f aca="false">IF(F299="","",F299/1000)</f>
        <v>0.2161</v>
      </c>
      <c r="H299" s="16" t="n">
        <f aca="false">IF(D299="","",MAX(0,MIN($B$8,IFERROR(LOOKUP(2,1/($U$24:U298&lt;&gt;""),$U$24:U298),$B$11))))</f>
        <v>0</v>
      </c>
      <c r="I299" s="16" t="n">
        <f aca="false" t="array" ref="I299: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>0</v>
      </c>
      <c r="J299" s="16" t="n">
        <f aca="false">IF(D299="","",$B$12)</f>
        <v>0.35</v>
      </c>
      <c r="K299" s="16" t="n">
        <f aca="false">IF(J299="","",J299*$B$15)</f>
        <v>0.9072</v>
      </c>
      <c r="L299" s="16" t="n">
        <f aca="false">IF(D299="","",H299+E299-K299-G299*I299)</f>
        <v>-0.901520016723189</v>
      </c>
      <c r="M299" s="16" t="n">
        <f aca="false" t="array" ref="M299: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>0</v>
      </c>
      <c r="N299" s="16" t="n">
        <f aca="false">IF(D299="","",(I299+M299)/2)</f>
        <v>0</v>
      </c>
      <c r="O299" s="16" t="n">
        <f aca="false">IF(D299="","",G299*N299)</f>
        <v>0</v>
      </c>
      <c r="P299" s="16" t="n">
        <f aca="false">IF(D299="","",H299+E299-K299-O299)</f>
        <v>-0.901520016723189</v>
      </c>
      <c r="Q299" s="16" t="n">
        <f aca="false">IF(D299="","",IF(P299&gt;=0,K299,MAX(0,K299+P299)))</f>
        <v>0.00567998327681096</v>
      </c>
      <c r="R299" s="16" t="n">
        <f aca="false">IF(D299="","",Q299/$B$15)</f>
        <v>0.00219135157284374</v>
      </c>
      <c r="S299" s="16" t="n">
        <f aca="false">IF(D299="","",MAX(0,J299-R299))</f>
        <v>0.347808648427156</v>
      </c>
      <c r="T299" s="16" t="n">
        <f aca="false">IF(D299="","",MAX(0,Z299-$B$8))</f>
        <v>0</v>
      </c>
      <c r="U299" s="16" t="n">
        <f aca="false">IF(D299="","",MAX(0,MIN($B$8,Z299)))</f>
        <v>0</v>
      </c>
      <c r="V299" s="16" t="str">
        <f aca="false">IF(D299="","",IF(S299&gt;0.0000001,"Sim","Não"))</f>
        <v>Sim</v>
      </c>
      <c r="W299" s="16" t="n">
        <f aca="false">IF(D299="","",U299-(H299+E299-Q299-O299-T299))</f>
        <v>0</v>
      </c>
      <c r="X299" s="16" t="n">
        <f aca="false">IF(W299="","",ABS(W299))</f>
        <v>0</v>
      </c>
      <c r="Y299" s="16" t="n">
        <f aca="false">IF(U299="","",IF($B$8=0,0,U299/$B$8*100))</f>
        <v>0</v>
      </c>
      <c r="Z299" s="18" t="n">
        <f aca="false">IF(D299="","",MAX(0,IF(P299&gt;=0,P299,IF(K299+P299&gt;=0,0,P299+K299))))</f>
        <v>0</v>
      </c>
      <c r="AA299" s="18" t="n">
        <f aca="false">IF(D299="","",IF(H299&lt;=$B$16,1,IF(H299&gt;=$B$17,$B$21,MATCH(H299,Aux_CAV!$A$2:$A$121,1))))</f>
        <v>1</v>
      </c>
      <c r="AB299" s="18" t="n">
        <f aca="false">IF(D299="","",IF(L299&lt;=$B$16,1,IF(L299&gt;=$B$17,$B$21,MATCH(L299,Aux_CAV!$A$2:$A$121,1))))</f>
        <v>1</v>
      </c>
      <c r="AC299" s="19" t="n">
        <f aca="false">IF(D299="","",COUNT($D$24:D299))</f>
        <v>264</v>
      </c>
    </row>
    <row r="300" customFormat="false" ht="12.75" hidden="false" customHeight="true" outlineLevel="0" collapsed="false">
      <c r="A300" s="14" t="n">
        <f aca="false">IF(D300="","",DATE(B300,C300,1))</f>
        <v>12055</v>
      </c>
      <c r="B300" s="15" t="n">
        <f aca="false" t="array" ref="B300:B300">IF(D300="","",IFERROR(VALUE(INDEX(Vazoes_COLAR!$A$2:$A$200,INT((ROW()-24)/12)+1)),""))</f>
        <v>1933</v>
      </c>
      <c r="C300" s="15" t="n">
        <f aca="false">IF(D300="","",MOD(ROW()-24,12)+1)</f>
        <v>1</v>
      </c>
      <c r="D300" s="16" t="n">
        <f aca="false" t="array" ref="D300: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0.0896881582613784</v>
      </c>
      <c r="E300" s="16" t="n">
        <f aca="false">IF(D300="","",D300*$B$15)</f>
        <v>0.232471706213493</v>
      </c>
      <c r="F300" s="16" t="n">
        <f aca="false" t="array" ref="F300:F300">IF(D300="","",IFERROR(INDEX(Dados_Evap!$C$2:$N$15,MATCH($B$9,Dados_Evap!$A$2:$A$15,0),C300),0))</f>
        <v>160</v>
      </c>
      <c r="G300" s="16" t="n">
        <f aca="false">IF(F300="","",F300/1000)</f>
        <v>0.16</v>
      </c>
      <c r="H300" s="16" t="n">
        <f aca="false">IF(D300="","",MAX(0,MIN($B$8,IFERROR(LOOKUP(2,1/($U$24:U299&lt;&gt;""),$U$24:U299),$B$11))))</f>
        <v>0</v>
      </c>
      <c r="I300" s="16" t="n">
        <f aca="false" t="array" ref="I300: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>0</v>
      </c>
      <c r="J300" s="16" t="n">
        <f aca="false">IF(D300="","",$B$12)</f>
        <v>0.35</v>
      </c>
      <c r="K300" s="16" t="n">
        <f aca="false">IF(J300="","",J300*$B$15)</f>
        <v>0.9072</v>
      </c>
      <c r="L300" s="16" t="n">
        <f aca="false">IF(D300="","",H300+E300-K300-G300*I300)</f>
        <v>-0.674728293786507</v>
      </c>
      <c r="M300" s="16" t="n">
        <f aca="false" t="array" ref="M300: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>0</v>
      </c>
      <c r="N300" s="16" t="n">
        <f aca="false">IF(D300="","",(I300+M300)/2)</f>
        <v>0</v>
      </c>
      <c r="O300" s="16" t="n">
        <f aca="false">IF(D300="","",G300*N300)</f>
        <v>0</v>
      </c>
      <c r="P300" s="16" t="n">
        <f aca="false">IF(D300="","",H300+E300-K300-O300)</f>
        <v>-0.674728293786507</v>
      </c>
      <c r="Q300" s="16" t="n">
        <f aca="false">IF(D300="","",IF(P300&gt;=0,K300,MAX(0,K300+P300)))</f>
        <v>0.232471706213493</v>
      </c>
      <c r="R300" s="16" t="n">
        <f aca="false">IF(D300="","",Q300/$B$15)</f>
        <v>0.0896881582613784</v>
      </c>
      <c r="S300" s="16" t="n">
        <f aca="false">IF(D300="","",MAX(0,J300-R300))</f>
        <v>0.260311841738622</v>
      </c>
      <c r="T300" s="16" t="n">
        <f aca="false">IF(D300="","",MAX(0,Z300-$B$8))</f>
        <v>0</v>
      </c>
      <c r="U300" s="16" t="n">
        <f aca="false">IF(D300="","",MAX(0,MIN($B$8,Z300)))</f>
        <v>0</v>
      </c>
      <c r="V300" s="16" t="str">
        <f aca="false">IF(D300="","",IF(S300&gt;0.0000001,"Sim","Não"))</f>
        <v>Sim</v>
      </c>
      <c r="W300" s="16" t="n">
        <f aca="false">IF(D300="","",U300-(H300+E300-Q300-O300-T300))</f>
        <v>0</v>
      </c>
      <c r="X300" s="16" t="n">
        <f aca="false">IF(W300="","",ABS(W300))</f>
        <v>0</v>
      </c>
      <c r="Y300" s="16" t="n">
        <f aca="false">IF(U300="","",IF($B$8=0,0,U300/$B$8*100))</f>
        <v>0</v>
      </c>
      <c r="Z300" s="18" t="n">
        <f aca="false">IF(D300="","",MAX(0,IF(P300&gt;=0,P300,IF(K300+P300&gt;=0,0,P300+K300))))</f>
        <v>0</v>
      </c>
      <c r="AA300" s="18" t="n">
        <f aca="false">IF(D300="","",IF(H300&lt;=$B$16,1,IF(H300&gt;=$B$17,$B$21,MATCH(H300,Aux_CAV!$A$2:$A$121,1))))</f>
        <v>1</v>
      </c>
      <c r="AB300" s="18" t="n">
        <f aca="false">IF(D300="","",IF(L300&lt;=$B$16,1,IF(L300&gt;=$B$17,$B$21,MATCH(L300,Aux_CAV!$A$2:$A$121,1))))</f>
        <v>1</v>
      </c>
      <c r="AC300" s="19" t="n">
        <f aca="false">IF(D300="","",COUNT($D$24:D300))</f>
        <v>265</v>
      </c>
    </row>
    <row r="301" customFormat="false" ht="12.75" hidden="false" customHeight="true" outlineLevel="0" collapsed="false">
      <c r="A301" s="14" t="n">
        <f aca="false">IF(D301="","",DATE(B301,C301,1))</f>
        <v>12086</v>
      </c>
      <c r="B301" s="15" t="n">
        <f aca="false" t="array" ref="B301:B301">IF(D301="","",IFERROR(VALUE(INDEX(Vazoes_COLAR!$A$2:$A$200,INT((ROW()-24)/12)+1)),""))</f>
        <v>1933</v>
      </c>
      <c r="C301" s="15" t="n">
        <f aca="false">IF(D301="","",MOD(ROW()-24,12)+1)</f>
        <v>2</v>
      </c>
      <c r="D301" s="16" t="n">
        <f aca="false" t="array" ref="D301: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0.268024391108567</v>
      </c>
      <c r="E301" s="16" t="n">
        <f aca="false">IF(D301="","",D301*$B$15)</f>
        <v>0.694719221753406</v>
      </c>
      <c r="F301" s="16" t="n">
        <f aca="false" t="array" ref="F301:F301">IF(D301="","",IFERROR(INDEX(Dados_Evap!$C$2:$N$15,MATCH($B$9,Dados_Evap!$A$2:$A$15,0),C301),0))</f>
        <v>124.3</v>
      </c>
      <c r="G301" s="16" t="n">
        <f aca="false">IF(F301="","",F301/1000)</f>
        <v>0.1243</v>
      </c>
      <c r="H301" s="16" t="n">
        <f aca="false">IF(D301="","",MAX(0,MIN($B$8,IFERROR(LOOKUP(2,1/($U$24:U300&lt;&gt;""),$U$24:U300),$B$11))))</f>
        <v>0</v>
      </c>
      <c r="I301" s="16" t="n">
        <f aca="false" t="array" ref="I301: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>0</v>
      </c>
      <c r="J301" s="16" t="n">
        <f aca="false">IF(D301="","",$B$12)</f>
        <v>0.35</v>
      </c>
      <c r="K301" s="16" t="n">
        <f aca="false">IF(J301="","",J301*$B$15)</f>
        <v>0.9072</v>
      </c>
      <c r="L301" s="16" t="n">
        <f aca="false">IF(D301="","",H301+E301-K301-G301*I301)</f>
        <v>-0.212480778246594</v>
      </c>
      <c r="M301" s="16" t="n">
        <f aca="false" t="array" ref="M301: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>0</v>
      </c>
      <c r="N301" s="16" t="n">
        <f aca="false">IF(D301="","",(I301+M301)/2)</f>
        <v>0</v>
      </c>
      <c r="O301" s="16" t="n">
        <f aca="false">IF(D301="","",G301*N301)</f>
        <v>0</v>
      </c>
      <c r="P301" s="16" t="n">
        <f aca="false">IF(D301="","",H301+E301-K301-O301)</f>
        <v>-0.212480778246594</v>
      </c>
      <c r="Q301" s="16" t="n">
        <f aca="false">IF(D301="","",IF(P301&gt;=0,K301,MAX(0,K301+P301)))</f>
        <v>0.694719221753406</v>
      </c>
      <c r="R301" s="16" t="n">
        <f aca="false">IF(D301="","",Q301/$B$15)</f>
        <v>0.268024391108567</v>
      </c>
      <c r="S301" s="16" t="n">
        <f aca="false">IF(D301="","",MAX(0,J301-R301))</f>
        <v>0.081975608891433</v>
      </c>
      <c r="T301" s="16" t="n">
        <f aca="false">IF(D301="","",MAX(0,Z301-$B$8))</f>
        <v>0</v>
      </c>
      <c r="U301" s="16" t="n">
        <f aca="false">IF(D301="","",MAX(0,MIN($B$8,Z301)))</f>
        <v>0</v>
      </c>
      <c r="V301" s="16" t="str">
        <f aca="false">IF(D301="","",IF(S301&gt;0.0000001,"Sim","Não"))</f>
        <v>Sim</v>
      </c>
      <c r="W301" s="16" t="n">
        <f aca="false">IF(D301="","",U301-(H301+E301-Q301-O301-T301))</f>
        <v>0</v>
      </c>
      <c r="X301" s="16" t="n">
        <f aca="false">IF(W301="","",ABS(W301))</f>
        <v>0</v>
      </c>
      <c r="Y301" s="16" t="n">
        <f aca="false">IF(U301="","",IF($B$8=0,0,U301/$B$8*100))</f>
        <v>0</v>
      </c>
      <c r="Z301" s="18" t="n">
        <f aca="false">IF(D301="","",MAX(0,IF(P301&gt;=0,P301,IF(K301+P301&gt;=0,0,P301+K301))))</f>
        <v>0</v>
      </c>
      <c r="AA301" s="18" t="n">
        <f aca="false">IF(D301="","",IF(H301&lt;=$B$16,1,IF(H301&gt;=$B$17,$B$21,MATCH(H301,Aux_CAV!$A$2:$A$121,1))))</f>
        <v>1</v>
      </c>
      <c r="AB301" s="18" t="n">
        <f aca="false">IF(D301="","",IF(L301&lt;=$B$16,1,IF(L301&gt;=$B$17,$B$21,MATCH(L301,Aux_CAV!$A$2:$A$121,1))))</f>
        <v>1</v>
      </c>
      <c r="AC301" s="19" t="n">
        <f aca="false">IF(D301="","",COUNT($D$24:D301))</f>
        <v>266</v>
      </c>
    </row>
    <row r="302" customFormat="false" ht="12.75" hidden="false" customHeight="true" outlineLevel="0" collapsed="false">
      <c r="A302" s="14" t="n">
        <f aca="false">IF(D302="","",DATE(B302,C302,1))</f>
        <v>12114</v>
      </c>
      <c r="B302" s="15" t="n">
        <f aca="false" t="array" ref="B302:B302">IF(D302="","",IFERROR(VALUE(INDEX(Vazoes_COLAR!$A$2:$A$200,INT((ROW()-24)/12)+1)),""))</f>
        <v>1933</v>
      </c>
      <c r="C302" s="15" t="n">
        <f aca="false">IF(D302="","",MOD(ROW()-24,12)+1)</f>
        <v>3</v>
      </c>
      <c r="D302" s="16" t="n">
        <f aca="false" t="array" ref="D302: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1.47851445502798</v>
      </c>
      <c r="E302" s="16" t="n">
        <f aca="false">IF(D302="","",D302*$B$15)</f>
        <v>3.83230946743252</v>
      </c>
      <c r="F302" s="16" t="n">
        <f aca="false" t="array" ref="F302:F302">IF(D302="","",IFERROR(INDEX(Dados_Evap!$C$2:$N$15,MATCH($B$9,Dados_Evap!$A$2:$A$15,0),C302),0))</f>
        <v>107.7</v>
      </c>
      <c r="G302" s="16" t="n">
        <f aca="false">IF(F302="","",F302/1000)</f>
        <v>0.1077</v>
      </c>
      <c r="H302" s="16" t="n">
        <f aca="false">IF(D302="","",MAX(0,MIN($B$8,IFERROR(LOOKUP(2,1/($U$24:U301&lt;&gt;""),$U$24:U301),$B$11))))</f>
        <v>0</v>
      </c>
      <c r="I302" s="16" t="n">
        <f aca="false" t="array" ref="I302: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>0</v>
      </c>
      <c r="J302" s="16" t="n">
        <f aca="false">IF(D302="","",$B$12)</f>
        <v>0.35</v>
      </c>
      <c r="K302" s="16" t="n">
        <f aca="false">IF(J302="","",J302*$B$15)</f>
        <v>0.9072</v>
      </c>
      <c r="L302" s="16" t="n">
        <f aca="false">IF(D302="","",H302+E302-K302-G302*I302)</f>
        <v>2.92510946743252</v>
      </c>
      <c r="M302" s="16" t="n">
        <f aca="false" t="array" ref="M302: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>1.21162977514165</v>
      </c>
      <c r="N302" s="16" t="n">
        <f aca="false">IF(D302="","",(I302+M302)/2)</f>
        <v>0.605814887570823</v>
      </c>
      <c r="O302" s="16" t="n">
        <f aca="false">IF(D302="","",G302*N302)</f>
        <v>0.0652462633913777</v>
      </c>
      <c r="P302" s="16" t="n">
        <f aca="false">IF(D302="","",H302+E302-K302-O302)</f>
        <v>2.85986320404115</v>
      </c>
      <c r="Q302" s="16" t="n">
        <f aca="false">IF(D302="","",IF(P302&gt;=0,K302,MAX(0,K302+P302)))</f>
        <v>0.9072</v>
      </c>
      <c r="R302" s="16" t="n">
        <f aca="false">IF(D302="","",Q302/$B$15)</f>
        <v>0.35</v>
      </c>
      <c r="S302" s="16" t="n">
        <f aca="false">IF(D302="","",MAX(0,J302-R302))</f>
        <v>0</v>
      </c>
      <c r="T302" s="16" t="n">
        <f aca="false">IF(D302="","",MAX(0,Z302-$B$8))</f>
        <v>0</v>
      </c>
      <c r="U302" s="16" t="n">
        <f aca="false">IF(D302="","",MAX(0,MIN($B$8,Z302)))</f>
        <v>2.85986320404115</v>
      </c>
      <c r="V302" s="16" t="str">
        <f aca="false">IF(D302="","",IF(S302&gt;0.0000001,"Sim","Não"))</f>
        <v>Não</v>
      </c>
      <c r="W302" s="16" t="n">
        <f aca="false">IF(D302="","",U302-(H302+E302-Q302-O302-T302))</f>
        <v>0</v>
      </c>
      <c r="X302" s="16" t="n">
        <f aca="false">IF(W302="","",ABS(W302))</f>
        <v>0</v>
      </c>
      <c r="Y302" s="16" t="n">
        <f aca="false">IF(U302="","",IF($B$8=0,0,U302/$B$8*100))</f>
        <v>6.05646591283597</v>
      </c>
      <c r="Z302" s="18" t="n">
        <f aca="false">IF(D302="","",MAX(0,IF(P302&gt;=0,P302,IF(K302+P302&gt;=0,0,P302+K302))))</f>
        <v>2.85986320404115</v>
      </c>
      <c r="AA302" s="18" t="n">
        <f aca="false">IF(D302="","",IF(H302&lt;=$B$16,1,IF(H302&gt;=$B$17,$B$21,MATCH(H302,Aux_CAV!$A$2:$A$121,1))))</f>
        <v>1</v>
      </c>
      <c r="AB302" s="18" t="n">
        <f aca="false">IF(D302="","",IF(L302&lt;=$B$16,1,IF(L302&gt;=$B$17,$B$21,MATCH(L302,Aux_CAV!$A$2:$A$121,1))))</f>
        <v>8</v>
      </c>
      <c r="AC302" s="19" t="n">
        <f aca="false">IF(D302="","",COUNT($D$24:D302))</f>
        <v>267</v>
      </c>
    </row>
    <row r="303" customFormat="false" ht="12.75" hidden="false" customHeight="true" outlineLevel="0" collapsed="false">
      <c r="A303" s="14" t="n">
        <f aca="false">IF(D303="","",DATE(B303,C303,1))</f>
        <v>12145</v>
      </c>
      <c r="B303" s="15" t="n">
        <f aca="false" t="array" ref="B303:B303">IF(D303="","",IFERROR(VALUE(INDEX(Vazoes_COLAR!$A$2:$A$200,INT((ROW()-24)/12)+1)),""))</f>
        <v>1933</v>
      </c>
      <c r="C303" s="15" t="n">
        <f aca="false">IF(D303="","",MOD(ROW()-24,12)+1)</f>
        <v>4</v>
      </c>
      <c r="D303" s="16" t="n">
        <f aca="false" t="array" ref="D303: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3.47672636621392</v>
      </c>
      <c r="E303" s="16" t="n">
        <f aca="false">IF(D303="","",D303*$B$15)</f>
        <v>9.01167474122648</v>
      </c>
      <c r="F303" s="16" t="n">
        <f aca="false" t="array" ref="F303:F303">IF(D303="","",IFERROR(INDEX(Dados_Evap!$C$2:$N$15,MATCH($B$9,Dados_Evap!$A$2:$A$15,0),C303),0))</f>
        <v>100.5</v>
      </c>
      <c r="G303" s="16" t="n">
        <f aca="false">IF(F303="","",F303/1000)</f>
        <v>0.1005</v>
      </c>
      <c r="H303" s="16" t="n">
        <f aca="false">IF(D303="","",MAX(0,MIN($B$8,IFERROR(LOOKUP(2,1/($U$24:U302&lt;&gt;""),$U$24:U302),$B$11))))</f>
        <v>2.85986320404115</v>
      </c>
      <c r="I303" s="16" t="n">
        <f aca="false" t="array" ref="I303: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>1.19388279149919</v>
      </c>
      <c r="J303" s="16" t="n">
        <f aca="false">IF(D303="","",$B$12)</f>
        <v>0.35</v>
      </c>
      <c r="K303" s="16" t="n">
        <f aca="false">IF(J303="","",J303*$B$15)</f>
        <v>0.9072</v>
      </c>
      <c r="L303" s="16" t="n">
        <f aca="false">IF(D303="","",H303+E303-K303-G303*I303)</f>
        <v>10.844352724722</v>
      </c>
      <c r="M303" s="16" t="n">
        <f aca="false" t="array" ref="M303: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>3.2102536147557</v>
      </c>
      <c r="N303" s="16" t="n">
        <f aca="false">IF(D303="","",(I303+M303)/2)</f>
        <v>2.20206820312744</v>
      </c>
      <c r="O303" s="16" t="n">
        <f aca="false">IF(D303="","",G303*N303)</f>
        <v>0.221307854414308</v>
      </c>
      <c r="P303" s="16" t="n">
        <f aca="false">IF(D303="","",H303+E303-K303-O303)</f>
        <v>10.7430300908533</v>
      </c>
      <c r="Q303" s="16" t="n">
        <f aca="false">IF(D303="","",IF(P303&gt;=0,K303,MAX(0,K303+P303)))</f>
        <v>0.9072</v>
      </c>
      <c r="R303" s="16" t="n">
        <f aca="false">IF(D303="","",Q303/$B$15)</f>
        <v>0.35</v>
      </c>
      <c r="S303" s="16" t="n">
        <f aca="false">IF(D303="","",MAX(0,J303-R303))</f>
        <v>0</v>
      </c>
      <c r="T303" s="16" t="n">
        <f aca="false">IF(D303="","",MAX(0,Z303-$B$8))</f>
        <v>0</v>
      </c>
      <c r="U303" s="16" t="n">
        <f aca="false">IF(D303="","",MAX(0,MIN($B$8,Z303)))</f>
        <v>10.7430300908533</v>
      </c>
      <c r="V303" s="16" t="str">
        <f aca="false">IF(D303="","",IF(S303&gt;0.0000001,"Sim","Não"))</f>
        <v>Não</v>
      </c>
      <c r="W303" s="16" t="n">
        <f aca="false">IF(D303="","",U303-(H303+E303-Q303-O303-T303))</f>
        <v>0</v>
      </c>
      <c r="X303" s="16" t="n">
        <f aca="false">IF(W303="","",ABS(W303))</f>
        <v>0</v>
      </c>
      <c r="Y303" s="16" t="n">
        <f aca="false">IF(U303="","",IF($B$8=0,0,U303/$B$8*100))</f>
        <v>22.7510167108287</v>
      </c>
      <c r="Z303" s="18" t="n">
        <f aca="false">IF(D303="","",MAX(0,IF(P303&gt;=0,P303,IF(K303+P303&gt;=0,0,P303+K303))))</f>
        <v>10.7430300908533</v>
      </c>
      <c r="AA303" s="18" t="n">
        <f aca="false">IF(D303="","",IF(H303&lt;=$B$16,1,IF(H303&gt;=$B$17,$B$21,MATCH(H303,Aux_CAV!$A$2:$A$121,1))))</f>
        <v>8</v>
      </c>
      <c r="AB303" s="18" t="n">
        <f aca="false">IF(D303="","",IF(L303&lt;=$B$16,1,IF(L303&gt;=$B$17,$B$21,MATCH(L303,Aux_CAV!$A$2:$A$121,1))))</f>
        <v>10</v>
      </c>
      <c r="AC303" s="19" t="n">
        <f aca="false">IF(D303="","",COUNT($D$24:D303))</f>
        <v>268</v>
      </c>
    </row>
    <row r="304" customFormat="false" ht="12.75" hidden="false" customHeight="true" outlineLevel="0" collapsed="false">
      <c r="A304" s="14" t="n">
        <f aca="false">IF(D304="","",DATE(B304,C304,1))</f>
        <v>12175</v>
      </c>
      <c r="B304" s="15" t="n">
        <f aca="false" t="array" ref="B304:B304">IF(D304="","",IFERROR(VALUE(INDEX(Vazoes_COLAR!$A$2:$A$200,INT((ROW()-24)/12)+1)),""))</f>
        <v>1933</v>
      </c>
      <c r="C304" s="15" t="n">
        <f aca="false">IF(D304="","",MOD(ROW()-24,12)+1)</f>
        <v>5</v>
      </c>
      <c r="D304" s="16" t="n">
        <f aca="false" t="array" ref="D304: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0.202637786693569</v>
      </c>
      <c r="E304" s="16" t="n">
        <f aca="false">IF(D304="","",D304*$B$15)</f>
        <v>0.525237143109731</v>
      </c>
      <c r="F304" s="16" t="n">
        <f aca="false" t="array" ref="F304:F304">IF(D304="","",IFERROR(INDEX(Dados_Evap!$C$2:$N$15,MATCH($B$9,Dados_Evap!$A$2:$A$15,0),C304),0))</f>
        <v>145.8</v>
      </c>
      <c r="G304" s="16" t="n">
        <f aca="false">IF(F304="","",F304/1000)</f>
        <v>0.1458</v>
      </c>
      <c r="H304" s="16" t="n">
        <f aca="false">IF(D304="","",MAX(0,MIN($B$8,IFERROR(LOOKUP(2,1/($U$24:U303&lt;&gt;""),$U$24:U303),$B$11))))</f>
        <v>10.7430300908533</v>
      </c>
      <c r="I304" s="16" t="n">
        <f aca="false" t="array" ref="I304: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>3.20161139010219</v>
      </c>
      <c r="J304" s="16" t="n">
        <f aca="false">IF(D304="","",$B$12)</f>
        <v>0.35</v>
      </c>
      <c r="K304" s="16" t="n">
        <f aca="false">IF(J304="","",J304*$B$15)</f>
        <v>0.9072</v>
      </c>
      <c r="L304" s="16" t="n">
        <f aca="false">IF(D304="","",H304+E304-K304-G304*I304)</f>
        <v>9.89427229328615</v>
      </c>
      <c r="M304" s="16" t="n">
        <f aca="false" t="array" ref="M304: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>3.12921734266264</v>
      </c>
      <c r="N304" s="16" t="n">
        <f aca="false">IF(D304="","",(I304+M304)/2)</f>
        <v>3.16541436638242</v>
      </c>
      <c r="O304" s="16" t="n">
        <f aca="false">IF(D304="","",G304*N304)</f>
        <v>0.461517414618557</v>
      </c>
      <c r="P304" s="16" t="n">
        <f aca="false">IF(D304="","",H304+E304-K304-O304)</f>
        <v>9.8995498193445</v>
      </c>
      <c r="Q304" s="16" t="n">
        <f aca="false">IF(D304="","",IF(P304&gt;=0,K304,MAX(0,K304+P304)))</f>
        <v>0.9072</v>
      </c>
      <c r="R304" s="16" t="n">
        <f aca="false">IF(D304="","",Q304/$B$15)</f>
        <v>0.35</v>
      </c>
      <c r="S304" s="16" t="n">
        <f aca="false">IF(D304="","",MAX(0,J304-R304))</f>
        <v>0</v>
      </c>
      <c r="T304" s="16" t="n">
        <f aca="false">IF(D304="","",MAX(0,Z304-$B$8))</f>
        <v>0</v>
      </c>
      <c r="U304" s="16" t="n">
        <f aca="false">IF(D304="","",MAX(0,MIN($B$8,Z304)))</f>
        <v>9.8995498193445</v>
      </c>
      <c r="V304" s="16" t="str">
        <f aca="false">IF(D304="","",IF(S304&gt;0.0000001,"Sim","Não"))</f>
        <v>Não</v>
      </c>
      <c r="W304" s="16" t="n">
        <f aca="false">IF(D304="","",U304-(H304+E304-Q304-O304-T304))</f>
        <v>0</v>
      </c>
      <c r="X304" s="16" t="n">
        <f aca="false">IF(W304="","",ABS(W304))</f>
        <v>0</v>
      </c>
      <c r="Y304" s="16" t="n">
        <f aca="false">IF(U304="","",IF($B$8=0,0,U304/$B$8*100))</f>
        <v>20.9647391345711</v>
      </c>
      <c r="Z304" s="18" t="n">
        <f aca="false">IF(D304="","",MAX(0,IF(P304&gt;=0,P304,IF(K304+P304&gt;=0,0,P304+K304))))</f>
        <v>9.8995498193445</v>
      </c>
      <c r="AA304" s="18" t="n">
        <f aca="false">IF(D304="","",IF(H304&lt;=$B$16,1,IF(H304&gt;=$B$17,$B$21,MATCH(H304,Aux_CAV!$A$2:$A$121,1))))</f>
        <v>10</v>
      </c>
      <c r="AB304" s="18" t="n">
        <f aca="false">IF(D304="","",IF(L304&lt;=$B$16,1,IF(L304&gt;=$B$17,$B$21,MATCH(L304,Aux_CAV!$A$2:$A$121,1))))</f>
        <v>10</v>
      </c>
      <c r="AC304" s="19" t="n">
        <f aca="false">IF(D304="","",COUNT($D$24:D304))</f>
        <v>269</v>
      </c>
    </row>
    <row r="305" customFormat="false" ht="12.75" hidden="false" customHeight="true" outlineLevel="0" collapsed="false">
      <c r="A305" s="14" t="n">
        <f aca="false">IF(D305="","",DATE(B305,C305,1))</f>
        <v>12206</v>
      </c>
      <c r="B305" s="15" t="n">
        <f aca="false" t="array" ref="B305:B305">IF(D305="","",IFERROR(VALUE(INDEX(Vazoes_COLAR!$A$2:$A$200,INT((ROW()-24)/12)+1)),""))</f>
        <v>1933</v>
      </c>
      <c r="C305" s="15" t="n">
        <f aca="false">IF(D305="","",MOD(ROW()-24,12)+1)</f>
        <v>6</v>
      </c>
      <c r="D305" s="16" t="n">
        <f aca="false" t="array" ref="D305: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0.055446110980564</v>
      </c>
      <c r="E305" s="16" t="n">
        <f aca="false">IF(D305="","",D305*$B$15)</f>
        <v>0.143716319661622</v>
      </c>
      <c r="F305" s="16" t="n">
        <f aca="false" t="array" ref="F305:F305">IF(D305="","",IFERROR(INDEX(Dados_Evap!$C$2:$N$15,MATCH($B$9,Dados_Evap!$A$2:$A$15,0),C305),0))</f>
        <v>161.3</v>
      </c>
      <c r="G305" s="16" t="n">
        <f aca="false">IF(F305="","",F305/1000)</f>
        <v>0.1613</v>
      </c>
      <c r="H305" s="16" t="n">
        <f aca="false">IF(D305="","",MAX(0,MIN($B$8,IFERROR(LOOKUP(2,1/($U$24:U304&lt;&gt;""),$U$24:U304),$B$11))))</f>
        <v>9.8995498193445</v>
      </c>
      <c r="I305" s="16" t="n">
        <f aca="false" t="array" ref="I305: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>3.12966748459115</v>
      </c>
      <c r="J305" s="16" t="n">
        <f aca="false">IF(D305="","",$B$12)</f>
        <v>0.35</v>
      </c>
      <c r="K305" s="16" t="n">
        <f aca="false">IF(J305="","",J305*$B$15)</f>
        <v>0.9072</v>
      </c>
      <c r="L305" s="16" t="n">
        <f aca="false">IF(D305="","",H305+E305-K305-G305*I305)</f>
        <v>8.63125077374157</v>
      </c>
      <c r="M305" s="16" t="n">
        <f aca="false" t="array" ref="M305: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>2.89695502264903</v>
      </c>
      <c r="N305" s="16" t="n">
        <f aca="false">IF(D305="","",(I305+M305)/2)</f>
        <v>3.01331125362009</v>
      </c>
      <c r="O305" s="16" t="n">
        <f aca="false">IF(D305="","",G305*N305)</f>
        <v>0.48604710520892</v>
      </c>
      <c r="P305" s="16" t="n">
        <f aca="false">IF(D305="","",H305+E305-K305-O305)</f>
        <v>8.6500190337972</v>
      </c>
      <c r="Q305" s="16" t="n">
        <f aca="false">IF(D305="","",IF(P305&gt;=0,K305,MAX(0,K305+P305)))</f>
        <v>0.9072</v>
      </c>
      <c r="R305" s="16" t="n">
        <f aca="false">IF(D305="","",Q305/$B$15)</f>
        <v>0.35</v>
      </c>
      <c r="S305" s="16" t="n">
        <f aca="false">IF(D305="","",MAX(0,J305-R305))</f>
        <v>0</v>
      </c>
      <c r="T305" s="16" t="n">
        <f aca="false">IF(D305="","",MAX(0,Z305-$B$8))</f>
        <v>0</v>
      </c>
      <c r="U305" s="16" t="n">
        <f aca="false">IF(D305="","",MAX(0,MIN($B$8,Z305)))</f>
        <v>8.6500190337972</v>
      </c>
      <c r="V305" s="16" t="str">
        <f aca="false">IF(D305="","",IF(S305&gt;0.0000001,"Sim","Não"))</f>
        <v>Não</v>
      </c>
      <c r="W305" s="16" t="n">
        <f aca="false">IF(D305="","",U305-(H305+E305-Q305-O305-T305))</f>
        <v>0</v>
      </c>
      <c r="X305" s="16" t="n">
        <f aca="false">IF(W305="","",ABS(W305))</f>
        <v>0</v>
      </c>
      <c r="Y305" s="16" t="n">
        <f aca="false">IF(U305="","",IF($B$8=0,0,U305/$B$8*100))</f>
        <v>18.3185494150724</v>
      </c>
      <c r="Z305" s="18" t="n">
        <f aca="false">IF(D305="","",MAX(0,IF(P305&gt;=0,P305,IF(K305+P305&gt;=0,0,P305+K305))))</f>
        <v>8.6500190337972</v>
      </c>
      <c r="AA305" s="18" t="n">
        <f aca="false">IF(D305="","",IF(H305&lt;=$B$16,1,IF(H305&gt;=$B$17,$B$21,MATCH(H305,Aux_CAV!$A$2:$A$121,1))))</f>
        <v>10</v>
      </c>
      <c r="AB305" s="18" t="n">
        <f aca="false">IF(D305="","",IF(L305&lt;=$B$16,1,IF(L305&gt;=$B$17,$B$21,MATCH(L305,Aux_CAV!$A$2:$A$121,1))))</f>
        <v>9</v>
      </c>
      <c r="AC305" s="19" t="n">
        <f aca="false">IF(D305="","",COUNT($D$24:D305))</f>
        <v>270</v>
      </c>
    </row>
    <row r="306" customFormat="false" ht="12.75" hidden="false" customHeight="true" outlineLevel="0" collapsed="false">
      <c r="A306" s="14" t="n">
        <f aca="false">IF(D306="","",DATE(B306,C306,1))</f>
        <v>12236</v>
      </c>
      <c r="B306" s="15" t="n">
        <f aca="false" t="array" ref="B306:B306">IF(D306="","",IFERROR(VALUE(INDEX(Vazoes_COLAR!$A$2:$A$200,INT((ROW()-24)/12)+1)),""))</f>
        <v>1933</v>
      </c>
      <c r="C306" s="15" t="n">
        <f aca="false">IF(D306="","",MOD(ROW()-24,12)+1)</f>
        <v>7</v>
      </c>
      <c r="D306" s="16" t="n">
        <f aca="false" t="array" ref="D306: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0.0247458694253718</v>
      </c>
      <c r="E306" s="16" t="n">
        <f aca="false">IF(D306="","",D306*$B$15)</f>
        <v>0.0641412935505637</v>
      </c>
      <c r="F306" s="16" t="n">
        <f aca="false" t="array" ref="F306:F306">IF(D306="","",IFERROR(INDEX(Dados_Evap!$C$2:$N$15,MATCH($B$9,Dados_Evap!$A$2:$A$15,0),C306),0))</f>
        <v>224.8</v>
      </c>
      <c r="G306" s="16" t="n">
        <f aca="false">IF(F306="","",F306/1000)</f>
        <v>0.2248</v>
      </c>
      <c r="H306" s="16" t="n">
        <f aca="false">IF(D306="","",MAX(0,MIN($B$8,IFERROR(LOOKUP(2,1/($U$24:U305&lt;&gt;""),$U$24:U305),$B$11))))</f>
        <v>8.6500190337972</v>
      </c>
      <c r="I306" s="16" t="n">
        <f aca="false" t="array" ref="I306: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>2.90266536560213</v>
      </c>
      <c r="J306" s="16" t="n">
        <f aca="false">IF(D306="","",$B$12)</f>
        <v>0.35</v>
      </c>
      <c r="K306" s="16" t="n">
        <f aca="false">IF(J306="","",J306*$B$15)</f>
        <v>0.9072</v>
      </c>
      <c r="L306" s="16" t="n">
        <f aca="false">IF(D306="","",H306+E306-K306-G306*I306)</f>
        <v>7.1544411531604</v>
      </c>
      <c r="M306" s="16" t="n">
        <f aca="false" t="array" ref="M306: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>2.44762784021689</v>
      </c>
      <c r="N306" s="16" t="n">
        <f aca="false">IF(D306="","",(I306+M306)/2)</f>
        <v>2.67514660290951</v>
      </c>
      <c r="O306" s="16" t="n">
        <f aca="false">IF(D306="","",G306*N306)</f>
        <v>0.601372956334057</v>
      </c>
      <c r="P306" s="16" t="n">
        <f aca="false">IF(D306="","",H306+E306-K306-O306)</f>
        <v>7.20558737101371</v>
      </c>
      <c r="Q306" s="16" t="n">
        <f aca="false">IF(D306="","",IF(P306&gt;=0,K306,MAX(0,K306+P306)))</f>
        <v>0.9072</v>
      </c>
      <c r="R306" s="16" t="n">
        <f aca="false">IF(D306="","",Q306/$B$15)</f>
        <v>0.35</v>
      </c>
      <c r="S306" s="16" t="n">
        <f aca="false">IF(D306="","",MAX(0,J306-R306))</f>
        <v>0</v>
      </c>
      <c r="T306" s="16" t="n">
        <f aca="false">IF(D306="","",MAX(0,Z306-$B$8))</f>
        <v>0</v>
      </c>
      <c r="U306" s="16" t="n">
        <f aca="false">IF(D306="","",MAX(0,MIN($B$8,Z306)))</f>
        <v>7.20558737101371</v>
      </c>
      <c r="V306" s="16" t="str">
        <f aca="false">IF(D306="","",IF(S306&gt;0.0000001,"Sim","Não"))</f>
        <v>Não</v>
      </c>
      <c r="W306" s="16" t="n">
        <f aca="false">IF(D306="","",U306-(H306+E306-Q306-O306-T306))</f>
        <v>0</v>
      </c>
      <c r="X306" s="16" t="n">
        <f aca="false">IF(W306="","",ABS(W306))</f>
        <v>0</v>
      </c>
      <c r="Y306" s="16" t="n">
        <f aca="false">IF(U306="","",IF($B$8=0,0,U306/$B$8*100))</f>
        <v>15.2596090025703</v>
      </c>
      <c r="Z306" s="18" t="n">
        <f aca="false">IF(D306="","",MAX(0,IF(P306&gt;=0,P306,IF(K306+P306&gt;=0,0,P306+K306))))</f>
        <v>7.20558737101371</v>
      </c>
      <c r="AA306" s="18" t="n">
        <f aca="false">IF(D306="","",IF(H306&lt;=$B$16,1,IF(H306&gt;=$B$17,$B$21,MATCH(H306,Aux_CAV!$A$2:$A$121,1))))</f>
        <v>9</v>
      </c>
      <c r="AB306" s="18" t="n">
        <f aca="false">IF(D306="","",IF(L306&lt;=$B$16,1,IF(L306&gt;=$B$17,$B$21,MATCH(L306,Aux_CAV!$A$2:$A$121,1))))</f>
        <v>9</v>
      </c>
      <c r="AC306" s="19" t="n">
        <f aca="false">IF(D306="","",COUNT($D$24:D306))</f>
        <v>271</v>
      </c>
    </row>
    <row r="307" customFormat="false" ht="12.75" hidden="false" customHeight="true" outlineLevel="0" collapsed="false">
      <c r="A307" s="14" t="n">
        <f aca="false">IF(D307="","",DATE(B307,C307,1))</f>
        <v>12267</v>
      </c>
      <c r="B307" s="15" t="n">
        <f aca="false" t="array" ref="B307:B307">IF(D307="","",IFERROR(VALUE(INDEX(Vazoes_COLAR!$A$2:$A$200,INT((ROW()-24)/12)+1)),""))</f>
        <v>1933</v>
      </c>
      <c r="C307" s="15" t="n">
        <f aca="false">IF(D307="","",MOD(ROW()-24,12)+1)</f>
        <v>8</v>
      </c>
      <c r="D307" s="16" t="n">
        <f aca="false" t="array" ref="D307: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0.0144345704779161</v>
      </c>
      <c r="E307" s="16" t="n">
        <f aca="false">IF(D307="","",D307*$B$15)</f>
        <v>0.0374144066787585</v>
      </c>
      <c r="F307" s="16" t="n">
        <f aca="false" t="array" ref="F307:F307">IF(D307="","",IFERROR(INDEX(Dados_Evap!$C$2:$N$15,MATCH($B$9,Dados_Evap!$A$2:$A$15,0),C307),0))</f>
        <v>268.7</v>
      </c>
      <c r="G307" s="16" t="n">
        <f aca="false">IF(F307="","",F307/1000)</f>
        <v>0.2687</v>
      </c>
      <c r="H307" s="16" t="n">
        <f aca="false">IF(D307="","",MAX(0,MIN($B$8,IFERROR(LOOKUP(2,1/($U$24:U306&lt;&gt;""),$U$24:U306),$B$11))))</f>
        <v>7.20558737101371</v>
      </c>
      <c r="I307" s="16" t="n">
        <f aca="false" t="array" ref="I307: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>2.46318934905311</v>
      </c>
      <c r="J307" s="16" t="n">
        <f aca="false">IF(D307="","",$B$12)</f>
        <v>0.35</v>
      </c>
      <c r="K307" s="16" t="n">
        <f aca="false">IF(J307="","",J307*$B$15)</f>
        <v>0.9072</v>
      </c>
      <c r="L307" s="16" t="n">
        <f aca="false">IF(D307="","",H307+E307-K307-G307*I307)</f>
        <v>5.67394279960189</v>
      </c>
      <c r="M307" s="16" t="n">
        <f aca="false" t="array" ref="M307: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>1.99717834115547</v>
      </c>
      <c r="N307" s="16" t="n">
        <f aca="false">IF(D307="","",(I307+M307)/2)</f>
        <v>2.23018384510429</v>
      </c>
      <c r="O307" s="16" t="n">
        <f aca="false">IF(D307="","",G307*N307)</f>
        <v>0.599250399179522</v>
      </c>
      <c r="P307" s="16" t="n">
        <f aca="false">IF(D307="","",H307+E307-K307-O307)</f>
        <v>5.73655137851294</v>
      </c>
      <c r="Q307" s="16" t="n">
        <f aca="false">IF(D307="","",IF(P307&gt;=0,K307,MAX(0,K307+P307)))</f>
        <v>0.9072</v>
      </c>
      <c r="R307" s="16" t="n">
        <f aca="false">IF(D307="","",Q307/$B$15)</f>
        <v>0.35</v>
      </c>
      <c r="S307" s="16" t="n">
        <f aca="false">IF(D307="","",MAX(0,J307-R307))</f>
        <v>0</v>
      </c>
      <c r="T307" s="16" t="n">
        <f aca="false">IF(D307="","",MAX(0,Z307-$B$8))</f>
        <v>0</v>
      </c>
      <c r="U307" s="16" t="n">
        <f aca="false">IF(D307="","",MAX(0,MIN($B$8,Z307)))</f>
        <v>5.73655137851294</v>
      </c>
      <c r="V307" s="16" t="str">
        <f aca="false">IF(D307="","",IF(S307&gt;0.0000001,"Sim","Não"))</f>
        <v>Não</v>
      </c>
      <c r="W307" s="16" t="n">
        <f aca="false">IF(D307="","",U307-(H307+E307-Q307-O307-T307))</f>
        <v>0</v>
      </c>
      <c r="X307" s="16" t="n">
        <f aca="false">IF(W307="","",ABS(W307))</f>
        <v>0</v>
      </c>
      <c r="Y307" s="16" t="n">
        <f aca="false">IF(U307="","",IF($B$8=0,0,U307/$B$8*100))</f>
        <v>12.1485628515734</v>
      </c>
      <c r="Z307" s="18" t="n">
        <f aca="false">IF(D307="","",MAX(0,IF(P307&gt;=0,P307,IF(K307+P307&gt;=0,0,P307+K307))))</f>
        <v>5.73655137851294</v>
      </c>
      <c r="AA307" s="18" t="n">
        <f aca="false">IF(D307="","",IF(H307&lt;=$B$16,1,IF(H307&gt;=$B$17,$B$21,MATCH(H307,Aux_CAV!$A$2:$A$121,1))))</f>
        <v>9</v>
      </c>
      <c r="AB307" s="18" t="n">
        <f aca="false">IF(D307="","",IF(L307&lt;=$B$16,1,IF(L307&gt;=$B$17,$B$21,MATCH(L307,Aux_CAV!$A$2:$A$121,1))))</f>
        <v>9</v>
      </c>
      <c r="AC307" s="19" t="n">
        <f aca="false">IF(D307="","",COUNT($D$24:D307))</f>
        <v>272</v>
      </c>
    </row>
    <row r="308" customFormat="false" ht="12.75" hidden="false" customHeight="true" outlineLevel="0" collapsed="false">
      <c r="A308" s="14" t="n">
        <f aca="false">IF(D308="","",DATE(B308,C308,1))</f>
        <v>12298</v>
      </c>
      <c r="B308" s="15" t="n">
        <f aca="false" t="array" ref="B308:B308">IF(D308="","",IFERROR(VALUE(INDEX(Vazoes_COLAR!$A$2:$A$200,INT((ROW()-24)/12)+1)),""))</f>
        <v>1933</v>
      </c>
      <c r="C308" s="15" t="n">
        <f aca="false">IF(D308="","",MOD(ROW()-24,12)+1)</f>
        <v>9</v>
      </c>
      <c r="D308" s="16" t="n">
        <f aca="false" t="array" ref="D308: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0.0112084726546858</v>
      </c>
      <c r="E308" s="16" t="n">
        <f aca="false">IF(D308="","",D308*$B$15)</f>
        <v>0.0290523611209456</v>
      </c>
      <c r="F308" s="16" t="n">
        <f aca="false" t="array" ref="F308:F308">IF(D308="","",IFERROR(INDEX(Dados_Evap!$C$2:$N$15,MATCH($B$9,Dados_Evap!$A$2:$A$15,0),C308),0))</f>
        <v>292.8</v>
      </c>
      <c r="G308" s="16" t="n">
        <f aca="false">IF(F308="","",F308/1000)</f>
        <v>0.2928</v>
      </c>
      <c r="H308" s="16" t="n">
        <f aca="false">IF(D308="","",MAX(0,MIN($B$8,IFERROR(LOOKUP(2,1/($U$24:U307&lt;&gt;""),$U$24:U307),$B$11))))</f>
        <v>5.73655137851294</v>
      </c>
      <c r="I308" s="16" t="n">
        <f aca="false" t="array" ref="I308: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>2.01622733431351</v>
      </c>
      <c r="J308" s="16" t="n">
        <f aca="false">IF(D308="","",$B$12)</f>
        <v>0.35</v>
      </c>
      <c r="K308" s="16" t="n">
        <f aca="false">IF(J308="","",J308*$B$15)</f>
        <v>0.9072</v>
      </c>
      <c r="L308" s="16" t="n">
        <f aca="false">IF(D308="","",H308+E308-K308-G308*I308)</f>
        <v>4.26805237614689</v>
      </c>
      <c r="M308" s="16" t="n">
        <f aca="false" t="array" ref="M308: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>1.57691024631195</v>
      </c>
      <c r="N308" s="16" t="n">
        <f aca="false">IF(D308="","",(I308+M308)/2)</f>
        <v>1.79656879031273</v>
      </c>
      <c r="O308" s="16" t="n">
        <f aca="false">IF(D308="","",G308*N308)</f>
        <v>0.526035341803568</v>
      </c>
      <c r="P308" s="16" t="n">
        <f aca="false">IF(D308="","",H308+E308-K308-O308)</f>
        <v>4.33236839783032</v>
      </c>
      <c r="Q308" s="16" t="n">
        <f aca="false">IF(D308="","",IF(P308&gt;=0,K308,MAX(0,K308+P308)))</f>
        <v>0.9072</v>
      </c>
      <c r="R308" s="16" t="n">
        <f aca="false">IF(D308="","",Q308/$B$15)</f>
        <v>0.35</v>
      </c>
      <c r="S308" s="16" t="n">
        <f aca="false">IF(D308="","",MAX(0,J308-R308))</f>
        <v>0</v>
      </c>
      <c r="T308" s="16" t="n">
        <f aca="false">IF(D308="","",MAX(0,Z308-$B$8))</f>
        <v>0</v>
      </c>
      <c r="U308" s="16" t="n">
        <f aca="false">IF(D308="","",MAX(0,MIN($B$8,Z308)))</f>
        <v>4.33236839783032</v>
      </c>
      <c r="V308" s="16" t="str">
        <f aca="false">IF(D308="","",IF(S308&gt;0.0000001,"Sim","Não"))</f>
        <v>Não</v>
      </c>
      <c r="W308" s="16" t="n">
        <f aca="false">IF(D308="","",U308-(H308+E308-Q308-O308-T308))</f>
        <v>0</v>
      </c>
      <c r="X308" s="16" t="n">
        <f aca="false">IF(W308="","",ABS(W308))</f>
        <v>0</v>
      </c>
      <c r="Y308" s="16" t="n">
        <f aca="false">IF(U308="","",IF($B$8=0,0,U308/$B$8*100))</f>
        <v>9.17485895347378</v>
      </c>
      <c r="Z308" s="18" t="n">
        <f aca="false">IF(D308="","",MAX(0,IF(P308&gt;=0,P308,IF(K308+P308&gt;=0,0,P308+K308))))</f>
        <v>4.33236839783032</v>
      </c>
      <c r="AA308" s="18" t="n">
        <f aca="false">IF(D308="","",IF(H308&lt;=$B$16,1,IF(H308&gt;=$B$17,$B$21,MATCH(H308,Aux_CAV!$A$2:$A$121,1))))</f>
        <v>9</v>
      </c>
      <c r="AB308" s="18" t="n">
        <f aca="false">IF(D308="","",IF(L308&lt;=$B$16,1,IF(L308&gt;=$B$17,$B$21,MATCH(L308,Aux_CAV!$A$2:$A$121,1))))</f>
        <v>8</v>
      </c>
      <c r="AC308" s="19" t="n">
        <f aca="false">IF(D308="","",COUNT($D$24:D308))</f>
        <v>273</v>
      </c>
    </row>
    <row r="309" customFormat="false" ht="12.75" hidden="false" customHeight="true" outlineLevel="0" collapsed="false">
      <c r="A309" s="14" t="n">
        <f aca="false">IF(D309="","",DATE(B309,C309,1))</f>
        <v>12328</v>
      </c>
      <c r="B309" s="15" t="n">
        <f aca="false" t="array" ref="B309:B309">IF(D309="","",IFERROR(VALUE(INDEX(Vazoes_COLAR!$A$2:$A$200,INT((ROW()-24)/12)+1)),""))</f>
        <v>1933</v>
      </c>
      <c r="C309" s="15" t="n">
        <f aca="false">IF(D309="","",MOD(ROW()-24,12)+1)</f>
        <v>10</v>
      </c>
      <c r="D309" s="16" t="n">
        <f aca="false" t="array" ref="D309: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0.0148135205105033</v>
      </c>
      <c r="E309" s="16" t="n">
        <f aca="false">IF(D309="","",D309*$B$15)</f>
        <v>0.0383966451632246</v>
      </c>
      <c r="F309" s="16" t="n">
        <f aca="false" t="array" ref="F309:F309">IF(D309="","",IFERROR(INDEX(Dados_Evap!$C$2:$N$15,MATCH($B$9,Dados_Evap!$A$2:$A$15,0),C309),0))</f>
        <v>262.9</v>
      </c>
      <c r="G309" s="16" t="n">
        <f aca="false">IF(F309="","",F309/1000)</f>
        <v>0.2629</v>
      </c>
      <c r="H309" s="16" t="n">
        <f aca="false">IF(D309="","",MAX(0,MIN($B$8,IFERROR(LOOKUP(2,1/($U$24:U308&lt;&gt;""),$U$24:U308),$B$11))))</f>
        <v>4.33236839783032</v>
      </c>
      <c r="I309" s="16" t="n">
        <f aca="false" t="array" ref="I309: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>1.59440420420985</v>
      </c>
      <c r="J309" s="16" t="n">
        <f aca="false">IF(D309="","",$B$12)</f>
        <v>0.35</v>
      </c>
      <c r="K309" s="16" t="n">
        <f aca="false">IF(J309="","",J309*$B$15)</f>
        <v>0.9072</v>
      </c>
      <c r="L309" s="16" t="n">
        <f aca="false">IF(D309="","",H309+E309-K309-G309*I309)</f>
        <v>3.04439617770678</v>
      </c>
      <c r="M309" s="16" t="n">
        <f aca="false" t="array" ref="M309: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>1.24407576033624</v>
      </c>
      <c r="N309" s="16" t="n">
        <f aca="false">IF(D309="","",(I309+M309)/2)</f>
        <v>1.41923998227304</v>
      </c>
      <c r="O309" s="16" t="n">
        <f aca="false">IF(D309="","",G309*N309)</f>
        <v>0.373118191339583</v>
      </c>
      <c r="P309" s="16" t="n">
        <f aca="false">IF(D309="","",H309+E309-K309-O309)</f>
        <v>3.09044685165396</v>
      </c>
      <c r="Q309" s="16" t="n">
        <f aca="false">IF(D309="","",IF(P309&gt;=0,K309,MAX(0,K309+P309)))</f>
        <v>0.9072</v>
      </c>
      <c r="R309" s="16" t="n">
        <f aca="false">IF(D309="","",Q309/$B$15)</f>
        <v>0.35</v>
      </c>
      <c r="S309" s="16" t="n">
        <f aca="false">IF(D309="","",MAX(0,J309-R309))</f>
        <v>0</v>
      </c>
      <c r="T309" s="16" t="n">
        <f aca="false">IF(D309="","",MAX(0,Z309-$B$8))</f>
        <v>0</v>
      </c>
      <c r="U309" s="16" t="n">
        <f aca="false">IF(D309="","",MAX(0,MIN($B$8,Z309)))</f>
        <v>3.09044685165396</v>
      </c>
      <c r="V309" s="16" t="str">
        <f aca="false">IF(D309="","",IF(S309&gt;0.0000001,"Sim","Não"))</f>
        <v>Não</v>
      </c>
      <c r="W309" s="16" t="n">
        <f aca="false">IF(D309="","",U309-(H309+E309-Q309-O309-T309))</f>
        <v>0</v>
      </c>
      <c r="X309" s="16" t="n">
        <f aca="false">IF(W309="","",ABS(W309))</f>
        <v>0</v>
      </c>
      <c r="Y309" s="16" t="n">
        <f aca="false">IF(U309="","",IF($B$8=0,0,U309/$B$8*100))</f>
        <v>6.54478367567548</v>
      </c>
      <c r="Z309" s="18" t="n">
        <f aca="false">IF(D309="","",MAX(0,IF(P309&gt;=0,P309,IF(K309+P309&gt;=0,0,P309+K309))))</f>
        <v>3.09044685165396</v>
      </c>
      <c r="AA309" s="18" t="n">
        <f aca="false">IF(D309="","",IF(H309&lt;=$B$16,1,IF(H309&gt;=$B$17,$B$21,MATCH(H309,Aux_CAV!$A$2:$A$121,1))))</f>
        <v>8</v>
      </c>
      <c r="AB309" s="18" t="n">
        <f aca="false">IF(D309="","",IF(L309&lt;=$B$16,1,IF(L309&gt;=$B$17,$B$21,MATCH(L309,Aux_CAV!$A$2:$A$121,1))))</f>
        <v>8</v>
      </c>
      <c r="AC309" s="19" t="n">
        <f aca="false">IF(D309="","",COUNT($D$24:D309))</f>
        <v>274</v>
      </c>
    </row>
    <row r="310" customFormat="false" ht="12.75" hidden="false" customHeight="true" outlineLevel="0" collapsed="false">
      <c r="A310" s="14" t="n">
        <f aca="false">IF(D310="","",DATE(B310,C310,1))</f>
        <v>12359</v>
      </c>
      <c r="B310" s="15" t="n">
        <f aca="false" t="array" ref="B310:B310">IF(D310="","",IFERROR(VALUE(INDEX(Vazoes_COLAR!$A$2:$A$200,INT((ROW()-24)/12)+1)),""))</f>
        <v>1933</v>
      </c>
      <c r="C310" s="15" t="n">
        <f aca="false">IF(D310="","",MOD(ROW()-24,12)+1)</f>
        <v>11</v>
      </c>
      <c r="D310" s="16" t="n">
        <f aca="false" t="array" ref="D310: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0.0219795069389586</v>
      </c>
      <c r="E310" s="16" t="n">
        <f aca="false">IF(D310="","",D310*$B$15)</f>
        <v>0.0569708819857807</v>
      </c>
      <c r="F310" s="16" t="n">
        <f aca="false" t="array" ref="F310:F310">IF(D310="","",IFERROR(INDEX(Dados_Evap!$C$2:$N$15,MATCH($B$9,Dados_Evap!$A$2:$A$15,0),C310),0))</f>
        <v>223.7</v>
      </c>
      <c r="G310" s="16" t="n">
        <f aca="false">IF(F310="","",F310/1000)</f>
        <v>0.2237</v>
      </c>
      <c r="H310" s="16" t="n">
        <f aca="false">IF(D310="","",MAX(0,MIN($B$8,IFERROR(LOOKUP(2,1/($U$24:U309&lt;&gt;""),$U$24:U309),$B$11))))</f>
        <v>3.09044685165396</v>
      </c>
      <c r="I310" s="16" t="n">
        <f aca="false" t="array" ref="I310: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>1.25660154364988</v>
      </c>
      <c r="J310" s="16" t="n">
        <f aca="false">IF(D310="","",$B$12)</f>
        <v>0.35</v>
      </c>
      <c r="K310" s="16" t="n">
        <f aca="false">IF(J310="","",J310*$B$15)</f>
        <v>0.9072</v>
      </c>
      <c r="L310" s="16" t="n">
        <f aca="false">IF(D310="","",H310+E310-K310-G310*I310)</f>
        <v>1.95911596832526</v>
      </c>
      <c r="M310" s="16" t="n">
        <f aca="false" t="array" ref="M310: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>0.949241044296122</v>
      </c>
      <c r="N310" s="16" t="n">
        <f aca="false">IF(D310="","",(I310+M310)/2)</f>
        <v>1.102921293973</v>
      </c>
      <c r="O310" s="16" t="n">
        <f aca="false">IF(D310="","",G310*N310)</f>
        <v>0.24672349346176</v>
      </c>
      <c r="P310" s="16" t="n">
        <f aca="false">IF(D310="","",H310+E310-K310-O310)</f>
        <v>1.99349424017798</v>
      </c>
      <c r="Q310" s="16" t="n">
        <f aca="false">IF(D310="","",IF(P310&gt;=0,K310,MAX(0,K310+P310)))</f>
        <v>0.9072</v>
      </c>
      <c r="R310" s="16" t="n">
        <f aca="false">IF(D310="","",Q310/$B$15)</f>
        <v>0.35</v>
      </c>
      <c r="S310" s="16" t="n">
        <f aca="false">IF(D310="","",MAX(0,J310-R310))</f>
        <v>0</v>
      </c>
      <c r="T310" s="16" t="n">
        <f aca="false">IF(D310="","",MAX(0,Z310-$B$8))</f>
        <v>0</v>
      </c>
      <c r="U310" s="16" t="n">
        <f aca="false">IF(D310="","",MAX(0,MIN($B$8,Z310)))</f>
        <v>1.99349424017798</v>
      </c>
      <c r="V310" s="16" t="str">
        <f aca="false">IF(D310="","",IF(S310&gt;0.0000001,"Sim","Não"))</f>
        <v>Não</v>
      </c>
      <c r="W310" s="16" t="n">
        <f aca="false">IF(D310="","",U310-(H310+E310-Q310-O310-T310))</f>
        <v>0</v>
      </c>
      <c r="X310" s="16" t="n">
        <f aca="false">IF(W310="","",ABS(W310))</f>
        <v>0</v>
      </c>
      <c r="Y310" s="16" t="n">
        <f aca="false">IF(U310="","",IF($B$8=0,0,U310/$B$8*100))</f>
        <v>4.2217158834773</v>
      </c>
      <c r="Z310" s="18" t="n">
        <f aca="false">IF(D310="","",MAX(0,IF(P310&gt;=0,P310,IF(K310+P310&gt;=0,0,P310+K310))))</f>
        <v>1.99349424017798</v>
      </c>
      <c r="AA310" s="18" t="n">
        <f aca="false">IF(D310="","",IF(H310&lt;=$B$16,1,IF(H310&gt;=$B$17,$B$21,MATCH(H310,Aux_CAV!$A$2:$A$121,1))))</f>
        <v>8</v>
      </c>
      <c r="AB310" s="18" t="n">
        <f aca="false">IF(D310="","",IF(L310&lt;=$B$16,1,IF(L310&gt;=$B$17,$B$21,MATCH(L310,Aux_CAV!$A$2:$A$121,1))))</f>
        <v>7</v>
      </c>
      <c r="AC310" s="19" t="n">
        <f aca="false">IF(D310="","",COUNT($D$24:D310))</f>
        <v>275</v>
      </c>
    </row>
    <row r="311" customFormat="false" ht="12.75" hidden="false" customHeight="true" outlineLevel="0" collapsed="false">
      <c r="A311" s="14" t="n">
        <f aca="false">IF(D311="","",DATE(B311,C311,1))</f>
        <v>12389</v>
      </c>
      <c r="B311" s="15" t="n">
        <f aca="false" t="array" ref="B311:B311">IF(D311="","",IFERROR(VALUE(INDEX(Vazoes_COLAR!$A$2:$A$200,INT((ROW()-24)/12)+1)),""))</f>
        <v>1933</v>
      </c>
      <c r="C311" s="15" t="n">
        <f aca="false">IF(D311="","",MOD(ROW()-24,12)+1)</f>
        <v>12</v>
      </c>
      <c r="D311" s="16" t="n">
        <f aca="false" t="array" ref="D311: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0.0160397811893073</v>
      </c>
      <c r="E311" s="16" t="n">
        <f aca="false">IF(D311="","",D311*$B$15)</f>
        <v>0.0415751128426845</v>
      </c>
      <c r="F311" s="16" t="n">
        <f aca="false" t="array" ref="F311:F311">IF(D311="","",IFERROR(INDEX(Dados_Evap!$C$2:$N$15,MATCH($B$9,Dados_Evap!$A$2:$A$15,0),C311),0))</f>
        <v>216.1</v>
      </c>
      <c r="G311" s="16" t="n">
        <f aca="false">IF(F311="","",F311/1000)</f>
        <v>0.2161</v>
      </c>
      <c r="H311" s="16" t="n">
        <f aca="false">IF(D311="","",MAX(0,MIN($B$8,IFERROR(LOOKUP(2,1/($U$24:U310&lt;&gt;""),$U$24:U310),$B$11))))</f>
        <v>1.99349424017798</v>
      </c>
      <c r="I311" s="16" t="n">
        <f aca="false" t="array" ref="I311: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>0.958287957941574</v>
      </c>
      <c r="J311" s="16" t="n">
        <f aca="false">IF(D311="","",$B$12)</f>
        <v>0.35</v>
      </c>
      <c r="K311" s="16" t="n">
        <f aca="false">IF(J311="","",J311*$B$15)</f>
        <v>0.9072</v>
      </c>
      <c r="L311" s="16" t="n">
        <f aca="false">IF(D311="","",H311+E311-K311-G311*I311)</f>
        <v>0.920783325309492</v>
      </c>
      <c r="M311" s="16" t="n">
        <f aca="false" t="array" ref="M311: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>0.643676397061509</v>
      </c>
      <c r="N311" s="16" t="n">
        <f aca="false">IF(D311="","",(I311+M311)/2)</f>
        <v>0.800982177501542</v>
      </c>
      <c r="O311" s="16" t="n">
        <f aca="false">IF(D311="","",G311*N311)</f>
        <v>0.173092248558083</v>
      </c>
      <c r="P311" s="16" t="n">
        <f aca="false">IF(D311="","",H311+E311-K311-O311)</f>
        <v>0.954777104462583</v>
      </c>
      <c r="Q311" s="16" t="n">
        <f aca="false">IF(D311="","",IF(P311&gt;=0,K311,MAX(0,K311+P311)))</f>
        <v>0.9072</v>
      </c>
      <c r="R311" s="16" t="n">
        <f aca="false">IF(D311="","",Q311/$B$15)</f>
        <v>0.35</v>
      </c>
      <c r="S311" s="16" t="n">
        <f aca="false">IF(D311="","",MAX(0,J311-R311))</f>
        <v>0</v>
      </c>
      <c r="T311" s="16" t="n">
        <f aca="false">IF(D311="","",MAX(0,Z311-$B$8))</f>
        <v>0</v>
      </c>
      <c r="U311" s="16" t="n">
        <f aca="false">IF(D311="","",MAX(0,MIN($B$8,Z311)))</f>
        <v>0.954777104462583</v>
      </c>
      <c r="V311" s="16" t="str">
        <f aca="false">IF(D311="","",IF(S311&gt;0.0000001,"Sim","Não"))</f>
        <v>Não</v>
      </c>
      <c r="W311" s="16" t="n">
        <f aca="false">IF(D311="","",U311-(H311+E311-Q311-O311-T311))</f>
        <v>0</v>
      </c>
      <c r="X311" s="16" t="n">
        <f aca="false">IF(W311="","",ABS(W311))</f>
        <v>0</v>
      </c>
      <c r="Y311" s="16" t="n">
        <f aca="false">IF(U311="","",IF($B$8=0,0,U311/$B$8*100))</f>
        <v>2.02197607891271</v>
      </c>
      <c r="Z311" s="18" t="n">
        <f aca="false">IF(D311="","",MAX(0,IF(P311&gt;=0,P311,IF(K311+P311&gt;=0,0,P311+K311))))</f>
        <v>0.954777104462583</v>
      </c>
      <c r="AA311" s="18" t="n">
        <f aca="false">IF(D311="","",IF(H311&lt;=$B$16,1,IF(H311&gt;=$B$17,$B$21,MATCH(H311,Aux_CAV!$A$2:$A$121,1))))</f>
        <v>7</v>
      </c>
      <c r="AB311" s="18" t="n">
        <f aca="false">IF(D311="","",IF(L311&lt;=$B$16,1,IF(L311&gt;=$B$17,$B$21,MATCH(L311,Aux_CAV!$A$2:$A$121,1))))</f>
        <v>6</v>
      </c>
      <c r="AC311" s="19" t="n">
        <f aca="false">IF(D311="","",COUNT($D$24:D311))</f>
        <v>276</v>
      </c>
    </row>
    <row r="312" customFormat="false" ht="12.75" hidden="false" customHeight="true" outlineLevel="0" collapsed="false">
      <c r="A312" s="14" t="n">
        <f aca="false">IF(D312="","",DATE(B312,C312,1))</f>
        <v>12420</v>
      </c>
      <c r="B312" s="15" t="n">
        <f aca="false" t="array" ref="B312:B312">IF(D312="","",IFERROR(VALUE(INDEX(Vazoes_COLAR!$A$2:$A$200,INT((ROW()-24)/12)+1)),""))</f>
        <v>1934</v>
      </c>
      <c r="C312" s="15" t="n">
        <f aca="false">IF(D312="","",MOD(ROW()-24,12)+1)</f>
        <v>1</v>
      </c>
      <c r="D312" s="16" t="n">
        <f aca="false" t="array" ref="D312: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0.34739418979302</v>
      </c>
      <c r="E312" s="16" t="n">
        <f aca="false">IF(D312="","",D312*$B$15)</f>
        <v>0.900445739943508</v>
      </c>
      <c r="F312" s="16" t="n">
        <f aca="false" t="array" ref="F312:F312">IF(D312="","",IFERROR(INDEX(Dados_Evap!$C$2:$N$15,MATCH($B$9,Dados_Evap!$A$2:$A$15,0),C312),0))</f>
        <v>160</v>
      </c>
      <c r="G312" s="16" t="n">
        <f aca="false">IF(F312="","",F312/1000)</f>
        <v>0.16</v>
      </c>
      <c r="H312" s="16" t="n">
        <f aca="false">IF(D312="","",MAX(0,MIN($B$8,IFERROR(LOOKUP(2,1/($U$24:U311&lt;&gt;""),$U$24:U311),$B$11))))</f>
        <v>0.954777104462583</v>
      </c>
      <c r="I312" s="16" t="n">
        <f aca="false" t="array" ref="I312: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>0.661124531494069</v>
      </c>
      <c r="J312" s="16" t="n">
        <f aca="false">IF(D312="","",$B$12)</f>
        <v>0.35</v>
      </c>
      <c r="K312" s="16" t="n">
        <f aca="false">IF(J312="","",J312*$B$15)</f>
        <v>0.9072</v>
      </c>
      <c r="L312" s="16" t="n">
        <f aca="false">IF(D312="","",H312+E312-K312-G312*I312)</f>
        <v>0.84224291936704</v>
      </c>
      <c r="M312" s="16" t="n">
        <f aca="false" t="array" ref="M312: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>0.603363622329985</v>
      </c>
      <c r="N312" s="16" t="n">
        <f aca="false">IF(D312="","",(I312+M312)/2)</f>
        <v>0.632244076912027</v>
      </c>
      <c r="O312" s="16" t="n">
        <f aca="false">IF(D312="","",G312*N312)</f>
        <v>0.101159052305924</v>
      </c>
      <c r="P312" s="16" t="n">
        <f aca="false">IF(D312="","",H312+E312-K312-O312)</f>
        <v>0.846863792100166</v>
      </c>
      <c r="Q312" s="16" t="n">
        <f aca="false">IF(D312="","",IF(P312&gt;=0,K312,MAX(0,K312+P312)))</f>
        <v>0.9072</v>
      </c>
      <c r="R312" s="16" t="n">
        <f aca="false">IF(D312="","",Q312/$B$15)</f>
        <v>0.35</v>
      </c>
      <c r="S312" s="16" t="n">
        <f aca="false">IF(D312="","",MAX(0,J312-R312))</f>
        <v>0</v>
      </c>
      <c r="T312" s="16" t="n">
        <f aca="false">IF(D312="","",MAX(0,Z312-$B$8))</f>
        <v>0</v>
      </c>
      <c r="U312" s="16" t="n">
        <f aca="false">IF(D312="","",MAX(0,MIN($B$8,Z312)))</f>
        <v>0.846863792100166</v>
      </c>
      <c r="V312" s="16" t="str">
        <f aca="false">IF(D312="","",IF(S312&gt;0.0000001,"Sim","Não"))</f>
        <v>Não</v>
      </c>
      <c r="W312" s="16" t="n">
        <f aca="false">IF(D312="","",U312-(H312+E312-Q312-O312-T312))</f>
        <v>0</v>
      </c>
      <c r="X312" s="16" t="n">
        <f aca="false">IF(W312="","",ABS(W312))</f>
        <v>0</v>
      </c>
      <c r="Y312" s="16" t="n">
        <f aca="false">IF(U312="","",IF($B$8=0,0,U312/$B$8*100))</f>
        <v>1.79344301588345</v>
      </c>
      <c r="Z312" s="18" t="n">
        <f aca="false">IF(D312="","",MAX(0,IF(P312&gt;=0,P312,IF(K312+P312&gt;=0,0,P312+K312))))</f>
        <v>0.846863792100166</v>
      </c>
      <c r="AA312" s="18" t="n">
        <f aca="false">IF(D312="","",IF(H312&lt;=$B$16,1,IF(H312&gt;=$B$17,$B$21,MATCH(H312,Aux_CAV!$A$2:$A$121,1))))</f>
        <v>6</v>
      </c>
      <c r="AB312" s="18" t="n">
        <f aca="false">IF(D312="","",IF(L312&lt;=$B$16,1,IF(L312&gt;=$B$17,$B$21,MATCH(L312,Aux_CAV!$A$2:$A$121,1))))</f>
        <v>6</v>
      </c>
      <c r="AC312" s="19" t="n">
        <f aca="false">IF(D312="","",COUNT($D$24:D312))</f>
        <v>277</v>
      </c>
    </row>
    <row r="313" customFormat="false" ht="12.75" hidden="false" customHeight="true" outlineLevel="0" collapsed="false">
      <c r="A313" s="14" t="n">
        <f aca="false">IF(D313="","",DATE(B313,C313,1))</f>
        <v>12451</v>
      </c>
      <c r="B313" s="15" t="n">
        <f aca="false" t="array" ref="B313:B313">IF(D313="","",IFERROR(VALUE(INDEX(Vazoes_COLAR!$A$2:$A$200,INT((ROW()-24)/12)+1)),""))</f>
        <v>1934</v>
      </c>
      <c r="C313" s="15" t="n">
        <f aca="false">IF(D313="","",MOD(ROW()-24,12)+1)</f>
        <v>2</v>
      </c>
      <c r="D313" s="16" t="n">
        <f aca="false" t="array" ref="D313: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1.8463339261342</v>
      </c>
      <c r="E313" s="16" t="n">
        <f aca="false">IF(D313="","",D313*$B$15)</f>
        <v>4.78569753653985</v>
      </c>
      <c r="F313" s="16" t="n">
        <f aca="false" t="array" ref="F313:F313">IF(D313="","",IFERROR(INDEX(Dados_Evap!$C$2:$N$15,MATCH($B$9,Dados_Evap!$A$2:$A$15,0),C313),0))</f>
        <v>124.3</v>
      </c>
      <c r="G313" s="16" t="n">
        <f aca="false">IF(F313="","",F313/1000)</f>
        <v>0.1243</v>
      </c>
      <c r="H313" s="16" t="n">
        <f aca="false">IF(D313="","",MAX(0,MIN($B$8,IFERROR(LOOKUP(2,1/($U$24:U312&lt;&gt;""),$U$24:U312),$B$11))))</f>
        <v>0.846863792100166</v>
      </c>
      <c r="I313" s="16" t="n">
        <f aca="false" t="array" ref="I313: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>0.60573539771513</v>
      </c>
      <c r="J313" s="16" t="n">
        <f aca="false">IF(D313="","",$B$12)</f>
        <v>0.35</v>
      </c>
      <c r="K313" s="16" t="n">
        <f aca="false">IF(J313="","",J313*$B$15)</f>
        <v>0.9072</v>
      </c>
      <c r="L313" s="16" t="n">
        <f aca="false">IF(D313="","",H313+E313-K313-G313*I313)</f>
        <v>4.65006841870402</v>
      </c>
      <c r="M313" s="16" t="n">
        <f aca="false" t="array" ref="M313: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>1.68565911462697</v>
      </c>
      <c r="N313" s="16" t="n">
        <f aca="false">IF(D313="","",(I313+M313)/2)</f>
        <v>1.14569725617105</v>
      </c>
      <c r="O313" s="16" t="n">
        <f aca="false">IF(D313="","",G313*N313)</f>
        <v>0.142410168942061</v>
      </c>
      <c r="P313" s="16" t="n">
        <f aca="false">IF(D313="","",H313+E313-K313-O313)</f>
        <v>4.58295115969795</v>
      </c>
      <c r="Q313" s="16" t="n">
        <f aca="false">IF(D313="","",IF(P313&gt;=0,K313,MAX(0,K313+P313)))</f>
        <v>0.9072</v>
      </c>
      <c r="R313" s="16" t="n">
        <f aca="false">IF(D313="","",Q313/$B$15)</f>
        <v>0.35</v>
      </c>
      <c r="S313" s="16" t="n">
        <f aca="false">IF(D313="","",MAX(0,J313-R313))</f>
        <v>0</v>
      </c>
      <c r="T313" s="16" t="n">
        <f aca="false">IF(D313="","",MAX(0,Z313-$B$8))</f>
        <v>0</v>
      </c>
      <c r="U313" s="16" t="n">
        <f aca="false">IF(D313="","",MAX(0,MIN($B$8,Z313)))</f>
        <v>4.58295115969795</v>
      </c>
      <c r="V313" s="16" t="str">
        <f aca="false">IF(D313="","",IF(S313&gt;0.0000001,"Sim","Não"))</f>
        <v>Não</v>
      </c>
      <c r="W313" s="16" t="n">
        <f aca="false">IF(D313="","",U313-(H313+E313-Q313-O313-T313))</f>
        <v>0</v>
      </c>
      <c r="X313" s="16" t="n">
        <f aca="false">IF(W313="","",ABS(W313))</f>
        <v>0</v>
      </c>
      <c r="Y313" s="16" t="n">
        <f aca="false">IF(U313="","",IF($B$8=0,0,U313/$B$8*100))</f>
        <v>9.70552977487919</v>
      </c>
      <c r="Z313" s="18" t="n">
        <f aca="false">IF(D313="","",MAX(0,IF(P313&gt;=0,P313,IF(K313+P313&gt;=0,0,P313+K313))))</f>
        <v>4.58295115969795</v>
      </c>
      <c r="AA313" s="18" t="n">
        <f aca="false">IF(D313="","",IF(H313&lt;=$B$16,1,IF(H313&gt;=$B$17,$B$21,MATCH(H313,Aux_CAV!$A$2:$A$121,1))))</f>
        <v>6</v>
      </c>
      <c r="AB313" s="18" t="n">
        <f aca="false">IF(D313="","",IF(L313&lt;=$B$16,1,IF(L313&gt;=$B$17,$B$21,MATCH(L313,Aux_CAV!$A$2:$A$121,1))))</f>
        <v>9</v>
      </c>
      <c r="AC313" s="19" t="n">
        <f aca="false">IF(D313="","",COUNT($D$24:D313))</f>
        <v>278</v>
      </c>
    </row>
    <row r="314" customFormat="false" ht="12.75" hidden="false" customHeight="true" outlineLevel="0" collapsed="false">
      <c r="A314" s="14" t="n">
        <f aca="false">IF(D314="","",DATE(B314,C314,1))</f>
        <v>12479</v>
      </c>
      <c r="B314" s="15" t="n">
        <f aca="false" t="array" ref="B314:B314">IF(D314="","",IFERROR(VALUE(INDEX(Vazoes_COLAR!$A$2:$A$200,INT((ROW()-24)/12)+1)),""))</f>
        <v>1934</v>
      </c>
      <c r="C314" s="15" t="n">
        <f aca="false">IF(D314="","",MOD(ROW()-24,12)+1)</f>
        <v>3</v>
      </c>
      <c r="D314" s="16" t="n">
        <f aca="false" t="array" ref="D314: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18.603251083071</v>
      </c>
      <c r="E314" s="16" t="n">
        <f aca="false">IF(D314="","",D314*$B$15)</f>
        <v>48.21962680732</v>
      </c>
      <c r="F314" s="16" t="n">
        <f aca="false" t="array" ref="F314:F314">IF(D314="","",IFERROR(INDEX(Dados_Evap!$C$2:$N$15,MATCH($B$9,Dados_Evap!$A$2:$A$15,0),C314),0))</f>
        <v>107.7</v>
      </c>
      <c r="G314" s="16" t="n">
        <f aca="false">IF(F314="","",F314/1000)</f>
        <v>0.1077</v>
      </c>
      <c r="H314" s="16" t="n">
        <f aca="false">IF(D314="","",MAX(0,MIN($B$8,IFERROR(LOOKUP(2,1/($U$24:U313&lt;&gt;""),$U$24:U313),$B$11))))</f>
        <v>4.58295115969795</v>
      </c>
      <c r="I314" s="16" t="n">
        <f aca="false" t="array" ref="I314: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>1.66523833156767</v>
      </c>
      <c r="J314" s="16" t="n">
        <f aca="false">IF(D314="","",$B$12)</f>
        <v>0.35</v>
      </c>
      <c r="K314" s="16" t="n">
        <f aca="false">IF(J314="","",J314*$B$15)</f>
        <v>0.9072</v>
      </c>
      <c r="L314" s="16" t="n">
        <f aca="false">IF(D314="","",H314+E314-K314-G314*I314)</f>
        <v>51.7160317987081</v>
      </c>
      <c r="M314" s="16" t="n">
        <f aca="false" t="array" ref="M314: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>7.5000200087908</v>
      </c>
      <c r="N314" s="16" t="n">
        <f aca="false">IF(D314="","",(I314+M314)/2)</f>
        <v>4.58262917017924</v>
      </c>
      <c r="O314" s="16" t="n">
        <f aca="false">IF(D314="","",G314*N314)</f>
        <v>0.493549161628304</v>
      </c>
      <c r="P314" s="16" t="n">
        <f aca="false">IF(D314="","",H314+E314-K314-O314)</f>
        <v>51.4018288053897</v>
      </c>
      <c r="Q314" s="16" t="n">
        <f aca="false">IF(D314="","",IF(P314&gt;=0,K314,MAX(0,K314+P314)))</f>
        <v>0.9072</v>
      </c>
      <c r="R314" s="16" t="n">
        <f aca="false">IF(D314="","",Q314/$B$15)</f>
        <v>0.35</v>
      </c>
      <c r="S314" s="16" t="n">
        <f aca="false">IF(D314="","",MAX(0,J314-R314))</f>
        <v>0</v>
      </c>
      <c r="T314" s="16" t="n">
        <f aca="false">IF(D314="","",MAX(0,Z314-$B$8))</f>
        <v>4.18182880538968</v>
      </c>
      <c r="U314" s="16" t="n">
        <f aca="false">IF(D314="","",MAX(0,MIN($B$8,Z314)))</f>
        <v>47.22</v>
      </c>
      <c r="V314" s="16" t="str">
        <f aca="false">IF(D314="","",IF(S314&gt;0.0000001,"Sim","Não"))</f>
        <v>Não</v>
      </c>
      <c r="W314" s="16" t="n">
        <f aca="false">IF(D314="","",U314-(H314+E314-Q314-O314-T314))</f>
        <v>0</v>
      </c>
      <c r="X314" s="16" t="n">
        <f aca="false">IF(W314="","",ABS(W314))</f>
        <v>0</v>
      </c>
      <c r="Y314" s="16" t="n">
        <f aca="false">IF(U314="","",IF($B$8=0,0,U314/$B$8*100))</f>
        <v>100</v>
      </c>
      <c r="Z314" s="18" t="n">
        <f aca="false">IF(D314="","",MAX(0,IF(P314&gt;=0,P314,IF(K314+P314&gt;=0,0,P314+K314))))</f>
        <v>51.4018288053897</v>
      </c>
      <c r="AA314" s="18" t="n">
        <f aca="false">IF(D314="","",IF(H314&lt;=$B$16,1,IF(H314&gt;=$B$17,$B$21,MATCH(H314,Aux_CAV!$A$2:$A$121,1))))</f>
        <v>9</v>
      </c>
      <c r="AB314" s="18" t="n">
        <f aca="false">IF(D314="","",IF(L314&lt;=$B$16,1,IF(L314&gt;=$B$17,$B$21,MATCH(L314,Aux_CAV!$A$2:$A$121,1))))</f>
        <v>14</v>
      </c>
      <c r="AC314" s="19" t="n">
        <f aca="false">IF(D314="","",COUNT($D$24:D314))</f>
        <v>279</v>
      </c>
    </row>
    <row r="315" customFormat="false" ht="12.75" hidden="false" customHeight="true" outlineLevel="0" collapsed="false">
      <c r="A315" s="14" t="n">
        <f aca="false">IF(D315="","",DATE(B315,C315,1))</f>
        <v>12510</v>
      </c>
      <c r="B315" s="15" t="n">
        <f aca="false" t="array" ref="B315:B315">IF(D315="","",IFERROR(VALUE(INDEX(Vazoes_COLAR!$A$2:$A$200,INT((ROW()-24)/12)+1)),""))</f>
        <v>1934</v>
      </c>
      <c r="C315" s="15" t="n">
        <f aca="false">IF(D315="","",MOD(ROW()-24,12)+1)</f>
        <v>4</v>
      </c>
      <c r="D315" s="16" t="n">
        <f aca="false" t="array" ref="D315: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7.94969034684914</v>
      </c>
      <c r="E315" s="16" t="n">
        <f aca="false">IF(D315="","",D315*$B$15)</f>
        <v>20.605597379033</v>
      </c>
      <c r="F315" s="16" t="n">
        <f aca="false" t="array" ref="F315:F315">IF(D315="","",IFERROR(INDEX(Dados_Evap!$C$2:$N$15,MATCH($B$9,Dados_Evap!$A$2:$A$15,0),C315),0))</f>
        <v>100.5</v>
      </c>
      <c r="G315" s="16" t="n">
        <f aca="false">IF(F315="","",F315/1000)</f>
        <v>0.1005</v>
      </c>
      <c r="H315" s="16" t="n">
        <f aca="false">IF(D315="","",MAX(0,MIN($B$8,IFERROR(LOOKUP(2,1/($U$24:U314&lt;&gt;""),$U$24:U314),$B$11))))</f>
        <v>47.22</v>
      </c>
      <c r="I315" s="16" t="n">
        <f aca="false" t="array" ref="I315: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>6.97</v>
      </c>
      <c r="J315" s="16" t="n">
        <f aca="false">IF(D315="","",$B$12)</f>
        <v>0.35</v>
      </c>
      <c r="K315" s="16" t="n">
        <f aca="false">IF(J315="","",J315*$B$15)</f>
        <v>0.9072</v>
      </c>
      <c r="L315" s="16" t="n">
        <f aca="false">IF(D315="","",H315+E315-K315-G315*I315)</f>
        <v>66.217912379033</v>
      </c>
      <c r="M315" s="16" t="n">
        <f aca="false" t="array" ref="M315: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>9.23678346206762</v>
      </c>
      <c r="N315" s="16" t="n">
        <f aca="false">IF(D315="","",(I315+M315)/2)</f>
        <v>8.10339173103381</v>
      </c>
      <c r="O315" s="16" t="n">
        <f aca="false">IF(D315="","",G315*N315)</f>
        <v>0.814390868968898</v>
      </c>
      <c r="P315" s="16" t="n">
        <f aca="false">IF(D315="","",H315+E315-K315-O315)</f>
        <v>66.1040065100641</v>
      </c>
      <c r="Q315" s="16" t="n">
        <f aca="false">IF(D315="","",IF(P315&gt;=0,K315,MAX(0,K315+P315)))</f>
        <v>0.9072</v>
      </c>
      <c r="R315" s="16" t="n">
        <f aca="false">IF(D315="","",Q315/$B$15)</f>
        <v>0.35</v>
      </c>
      <c r="S315" s="16" t="n">
        <f aca="false">IF(D315="","",MAX(0,J315-R315))</f>
        <v>0</v>
      </c>
      <c r="T315" s="16" t="n">
        <f aca="false">IF(D315="","",MAX(0,Z315-$B$8))</f>
        <v>18.8840065100641</v>
      </c>
      <c r="U315" s="16" t="n">
        <f aca="false">IF(D315="","",MAX(0,MIN($B$8,Z315)))</f>
        <v>47.22</v>
      </c>
      <c r="V315" s="16" t="str">
        <f aca="false">IF(D315="","",IF(S315&gt;0.0000001,"Sim","Não"))</f>
        <v>Não</v>
      </c>
      <c r="W315" s="16" t="n">
        <f aca="false">IF(D315="","",U315-(H315+E315-Q315-O315-T315))</f>
        <v>0</v>
      </c>
      <c r="X315" s="16" t="n">
        <f aca="false">IF(W315="","",ABS(W315))</f>
        <v>0</v>
      </c>
      <c r="Y315" s="16" t="n">
        <f aca="false">IF(U315="","",IF($B$8=0,0,U315/$B$8*100))</f>
        <v>100</v>
      </c>
      <c r="Z315" s="18" t="n">
        <f aca="false">IF(D315="","",MAX(0,IF(P315&gt;=0,P315,IF(K315+P315&gt;=0,0,P315+K315))))</f>
        <v>66.1040065100641</v>
      </c>
      <c r="AA315" s="18" t="n">
        <f aca="false">IF(D315="","",IF(H315&lt;=$B$16,1,IF(H315&gt;=$B$17,$B$21,MATCH(H315,Aux_CAV!$A$2:$A$121,1))))</f>
        <v>14</v>
      </c>
      <c r="AB315" s="18" t="n">
        <f aca="false">IF(D315="","",IF(L315&lt;=$B$16,1,IF(L315&gt;=$B$17,$B$21,MATCH(L315,Aux_CAV!$A$2:$A$121,1))))</f>
        <v>16</v>
      </c>
      <c r="AC315" s="19" t="n">
        <f aca="false">IF(D315="","",COUNT($D$24:D315))</f>
        <v>280</v>
      </c>
    </row>
    <row r="316" customFormat="false" ht="12.75" hidden="false" customHeight="true" outlineLevel="0" collapsed="false">
      <c r="A316" s="14" t="n">
        <f aca="false">IF(D316="","",DATE(B316,C316,1))</f>
        <v>12540</v>
      </c>
      <c r="B316" s="15" t="n">
        <f aca="false" t="array" ref="B316:B316">IF(D316="","",IFERROR(VALUE(INDEX(Vazoes_COLAR!$A$2:$A$200,INT((ROW()-24)/12)+1)),""))</f>
        <v>1934</v>
      </c>
      <c r="C316" s="15" t="n">
        <f aca="false">IF(D316="","",MOD(ROW()-24,12)+1)</f>
        <v>5</v>
      </c>
      <c r="D316" s="16" t="n">
        <f aca="false" t="array" ref="D316: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6.74378684382801</v>
      </c>
      <c r="E316" s="16" t="n">
        <f aca="false">IF(D316="","",D316*$B$15)</f>
        <v>17.4798954992022</v>
      </c>
      <c r="F316" s="16" t="n">
        <f aca="false" t="array" ref="F316:F316">IF(D316="","",IFERROR(INDEX(Dados_Evap!$C$2:$N$15,MATCH($B$9,Dados_Evap!$A$2:$A$15,0),C316),0))</f>
        <v>145.8</v>
      </c>
      <c r="G316" s="16" t="n">
        <f aca="false">IF(F316="","",F316/1000)</f>
        <v>0.1458</v>
      </c>
      <c r="H316" s="16" t="n">
        <f aca="false">IF(D316="","",MAX(0,MIN($B$8,IFERROR(LOOKUP(2,1/($U$24:U315&lt;&gt;""),$U$24:U315),$B$11))))</f>
        <v>47.22</v>
      </c>
      <c r="I316" s="16" t="n">
        <f aca="false" t="array" ref="I316: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>6.97</v>
      </c>
      <c r="J316" s="16" t="n">
        <f aca="false">IF(D316="","",$B$12)</f>
        <v>0.35</v>
      </c>
      <c r="K316" s="16" t="n">
        <f aca="false">IF(J316="","",J316*$B$15)</f>
        <v>0.9072</v>
      </c>
      <c r="L316" s="16" t="n">
        <f aca="false">IF(D316="","",H316+E316-K316-G316*I316)</f>
        <v>62.7764694992022</v>
      </c>
      <c r="M316" s="16" t="n">
        <f aca="false" t="array" ref="M316: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>8.85232479513932</v>
      </c>
      <c r="N316" s="16" t="n">
        <f aca="false">IF(D316="","",(I316+M316)/2)</f>
        <v>7.91116239756966</v>
      </c>
      <c r="O316" s="16" t="n">
        <f aca="false">IF(D316="","",G316*N316)</f>
        <v>1.15344747756566</v>
      </c>
      <c r="P316" s="16" t="n">
        <f aca="false">IF(D316="","",H316+E316-K316-O316)</f>
        <v>62.6392480216365</v>
      </c>
      <c r="Q316" s="16" t="n">
        <f aca="false">IF(D316="","",IF(P316&gt;=0,K316,MAX(0,K316+P316)))</f>
        <v>0.9072</v>
      </c>
      <c r="R316" s="16" t="n">
        <f aca="false">IF(D316="","",Q316/$B$15)</f>
        <v>0.35</v>
      </c>
      <c r="S316" s="16" t="n">
        <f aca="false">IF(D316="","",MAX(0,J316-R316))</f>
        <v>0</v>
      </c>
      <c r="T316" s="16" t="n">
        <f aca="false">IF(D316="","",MAX(0,Z316-$B$8))</f>
        <v>15.4192480216365</v>
      </c>
      <c r="U316" s="16" t="n">
        <f aca="false">IF(D316="","",MAX(0,MIN($B$8,Z316)))</f>
        <v>47.22</v>
      </c>
      <c r="V316" s="16" t="str">
        <f aca="false">IF(D316="","",IF(S316&gt;0.0000001,"Sim","Não"))</f>
        <v>Não</v>
      </c>
      <c r="W316" s="16" t="n">
        <f aca="false">IF(D316="","",U316-(H316+E316-Q316-O316-T316))</f>
        <v>0</v>
      </c>
      <c r="X316" s="16" t="n">
        <f aca="false">IF(W316="","",ABS(W316))</f>
        <v>0</v>
      </c>
      <c r="Y316" s="16" t="n">
        <f aca="false">IF(U316="","",IF($B$8=0,0,U316/$B$8*100))</f>
        <v>100</v>
      </c>
      <c r="Z316" s="18" t="n">
        <f aca="false">IF(D316="","",MAX(0,IF(P316&gt;=0,P316,IF(K316+P316&gt;=0,0,P316+K316))))</f>
        <v>62.6392480216365</v>
      </c>
      <c r="AA316" s="18" t="n">
        <f aca="false">IF(D316="","",IF(H316&lt;=$B$16,1,IF(H316&gt;=$B$17,$B$21,MATCH(H316,Aux_CAV!$A$2:$A$121,1))))</f>
        <v>14</v>
      </c>
      <c r="AB316" s="18" t="n">
        <f aca="false">IF(D316="","",IF(L316&lt;=$B$16,1,IF(L316&gt;=$B$17,$B$21,MATCH(L316,Aux_CAV!$A$2:$A$121,1))))</f>
        <v>15</v>
      </c>
      <c r="AC316" s="19" t="n">
        <f aca="false">IF(D316="","",COUNT($D$24:D316))</f>
        <v>281</v>
      </c>
    </row>
    <row r="317" customFormat="false" ht="12.75" hidden="false" customHeight="true" outlineLevel="0" collapsed="false">
      <c r="A317" s="14" t="n">
        <f aca="false">IF(D317="","",DATE(B317,C317,1))</f>
        <v>12571</v>
      </c>
      <c r="B317" s="15" t="n">
        <f aca="false" t="array" ref="B317:B317">IF(D317="","",IFERROR(VALUE(INDEX(Vazoes_COLAR!$A$2:$A$200,INT((ROW()-24)/12)+1)),""))</f>
        <v>1934</v>
      </c>
      <c r="C317" s="15" t="n">
        <f aca="false">IF(D317="","",MOD(ROW()-24,12)+1)</f>
        <v>6</v>
      </c>
      <c r="D317" s="16" t="n">
        <f aca="false" t="array" ref="D317: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1.72400283194032</v>
      </c>
      <c r="E317" s="16" t="n">
        <f aca="false">IF(D317="","",D317*$B$15)</f>
        <v>4.46861534038931</v>
      </c>
      <c r="F317" s="16" t="n">
        <f aca="false" t="array" ref="F317:F317">IF(D317="","",IFERROR(INDEX(Dados_Evap!$C$2:$N$15,MATCH($B$9,Dados_Evap!$A$2:$A$15,0),C317),0))</f>
        <v>161.3</v>
      </c>
      <c r="G317" s="16" t="n">
        <f aca="false">IF(F317="","",F317/1000)</f>
        <v>0.1613</v>
      </c>
      <c r="H317" s="16" t="n">
        <f aca="false">IF(D317="","",MAX(0,MIN($B$8,IFERROR(LOOKUP(2,1/($U$24:U316&lt;&gt;""),$U$24:U316),$B$11))))</f>
        <v>47.22</v>
      </c>
      <c r="I317" s="16" t="n">
        <f aca="false" t="array" ref="I317: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>6.97</v>
      </c>
      <c r="J317" s="16" t="n">
        <f aca="false">IF(D317="","",$B$12)</f>
        <v>0.35</v>
      </c>
      <c r="K317" s="16" t="n">
        <f aca="false">IF(J317="","",J317*$B$15)</f>
        <v>0.9072</v>
      </c>
      <c r="L317" s="16" t="n">
        <f aca="false">IF(D317="","",H317+E317-K317-G317*I317)</f>
        <v>49.6571543403893</v>
      </c>
      <c r="M317" s="16" t="n">
        <f aca="false" t="array" ref="M317: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>7.25730681248492</v>
      </c>
      <c r="N317" s="16" t="n">
        <f aca="false">IF(D317="","",(I317+M317)/2)</f>
        <v>7.11365340624246</v>
      </c>
      <c r="O317" s="16" t="n">
        <f aca="false">IF(D317="","",G317*N317)</f>
        <v>1.14743229442691</v>
      </c>
      <c r="P317" s="16" t="n">
        <f aca="false">IF(D317="","",H317+E317-K317-O317)</f>
        <v>49.6339830459624</v>
      </c>
      <c r="Q317" s="16" t="n">
        <f aca="false">IF(D317="","",IF(P317&gt;=0,K317,MAX(0,K317+P317)))</f>
        <v>0.9072</v>
      </c>
      <c r="R317" s="16" t="n">
        <f aca="false">IF(D317="","",Q317/$B$15)</f>
        <v>0.35</v>
      </c>
      <c r="S317" s="16" t="n">
        <f aca="false">IF(D317="","",MAX(0,J317-R317))</f>
        <v>0</v>
      </c>
      <c r="T317" s="16" t="n">
        <f aca="false">IF(D317="","",MAX(0,Z317-$B$8))</f>
        <v>2.4139830459624</v>
      </c>
      <c r="U317" s="16" t="n">
        <f aca="false">IF(D317="","",MAX(0,MIN($B$8,Z317)))</f>
        <v>47.22</v>
      </c>
      <c r="V317" s="16" t="str">
        <f aca="false">IF(D317="","",IF(S317&gt;0.0000001,"Sim","Não"))</f>
        <v>Não</v>
      </c>
      <c r="W317" s="16" t="n">
        <f aca="false">IF(D317="","",U317-(H317+E317-Q317-O317-T317))</f>
        <v>0</v>
      </c>
      <c r="X317" s="16" t="n">
        <f aca="false">IF(W317="","",ABS(W317))</f>
        <v>0</v>
      </c>
      <c r="Y317" s="16" t="n">
        <f aca="false">IF(U317="","",IF($B$8=0,0,U317/$B$8*100))</f>
        <v>100</v>
      </c>
      <c r="Z317" s="18" t="n">
        <f aca="false">IF(D317="","",MAX(0,IF(P317&gt;=0,P317,IF(K317+P317&gt;=0,0,P317+K317))))</f>
        <v>49.6339830459624</v>
      </c>
      <c r="AA317" s="18" t="n">
        <f aca="false">IF(D317="","",IF(H317&lt;=$B$16,1,IF(H317&gt;=$B$17,$B$21,MATCH(H317,Aux_CAV!$A$2:$A$121,1))))</f>
        <v>14</v>
      </c>
      <c r="AB317" s="18" t="n">
        <f aca="false">IF(D317="","",IF(L317&lt;=$B$16,1,IF(L317&gt;=$B$17,$B$21,MATCH(L317,Aux_CAV!$A$2:$A$121,1))))</f>
        <v>14</v>
      </c>
      <c r="AC317" s="19" t="n">
        <f aca="false">IF(D317="","",COUNT($D$24:D317))</f>
        <v>282</v>
      </c>
    </row>
    <row r="318" customFormat="false" ht="12.75" hidden="false" customHeight="true" outlineLevel="0" collapsed="false">
      <c r="A318" s="14" t="n">
        <f aca="false">IF(D318="","",DATE(B318,C318,1))</f>
        <v>12601</v>
      </c>
      <c r="B318" s="15" t="n">
        <f aca="false" t="array" ref="B318:B318">IF(D318="","",IFERROR(VALUE(INDEX(Vazoes_COLAR!$A$2:$A$200,INT((ROW()-24)/12)+1)),""))</f>
        <v>1934</v>
      </c>
      <c r="C318" s="15" t="n">
        <f aca="false">IF(D318="","",MOD(ROW()-24,12)+1)</f>
        <v>7</v>
      </c>
      <c r="D318" s="16" t="n">
        <f aca="false" t="array" ref="D318: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0.0376306209899228</v>
      </c>
      <c r="E318" s="16" t="n">
        <f aca="false">IF(D318="","",D318*$B$15)</f>
        <v>0.0975385696058799</v>
      </c>
      <c r="F318" s="16" t="n">
        <f aca="false" t="array" ref="F318:F318">IF(D318="","",IFERROR(INDEX(Dados_Evap!$C$2:$N$15,MATCH($B$9,Dados_Evap!$A$2:$A$15,0),C318),0))</f>
        <v>224.8</v>
      </c>
      <c r="G318" s="16" t="n">
        <f aca="false">IF(F318="","",F318/1000)</f>
        <v>0.2248</v>
      </c>
      <c r="H318" s="16" t="n">
        <f aca="false">IF(D318="","",MAX(0,MIN($B$8,IFERROR(LOOKUP(2,1/($U$24:U317&lt;&gt;""),$U$24:U317),$B$11))))</f>
        <v>47.22</v>
      </c>
      <c r="I318" s="16" t="n">
        <f aca="false" t="array" ref="I318: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>6.97</v>
      </c>
      <c r="J318" s="16" t="n">
        <f aca="false">IF(D318="","",$B$12)</f>
        <v>0.35</v>
      </c>
      <c r="K318" s="16" t="n">
        <f aca="false">IF(J318="","",J318*$B$15)</f>
        <v>0.9072</v>
      </c>
      <c r="L318" s="16" t="n">
        <f aca="false">IF(D318="","",H318+E318-K318-G318*I318)</f>
        <v>44.8434825696059</v>
      </c>
      <c r="M318" s="16" t="n">
        <f aca="false" t="array" ref="M318: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>6.73272192322323</v>
      </c>
      <c r="N318" s="16" t="n">
        <f aca="false">IF(D318="","",(I318+M318)/2)</f>
        <v>6.85136096161161</v>
      </c>
      <c r="O318" s="16" t="n">
        <f aca="false">IF(D318="","",G318*N318)</f>
        <v>1.54018594417029</v>
      </c>
      <c r="P318" s="16" t="n">
        <f aca="false">IF(D318="","",H318+E318-K318-O318)</f>
        <v>44.8701526254356</v>
      </c>
      <c r="Q318" s="16" t="n">
        <f aca="false">IF(D318="","",IF(P318&gt;=0,K318,MAX(0,K318+P318)))</f>
        <v>0.9072</v>
      </c>
      <c r="R318" s="16" t="n">
        <f aca="false">IF(D318="","",Q318/$B$15)</f>
        <v>0.35</v>
      </c>
      <c r="S318" s="16" t="n">
        <f aca="false">IF(D318="","",MAX(0,J318-R318))</f>
        <v>0</v>
      </c>
      <c r="T318" s="16" t="n">
        <f aca="false">IF(D318="","",MAX(0,Z318-$B$8))</f>
        <v>0</v>
      </c>
      <c r="U318" s="16" t="n">
        <f aca="false">IF(D318="","",MAX(0,MIN($B$8,Z318)))</f>
        <v>44.8701526254356</v>
      </c>
      <c r="V318" s="16" t="str">
        <f aca="false">IF(D318="","",IF(S318&gt;0.0000001,"Sim","Não"))</f>
        <v>Não</v>
      </c>
      <c r="W318" s="16" t="n">
        <f aca="false">IF(D318="","",U318-(H318+E318-Q318-O318-T318))</f>
        <v>0</v>
      </c>
      <c r="X318" s="16" t="n">
        <f aca="false">IF(W318="","",ABS(W318))</f>
        <v>0</v>
      </c>
      <c r="Y318" s="16" t="n">
        <f aca="false">IF(U318="","",IF($B$8=0,0,U318/$B$8*100))</f>
        <v>95.0236184359076</v>
      </c>
      <c r="Z318" s="18" t="n">
        <f aca="false">IF(D318="","",MAX(0,IF(P318&gt;=0,P318,IF(K318+P318&gt;=0,0,P318+K318))))</f>
        <v>44.8701526254356</v>
      </c>
      <c r="AA318" s="18" t="n">
        <f aca="false">IF(D318="","",IF(H318&lt;=$B$16,1,IF(H318&gt;=$B$17,$B$21,MATCH(H318,Aux_CAV!$A$2:$A$121,1))))</f>
        <v>14</v>
      </c>
      <c r="AB318" s="18" t="n">
        <f aca="false">IF(D318="","",IF(L318&lt;=$B$16,1,IF(L318&gt;=$B$17,$B$21,MATCH(L318,Aux_CAV!$A$2:$A$121,1))))</f>
        <v>13</v>
      </c>
      <c r="AC318" s="19" t="n">
        <f aca="false">IF(D318="","",COUNT($D$24:D318))</f>
        <v>283</v>
      </c>
    </row>
    <row r="319" customFormat="false" ht="12.75" hidden="false" customHeight="true" outlineLevel="0" collapsed="false">
      <c r="A319" s="14" t="n">
        <f aca="false">IF(D319="","",DATE(B319,C319,1))</f>
        <v>12632</v>
      </c>
      <c r="B319" s="15" t="n">
        <f aca="false" t="array" ref="B319:B319">IF(D319="","",IFERROR(VALUE(INDEX(Vazoes_COLAR!$A$2:$A$200,INT((ROW()-24)/12)+1)),""))</f>
        <v>1934</v>
      </c>
      <c r="C319" s="15" t="n">
        <f aca="false">IF(D319="","",MOD(ROW()-24,12)+1)</f>
        <v>8</v>
      </c>
      <c r="D319" s="16" t="n">
        <f aca="false" t="array" ref="D319: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0.0412636286833746</v>
      </c>
      <c r="E319" s="16" t="n">
        <f aca="false">IF(D319="","",D319*$B$15)</f>
        <v>0.106955325547307</v>
      </c>
      <c r="F319" s="16" t="n">
        <f aca="false" t="array" ref="F319:F319">IF(D319="","",IFERROR(INDEX(Dados_Evap!$C$2:$N$15,MATCH($B$9,Dados_Evap!$A$2:$A$15,0),C319),0))</f>
        <v>268.7</v>
      </c>
      <c r="G319" s="16" t="n">
        <f aca="false">IF(F319="","",F319/1000)</f>
        <v>0.2687</v>
      </c>
      <c r="H319" s="16" t="n">
        <f aca="false">IF(D319="","",MAX(0,MIN($B$8,IFERROR(LOOKUP(2,1/($U$24:U318&lt;&gt;""),$U$24:U318),$B$11))))</f>
        <v>44.8701526254356</v>
      </c>
      <c r="I319" s="16" t="n">
        <f aca="false" t="array" ref="I319: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>6.7353847354012</v>
      </c>
      <c r="J319" s="16" t="n">
        <f aca="false">IF(D319="","",$B$12)</f>
        <v>0.35</v>
      </c>
      <c r="K319" s="16" t="n">
        <f aca="false">IF(J319="","",J319*$B$15)</f>
        <v>0.9072</v>
      </c>
      <c r="L319" s="16" t="n">
        <f aca="false">IF(D319="","",H319+E319-K319-G319*I319)</f>
        <v>42.2601100725806</v>
      </c>
      <c r="M319" s="16" t="n">
        <f aca="false" t="array" ref="M319: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>6.47479086416489</v>
      </c>
      <c r="N319" s="16" t="n">
        <f aca="false">IF(D319="","",(I319+M319)/2)</f>
        <v>6.60508779978304</v>
      </c>
      <c r="O319" s="16" t="n">
        <f aca="false">IF(D319="","",G319*N319)</f>
        <v>1.7747870918017</v>
      </c>
      <c r="P319" s="16" t="n">
        <f aca="false">IF(D319="","",H319+E319-K319-O319)</f>
        <v>42.2951208591812</v>
      </c>
      <c r="Q319" s="16" t="n">
        <f aca="false">IF(D319="","",IF(P319&gt;=0,K319,MAX(0,K319+P319)))</f>
        <v>0.9072</v>
      </c>
      <c r="R319" s="16" t="n">
        <f aca="false">IF(D319="","",Q319/$B$15)</f>
        <v>0.35</v>
      </c>
      <c r="S319" s="16" t="n">
        <f aca="false">IF(D319="","",MAX(0,J319-R319))</f>
        <v>0</v>
      </c>
      <c r="T319" s="16" t="n">
        <f aca="false">IF(D319="","",MAX(0,Z319-$B$8))</f>
        <v>0</v>
      </c>
      <c r="U319" s="16" t="n">
        <f aca="false">IF(D319="","",MAX(0,MIN($B$8,Z319)))</f>
        <v>42.2951208591812</v>
      </c>
      <c r="V319" s="16" t="str">
        <f aca="false">IF(D319="","",IF(S319&gt;0.0000001,"Sim","Não"))</f>
        <v>Não</v>
      </c>
      <c r="W319" s="16" t="n">
        <f aca="false">IF(D319="","",U319-(H319+E319-Q319-O319-T319))</f>
        <v>0</v>
      </c>
      <c r="X319" s="16" t="n">
        <f aca="false">IF(W319="","",ABS(W319))</f>
        <v>0</v>
      </c>
      <c r="Y319" s="16" t="n">
        <f aca="false">IF(U319="","",IF($B$8=0,0,U319/$B$8*100))</f>
        <v>89.5703533654832</v>
      </c>
      <c r="Z319" s="18" t="n">
        <f aca="false">IF(D319="","",MAX(0,IF(P319&gt;=0,P319,IF(K319+P319&gt;=0,0,P319+K319))))</f>
        <v>42.2951208591812</v>
      </c>
      <c r="AA319" s="18" t="n">
        <f aca="false">IF(D319="","",IF(H319&lt;=$B$16,1,IF(H319&gt;=$B$17,$B$21,MATCH(H319,Aux_CAV!$A$2:$A$121,1))))</f>
        <v>13</v>
      </c>
      <c r="AB319" s="18" t="n">
        <f aca="false">IF(D319="","",IF(L319&lt;=$B$16,1,IF(L319&gt;=$B$17,$B$21,MATCH(L319,Aux_CAV!$A$2:$A$121,1))))</f>
        <v>13</v>
      </c>
      <c r="AC319" s="19" t="n">
        <f aca="false">IF(D319="","",COUNT($D$24:D319))</f>
        <v>284</v>
      </c>
    </row>
    <row r="320" customFormat="false" ht="12.75" hidden="false" customHeight="true" outlineLevel="0" collapsed="false">
      <c r="A320" s="14" t="n">
        <f aca="false">IF(D320="","",DATE(B320,C320,1))</f>
        <v>12663</v>
      </c>
      <c r="B320" s="15" t="n">
        <f aca="false" t="array" ref="B320:B320">IF(D320="","",IFERROR(VALUE(INDEX(Vazoes_COLAR!$A$2:$A$200,INT((ROW()-24)/12)+1)),""))</f>
        <v>1934</v>
      </c>
      <c r="C320" s="15" t="n">
        <f aca="false">IF(D320="","",MOD(ROW()-24,12)+1)</f>
        <v>9</v>
      </c>
      <c r="D320" s="16" t="n">
        <f aca="false" t="array" ref="D320: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0.0907133678223112</v>
      </c>
      <c r="E320" s="16" t="n">
        <f aca="false">IF(D320="","",D320*$B$15)</f>
        <v>0.235129049395431</v>
      </c>
      <c r="F320" s="16" t="n">
        <f aca="false" t="array" ref="F320:F320">IF(D320="","",IFERROR(INDEX(Dados_Evap!$C$2:$N$15,MATCH($B$9,Dados_Evap!$A$2:$A$15,0),C320),0))</f>
        <v>292.8</v>
      </c>
      <c r="G320" s="16" t="n">
        <f aca="false">IF(F320="","",F320/1000)</f>
        <v>0.2928</v>
      </c>
      <c r="H320" s="16" t="n">
        <f aca="false">IF(D320="","",MAX(0,MIN($B$8,IFERROR(LOOKUP(2,1/($U$24:U319&lt;&gt;""),$U$24:U319),$B$11))))</f>
        <v>42.2951208591812</v>
      </c>
      <c r="I320" s="16" t="n">
        <f aca="false" t="array" ref="I320: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>6.47828643798429</v>
      </c>
      <c r="J320" s="16" t="n">
        <f aca="false">IF(D320="","",$B$12)</f>
        <v>0.35</v>
      </c>
      <c r="K320" s="16" t="n">
        <f aca="false">IF(J320="","",J320*$B$15)</f>
        <v>0.9072</v>
      </c>
      <c r="L320" s="16" t="n">
        <f aca="false">IF(D320="","",H320+E320-K320-G320*I320)</f>
        <v>39.7262076395348</v>
      </c>
      <c r="M320" s="16" t="n">
        <f aca="false" t="array" ref="M320: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>6.22179903319255</v>
      </c>
      <c r="N320" s="16" t="n">
        <f aca="false">IF(D320="","",(I320+M320)/2)</f>
        <v>6.35004273558842</v>
      </c>
      <c r="O320" s="16" t="n">
        <f aca="false">IF(D320="","",G320*N320)</f>
        <v>1.85929251298029</v>
      </c>
      <c r="P320" s="16" t="n">
        <f aca="false">IF(D320="","",H320+E320-K320-O320)</f>
        <v>39.7637573955963</v>
      </c>
      <c r="Q320" s="16" t="n">
        <f aca="false">IF(D320="","",IF(P320&gt;=0,K320,MAX(0,K320+P320)))</f>
        <v>0.9072</v>
      </c>
      <c r="R320" s="16" t="n">
        <f aca="false">IF(D320="","",Q320/$B$15)</f>
        <v>0.35</v>
      </c>
      <c r="S320" s="16" t="n">
        <f aca="false">IF(D320="","",MAX(0,J320-R320))</f>
        <v>0</v>
      </c>
      <c r="T320" s="16" t="n">
        <f aca="false">IF(D320="","",MAX(0,Z320-$B$8))</f>
        <v>0</v>
      </c>
      <c r="U320" s="16" t="n">
        <f aca="false">IF(D320="","",MAX(0,MIN($B$8,Z320)))</f>
        <v>39.7637573955963</v>
      </c>
      <c r="V320" s="16" t="str">
        <f aca="false">IF(D320="","",IF(S320&gt;0.0000001,"Sim","Não"))</f>
        <v>Não</v>
      </c>
      <c r="W320" s="16" t="n">
        <f aca="false">IF(D320="","",U320-(H320+E320-Q320-O320-T320))</f>
        <v>0</v>
      </c>
      <c r="X320" s="16" t="n">
        <f aca="false">IF(W320="","",ABS(W320))</f>
        <v>0</v>
      </c>
      <c r="Y320" s="16" t="n">
        <f aca="false">IF(U320="","",IF($B$8=0,0,U320/$B$8*100))</f>
        <v>84.2095666996957</v>
      </c>
      <c r="Z320" s="18" t="n">
        <f aca="false">IF(D320="","",MAX(0,IF(P320&gt;=0,P320,IF(K320+P320&gt;=0,0,P320+K320))))</f>
        <v>39.7637573955963</v>
      </c>
      <c r="AA320" s="18" t="n">
        <f aca="false">IF(D320="","",IF(H320&lt;=$B$16,1,IF(H320&gt;=$B$17,$B$21,MATCH(H320,Aux_CAV!$A$2:$A$121,1))))</f>
        <v>13</v>
      </c>
      <c r="AB320" s="18" t="n">
        <f aca="false">IF(D320="","",IF(L320&lt;=$B$16,1,IF(L320&gt;=$B$17,$B$21,MATCH(L320,Aux_CAV!$A$2:$A$121,1))))</f>
        <v>13</v>
      </c>
      <c r="AC320" s="19" t="n">
        <f aca="false">IF(D320="","",COUNT($D$24:D320))</f>
        <v>285</v>
      </c>
    </row>
    <row r="321" customFormat="false" ht="12.75" hidden="false" customHeight="true" outlineLevel="0" collapsed="false">
      <c r="A321" s="14" t="n">
        <f aca="false">IF(D321="","",DATE(B321,C321,1))</f>
        <v>12693</v>
      </c>
      <c r="B321" s="15" t="n">
        <f aca="false" t="array" ref="B321:B321">IF(D321="","",IFERROR(VALUE(INDEX(Vazoes_COLAR!$A$2:$A$200,INT((ROW()-24)/12)+1)),""))</f>
        <v>1934</v>
      </c>
      <c r="C321" s="15" t="n">
        <f aca="false">IF(D321="","",MOD(ROW()-24,12)+1)</f>
        <v>10</v>
      </c>
      <c r="D321" s="16" t="n">
        <f aca="false" t="array" ref="D321: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0.0343135127639464</v>
      </c>
      <c r="E321" s="16" t="n">
        <f aca="false">IF(D321="","",D321*$B$15)</f>
        <v>0.0889406250841491</v>
      </c>
      <c r="F321" s="16" t="n">
        <f aca="false" t="array" ref="F321:F321">IF(D321="","",IFERROR(INDEX(Dados_Evap!$C$2:$N$15,MATCH($B$9,Dados_Evap!$A$2:$A$15,0),C321),0))</f>
        <v>262.9</v>
      </c>
      <c r="G321" s="16" t="n">
        <f aca="false">IF(F321="","",F321/1000)</f>
        <v>0.2629</v>
      </c>
      <c r="H321" s="16" t="n">
        <f aca="false">IF(D321="","",MAX(0,MIN($B$8,IFERROR(LOOKUP(2,1/($U$24:U320&lt;&gt;""),$U$24:U320),$B$11))))</f>
        <v>39.7637573955963</v>
      </c>
      <c r="I321" s="16" t="n">
        <f aca="false" t="array" ref="I321: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>6.225548104749</v>
      </c>
      <c r="J321" s="16" t="n">
        <f aca="false">IF(D321="","",$B$12)</f>
        <v>0.35</v>
      </c>
      <c r="K321" s="16" t="n">
        <f aca="false">IF(J321="","",J321*$B$15)</f>
        <v>0.9072</v>
      </c>
      <c r="L321" s="16" t="n">
        <f aca="false">IF(D321="","",H321+E321-K321-G321*I321)</f>
        <v>37.308801423942</v>
      </c>
      <c r="M321" s="16" t="n">
        <f aca="false" t="array" ref="M321: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>5.98043850695018</v>
      </c>
      <c r="N321" s="16" t="n">
        <f aca="false">IF(D321="","",(I321+M321)/2)</f>
        <v>6.10299330584959</v>
      </c>
      <c r="O321" s="16" t="n">
        <f aca="false">IF(D321="","",G321*N321)</f>
        <v>1.60447694010786</v>
      </c>
      <c r="P321" s="16" t="n">
        <f aca="false">IF(D321="","",H321+E321-K321-O321)</f>
        <v>37.3410210805726</v>
      </c>
      <c r="Q321" s="16" t="n">
        <f aca="false">IF(D321="","",IF(P321&gt;=0,K321,MAX(0,K321+P321)))</f>
        <v>0.9072</v>
      </c>
      <c r="R321" s="16" t="n">
        <f aca="false">IF(D321="","",Q321/$B$15)</f>
        <v>0.35</v>
      </c>
      <c r="S321" s="16" t="n">
        <f aca="false">IF(D321="","",MAX(0,J321-R321))</f>
        <v>0</v>
      </c>
      <c r="T321" s="16" t="n">
        <f aca="false">IF(D321="","",MAX(0,Z321-$B$8))</f>
        <v>0</v>
      </c>
      <c r="U321" s="16" t="n">
        <f aca="false">IF(D321="","",MAX(0,MIN($B$8,Z321)))</f>
        <v>37.3410210805726</v>
      </c>
      <c r="V321" s="16" t="str">
        <f aca="false">IF(D321="","",IF(S321&gt;0.0000001,"Sim","Não"))</f>
        <v>Não</v>
      </c>
      <c r="W321" s="16" t="n">
        <f aca="false">IF(D321="","",U321-(H321+E321-Q321-O321-T321))</f>
        <v>0</v>
      </c>
      <c r="X321" s="16" t="n">
        <f aca="false">IF(W321="","",ABS(W321))</f>
        <v>0</v>
      </c>
      <c r="Y321" s="16" t="n">
        <f aca="false">IF(U321="","",IF($B$8=0,0,U321/$B$8*100))</f>
        <v>79.0788248212042</v>
      </c>
      <c r="Z321" s="18" t="n">
        <f aca="false">IF(D321="","",MAX(0,IF(P321&gt;=0,P321,IF(K321+P321&gt;=0,0,P321+K321))))</f>
        <v>37.3410210805726</v>
      </c>
      <c r="AA321" s="18" t="n">
        <f aca="false">IF(D321="","",IF(H321&lt;=$B$16,1,IF(H321&gt;=$B$17,$B$21,MATCH(H321,Aux_CAV!$A$2:$A$121,1))))</f>
        <v>13</v>
      </c>
      <c r="AB321" s="18" t="n">
        <f aca="false">IF(D321="","",IF(L321&lt;=$B$16,1,IF(L321&gt;=$B$17,$B$21,MATCH(L321,Aux_CAV!$A$2:$A$121,1))))</f>
        <v>13</v>
      </c>
      <c r="AC321" s="19" t="n">
        <f aca="false">IF(D321="","",COUNT($D$24:D321))</f>
        <v>286</v>
      </c>
    </row>
    <row r="322" customFormat="false" ht="12.75" hidden="false" customHeight="true" outlineLevel="0" collapsed="false">
      <c r="A322" s="14" t="n">
        <f aca="false">IF(D322="","",DATE(B322,C322,1))</f>
        <v>12724</v>
      </c>
      <c r="B322" s="15" t="n">
        <f aca="false" t="array" ref="B322:B322">IF(D322="","",IFERROR(VALUE(INDEX(Vazoes_COLAR!$A$2:$A$200,INT((ROW()-24)/12)+1)),""))</f>
        <v>1934</v>
      </c>
      <c r="C322" s="15" t="n">
        <f aca="false">IF(D322="","",MOD(ROW()-24,12)+1)</f>
        <v>11</v>
      </c>
      <c r="D322" s="16" t="n">
        <f aca="false" t="array" ref="D322: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0.117348370015392</v>
      </c>
      <c r="E322" s="16" t="n">
        <f aca="false">IF(D322="","",D322*$B$15)</f>
        <v>0.304166975079896</v>
      </c>
      <c r="F322" s="16" t="n">
        <f aca="false" t="array" ref="F322:F322">IF(D322="","",IFERROR(INDEX(Dados_Evap!$C$2:$N$15,MATCH($B$9,Dados_Evap!$A$2:$A$15,0),C322),0))</f>
        <v>223.7</v>
      </c>
      <c r="G322" s="16" t="n">
        <f aca="false">IF(F322="","",F322/1000)</f>
        <v>0.2237</v>
      </c>
      <c r="H322" s="16" t="n">
        <f aca="false">IF(D322="","",MAX(0,MIN($B$8,IFERROR(LOOKUP(2,1/($U$24:U321&lt;&gt;""),$U$24:U321),$B$11))))</f>
        <v>37.3410210805726</v>
      </c>
      <c r="I322" s="16" t="n">
        <f aca="false" t="array" ref="I322: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>5.9836554066295</v>
      </c>
      <c r="J322" s="16" t="n">
        <f aca="false">IF(D322="","",$B$12)</f>
        <v>0.35</v>
      </c>
      <c r="K322" s="16" t="n">
        <f aca="false">IF(J322="","",J322*$B$15)</f>
        <v>0.9072</v>
      </c>
      <c r="L322" s="16" t="n">
        <f aca="false">IF(D322="","",H322+E322-K322-G322*I322)</f>
        <v>35.3994443411895</v>
      </c>
      <c r="M322" s="16" t="n">
        <f aca="false" t="array" ref="M322: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>5.78980301205272</v>
      </c>
      <c r="N322" s="16" t="n">
        <f aca="false">IF(D322="","",(I322+M322)/2)</f>
        <v>5.88672920934111</v>
      </c>
      <c r="O322" s="16" t="n">
        <f aca="false">IF(D322="","",G322*N322)</f>
        <v>1.31686132412961</v>
      </c>
      <c r="P322" s="16" t="n">
        <f aca="false">IF(D322="","",H322+E322-K322-O322)</f>
        <v>35.4211267315229</v>
      </c>
      <c r="Q322" s="16" t="n">
        <f aca="false">IF(D322="","",IF(P322&gt;=0,K322,MAX(0,K322+P322)))</f>
        <v>0.9072</v>
      </c>
      <c r="R322" s="16" t="n">
        <f aca="false">IF(D322="","",Q322/$B$15)</f>
        <v>0.35</v>
      </c>
      <c r="S322" s="16" t="n">
        <f aca="false">IF(D322="","",MAX(0,J322-R322))</f>
        <v>0</v>
      </c>
      <c r="T322" s="16" t="n">
        <f aca="false">IF(D322="","",MAX(0,Z322-$B$8))</f>
        <v>0</v>
      </c>
      <c r="U322" s="16" t="n">
        <f aca="false">IF(D322="","",MAX(0,MIN($B$8,Z322)))</f>
        <v>35.4211267315229</v>
      </c>
      <c r="V322" s="16" t="str">
        <f aca="false">IF(D322="","",IF(S322&gt;0.0000001,"Sim","Não"))</f>
        <v>Não</v>
      </c>
      <c r="W322" s="16" t="n">
        <f aca="false">IF(D322="","",U322-(H322+E322-Q322-O322-T322))</f>
        <v>0</v>
      </c>
      <c r="X322" s="16" t="n">
        <f aca="false">IF(W322="","",ABS(W322))</f>
        <v>0</v>
      </c>
      <c r="Y322" s="16" t="n">
        <f aca="false">IF(U322="","",IF($B$8=0,0,U322/$B$8*100))</f>
        <v>75.0129748655716</v>
      </c>
      <c r="Z322" s="18" t="n">
        <f aca="false">IF(D322="","",MAX(0,IF(P322&gt;=0,P322,IF(K322+P322&gt;=0,0,P322+K322))))</f>
        <v>35.4211267315229</v>
      </c>
      <c r="AA322" s="18" t="n">
        <f aca="false">IF(D322="","",IF(H322&lt;=$B$16,1,IF(H322&gt;=$B$17,$B$21,MATCH(H322,Aux_CAV!$A$2:$A$121,1))))</f>
        <v>13</v>
      </c>
      <c r="AB322" s="18" t="n">
        <f aca="false">IF(D322="","",IF(L322&lt;=$B$16,1,IF(L322&gt;=$B$17,$B$21,MATCH(L322,Aux_CAV!$A$2:$A$121,1))))</f>
        <v>13</v>
      </c>
      <c r="AC322" s="19" t="n">
        <f aca="false">IF(D322="","",COUNT($D$24:D322))</f>
        <v>287</v>
      </c>
    </row>
    <row r="323" customFormat="false" ht="12.75" hidden="false" customHeight="true" outlineLevel="0" collapsed="false">
      <c r="A323" s="14" t="n">
        <f aca="false">IF(D323="","",DATE(B323,C323,1))</f>
        <v>12754</v>
      </c>
      <c r="B323" s="15" t="n">
        <f aca="false" t="array" ref="B323:B323">IF(D323="","",IFERROR(VALUE(INDEX(Vazoes_COLAR!$A$2:$A$200,INT((ROW()-24)/12)+1)),""))</f>
        <v>1934</v>
      </c>
      <c r="C323" s="15" t="n">
        <f aca="false">IF(D323="","",MOD(ROW()-24,12)+1)</f>
        <v>12</v>
      </c>
      <c r="D323" s="16" t="n">
        <f aca="false" t="array" ref="D323: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0.278944264503125</v>
      </c>
      <c r="E323" s="16" t="n">
        <f aca="false">IF(D323="","",D323*$B$15)</f>
        <v>0.7230235335921</v>
      </c>
      <c r="F323" s="16" t="n">
        <f aca="false" t="array" ref="F323:F323">IF(D323="","",IFERROR(INDEX(Dados_Evap!$C$2:$N$15,MATCH($B$9,Dados_Evap!$A$2:$A$15,0),C323),0))</f>
        <v>216.1</v>
      </c>
      <c r="G323" s="16" t="n">
        <f aca="false">IF(F323="","",F323/1000)</f>
        <v>0.2161</v>
      </c>
      <c r="H323" s="16" t="n">
        <f aca="false">IF(D323="","",MAX(0,MIN($B$8,IFERROR(LOOKUP(2,1/($U$24:U322&lt;&gt;""),$U$24:U322),$B$11))))</f>
        <v>35.4211267315229</v>
      </c>
      <c r="I323" s="16" t="n">
        <f aca="false" t="array" ref="I323: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>5.7919678419052</v>
      </c>
      <c r="J323" s="16" t="n">
        <f aca="false">IF(D323="","",$B$12)</f>
        <v>0.35</v>
      </c>
      <c r="K323" s="16" t="n">
        <f aca="false">IF(J323="","",J323*$B$15)</f>
        <v>0.9072</v>
      </c>
      <c r="L323" s="16" t="n">
        <f aca="false">IF(D323="","",H323+E323-K323-G323*I323)</f>
        <v>33.9853060144793</v>
      </c>
      <c r="M323" s="16" t="n">
        <f aca="false" t="array" ref="M323: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>5.64653178985367</v>
      </c>
      <c r="N323" s="16" t="n">
        <f aca="false">IF(D323="","",(I323+M323)/2)</f>
        <v>5.71924981587943</v>
      </c>
      <c r="O323" s="16" t="n">
        <f aca="false">IF(D323="","",G323*N323)</f>
        <v>1.23592988521155</v>
      </c>
      <c r="P323" s="16" t="n">
        <f aca="false">IF(D323="","",H323+E323-K323-O323)</f>
        <v>34.0010203799034</v>
      </c>
      <c r="Q323" s="16" t="n">
        <f aca="false">IF(D323="","",IF(P323&gt;=0,K323,MAX(0,K323+P323)))</f>
        <v>0.9072</v>
      </c>
      <c r="R323" s="16" t="n">
        <f aca="false">IF(D323="","",Q323/$B$15)</f>
        <v>0.35</v>
      </c>
      <c r="S323" s="16" t="n">
        <f aca="false">IF(D323="","",MAX(0,J323-R323))</f>
        <v>0</v>
      </c>
      <c r="T323" s="16" t="n">
        <f aca="false">IF(D323="","",MAX(0,Z323-$B$8))</f>
        <v>0</v>
      </c>
      <c r="U323" s="16" t="n">
        <f aca="false">IF(D323="","",MAX(0,MIN($B$8,Z323)))</f>
        <v>34.0010203799034</v>
      </c>
      <c r="V323" s="16" t="str">
        <f aca="false">IF(D323="","",IF(S323&gt;0.0000001,"Sim","Não"))</f>
        <v>Não</v>
      </c>
      <c r="W323" s="16" t="n">
        <f aca="false">IF(D323="","",U323-(H323+E323-Q323-O323-T323))</f>
        <v>0</v>
      </c>
      <c r="X323" s="16" t="n">
        <f aca="false">IF(W323="","",ABS(W323))</f>
        <v>0</v>
      </c>
      <c r="Y323" s="16" t="n">
        <f aca="false">IF(U323="","",IF($B$8=0,0,U323/$B$8*100))</f>
        <v>72.0055493009391</v>
      </c>
      <c r="Z323" s="18" t="n">
        <f aca="false">IF(D323="","",MAX(0,IF(P323&gt;=0,P323,IF(K323+P323&gt;=0,0,P323+K323))))</f>
        <v>34.0010203799034</v>
      </c>
      <c r="AA323" s="18" t="n">
        <f aca="false">IF(D323="","",IF(H323&lt;=$B$16,1,IF(H323&gt;=$B$17,$B$21,MATCH(H323,Aux_CAV!$A$2:$A$121,1))))</f>
        <v>13</v>
      </c>
      <c r="AB323" s="18" t="n">
        <f aca="false">IF(D323="","",IF(L323&lt;=$B$16,1,IF(L323&gt;=$B$17,$B$21,MATCH(L323,Aux_CAV!$A$2:$A$121,1))))</f>
        <v>12</v>
      </c>
      <c r="AC323" s="19" t="n">
        <f aca="false">IF(D323="","",COUNT($D$24:D323))</f>
        <v>288</v>
      </c>
    </row>
    <row r="324" customFormat="false" ht="12.75" hidden="false" customHeight="true" outlineLevel="0" collapsed="false">
      <c r="A324" s="14" t="n">
        <f aca="false">IF(D324="","",DATE(B324,C324,1))</f>
        <v>12785</v>
      </c>
      <c r="B324" s="15" t="n">
        <f aca="false" t="array" ref="B324:B324">IF(D324="","",IFERROR(VALUE(INDEX(Vazoes_COLAR!$A$2:$A$200,INT((ROW()-24)/12)+1)),""))</f>
        <v>1935</v>
      </c>
      <c r="C324" s="15" t="n">
        <f aca="false">IF(D324="","",MOD(ROW()-24,12)+1)</f>
        <v>1</v>
      </c>
      <c r="D324" s="16" t="n">
        <f aca="false" t="array" ref="D324: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0.552971529564828</v>
      </c>
      <c r="E324" s="16" t="n">
        <f aca="false">IF(D324="","",D324*$B$15)</f>
        <v>1.43330220463203</v>
      </c>
      <c r="F324" s="16" t="n">
        <f aca="false" t="array" ref="F324:F324">IF(D324="","",IFERROR(INDEX(Dados_Evap!$C$2:$N$15,MATCH($B$9,Dados_Evap!$A$2:$A$15,0),C324),0))</f>
        <v>160</v>
      </c>
      <c r="G324" s="16" t="n">
        <f aca="false">IF(F324="","",F324/1000)</f>
        <v>0.16</v>
      </c>
      <c r="H324" s="16" t="n">
        <f aca="false">IF(D324="","",MAX(0,MIN($B$8,IFERROR(LOOKUP(2,1/($U$24:U323&lt;&gt;""),$U$24:U323),$B$11))))</f>
        <v>34.0010203799034</v>
      </c>
      <c r="I324" s="16" t="n">
        <f aca="false" t="array" ref="I324: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>5.64816425305793</v>
      </c>
      <c r="J324" s="16" t="n">
        <f aca="false">IF(D324="","",$B$12)</f>
        <v>0.35</v>
      </c>
      <c r="K324" s="16" t="n">
        <f aca="false">IF(J324="","",J324*$B$15)</f>
        <v>0.9072</v>
      </c>
      <c r="L324" s="16" t="n">
        <f aca="false">IF(D324="","",H324+E324-K324-G324*I324)</f>
        <v>33.6234163040462</v>
      </c>
      <c r="M324" s="16" t="n">
        <f aca="false" t="array" ref="M324: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>5.60893742187665</v>
      </c>
      <c r="N324" s="16" t="n">
        <f aca="false">IF(D324="","",(I324+M324)/2)</f>
        <v>5.62855083746729</v>
      </c>
      <c r="O324" s="16" t="n">
        <f aca="false">IF(D324="","",G324*N324)</f>
        <v>0.900568133994766</v>
      </c>
      <c r="P324" s="16" t="n">
        <f aca="false">IF(D324="","",H324+E324-K324-O324)</f>
        <v>33.6265544505407</v>
      </c>
      <c r="Q324" s="16" t="n">
        <f aca="false">IF(D324="","",IF(P324&gt;=0,K324,MAX(0,K324+P324)))</f>
        <v>0.9072</v>
      </c>
      <c r="R324" s="16" t="n">
        <f aca="false">IF(D324="","",Q324/$B$15)</f>
        <v>0.35</v>
      </c>
      <c r="S324" s="16" t="n">
        <f aca="false">IF(D324="","",MAX(0,J324-R324))</f>
        <v>0</v>
      </c>
      <c r="T324" s="16" t="n">
        <f aca="false">IF(D324="","",MAX(0,Z324-$B$8))</f>
        <v>0</v>
      </c>
      <c r="U324" s="16" t="n">
        <f aca="false">IF(D324="","",MAX(0,MIN($B$8,Z324)))</f>
        <v>33.6265544505407</v>
      </c>
      <c r="V324" s="16" t="str">
        <f aca="false">IF(D324="","",IF(S324&gt;0.0000001,"Sim","Não"))</f>
        <v>Não</v>
      </c>
      <c r="W324" s="16" t="n">
        <f aca="false">IF(D324="","",U324-(H324+E324-Q324-O324-T324))</f>
        <v>0</v>
      </c>
      <c r="X324" s="16" t="n">
        <f aca="false">IF(W324="","",ABS(W324))</f>
        <v>0</v>
      </c>
      <c r="Y324" s="16" t="n">
        <f aca="false">IF(U324="","",IF($B$8=0,0,U324/$B$8*100))</f>
        <v>71.2125253082184</v>
      </c>
      <c r="Z324" s="18" t="n">
        <f aca="false">IF(D324="","",MAX(0,IF(P324&gt;=0,P324,IF(K324+P324&gt;=0,0,P324+K324))))</f>
        <v>33.6265544505407</v>
      </c>
      <c r="AA324" s="18" t="n">
        <f aca="false">IF(D324="","",IF(H324&lt;=$B$16,1,IF(H324&gt;=$B$17,$B$21,MATCH(H324,Aux_CAV!$A$2:$A$121,1))))</f>
        <v>12</v>
      </c>
      <c r="AB324" s="18" t="n">
        <f aca="false">IF(D324="","",IF(L324&lt;=$B$16,1,IF(L324&gt;=$B$17,$B$21,MATCH(L324,Aux_CAV!$A$2:$A$121,1))))</f>
        <v>12</v>
      </c>
      <c r="AC324" s="19" t="n">
        <f aca="false">IF(D324="","",COUNT($D$24:D324))</f>
        <v>289</v>
      </c>
    </row>
    <row r="325" customFormat="false" ht="12.75" hidden="false" customHeight="true" outlineLevel="0" collapsed="false">
      <c r="A325" s="14" t="n">
        <f aca="false">IF(D325="","",DATE(B325,C325,1))</f>
        <v>12816</v>
      </c>
      <c r="B325" s="15" t="n">
        <f aca="false" t="array" ref="B325:B325">IF(D325="","",IFERROR(VALUE(INDEX(Vazoes_COLAR!$A$2:$A$200,INT((ROW()-24)/12)+1)),""))</f>
        <v>1935</v>
      </c>
      <c r="C325" s="15" t="n">
        <f aca="false">IF(D325="","",MOD(ROW()-24,12)+1)</f>
        <v>2</v>
      </c>
      <c r="D325" s="16" t="n">
        <f aca="false" t="array" ref="D325: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2.28274510029562</v>
      </c>
      <c r="E325" s="16" t="n">
        <f aca="false">IF(D325="","",D325*$B$15)</f>
        <v>5.91687529996625</v>
      </c>
      <c r="F325" s="16" t="n">
        <f aca="false" t="array" ref="F325:F325">IF(D325="","",IFERROR(INDEX(Dados_Evap!$C$2:$N$15,MATCH($B$9,Dados_Evap!$A$2:$A$15,0),C325),0))</f>
        <v>124.3</v>
      </c>
      <c r="G325" s="16" t="n">
        <f aca="false">IF(F325="","",F325/1000)</f>
        <v>0.1243</v>
      </c>
      <c r="H325" s="16" t="n">
        <f aca="false">IF(D325="","",MAX(0,MIN($B$8,IFERROR(LOOKUP(2,1/($U$24:U324&lt;&gt;""),$U$24:U324),$B$11))))</f>
        <v>33.6265544505407</v>
      </c>
      <c r="I325" s="16" t="n">
        <f aca="false" t="array" ref="I325: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>5.60926342350277</v>
      </c>
      <c r="J325" s="16" t="n">
        <f aca="false">IF(D325="","",$B$12)</f>
        <v>0.35</v>
      </c>
      <c r="K325" s="16" t="n">
        <f aca="false">IF(J325="","",J325*$B$15)</f>
        <v>0.9072</v>
      </c>
      <c r="L325" s="16" t="n">
        <f aca="false">IF(D325="","",H325+E325-K325-G325*I325)</f>
        <v>37.9389983069656</v>
      </c>
      <c r="M325" s="16" t="n">
        <f aca="false" t="array" ref="M325: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>6.04335910769232</v>
      </c>
      <c r="N325" s="16" t="n">
        <f aca="false">IF(D325="","",(I325+M325)/2)</f>
        <v>5.82631126559754</v>
      </c>
      <c r="O325" s="16" t="n">
        <f aca="false">IF(D325="","",G325*N325)</f>
        <v>0.724210490313775</v>
      </c>
      <c r="P325" s="16" t="n">
        <f aca="false">IF(D325="","",H325+E325-K325-O325)</f>
        <v>37.9120192601932</v>
      </c>
      <c r="Q325" s="16" t="n">
        <f aca="false">IF(D325="","",IF(P325&gt;=0,K325,MAX(0,K325+P325)))</f>
        <v>0.9072</v>
      </c>
      <c r="R325" s="16" t="n">
        <f aca="false">IF(D325="","",Q325/$B$15)</f>
        <v>0.35</v>
      </c>
      <c r="S325" s="16" t="n">
        <f aca="false">IF(D325="","",MAX(0,J325-R325))</f>
        <v>0</v>
      </c>
      <c r="T325" s="16" t="n">
        <f aca="false">IF(D325="","",MAX(0,Z325-$B$8))</f>
        <v>0</v>
      </c>
      <c r="U325" s="16" t="n">
        <f aca="false">IF(D325="","",MAX(0,MIN($B$8,Z325)))</f>
        <v>37.9120192601932</v>
      </c>
      <c r="V325" s="16" t="str">
        <f aca="false">IF(D325="","",IF(S325&gt;0.0000001,"Sim","Não"))</f>
        <v>Não</v>
      </c>
      <c r="W325" s="16" t="n">
        <f aca="false">IF(D325="","",U325-(H325+E325-Q325-O325-T325))</f>
        <v>0</v>
      </c>
      <c r="X325" s="16" t="n">
        <f aca="false">IF(W325="","",ABS(W325))</f>
        <v>0</v>
      </c>
      <c r="Y325" s="16" t="n">
        <f aca="false">IF(U325="","",IF($B$8=0,0,U325/$B$8*100))</f>
        <v>80.2880543417899</v>
      </c>
      <c r="Z325" s="18" t="n">
        <f aca="false">IF(D325="","",MAX(0,IF(P325&gt;=0,P325,IF(K325+P325&gt;=0,0,P325+K325))))</f>
        <v>37.9120192601932</v>
      </c>
      <c r="AA325" s="18" t="n">
        <f aca="false">IF(D325="","",IF(H325&lt;=$B$16,1,IF(H325&gt;=$B$17,$B$21,MATCH(H325,Aux_CAV!$A$2:$A$121,1))))</f>
        <v>12</v>
      </c>
      <c r="AB325" s="18" t="n">
        <f aca="false">IF(D325="","",IF(L325&lt;=$B$16,1,IF(L325&gt;=$B$17,$B$21,MATCH(L325,Aux_CAV!$A$2:$A$121,1))))</f>
        <v>13</v>
      </c>
      <c r="AC325" s="19" t="n">
        <f aca="false">IF(D325="","",COUNT($D$24:D325))</f>
        <v>290</v>
      </c>
    </row>
    <row r="326" customFormat="false" ht="12.75" hidden="false" customHeight="true" outlineLevel="0" collapsed="false">
      <c r="A326" s="14" t="n">
        <f aca="false">IF(D326="","",DATE(B326,C326,1))</f>
        <v>12844</v>
      </c>
      <c r="B326" s="15" t="n">
        <f aca="false" t="array" ref="B326:B326">IF(D326="","",IFERROR(VALUE(INDEX(Vazoes_COLAR!$A$2:$A$200,INT((ROW()-24)/12)+1)),""))</f>
        <v>1935</v>
      </c>
      <c r="C326" s="15" t="n">
        <f aca="false">IF(D326="","",MOD(ROW()-24,12)+1)</f>
        <v>3</v>
      </c>
      <c r="D326" s="16" t="n">
        <f aca="false" t="array" ref="D326: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4.07395435091056</v>
      </c>
      <c r="E326" s="16" t="n">
        <f aca="false">IF(D326="","",D326*$B$15)</f>
        <v>10.5596896775602</v>
      </c>
      <c r="F326" s="16" t="n">
        <f aca="false" t="array" ref="F326:F326">IF(D326="","",IFERROR(INDEX(Dados_Evap!$C$2:$N$15,MATCH($B$9,Dados_Evap!$A$2:$A$15,0),C326),0))</f>
        <v>107.7</v>
      </c>
      <c r="G326" s="16" t="n">
        <f aca="false">IF(F326="","",F326/1000)</f>
        <v>0.1077</v>
      </c>
      <c r="H326" s="16" t="n">
        <f aca="false">IF(D326="","",MAX(0,MIN($B$8,IFERROR(LOOKUP(2,1/($U$24:U325&lt;&gt;""),$U$24:U325),$B$11))))</f>
        <v>37.9120192601932</v>
      </c>
      <c r="I326" s="16" t="n">
        <f aca="false" t="array" ref="I326: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>6.04066544500356</v>
      </c>
      <c r="J326" s="16" t="n">
        <f aca="false">IF(D326="","",$B$12)</f>
        <v>0.35</v>
      </c>
      <c r="K326" s="16" t="n">
        <f aca="false">IF(J326="","",J326*$B$15)</f>
        <v>0.9072</v>
      </c>
      <c r="L326" s="16" t="n">
        <f aca="false">IF(D326="","",H326+E326-K326-G326*I326)</f>
        <v>46.9139292693265</v>
      </c>
      <c r="M326" s="16" t="n">
        <f aca="false" t="array" ref="M326: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>6.93944105126137</v>
      </c>
      <c r="N326" s="16" t="n">
        <f aca="false">IF(D326="","",(I326+M326)/2)</f>
        <v>6.49005324813247</v>
      </c>
      <c r="O326" s="16" t="n">
        <f aca="false">IF(D326="","",G326*N326)</f>
        <v>0.698978734823867</v>
      </c>
      <c r="P326" s="16" t="n">
        <f aca="false">IF(D326="","",H326+E326-K326-O326)</f>
        <v>46.8655302029295</v>
      </c>
      <c r="Q326" s="16" t="n">
        <f aca="false">IF(D326="","",IF(P326&gt;=0,K326,MAX(0,K326+P326)))</f>
        <v>0.9072</v>
      </c>
      <c r="R326" s="16" t="n">
        <f aca="false">IF(D326="","",Q326/$B$15)</f>
        <v>0.35</v>
      </c>
      <c r="S326" s="16" t="n">
        <f aca="false">IF(D326="","",MAX(0,J326-R326))</f>
        <v>0</v>
      </c>
      <c r="T326" s="16" t="n">
        <f aca="false">IF(D326="","",MAX(0,Z326-$B$8))</f>
        <v>0</v>
      </c>
      <c r="U326" s="16" t="n">
        <f aca="false">IF(D326="","",MAX(0,MIN($B$8,Z326)))</f>
        <v>46.8655302029295</v>
      </c>
      <c r="V326" s="16" t="str">
        <f aca="false">IF(D326="","",IF(S326&gt;0.0000001,"Sim","Não"))</f>
        <v>Não</v>
      </c>
      <c r="W326" s="16" t="n">
        <f aca="false">IF(D326="","",U326-(H326+E326-Q326-O326-T326))</f>
        <v>0</v>
      </c>
      <c r="X326" s="16" t="n">
        <f aca="false">IF(W326="","",ABS(W326))</f>
        <v>0</v>
      </c>
      <c r="Y326" s="16" t="n">
        <f aca="false">IF(U326="","",IF($B$8=0,0,U326/$B$8*100))</f>
        <v>99.2493227508037</v>
      </c>
      <c r="Z326" s="18" t="n">
        <f aca="false">IF(D326="","",MAX(0,IF(P326&gt;=0,P326,IF(K326+P326&gt;=0,0,P326+K326))))</f>
        <v>46.8655302029295</v>
      </c>
      <c r="AA326" s="18" t="n">
        <f aca="false">IF(D326="","",IF(H326&lt;=$B$16,1,IF(H326&gt;=$B$17,$B$21,MATCH(H326,Aux_CAV!$A$2:$A$121,1))))</f>
        <v>13</v>
      </c>
      <c r="AB326" s="18" t="n">
        <f aca="false">IF(D326="","",IF(L326&lt;=$B$16,1,IF(L326&gt;=$B$17,$B$21,MATCH(L326,Aux_CAV!$A$2:$A$121,1))))</f>
        <v>13</v>
      </c>
      <c r="AC326" s="19" t="n">
        <f aca="false">IF(D326="","",COUNT($D$24:D326))</f>
        <v>291</v>
      </c>
    </row>
    <row r="327" customFormat="false" ht="12.75" hidden="false" customHeight="true" outlineLevel="0" collapsed="false">
      <c r="A327" s="14" t="n">
        <f aca="false">IF(D327="","",DATE(B327,C327,1))</f>
        <v>12875</v>
      </c>
      <c r="B327" s="15" t="n">
        <f aca="false" t="array" ref="B327:B327">IF(D327="","",IFERROR(VALUE(INDEX(Vazoes_COLAR!$A$2:$A$200,INT((ROW()-24)/12)+1)),""))</f>
        <v>1935</v>
      </c>
      <c r="C327" s="15" t="n">
        <f aca="false">IF(D327="","",MOD(ROW()-24,12)+1)</f>
        <v>4</v>
      </c>
      <c r="D327" s="16" t="n">
        <f aca="false" t="array" ref="D327: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7.46907830773958</v>
      </c>
      <c r="E327" s="16" t="n">
        <f aca="false">IF(D327="","",D327*$B$15)</f>
        <v>19.359850973661</v>
      </c>
      <c r="F327" s="16" t="n">
        <f aca="false" t="array" ref="F327:F327">IF(D327="","",IFERROR(INDEX(Dados_Evap!$C$2:$N$15,MATCH($B$9,Dados_Evap!$A$2:$A$15,0),C327),0))</f>
        <v>100.5</v>
      </c>
      <c r="G327" s="16" t="n">
        <f aca="false">IF(F327="","",F327/1000)</f>
        <v>0.1005</v>
      </c>
      <c r="H327" s="16" t="n">
        <f aca="false">IF(D327="","",MAX(0,MIN($B$8,IFERROR(LOOKUP(2,1/($U$24:U326&lt;&gt;""),$U$24:U326),$B$11))))</f>
        <v>46.8655302029295</v>
      </c>
      <c r="I327" s="16" t="n">
        <f aca="false" t="array" ref="I327: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>6.93460875453777</v>
      </c>
      <c r="J327" s="16" t="n">
        <f aca="false">IF(D327="","",$B$12)</f>
        <v>0.35</v>
      </c>
      <c r="K327" s="16" t="n">
        <f aca="false">IF(J327="","",J327*$B$15)</f>
        <v>0.9072</v>
      </c>
      <c r="L327" s="16" t="n">
        <f aca="false">IF(D327="","",H327+E327-K327-G327*I327)</f>
        <v>64.6212529967594</v>
      </c>
      <c r="M327" s="16" t="n">
        <f aca="false" t="array" ref="M327: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>9.05975512970467</v>
      </c>
      <c r="N327" s="16" t="n">
        <f aca="false">IF(D327="","",(I327+M327)/2)</f>
        <v>7.99718194212122</v>
      </c>
      <c r="O327" s="16" t="n">
        <f aca="false">IF(D327="","",G327*N327)</f>
        <v>0.803716785183183</v>
      </c>
      <c r="P327" s="16" t="n">
        <f aca="false">IF(D327="","",H327+E327-K327-O327)</f>
        <v>64.5144643914073</v>
      </c>
      <c r="Q327" s="16" t="n">
        <f aca="false">IF(D327="","",IF(P327&gt;=0,K327,MAX(0,K327+P327)))</f>
        <v>0.9072</v>
      </c>
      <c r="R327" s="16" t="n">
        <f aca="false">IF(D327="","",Q327/$B$15)</f>
        <v>0.35</v>
      </c>
      <c r="S327" s="16" t="n">
        <f aca="false">IF(D327="","",MAX(0,J327-R327))</f>
        <v>0</v>
      </c>
      <c r="T327" s="16" t="n">
        <f aca="false">IF(D327="","",MAX(0,Z327-$B$8))</f>
        <v>17.2944643914073</v>
      </c>
      <c r="U327" s="16" t="n">
        <f aca="false">IF(D327="","",MAX(0,MIN($B$8,Z327)))</f>
        <v>47.22</v>
      </c>
      <c r="V327" s="16" t="str">
        <f aca="false">IF(D327="","",IF(S327&gt;0.0000001,"Sim","Não"))</f>
        <v>Não</v>
      </c>
      <c r="W327" s="16" t="n">
        <f aca="false">IF(D327="","",U327-(H327+E327-Q327-O327-T327))</f>
        <v>0</v>
      </c>
      <c r="X327" s="16" t="n">
        <f aca="false">IF(W327="","",ABS(W327))</f>
        <v>0</v>
      </c>
      <c r="Y327" s="16" t="n">
        <f aca="false">IF(U327="","",IF($B$8=0,0,U327/$B$8*100))</f>
        <v>100</v>
      </c>
      <c r="Z327" s="18" t="n">
        <f aca="false">IF(D327="","",MAX(0,IF(P327&gt;=0,P327,IF(K327+P327&gt;=0,0,P327+K327))))</f>
        <v>64.5144643914073</v>
      </c>
      <c r="AA327" s="18" t="n">
        <f aca="false">IF(D327="","",IF(H327&lt;=$B$16,1,IF(H327&gt;=$B$17,$B$21,MATCH(H327,Aux_CAV!$A$2:$A$121,1))))</f>
        <v>13</v>
      </c>
      <c r="AB327" s="18" t="n">
        <f aca="false">IF(D327="","",IF(L327&lt;=$B$16,1,IF(L327&gt;=$B$17,$B$21,MATCH(L327,Aux_CAV!$A$2:$A$121,1))))</f>
        <v>16</v>
      </c>
      <c r="AC327" s="19" t="n">
        <f aca="false">IF(D327="","",COUNT($D$24:D327))</f>
        <v>292</v>
      </c>
    </row>
    <row r="328" customFormat="false" ht="12.75" hidden="false" customHeight="true" outlineLevel="0" collapsed="false">
      <c r="A328" s="14" t="n">
        <f aca="false">IF(D328="","",DATE(B328,C328,1))</f>
        <v>12905</v>
      </c>
      <c r="B328" s="15" t="n">
        <f aca="false" t="array" ref="B328:B328">IF(D328="","",IFERROR(VALUE(INDEX(Vazoes_COLAR!$A$2:$A$200,INT((ROW()-24)/12)+1)),""))</f>
        <v>1935</v>
      </c>
      <c r="C328" s="15" t="n">
        <f aca="false">IF(D328="","",MOD(ROW()-24,12)+1)</f>
        <v>5</v>
      </c>
      <c r="D328" s="16" t="n">
        <f aca="false" t="array" ref="D328: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3.84464456605651</v>
      </c>
      <c r="E328" s="16" t="n">
        <f aca="false">IF(D328="","",D328*$B$15)</f>
        <v>9.96531871521848</v>
      </c>
      <c r="F328" s="16" t="n">
        <f aca="false" t="array" ref="F328:F328">IF(D328="","",IFERROR(INDEX(Dados_Evap!$C$2:$N$15,MATCH($B$9,Dados_Evap!$A$2:$A$15,0),C328),0))</f>
        <v>145.8</v>
      </c>
      <c r="G328" s="16" t="n">
        <f aca="false">IF(F328="","",F328/1000)</f>
        <v>0.1458</v>
      </c>
      <c r="H328" s="16" t="n">
        <f aca="false">IF(D328="","",MAX(0,MIN($B$8,IFERROR(LOOKUP(2,1/($U$24:U327&lt;&gt;""),$U$24:U327),$B$11))))</f>
        <v>47.22</v>
      </c>
      <c r="I328" s="16" t="n">
        <f aca="false" t="array" ref="I328: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>6.97</v>
      </c>
      <c r="J328" s="16" t="n">
        <f aca="false">IF(D328="","",$B$12)</f>
        <v>0.35</v>
      </c>
      <c r="K328" s="16" t="n">
        <f aca="false">IF(J328="","",J328*$B$15)</f>
        <v>0.9072</v>
      </c>
      <c r="L328" s="16" t="n">
        <f aca="false">IF(D328="","",H328+E328-K328-G328*I328)</f>
        <v>55.2618927152185</v>
      </c>
      <c r="M328" s="16" t="n">
        <f aca="false" t="array" ref="M328: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>7.92194862188419</v>
      </c>
      <c r="N328" s="16" t="n">
        <f aca="false">IF(D328="","",(I328+M328)/2)</f>
        <v>7.4459743109421</v>
      </c>
      <c r="O328" s="16" t="n">
        <f aca="false">IF(D328="","",G328*N328)</f>
        <v>1.08562305453536</v>
      </c>
      <c r="P328" s="16" t="n">
        <f aca="false">IF(D328="","",H328+E328-K328-O328)</f>
        <v>55.1924956606831</v>
      </c>
      <c r="Q328" s="16" t="n">
        <f aca="false">IF(D328="","",IF(P328&gt;=0,K328,MAX(0,K328+P328)))</f>
        <v>0.9072</v>
      </c>
      <c r="R328" s="16" t="n">
        <f aca="false">IF(D328="","",Q328/$B$15)</f>
        <v>0.35</v>
      </c>
      <c r="S328" s="16" t="n">
        <f aca="false">IF(D328="","",MAX(0,J328-R328))</f>
        <v>0</v>
      </c>
      <c r="T328" s="16" t="n">
        <f aca="false">IF(D328="","",MAX(0,Z328-$B$8))</f>
        <v>7.97249566068311</v>
      </c>
      <c r="U328" s="16" t="n">
        <f aca="false">IF(D328="","",MAX(0,MIN($B$8,Z328)))</f>
        <v>47.22</v>
      </c>
      <c r="V328" s="16" t="str">
        <f aca="false">IF(D328="","",IF(S328&gt;0.0000001,"Sim","Não"))</f>
        <v>Não</v>
      </c>
      <c r="W328" s="16" t="n">
        <f aca="false">IF(D328="","",U328-(H328+E328-Q328-O328-T328))</f>
        <v>0</v>
      </c>
      <c r="X328" s="16" t="n">
        <f aca="false">IF(W328="","",ABS(W328))</f>
        <v>0</v>
      </c>
      <c r="Y328" s="16" t="n">
        <f aca="false">IF(U328="","",IF($B$8=0,0,U328/$B$8*100))</f>
        <v>100</v>
      </c>
      <c r="Z328" s="18" t="n">
        <f aca="false">IF(D328="","",MAX(0,IF(P328&gt;=0,P328,IF(K328+P328&gt;=0,0,P328+K328))))</f>
        <v>55.1924956606831</v>
      </c>
      <c r="AA328" s="18" t="n">
        <f aca="false">IF(D328="","",IF(H328&lt;=$B$16,1,IF(H328&gt;=$B$17,$B$21,MATCH(H328,Aux_CAV!$A$2:$A$121,1))))</f>
        <v>14</v>
      </c>
      <c r="AB328" s="18" t="n">
        <f aca="false">IF(D328="","",IF(L328&lt;=$B$16,1,IF(L328&gt;=$B$17,$B$21,MATCH(L328,Aux_CAV!$A$2:$A$121,1))))</f>
        <v>15</v>
      </c>
      <c r="AC328" s="19" t="n">
        <f aca="false">IF(D328="","",COUNT($D$24:D328))</f>
        <v>293</v>
      </c>
    </row>
    <row r="329" customFormat="false" ht="12.75" hidden="false" customHeight="true" outlineLevel="0" collapsed="false">
      <c r="A329" s="14" t="n">
        <f aca="false">IF(D329="","",DATE(B329,C329,1))</f>
        <v>12936</v>
      </c>
      <c r="B329" s="15" t="n">
        <f aca="false" t="array" ref="B329:B329">IF(D329="","",IFERROR(VALUE(INDEX(Vazoes_COLAR!$A$2:$A$200,INT((ROW()-24)/12)+1)),""))</f>
        <v>1935</v>
      </c>
      <c r="C329" s="15" t="n">
        <f aca="false">IF(D329="","",MOD(ROW()-24,12)+1)</f>
        <v>6</v>
      </c>
      <c r="D329" s="16" t="n">
        <f aca="false" t="array" ref="D329: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0.755906104610892</v>
      </c>
      <c r="E329" s="16" t="n">
        <f aca="false">IF(D329="","",D329*$B$15)</f>
        <v>1.95930862315143</v>
      </c>
      <c r="F329" s="16" t="n">
        <f aca="false" t="array" ref="F329:F329">IF(D329="","",IFERROR(INDEX(Dados_Evap!$C$2:$N$15,MATCH($B$9,Dados_Evap!$A$2:$A$15,0),C329),0))</f>
        <v>161.3</v>
      </c>
      <c r="G329" s="16" t="n">
        <f aca="false">IF(F329="","",F329/1000)</f>
        <v>0.1613</v>
      </c>
      <c r="H329" s="16" t="n">
        <f aca="false">IF(D329="","",MAX(0,MIN($B$8,IFERROR(LOOKUP(2,1/($U$24:U328&lt;&gt;""),$U$24:U328),$B$11))))</f>
        <v>47.22</v>
      </c>
      <c r="I329" s="16" t="n">
        <f aca="false" t="array" ref="I329: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>6.97</v>
      </c>
      <c r="J329" s="16" t="n">
        <f aca="false">IF(D329="","",$B$12)</f>
        <v>0.35</v>
      </c>
      <c r="K329" s="16" t="n">
        <f aca="false">IF(J329="","",J329*$B$15)</f>
        <v>0.9072</v>
      </c>
      <c r="L329" s="16" t="n">
        <f aca="false">IF(D329="","",H329+E329-K329-G329*I329)</f>
        <v>47.1478476231514</v>
      </c>
      <c r="M329" s="16" t="n">
        <f aca="false" t="array" ref="M329: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>6.96279610702848</v>
      </c>
      <c r="N329" s="16" t="n">
        <f aca="false">IF(D329="","",(I329+M329)/2)</f>
        <v>6.96639805351424</v>
      </c>
      <c r="O329" s="16" t="n">
        <f aca="false">IF(D329="","",G329*N329)</f>
        <v>1.12368000603185</v>
      </c>
      <c r="P329" s="16" t="n">
        <f aca="false">IF(D329="","",H329+E329-K329-O329)</f>
        <v>47.1484286171196</v>
      </c>
      <c r="Q329" s="16" t="n">
        <f aca="false">IF(D329="","",IF(P329&gt;=0,K329,MAX(0,K329+P329)))</f>
        <v>0.9072</v>
      </c>
      <c r="R329" s="16" t="n">
        <f aca="false">IF(D329="","",Q329/$B$15)</f>
        <v>0.35</v>
      </c>
      <c r="S329" s="16" t="n">
        <f aca="false">IF(D329="","",MAX(0,J329-R329))</f>
        <v>0</v>
      </c>
      <c r="T329" s="16" t="n">
        <f aca="false">IF(D329="","",MAX(0,Z329-$B$8))</f>
        <v>0</v>
      </c>
      <c r="U329" s="16" t="n">
        <f aca="false">IF(D329="","",MAX(0,MIN($B$8,Z329)))</f>
        <v>47.1484286171196</v>
      </c>
      <c r="V329" s="16" t="str">
        <f aca="false">IF(D329="","",IF(S329&gt;0.0000001,"Sim","Não"))</f>
        <v>Não</v>
      </c>
      <c r="W329" s="16" t="n">
        <f aca="false">IF(D329="","",U329-(H329+E329-Q329-O329-T329))</f>
        <v>0</v>
      </c>
      <c r="X329" s="16" t="n">
        <f aca="false">IF(W329="","",ABS(W329))</f>
        <v>0</v>
      </c>
      <c r="Y329" s="16" t="n">
        <f aca="false">IF(U329="","",IF($B$8=0,0,U329/$B$8*100))</f>
        <v>99.8484299388386</v>
      </c>
      <c r="Z329" s="18" t="n">
        <f aca="false">IF(D329="","",MAX(0,IF(P329&gt;=0,P329,IF(K329+P329&gt;=0,0,P329+K329))))</f>
        <v>47.1484286171196</v>
      </c>
      <c r="AA329" s="18" t="n">
        <f aca="false">IF(D329="","",IF(H329&lt;=$B$16,1,IF(H329&gt;=$B$17,$B$21,MATCH(H329,Aux_CAV!$A$2:$A$121,1))))</f>
        <v>14</v>
      </c>
      <c r="AB329" s="18" t="n">
        <f aca="false">IF(D329="","",IF(L329&lt;=$B$16,1,IF(L329&gt;=$B$17,$B$21,MATCH(L329,Aux_CAV!$A$2:$A$121,1))))</f>
        <v>13</v>
      </c>
      <c r="AC329" s="19" t="n">
        <f aca="false">IF(D329="","",COUNT($D$24:D329))</f>
        <v>294</v>
      </c>
    </row>
    <row r="330" customFormat="false" ht="12.75" hidden="false" customHeight="true" outlineLevel="0" collapsed="false">
      <c r="A330" s="14" t="n">
        <f aca="false">IF(D330="","",DATE(B330,C330,1))</f>
        <v>12966</v>
      </c>
      <c r="B330" s="15" t="n">
        <f aca="false" t="array" ref="B330:B330">IF(D330="","",IFERROR(VALUE(INDEX(Vazoes_COLAR!$A$2:$A$200,INT((ROW()-24)/12)+1)),""))</f>
        <v>1935</v>
      </c>
      <c r="C330" s="15" t="n">
        <f aca="false">IF(D330="","",MOD(ROW()-24,12)+1)</f>
        <v>7</v>
      </c>
      <c r="D330" s="16" t="n">
        <f aca="false" t="array" ref="D330: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0.19233760832259</v>
      </c>
      <c r="E330" s="16" t="n">
        <f aca="false">IF(D330="","",D330*$B$15)</f>
        <v>0.498539080772153</v>
      </c>
      <c r="F330" s="16" t="n">
        <f aca="false" t="array" ref="F330:F330">IF(D330="","",IFERROR(INDEX(Dados_Evap!$C$2:$N$15,MATCH($B$9,Dados_Evap!$A$2:$A$15,0),C330),0))</f>
        <v>224.8</v>
      </c>
      <c r="G330" s="16" t="n">
        <f aca="false">IF(F330="","",F330/1000)</f>
        <v>0.2248</v>
      </c>
      <c r="H330" s="16" t="n">
        <f aca="false">IF(D330="","",MAX(0,MIN($B$8,IFERROR(LOOKUP(2,1/($U$24:U329&lt;&gt;""),$U$24:U329),$B$11))))</f>
        <v>47.1484286171196</v>
      </c>
      <c r="I330" s="16" t="n">
        <f aca="false" t="array" ref="I330: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>6.96285411507405</v>
      </c>
      <c r="J330" s="16" t="n">
        <f aca="false">IF(D330="","",$B$12)</f>
        <v>0.35</v>
      </c>
      <c r="K330" s="16" t="n">
        <f aca="false">IF(J330="","",J330*$B$15)</f>
        <v>0.9072</v>
      </c>
      <c r="L330" s="16" t="n">
        <f aca="false">IF(D330="","",H330+E330-K330-G330*I330)</f>
        <v>45.1745180928231</v>
      </c>
      <c r="M330" s="16" t="n">
        <f aca="false" t="array" ref="M330: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>6.76577342593438</v>
      </c>
      <c r="N330" s="16" t="n">
        <f aca="false">IF(D330="","",(I330+M330)/2)</f>
        <v>6.86431377050421</v>
      </c>
      <c r="O330" s="16" t="n">
        <f aca="false">IF(D330="","",G330*N330)</f>
        <v>1.54309773560935</v>
      </c>
      <c r="P330" s="16" t="n">
        <f aca="false">IF(D330="","",H330+E330-K330-O330)</f>
        <v>45.1966699622824</v>
      </c>
      <c r="Q330" s="16" t="n">
        <f aca="false">IF(D330="","",IF(P330&gt;=0,K330,MAX(0,K330+P330)))</f>
        <v>0.9072</v>
      </c>
      <c r="R330" s="16" t="n">
        <f aca="false">IF(D330="","",Q330/$B$15)</f>
        <v>0.35</v>
      </c>
      <c r="S330" s="16" t="n">
        <f aca="false">IF(D330="","",MAX(0,J330-R330))</f>
        <v>0</v>
      </c>
      <c r="T330" s="16" t="n">
        <f aca="false">IF(D330="","",MAX(0,Z330-$B$8))</f>
        <v>0</v>
      </c>
      <c r="U330" s="16" t="n">
        <f aca="false">IF(D330="","",MAX(0,MIN($B$8,Z330)))</f>
        <v>45.1966699622824</v>
      </c>
      <c r="V330" s="16" t="str">
        <f aca="false">IF(D330="","",IF(S330&gt;0.0000001,"Sim","Não"))</f>
        <v>Não</v>
      </c>
      <c r="W330" s="16" t="n">
        <f aca="false">IF(D330="","",U330-(H330+E330-Q330-O330-T330))</f>
        <v>0</v>
      </c>
      <c r="X330" s="16" t="n">
        <f aca="false">IF(W330="","",ABS(W330))</f>
        <v>0</v>
      </c>
      <c r="Y330" s="16" t="n">
        <f aca="false">IF(U330="","",IF($B$8=0,0,U330/$B$8*100))</f>
        <v>95.7150994542194</v>
      </c>
      <c r="Z330" s="18" t="n">
        <f aca="false">IF(D330="","",MAX(0,IF(P330&gt;=0,P330,IF(K330+P330&gt;=0,0,P330+K330))))</f>
        <v>45.1966699622824</v>
      </c>
      <c r="AA330" s="18" t="n">
        <f aca="false">IF(D330="","",IF(H330&lt;=$B$16,1,IF(H330&gt;=$B$17,$B$21,MATCH(H330,Aux_CAV!$A$2:$A$121,1))))</f>
        <v>13</v>
      </c>
      <c r="AB330" s="18" t="n">
        <f aca="false">IF(D330="","",IF(L330&lt;=$B$16,1,IF(L330&gt;=$B$17,$B$21,MATCH(L330,Aux_CAV!$A$2:$A$121,1))))</f>
        <v>13</v>
      </c>
      <c r="AC330" s="19" t="n">
        <f aca="false">IF(D330="","",COUNT($D$24:D330))</f>
        <v>295</v>
      </c>
    </row>
    <row r="331" customFormat="false" ht="12.75" hidden="false" customHeight="true" outlineLevel="0" collapsed="false">
      <c r="A331" s="14" t="n">
        <f aca="false">IF(D331="","",DATE(B331,C331,1))</f>
        <v>12997</v>
      </c>
      <c r="B331" s="15" t="n">
        <f aca="false" t="array" ref="B331:B331">IF(D331="","",IFERROR(VALUE(INDEX(Vazoes_COLAR!$A$2:$A$200,INT((ROW()-24)/12)+1)),""))</f>
        <v>1935</v>
      </c>
      <c r="C331" s="15" t="n">
        <f aca="false">IF(D331="","",MOD(ROW()-24,12)+1)</f>
        <v>8</v>
      </c>
      <c r="D331" s="16" t="n">
        <f aca="false" t="array" ref="D331: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0.0370303714246078</v>
      </c>
      <c r="E331" s="16" t="n">
        <f aca="false">IF(D331="","",D331*$B$15)</f>
        <v>0.0959827227325834</v>
      </c>
      <c r="F331" s="16" t="n">
        <f aca="false" t="array" ref="F331:F331">IF(D331="","",IFERROR(INDEX(Dados_Evap!$C$2:$N$15,MATCH($B$9,Dados_Evap!$A$2:$A$15,0),C331),0))</f>
        <v>268.7</v>
      </c>
      <c r="G331" s="16" t="n">
        <f aca="false">IF(F331="","",F331/1000)</f>
        <v>0.2687</v>
      </c>
      <c r="H331" s="16" t="n">
        <f aca="false">IF(D331="","",MAX(0,MIN($B$8,IFERROR(LOOKUP(2,1/($U$24:U330&lt;&gt;""),$U$24:U330),$B$11))))</f>
        <v>45.1966699622824</v>
      </c>
      <c r="I331" s="16" t="n">
        <f aca="false" t="array" ref="I331: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>6.76798512988197</v>
      </c>
      <c r="J331" s="16" t="n">
        <f aca="false">IF(D331="","",$B$12)</f>
        <v>0.35</v>
      </c>
      <c r="K331" s="16" t="n">
        <f aca="false">IF(J331="","",J331*$B$15)</f>
        <v>0.9072</v>
      </c>
      <c r="L331" s="16" t="n">
        <f aca="false">IF(D331="","",H331+E331-K331-G331*I331)</f>
        <v>42.5668950806157</v>
      </c>
      <c r="M331" s="16" t="n">
        <f aca="false" t="array" ref="M331: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>6.50542112833191</v>
      </c>
      <c r="N331" s="16" t="n">
        <f aca="false">IF(D331="","",(I331+M331)/2)</f>
        <v>6.63670312910694</v>
      </c>
      <c r="O331" s="16" t="n">
        <f aca="false">IF(D331="","",G331*N331)</f>
        <v>1.78328213079103</v>
      </c>
      <c r="P331" s="16" t="n">
        <f aca="false">IF(D331="","",H331+E331-K331-O331)</f>
        <v>42.6021705542239</v>
      </c>
      <c r="Q331" s="16" t="n">
        <f aca="false">IF(D331="","",IF(P331&gt;=0,K331,MAX(0,K331+P331)))</f>
        <v>0.9072</v>
      </c>
      <c r="R331" s="16" t="n">
        <f aca="false">IF(D331="","",Q331/$B$15)</f>
        <v>0.35</v>
      </c>
      <c r="S331" s="16" t="n">
        <f aca="false">IF(D331="","",MAX(0,J331-R331))</f>
        <v>0</v>
      </c>
      <c r="T331" s="16" t="n">
        <f aca="false">IF(D331="","",MAX(0,Z331-$B$8))</f>
        <v>0</v>
      </c>
      <c r="U331" s="16" t="n">
        <f aca="false">IF(D331="","",MAX(0,MIN($B$8,Z331)))</f>
        <v>42.6021705542239</v>
      </c>
      <c r="V331" s="16" t="str">
        <f aca="false">IF(D331="","",IF(S331&gt;0.0000001,"Sim","Não"))</f>
        <v>Não</v>
      </c>
      <c r="W331" s="16" t="n">
        <f aca="false">IF(D331="","",U331-(H331+E331-Q331-O331-T331))</f>
        <v>0</v>
      </c>
      <c r="X331" s="16" t="n">
        <f aca="false">IF(W331="","",ABS(W331))</f>
        <v>0</v>
      </c>
      <c r="Y331" s="16" t="n">
        <f aca="false">IF(U331="","",IF($B$8=0,0,U331/$B$8*100))</f>
        <v>90.2206068492671</v>
      </c>
      <c r="Z331" s="18" t="n">
        <f aca="false">IF(D331="","",MAX(0,IF(P331&gt;=0,P331,IF(K331+P331&gt;=0,0,P331+K331))))</f>
        <v>42.6021705542239</v>
      </c>
      <c r="AA331" s="18" t="n">
        <f aca="false">IF(D331="","",IF(H331&lt;=$B$16,1,IF(H331&gt;=$B$17,$B$21,MATCH(H331,Aux_CAV!$A$2:$A$121,1))))</f>
        <v>13</v>
      </c>
      <c r="AB331" s="18" t="n">
        <f aca="false">IF(D331="","",IF(L331&lt;=$B$16,1,IF(L331&gt;=$B$17,$B$21,MATCH(L331,Aux_CAV!$A$2:$A$121,1))))</f>
        <v>13</v>
      </c>
      <c r="AC331" s="19" t="n">
        <f aca="false">IF(D331="","",COUNT($D$24:D331))</f>
        <v>296</v>
      </c>
    </row>
    <row r="332" customFormat="false" ht="12.75" hidden="false" customHeight="true" outlineLevel="0" collapsed="false">
      <c r="A332" s="14" t="n">
        <f aca="false">IF(D332="","",DATE(B332,C332,1))</f>
        <v>13028</v>
      </c>
      <c r="B332" s="15" t="n">
        <f aca="false" t="array" ref="B332:B332">IF(D332="","",IFERROR(VALUE(INDEX(Vazoes_COLAR!$A$2:$A$200,INT((ROW()-24)/12)+1)),""))</f>
        <v>1935</v>
      </c>
      <c r="C332" s="15" t="n">
        <f aca="false">IF(D332="","",MOD(ROW()-24,12)+1)</f>
        <v>9</v>
      </c>
      <c r="D332" s="16" t="n">
        <f aca="false" t="array" ref="D332: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0.0322146589369485</v>
      </c>
      <c r="E332" s="16" t="n">
        <f aca="false">IF(D332="","",D332*$B$15)</f>
        <v>0.0835003959645705</v>
      </c>
      <c r="F332" s="16" t="n">
        <f aca="false" t="array" ref="F332:F332">IF(D332="","",IFERROR(INDEX(Dados_Evap!$C$2:$N$15,MATCH($B$9,Dados_Evap!$A$2:$A$15,0),C332),0))</f>
        <v>292.8</v>
      </c>
      <c r="G332" s="16" t="n">
        <f aca="false">IF(F332="","",F332/1000)</f>
        <v>0.2928</v>
      </c>
      <c r="H332" s="16" t="n">
        <f aca="false">IF(D332="","",MAX(0,MIN($B$8,IFERROR(LOOKUP(2,1/($U$24:U331&lt;&gt;""),$U$24:U331),$B$11))))</f>
        <v>42.6021705542239</v>
      </c>
      <c r="I332" s="16" t="n">
        <f aca="false" t="array" ref="I332: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>6.50894312923462</v>
      </c>
      <c r="J332" s="16" t="n">
        <f aca="false">IF(D332="","",$B$12)</f>
        <v>0.35</v>
      </c>
      <c r="K332" s="16" t="n">
        <f aca="false">IF(J332="","",J332*$B$15)</f>
        <v>0.9072</v>
      </c>
      <c r="L332" s="16" t="n">
        <f aca="false">IF(D332="","",H332+E332-K332-G332*I332)</f>
        <v>39.8726524019486</v>
      </c>
      <c r="M332" s="16" t="n">
        <f aca="false" t="array" ref="M332: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>6.23642048352789</v>
      </c>
      <c r="N332" s="16" t="n">
        <f aca="false">IF(D332="","",(I332+M332)/2)</f>
        <v>6.37268180638126</v>
      </c>
      <c r="O332" s="16" t="n">
        <f aca="false">IF(D332="","",G332*N332)</f>
        <v>1.86592123290843</v>
      </c>
      <c r="P332" s="16" t="n">
        <f aca="false">IF(D332="","",H332+E332-K332-O332)</f>
        <v>39.9125497172801</v>
      </c>
      <c r="Q332" s="16" t="n">
        <f aca="false">IF(D332="","",IF(P332&gt;=0,K332,MAX(0,K332+P332)))</f>
        <v>0.9072</v>
      </c>
      <c r="R332" s="16" t="n">
        <f aca="false">IF(D332="","",Q332/$B$15)</f>
        <v>0.35</v>
      </c>
      <c r="S332" s="16" t="n">
        <f aca="false">IF(D332="","",MAX(0,J332-R332))</f>
        <v>0</v>
      </c>
      <c r="T332" s="16" t="n">
        <f aca="false">IF(D332="","",MAX(0,Z332-$B$8))</f>
        <v>0</v>
      </c>
      <c r="U332" s="16" t="n">
        <f aca="false">IF(D332="","",MAX(0,MIN($B$8,Z332)))</f>
        <v>39.9125497172801</v>
      </c>
      <c r="V332" s="16" t="str">
        <f aca="false">IF(D332="","",IF(S332&gt;0.0000001,"Sim","Não"))</f>
        <v>Não</v>
      </c>
      <c r="W332" s="16" t="n">
        <f aca="false">IF(D332="","",U332-(H332+E332-Q332-O332-T332))</f>
        <v>0</v>
      </c>
      <c r="X332" s="16" t="n">
        <f aca="false">IF(W332="","",ABS(W332))</f>
        <v>0</v>
      </c>
      <c r="Y332" s="16" t="n">
        <f aca="false">IF(U332="","",IF($B$8=0,0,U332/$B$8*100))</f>
        <v>84.5246711505296</v>
      </c>
      <c r="Z332" s="18" t="n">
        <f aca="false">IF(D332="","",MAX(0,IF(P332&gt;=0,P332,IF(K332+P332&gt;=0,0,P332+K332))))</f>
        <v>39.9125497172801</v>
      </c>
      <c r="AA332" s="18" t="n">
        <f aca="false">IF(D332="","",IF(H332&lt;=$B$16,1,IF(H332&gt;=$B$17,$B$21,MATCH(H332,Aux_CAV!$A$2:$A$121,1))))</f>
        <v>13</v>
      </c>
      <c r="AB332" s="18" t="n">
        <f aca="false">IF(D332="","",IF(L332&lt;=$B$16,1,IF(L332&gt;=$B$17,$B$21,MATCH(L332,Aux_CAV!$A$2:$A$121,1))))</f>
        <v>13</v>
      </c>
      <c r="AC332" s="19" t="n">
        <f aca="false">IF(D332="","",COUNT($D$24:D332))</f>
        <v>297</v>
      </c>
    </row>
    <row r="333" customFormat="false" ht="12.75" hidden="false" customHeight="true" outlineLevel="0" collapsed="false">
      <c r="A333" s="14" t="n">
        <f aca="false">IF(D333="","",DATE(B333,C333,1))</f>
        <v>13058</v>
      </c>
      <c r="B333" s="15" t="n">
        <f aca="false" t="array" ref="B333:B333">IF(D333="","",IFERROR(VALUE(INDEX(Vazoes_COLAR!$A$2:$A$200,INT((ROW()-24)/12)+1)),""))</f>
        <v>1935</v>
      </c>
      <c r="C333" s="15" t="n">
        <f aca="false">IF(D333="","",MOD(ROW()-24,12)+1)</f>
        <v>10</v>
      </c>
      <c r="D333" s="16" t="n">
        <f aca="false" t="array" ref="D333: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0.0285383473093305</v>
      </c>
      <c r="E333" s="16" t="n">
        <f aca="false">IF(D333="","",D333*$B$15)</f>
        <v>0.0739713962257847</v>
      </c>
      <c r="F333" s="16" t="n">
        <f aca="false" t="array" ref="F333:F333">IF(D333="","",IFERROR(INDEX(Dados_Evap!$C$2:$N$15,MATCH($B$9,Dados_Evap!$A$2:$A$15,0),C333),0))</f>
        <v>262.9</v>
      </c>
      <c r="G333" s="16" t="n">
        <f aca="false">IF(F333="","",F333/1000)</f>
        <v>0.2629</v>
      </c>
      <c r="H333" s="16" t="n">
        <f aca="false">IF(D333="","",MAX(0,MIN($B$8,IFERROR(LOOKUP(2,1/($U$24:U332&lt;&gt;""),$U$24:U332),$B$11))))</f>
        <v>39.9125497172801</v>
      </c>
      <c r="I333" s="16" t="n">
        <f aca="false" t="array" ref="I333: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>6.24040394189825</v>
      </c>
      <c r="J333" s="16" t="n">
        <f aca="false">IF(D333="","",$B$12)</f>
        <v>0.35</v>
      </c>
      <c r="K333" s="16" t="n">
        <f aca="false">IF(J333="","",J333*$B$15)</f>
        <v>0.9072</v>
      </c>
      <c r="L333" s="16" t="n">
        <f aca="false">IF(D333="","",H333+E333-K333-G333*I333)</f>
        <v>37.4387189171808</v>
      </c>
      <c r="M333" s="16" t="n">
        <f aca="false" t="array" ref="M333: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>5.99340982899525</v>
      </c>
      <c r="N333" s="16" t="n">
        <f aca="false">IF(D333="","",(I333+M333)/2)</f>
        <v>6.11690688544675</v>
      </c>
      <c r="O333" s="16" t="n">
        <f aca="false">IF(D333="","",G333*N333)</f>
        <v>1.60813482018395</v>
      </c>
      <c r="P333" s="16" t="n">
        <f aca="false">IF(D333="","",H333+E333-K333-O333)</f>
        <v>37.4711862933219</v>
      </c>
      <c r="Q333" s="16" t="n">
        <f aca="false">IF(D333="","",IF(P333&gt;=0,K333,MAX(0,K333+P333)))</f>
        <v>0.9072</v>
      </c>
      <c r="R333" s="16" t="n">
        <f aca="false">IF(D333="","",Q333/$B$15)</f>
        <v>0.35</v>
      </c>
      <c r="S333" s="16" t="n">
        <f aca="false">IF(D333="","",MAX(0,J333-R333))</f>
        <v>0</v>
      </c>
      <c r="T333" s="16" t="n">
        <f aca="false">IF(D333="","",MAX(0,Z333-$B$8))</f>
        <v>0</v>
      </c>
      <c r="U333" s="16" t="n">
        <f aca="false">IF(D333="","",MAX(0,MIN($B$8,Z333)))</f>
        <v>37.4711862933219</v>
      </c>
      <c r="V333" s="16" t="str">
        <f aca="false">IF(D333="","",IF(S333&gt;0.0000001,"Sim","Não"))</f>
        <v>Não</v>
      </c>
      <c r="W333" s="16" t="n">
        <f aca="false">IF(D333="","",U333-(H333+E333-Q333-O333-T333))</f>
        <v>0</v>
      </c>
      <c r="X333" s="16" t="n">
        <f aca="false">IF(W333="","",ABS(W333))</f>
        <v>0</v>
      </c>
      <c r="Y333" s="16" t="n">
        <f aca="false">IF(U333="","",IF($B$8=0,0,U333/$B$8*100))</f>
        <v>79.3544817732357</v>
      </c>
      <c r="Z333" s="18" t="n">
        <f aca="false">IF(D333="","",MAX(0,IF(P333&gt;=0,P333,IF(K333+P333&gt;=0,0,P333+K333))))</f>
        <v>37.4711862933219</v>
      </c>
      <c r="AA333" s="18" t="n">
        <f aca="false">IF(D333="","",IF(H333&lt;=$B$16,1,IF(H333&gt;=$B$17,$B$21,MATCH(H333,Aux_CAV!$A$2:$A$121,1))))</f>
        <v>13</v>
      </c>
      <c r="AB333" s="18" t="n">
        <f aca="false">IF(D333="","",IF(L333&lt;=$B$16,1,IF(L333&gt;=$B$17,$B$21,MATCH(L333,Aux_CAV!$A$2:$A$121,1))))</f>
        <v>13</v>
      </c>
      <c r="AC333" s="19" t="n">
        <f aca="false">IF(D333="","",COUNT($D$24:D333))</f>
        <v>298</v>
      </c>
    </row>
    <row r="334" customFormat="false" ht="12.75" hidden="false" customHeight="true" outlineLevel="0" collapsed="false">
      <c r="A334" s="14" t="n">
        <f aca="false">IF(D334="","",DATE(B334,C334,1))</f>
        <v>13089</v>
      </c>
      <c r="B334" s="15" t="n">
        <f aca="false" t="array" ref="B334:B334">IF(D334="","",IFERROR(VALUE(INDEX(Vazoes_COLAR!$A$2:$A$200,INT((ROW()-24)/12)+1)),""))</f>
        <v>1935</v>
      </c>
      <c r="C334" s="15" t="n">
        <f aca="false">IF(D334="","",MOD(ROW()-24,12)+1)</f>
        <v>11</v>
      </c>
      <c r="D334" s="16" t="n">
        <f aca="false" t="array" ref="D334: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0.0313302908772534</v>
      </c>
      <c r="E334" s="16" t="n">
        <f aca="false">IF(D334="","",D334*$B$15)</f>
        <v>0.0812081139538408</v>
      </c>
      <c r="F334" s="16" t="n">
        <f aca="false" t="array" ref="F334:F334">IF(D334="","",IFERROR(INDEX(Dados_Evap!$C$2:$N$15,MATCH($B$9,Dados_Evap!$A$2:$A$15,0),C334),0))</f>
        <v>223.7</v>
      </c>
      <c r="G334" s="16" t="n">
        <f aca="false">IF(F334="","",F334/1000)</f>
        <v>0.2237</v>
      </c>
      <c r="H334" s="16" t="n">
        <f aca="false">IF(D334="","",MAX(0,MIN($B$8,IFERROR(LOOKUP(2,1/($U$24:U333&lt;&gt;""),$U$24:U333),$B$11))))</f>
        <v>37.4711862933219</v>
      </c>
      <c r="I334" s="16" t="n">
        <f aca="false" t="array" ref="I334: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>5.99665146167601</v>
      </c>
      <c r="J334" s="16" t="n">
        <f aca="false">IF(D334="","",$B$12)</f>
        <v>0.35</v>
      </c>
      <c r="K334" s="16" t="n">
        <f aca="false">IF(J334="","",J334*$B$15)</f>
        <v>0.9072</v>
      </c>
      <c r="L334" s="16" t="n">
        <f aca="false">IF(D334="","",H334+E334-K334-G334*I334)</f>
        <v>35.3037434752988</v>
      </c>
      <c r="M334" s="16" t="n">
        <f aca="false" t="array" ref="M334: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>5.78024797276961</v>
      </c>
      <c r="N334" s="16" t="n">
        <f aca="false">IF(D334="","",(I334+M334)/2)</f>
        <v>5.88844971722281</v>
      </c>
      <c r="O334" s="16" t="n">
        <f aca="false">IF(D334="","",G334*N334)</f>
        <v>1.31724620174274</v>
      </c>
      <c r="P334" s="16" t="n">
        <f aca="false">IF(D334="","",H334+E334-K334-O334)</f>
        <v>35.327948205533</v>
      </c>
      <c r="Q334" s="16" t="n">
        <f aca="false">IF(D334="","",IF(P334&gt;=0,K334,MAX(0,K334+P334)))</f>
        <v>0.9072</v>
      </c>
      <c r="R334" s="16" t="n">
        <f aca="false">IF(D334="","",Q334/$B$15)</f>
        <v>0.35</v>
      </c>
      <c r="S334" s="16" t="n">
        <f aca="false">IF(D334="","",MAX(0,J334-R334))</f>
        <v>0</v>
      </c>
      <c r="T334" s="16" t="n">
        <f aca="false">IF(D334="","",MAX(0,Z334-$B$8))</f>
        <v>0</v>
      </c>
      <c r="U334" s="16" t="n">
        <f aca="false">IF(D334="","",MAX(0,MIN($B$8,Z334)))</f>
        <v>35.327948205533</v>
      </c>
      <c r="V334" s="16" t="str">
        <f aca="false">IF(D334="","",IF(S334&gt;0.0000001,"Sim","Não"))</f>
        <v>Não</v>
      </c>
      <c r="W334" s="16" t="n">
        <f aca="false">IF(D334="","",U334-(H334+E334-Q334-O334-T334))</f>
        <v>0</v>
      </c>
      <c r="X334" s="16" t="n">
        <f aca="false">IF(W334="","",ABS(W334))</f>
        <v>0</v>
      </c>
      <c r="Y334" s="16" t="n">
        <f aca="false">IF(U334="","",IF($B$8=0,0,U334/$B$8*100))</f>
        <v>74.8156463480157</v>
      </c>
      <c r="Z334" s="18" t="n">
        <f aca="false">IF(D334="","",MAX(0,IF(P334&gt;=0,P334,IF(K334+P334&gt;=0,0,P334+K334))))</f>
        <v>35.327948205533</v>
      </c>
      <c r="AA334" s="18" t="n">
        <f aca="false">IF(D334="","",IF(H334&lt;=$B$16,1,IF(H334&gt;=$B$17,$B$21,MATCH(H334,Aux_CAV!$A$2:$A$121,1))))</f>
        <v>13</v>
      </c>
      <c r="AB334" s="18" t="n">
        <f aca="false">IF(D334="","",IF(L334&lt;=$B$16,1,IF(L334&gt;=$B$17,$B$21,MATCH(L334,Aux_CAV!$A$2:$A$121,1))))</f>
        <v>13</v>
      </c>
      <c r="AC334" s="19" t="n">
        <f aca="false">IF(D334="","",COUNT($D$24:D334))</f>
        <v>299</v>
      </c>
    </row>
    <row r="335" customFormat="false" ht="12.75" hidden="false" customHeight="true" outlineLevel="0" collapsed="false">
      <c r="A335" s="14" t="n">
        <f aca="false">IF(D335="","",DATE(B335,C335,1))</f>
        <v>13119</v>
      </c>
      <c r="B335" s="15" t="n">
        <f aca="false" t="array" ref="B335:B335">IF(D335="","",IFERROR(VALUE(INDEX(Vazoes_COLAR!$A$2:$A$200,INT((ROW()-24)/12)+1)),""))</f>
        <v>1935</v>
      </c>
      <c r="C335" s="15" t="n">
        <f aca="false">IF(D335="","",MOD(ROW()-24,12)+1)</f>
        <v>12</v>
      </c>
      <c r="D335" s="16" t="n">
        <f aca="false" t="array" ref="D335: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0.0188654473548429</v>
      </c>
      <c r="E335" s="16" t="n">
        <f aca="false">IF(D335="","",D335*$B$15)</f>
        <v>0.0488992395437528</v>
      </c>
      <c r="F335" s="16" t="n">
        <f aca="false" t="array" ref="F335:F335">IF(D335="","",IFERROR(INDEX(Dados_Evap!$C$2:$N$15,MATCH($B$9,Dados_Evap!$A$2:$A$15,0),C335),0))</f>
        <v>216.1</v>
      </c>
      <c r="G335" s="16" t="n">
        <f aca="false">IF(F335="","",F335/1000)</f>
        <v>0.2161</v>
      </c>
      <c r="H335" s="16" t="n">
        <f aca="false">IF(D335="","",MAX(0,MIN($B$8,IFERROR(LOOKUP(2,1/($U$24:U334&lt;&gt;""),$U$24:U334),$B$11))))</f>
        <v>35.327948205533</v>
      </c>
      <c r="I335" s="16" t="n">
        <f aca="false" t="array" ref="I335: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>5.78266464001784</v>
      </c>
      <c r="J335" s="16" t="n">
        <f aca="false">IF(D335="","",$B$12)</f>
        <v>0.35</v>
      </c>
      <c r="K335" s="16" t="n">
        <f aca="false">IF(J335="","",J335*$B$15)</f>
        <v>0.9072</v>
      </c>
      <c r="L335" s="16" t="n">
        <f aca="false">IF(D335="","",H335+E335-K335-G335*I335)</f>
        <v>33.2200136163689</v>
      </c>
      <c r="M335" s="16" t="n">
        <f aca="false" t="array" ref="M335: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>5.56703054072958</v>
      </c>
      <c r="N335" s="16" t="n">
        <f aca="false">IF(D335="","",(I335+M335)/2)</f>
        <v>5.67484759037371</v>
      </c>
      <c r="O335" s="16" t="n">
        <f aca="false">IF(D335="","",G335*N335)</f>
        <v>1.22633456427976</v>
      </c>
      <c r="P335" s="16" t="n">
        <f aca="false">IF(D335="","",H335+E335-K335-O335)</f>
        <v>33.243312880797</v>
      </c>
      <c r="Q335" s="16" t="n">
        <f aca="false">IF(D335="","",IF(P335&gt;=0,K335,MAX(0,K335+P335)))</f>
        <v>0.9072</v>
      </c>
      <c r="R335" s="16" t="n">
        <f aca="false">IF(D335="","",Q335/$B$15)</f>
        <v>0.35</v>
      </c>
      <c r="S335" s="16" t="n">
        <f aca="false">IF(D335="","",MAX(0,J335-R335))</f>
        <v>0</v>
      </c>
      <c r="T335" s="16" t="n">
        <f aca="false">IF(D335="","",MAX(0,Z335-$B$8))</f>
        <v>0</v>
      </c>
      <c r="U335" s="16" t="n">
        <f aca="false">IF(D335="","",MAX(0,MIN($B$8,Z335)))</f>
        <v>33.243312880797</v>
      </c>
      <c r="V335" s="16" t="str">
        <f aca="false">IF(D335="","",IF(S335&gt;0.0000001,"Sim","Não"))</f>
        <v>Não</v>
      </c>
      <c r="W335" s="16" t="n">
        <f aca="false">IF(D335="","",U335-(H335+E335-Q335-O335-T335))</f>
        <v>0</v>
      </c>
      <c r="X335" s="16" t="n">
        <f aca="false">IF(W335="","",ABS(W335))</f>
        <v>0</v>
      </c>
      <c r="Y335" s="16" t="n">
        <f aca="false">IF(U335="","",IF($B$8=0,0,U335/$B$8*100))</f>
        <v>70.4009167318869</v>
      </c>
      <c r="Z335" s="18" t="n">
        <f aca="false">IF(D335="","",MAX(0,IF(P335&gt;=0,P335,IF(K335+P335&gt;=0,0,P335+K335))))</f>
        <v>33.243312880797</v>
      </c>
      <c r="AA335" s="18" t="n">
        <f aca="false">IF(D335="","",IF(H335&lt;=$B$16,1,IF(H335&gt;=$B$17,$B$21,MATCH(H335,Aux_CAV!$A$2:$A$121,1))))</f>
        <v>13</v>
      </c>
      <c r="AB335" s="18" t="n">
        <f aca="false">IF(D335="","",IF(L335&lt;=$B$16,1,IF(L335&gt;=$B$17,$B$21,MATCH(L335,Aux_CAV!$A$2:$A$121,1))))</f>
        <v>12</v>
      </c>
      <c r="AC335" s="19" t="n">
        <f aca="false">IF(D335="","",COUNT($D$24:D335))</f>
        <v>300</v>
      </c>
    </row>
    <row r="336" customFormat="false" ht="12.75" hidden="false" customHeight="true" outlineLevel="0" collapsed="false">
      <c r="A336" s="14" t="n">
        <f aca="false">IF(D336="","",DATE(B336,C336,1))</f>
        <v>13150</v>
      </c>
      <c r="B336" s="15" t="n">
        <f aca="false" t="array" ref="B336:B336">IF(D336="","",IFERROR(VALUE(INDEX(Vazoes_COLAR!$A$2:$A$200,INT((ROW()-24)/12)+1)),""))</f>
        <v>1936</v>
      </c>
      <c r="C336" s="15" t="n">
        <f aca="false">IF(D336="","",MOD(ROW()-24,12)+1)</f>
        <v>1</v>
      </c>
      <c r="D336" s="16" t="n">
        <f aca="false" t="array" ref="D336: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0.0499600262573127</v>
      </c>
      <c r="E336" s="16" t="n">
        <f aca="false">IF(D336="","",D336*$B$15)</f>
        <v>0.129496388058955</v>
      </c>
      <c r="F336" s="16" t="n">
        <f aca="false" t="array" ref="F336:F336">IF(D336="","",IFERROR(INDEX(Dados_Evap!$C$2:$N$15,MATCH($B$9,Dados_Evap!$A$2:$A$15,0),C336),0))</f>
        <v>160</v>
      </c>
      <c r="G336" s="16" t="n">
        <f aca="false">IF(F336="","",F336/1000)</f>
        <v>0.16</v>
      </c>
      <c r="H336" s="16" t="n">
        <f aca="false">IF(D336="","",MAX(0,MIN($B$8,IFERROR(LOOKUP(2,1/($U$24:U335&lt;&gt;""),$U$24:U335),$B$11))))</f>
        <v>33.243312880797</v>
      </c>
      <c r="I336" s="16" t="n">
        <f aca="false" t="array" ref="I336: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>5.5694509497527</v>
      </c>
      <c r="J336" s="16" t="n">
        <f aca="false">IF(D336="","",$B$12)</f>
        <v>0.35</v>
      </c>
      <c r="K336" s="16" t="n">
        <f aca="false">IF(J336="","",J336*$B$15)</f>
        <v>0.9072</v>
      </c>
      <c r="L336" s="16" t="n">
        <f aca="false">IF(D336="","",H336+E336-K336-G336*I336)</f>
        <v>31.5744971168955</v>
      </c>
      <c r="M336" s="16" t="n">
        <f aca="false" t="array" ref="M336: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>5.39608853544448</v>
      </c>
      <c r="N336" s="16" t="n">
        <f aca="false">IF(D336="","",(I336+M336)/2)</f>
        <v>5.48276974259859</v>
      </c>
      <c r="O336" s="16" t="n">
        <f aca="false">IF(D336="","",G336*N336)</f>
        <v>0.877243158815774</v>
      </c>
      <c r="P336" s="16" t="n">
        <f aca="false">IF(D336="","",H336+E336-K336-O336)</f>
        <v>31.5883661100402</v>
      </c>
      <c r="Q336" s="16" t="n">
        <f aca="false">IF(D336="","",IF(P336&gt;=0,K336,MAX(0,K336+P336)))</f>
        <v>0.9072</v>
      </c>
      <c r="R336" s="16" t="n">
        <f aca="false">IF(D336="","",Q336/$B$15)</f>
        <v>0.35</v>
      </c>
      <c r="S336" s="16" t="n">
        <f aca="false">IF(D336="","",MAX(0,J336-R336))</f>
        <v>0</v>
      </c>
      <c r="T336" s="16" t="n">
        <f aca="false">IF(D336="","",MAX(0,Z336-$B$8))</f>
        <v>0</v>
      </c>
      <c r="U336" s="16" t="n">
        <f aca="false">IF(D336="","",MAX(0,MIN($B$8,Z336)))</f>
        <v>31.5883661100402</v>
      </c>
      <c r="V336" s="16" t="str">
        <f aca="false">IF(D336="","",IF(S336&gt;0.0000001,"Sim","Não"))</f>
        <v>Não</v>
      </c>
      <c r="W336" s="16" t="n">
        <f aca="false">IF(D336="","",U336-(H336+E336-Q336-O336-T336))</f>
        <v>0</v>
      </c>
      <c r="X336" s="16" t="n">
        <f aca="false">IF(W336="","",ABS(W336))</f>
        <v>0</v>
      </c>
      <c r="Y336" s="16" t="n">
        <f aca="false">IF(U336="","",IF($B$8=0,0,U336/$B$8*100))</f>
        <v>66.8961586404917</v>
      </c>
      <c r="Z336" s="18" t="n">
        <f aca="false">IF(D336="","",MAX(0,IF(P336&gt;=0,P336,IF(K336+P336&gt;=0,0,P336+K336))))</f>
        <v>31.5883661100402</v>
      </c>
      <c r="AA336" s="18" t="n">
        <f aca="false">IF(D336="","",IF(H336&lt;=$B$16,1,IF(H336&gt;=$B$17,$B$21,MATCH(H336,Aux_CAV!$A$2:$A$121,1))))</f>
        <v>12</v>
      </c>
      <c r="AB336" s="18" t="n">
        <f aca="false">IF(D336="","",IF(L336&lt;=$B$16,1,IF(L336&gt;=$B$17,$B$21,MATCH(L336,Aux_CAV!$A$2:$A$121,1))))</f>
        <v>12</v>
      </c>
      <c r="AC336" s="19" t="n">
        <f aca="false">IF(D336="","",COUNT($D$24:D336))</f>
        <v>301</v>
      </c>
    </row>
    <row r="337" customFormat="false" ht="12.75" hidden="false" customHeight="true" outlineLevel="0" collapsed="false">
      <c r="A337" s="14" t="n">
        <f aca="false">IF(D337="","",DATE(B337,C337,1))</f>
        <v>13181</v>
      </c>
      <c r="B337" s="15" t="n">
        <f aca="false" t="array" ref="B337:B337">IF(D337="","",IFERROR(VALUE(INDEX(Vazoes_COLAR!$A$2:$A$200,INT((ROW()-24)/12)+1)),""))</f>
        <v>1936</v>
      </c>
      <c r="C337" s="15" t="n">
        <f aca="false">IF(D337="","",MOD(ROW()-24,12)+1)</f>
        <v>2</v>
      </c>
      <c r="D337" s="16" t="n">
        <f aca="false" t="array" ref="D337: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0.255174132384808</v>
      </c>
      <c r="E337" s="16" t="n">
        <f aca="false">IF(D337="","",D337*$B$15)</f>
        <v>0.661411351141422</v>
      </c>
      <c r="F337" s="16" t="n">
        <f aca="false" t="array" ref="F337:F337">IF(D337="","",IFERROR(INDEX(Dados_Evap!$C$2:$N$15,MATCH($B$9,Dados_Evap!$A$2:$A$15,0),C337),0))</f>
        <v>124.3</v>
      </c>
      <c r="G337" s="16" t="n">
        <f aca="false">IF(F337="","",F337/1000)</f>
        <v>0.1243</v>
      </c>
      <c r="H337" s="16" t="n">
        <f aca="false">IF(D337="","",MAX(0,MIN($B$8,IFERROR(LOOKUP(2,1/($U$24:U336&lt;&gt;""),$U$24:U336),$B$11))))</f>
        <v>31.5883661100402</v>
      </c>
      <c r="I337" s="16" t="n">
        <f aca="false" t="array" ref="I337: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>5.3975292949265</v>
      </c>
      <c r="J337" s="16" t="n">
        <f aca="false">IF(D337="","",$B$12)</f>
        <v>0.35</v>
      </c>
      <c r="K337" s="16" t="n">
        <f aca="false">IF(J337="","",J337*$B$15)</f>
        <v>0.9072</v>
      </c>
      <c r="L337" s="16" t="n">
        <f aca="false">IF(D337="","",H337+E337-K337-G337*I337)</f>
        <v>30.6716645698222</v>
      </c>
      <c r="M337" s="16" t="n">
        <f aca="false" t="array" ref="M337: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>5.30229913492328</v>
      </c>
      <c r="N337" s="16" t="n">
        <f aca="false">IF(D337="","",(I337+M337)/2)</f>
        <v>5.34991421492489</v>
      </c>
      <c r="O337" s="16" t="n">
        <f aca="false">IF(D337="","",G337*N337)</f>
        <v>0.664994336915164</v>
      </c>
      <c r="P337" s="16" t="n">
        <f aca="false">IF(D337="","",H337+E337-K337-O337)</f>
        <v>30.6775831242664</v>
      </c>
      <c r="Q337" s="16" t="n">
        <f aca="false">IF(D337="","",IF(P337&gt;=0,K337,MAX(0,K337+P337)))</f>
        <v>0.9072</v>
      </c>
      <c r="R337" s="16" t="n">
        <f aca="false">IF(D337="","",Q337/$B$15)</f>
        <v>0.35</v>
      </c>
      <c r="S337" s="16" t="n">
        <f aca="false">IF(D337="","",MAX(0,J337-R337))</f>
        <v>0</v>
      </c>
      <c r="T337" s="16" t="n">
        <f aca="false">IF(D337="","",MAX(0,Z337-$B$8))</f>
        <v>0</v>
      </c>
      <c r="U337" s="16" t="n">
        <f aca="false">IF(D337="","",MAX(0,MIN($B$8,Z337)))</f>
        <v>30.6775831242664</v>
      </c>
      <c r="V337" s="16" t="str">
        <f aca="false">IF(D337="","",IF(S337&gt;0.0000001,"Sim","Não"))</f>
        <v>Não</v>
      </c>
      <c r="W337" s="16" t="n">
        <f aca="false">IF(D337="","",U337-(H337+E337-Q337-O337-T337))</f>
        <v>0</v>
      </c>
      <c r="X337" s="16" t="n">
        <f aca="false">IF(W337="","",ABS(W337))</f>
        <v>0</v>
      </c>
      <c r="Y337" s="16" t="n">
        <f aca="false">IF(U337="","",IF($B$8=0,0,U337/$B$8*100))</f>
        <v>64.9673509620212</v>
      </c>
      <c r="Z337" s="18" t="n">
        <f aca="false">IF(D337="","",MAX(0,IF(P337&gt;=0,P337,IF(K337+P337&gt;=0,0,P337+K337))))</f>
        <v>30.6775831242664</v>
      </c>
      <c r="AA337" s="18" t="n">
        <f aca="false">IF(D337="","",IF(H337&lt;=$B$16,1,IF(H337&gt;=$B$17,$B$21,MATCH(H337,Aux_CAV!$A$2:$A$121,1))))</f>
        <v>12</v>
      </c>
      <c r="AB337" s="18" t="n">
        <f aca="false">IF(D337="","",IF(L337&lt;=$B$16,1,IF(L337&gt;=$B$17,$B$21,MATCH(L337,Aux_CAV!$A$2:$A$121,1))))</f>
        <v>12</v>
      </c>
      <c r="AC337" s="19" t="n">
        <f aca="false">IF(D337="","",COUNT($D$24:D337))</f>
        <v>302</v>
      </c>
    </row>
    <row r="338" customFormat="false" ht="12.75" hidden="false" customHeight="true" outlineLevel="0" collapsed="false">
      <c r="A338" s="14" t="n">
        <f aca="false">IF(D338="","",DATE(B338,C338,1))</f>
        <v>13210</v>
      </c>
      <c r="B338" s="15" t="n">
        <f aca="false" t="array" ref="B338:B338">IF(D338="","",IFERROR(VALUE(INDEX(Vazoes_COLAR!$A$2:$A$200,INT((ROW()-24)/12)+1)),""))</f>
        <v>1936</v>
      </c>
      <c r="C338" s="15" t="n">
        <f aca="false">IF(D338="","",MOD(ROW()-24,12)+1)</f>
        <v>3</v>
      </c>
      <c r="D338" s="16" t="n">
        <f aca="false" t="array" ref="D338: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0.22955283161308</v>
      </c>
      <c r="E338" s="16" t="n">
        <f aca="false">IF(D338="","",D338*$B$15)</f>
        <v>0.595000939541103</v>
      </c>
      <c r="F338" s="16" t="n">
        <f aca="false" t="array" ref="F338:F338">IF(D338="","",IFERROR(INDEX(Dados_Evap!$C$2:$N$15,MATCH($B$9,Dados_Evap!$A$2:$A$15,0),C338),0))</f>
        <v>107.7</v>
      </c>
      <c r="G338" s="16" t="n">
        <f aca="false">IF(F338="","",F338/1000)</f>
        <v>0.1077</v>
      </c>
      <c r="H338" s="16" t="n">
        <f aca="false">IF(D338="","",MAX(0,MIN($B$8,IFERROR(LOOKUP(2,1/($U$24:U337&lt;&gt;""),$U$24:U337),$B$11))))</f>
        <v>30.6775831242664</v>
      </c>
      <c r="I338" s="16" t="n">
        <f aca="false" t="array" ref="I338: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>5.30291397504515</v>
      </c>
      <c r="J338" s="16" t="n">
        <f aca="false">IF(D338="","",$B$12)</f>
        <v>0.35</v>
      </c>
      <c r="K338" s="16" t="n">
        <f aca="false">IF(J338="","",J338*$B$15)</f>
        <v>0.9072</v>
      </c>
      <c r="L338" s="16" t="n">
        <f aca="false">IF(D338="","",H338+E338-K338-G338*I338)</f>
        <v>29.7942602286952</v>
      </c>
      <c r="M338" s="16" t="n">
        <f aca="false" t="array" ref="M338: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>5.21115130531105</v>
      </c>
      <c r="N338" s="16" t="n">
        <f aca="false">IF(D338="","",(I338+M338)/2)</f>
        <v>5.2570326401781</v>
      </c>
      <c r="O338" s="16" t="n">
        <f aca="false">IF(D338="","",G338*N338)</f>
        <v>0.566182415347182</v>
      </c>
      <c r="P338" s="16" t="n">
        <f aca="false">IF(D338="","",H338+E338-K338-O338)</f>
        <v>29.7992016484603</v>
      </c>
      <c r="Q338" s="16" t="n">
        <f aca="false">IF(D338="","",IF(P338&gt;=0,K338,MAX(0,K338+P338)))</f>
        <v>0.9072</v>
      </c>
      <c r="R338" s="16" t="n">
        <f aca="false">IF(D338="","",Q338/$B$15)</f>
        <v>0.35</v>
      </c>
      <c r="S338" s="16" t="n">
        <f aca="false">IF(D338="","",MAX(0,J338-R338))</f>
        <v>0</v>
      </c>
      <c r="T338" s="16" t="n">
        <f aca="false">IF(D338="","",MAX(0,Z338-$B$8))</f>
        <v>0</v>
      </c>
      <c r="U338" s="16" t="n">
        <f aca="false">IF(D338="","",MAX(0,MIN($B$8,Z338)))</f>
        <v>29.7992016484603</v>
      </c>
      <c r="V338" s="16" t="str">
        <f aca="false">IF(D338="","",IF(S338&gt;0.0000001,"Sim","Não"))</f>
        <v>Não</v>
      </c>
      <c r="W338" s="16" t="n">
        <f aca="false">IF(D338="","",U338-(H338+E338-Q338-O338-T338))</f>
        <v>0</v>
      </c>
      <c r="X338" s="16" t="n">
        <f aca="false">IF(W338="","",ABS(W338))</f>
        <v>0</v>
      </c>
      <c r="Y338" s="16" t="n">
        <f aca="false">IF(U338="","",IF($B$8=0,0,U338/$B$8*100))</f>
        <v>63.1071614749266</v>
      </c>
      <c r="Z338" s="18" t="n">
        <f aca="false">IF(D338="","",MAX(0,IF(P338&gt;=0,P338,IF(K338+P338&gt;=0,0,P338+K338))))</f>
        <v>29.7992016484603</v>
      </c>
      <c r="AA338" s="18" t="n">
        <f aca="false">IF(D338="","",IF(H338&lt;=$B$16,1,IF(H338&gt;=$B$17,$B$21,MATCH(H338,Aux_CAV!$A$2:$A$121,1))))</f>
        <v>12</v>
      </c>
      <c r="AB338" s="18" t="n">
        <f aca="false">IF(D338="","",IF(L338&lt;=$B$16,1,IF(L338&gt;=$B$17,$B$21,MATCH(L338,Aux_CAV!$A$2:$A$121,1))))</f>
        <v>12</v>
      </c>
      <c r="AC338" s="19" t="n">
        <f aca="false">IF(D338="","",COUNT($D$24:D338))</f>
        <v>303</v>
      </c>
    </row>
    <row r="339" customFormat="false" ht="12.75" hidden="false" customHeight="true" outlineLevel="0" collapsed="false">
      <c r="A339" s="14" t="n">
        <f aca="false">IF(D339="","",DATE(B339,C339,1))</f>
        <v>13241</v>
      </c>
      <c r="B339" s="15" t="n">
        <f aca="false" t="array" ref="B339:B339">IF(D339="","",IFERROR(VALUE(INDEX(Vazoes_COLAR!$A$2:$A$200,INT((ROW()-24)/12)+1)),""))</f>
        <v>1936</v>
      </c>
      <c r="C339" s="15" t="n">
        <f aca="false">IF(D339="","",MOD(ROW()-24,12)+1)</f>
        <v>4</v>
      </c>
      <c r="D339" s="16" t="n">
        <f aca="false" t="array" ref="D339: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0.424636913914815</v>
      </c>
      <c r="E339" s="16" t="n">
        <f aca="false">IF(D339="","",D339*$B$15)</f>
        <v>1.1006588808672</v>
      </c>
      <c r="F339" s="16" t="n">
        <f aca="false" t="array" ref="F339:F339">IF(D339="","",IFERROR(INDEX(Dados_Evap!$C$2:$N$15,MATCH($B$9,Dados_Evap!$A$2:$A$15,0),C339),0))</f>
        <v>100.5</v>
      </c>
      <c r="G339" s="16" t="n">
        <f aca="false">IF(F339="","",F339/1000)</f>
        <v>0.1005</v>
      </c>
      <c r="H339" s="16" t="n">
        <f aca="false">IF(D339="","",MAX(0,MIN($B$8,IFERROR(LOOKUP(2,1/($U$24:U338&lt;&gt;""),$U$24:U338),$B$11))))</f>
        <v>29.7992016484603</v>
      </c>
      <c r="I339" s="16" t="n">
        <f aca="false" t="array" ref="I339: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>5.21166463726724</v>
      </c>
      <c r="J339" s="16" t="n">
        <f aca="false">IF(D339="","",$B$12)</f>
        <v>0.35</v>
      </c>
      <c r="K339" s="16" t="n">
        <f aca="false">IF(J339="","",J339*$B$15)</f>
        <v>0.9072</v>
      </c>
      <c r="L339" s="16" t="n">
        <f aca="false">IF(D339="","",H339+E339-K339-G339*I339)</f>
        <v>29.4688882332822</v>
      </c>
      <c r="M339" s="16" t="n">
        <f aca="false" t="array" ref="M339: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>5.17735052520504</v>
      </c>
      <c r="N339" s="16" t="n">
        <f aca="false">IF(D339="","",(I339+M339)/2)</f>
        <v>5.19450758123614</v>
      </c>
      <c r="O339" s="16" t="n">
        <f aca="false">IF(D339="","",G339*N339)</f>
        <v>0.522048011914232</v>
      </c>
      <c r="P339" s="16" t="n">
        <f aca="false">IF(D339="","",H339+E339-K339-O339)</f>
        <v>29.4706125174133</v>
      </c>
      <c r="Q339" s="16" t="n">
        <f aca="false">IF(D339="","",IF(P339&gt;=0,K339,MAX(0,K339+P339)))</f>
        <v>0.9072</v>
      </c>
      <c r="R339" s="16" t="n">
        <f aca="false">IF(D339="","",Q339/$B$15)</f>
        <v>0.35</v>
      </c>
      <c r="S339" s="16" t="n">
        <f aca="false">IF(D339="","",MAX(0,J339-R339))</f>
        <v>0</v>
      </c>
      <c r="T339" s="16" t="n">
        <f aca="false">IF(D339="","",MAX(0,Z339-$B$8))</f>
        <v>0</v>
      </c>
      <c r="U339" s="16" t="n">
        <f aca="false">IF(D339="","",MAX(0,MIN($B$8,Z339)))</f>
        <v>29.4706125174133</v>
      </c>
      <c r="V339" s="16" t="str">
        <f aca="false">IF(D339="","",IF(S339&gt;0.0000001,"Sim","Não"))</f>
        <v>Não</v>
      </c>
      <c r="W339" s="16" t="n">
        <f aca="false">IF(D339="","",U339-(H339+E339-Q339-O339-T339))</f>
        <v>0</v>
      </c>
      <c r="X339" s="16" t="n">
        <f aca="false">IF(W339="","",ABS(W339))</f>
        <v>0</v>
      </c>
      <c r="Y339" s="16" t="n">
        <f aca="false">IF(U339="","",IF($B$8=0,0,U339/$B$8*100))</f>
        <v>62.411292921248</v>
      </c>
      <c r="Z339" s="18" t="n">
        <f aca="false">IF(D339="","",MAX(0,IF(P339&gt;=0,P339,IF(K339+P339&gt;=0,0,P339+K339))))</f>
        <v>29.4706125174133</v>
      </c>
      <c r="AA339" s="18" t="n">
        <f aca="false">IF(D339="","",IF(H339&lt;=$B$16,1,IF(H339&gt;=$B$17,$B$21,MATCH(H339,Aux_CAV!$A$2:$A$121,1))))</f>
        <v>12</v>
      </c>
      <c r="AB339" s="18" t="n">
        <f aca="false">IF(D339="","",IF(L339&lt;=$B$16,1,IF(L339&gt;=$B$17,$B$21,MATCH(L339,Aux_CAV!$A$2:$A$121,1))))</f>
        <v>12</v>
      </c>
      <c r="AC339" s="19" t="n">
        <f aca="false">IF(D339="","",COUNT($D$24:D339))</f>
        <v>304</v>
      </c>
    </row>
    <row r="340" customFormat="false" ht="12.75" hidden="false" customHeight="true" outlineLevel="0" collapsed="false">
      <c r="A340" s="14" t="n">
        <f aca="false">IF(D340="","",DATE(B340,C340,1))</f>
        <v>13271</v>
      </c>
      <c r="B340" s="15" t="n">
        <f aca="false" t="array" ref="B340:B340">IF(D340="","",IFERROR(VALUE(INDEX(Vazoes_COLAR!$A$2:$A$200,INT((ROW()-24)/12)+1)),""))</f>
        <v>1936</v>
      </c>
      <c r="C340" s="15" t="n">
        <f aca="false">IF(D340="","",MOD(ROW()-24,12)+1)</f>
        <v>5</v>
      </c>
      <c r="D340" s="16" t="n">
        <f aca="false" t="array" ref="D340: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0.168078549969329</v>
      </c>
      <c r="E340" s="16" t="n">
        <f aca="false">IF(D340="","",D340*$B$15)</f>
        <v>0.435659601520501</v>
      </c>
      <c r="F340" s="16" t="n">
        <f aca="false" t="array" ref="F340:F340">IF(D340="","",IFERROR(INDEX(Dados_Evap!$C$2:$N$15,MATCH($B$9,Dados_Evap!$A$2:$A$15,0),C340),0))</f>
        <v>145.8</v>
      </c>
      <c r="G340" s="16" t="n">
        <f aca="false">IF(F340="","",F340/1000)</f>
        <v>0.1458</v>
      </c>
      <c r="H340" s="16" t="n">
        <f aca="false">IF(D340="","",MAX(0,MIN($B$8,IFERROR(LOOKUP(2,1/($U$24:U339&lt;&gt;""),$U$24:U339),$B$11))))</f>
        <v>29.4706125174133</v>
      </c>
      <c r="I340" s="16" t="n">
        <f aca="false" t="array" ref="I340: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>5.17752964986721</v>
      </c>
      <c r="J340" s="16" t="n">
        <f aca="false">IF(D340="","",$B$12)</f>
        <v>0.35</v>
      </c>
      <c r="K340" s="16" t="n">
        <f aca="false">IF(J340="","",J340*$B$15)</f>
        <v>0.9072</v>
      </c>
      <c r="L340" s="16" t="n">
        <f aca="false">IF(D340="","",H340+E340-K340-G340*I340)</f>
        <v>28.2441882959832</v>
      </c>
      <c r="M340" s="16" t="n">
        <f aca="false" t="array" ref="M340: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>5.05012441521379</v>
      </c>
      <c r="N340" s="16" t="n">
        <f aca="false">IF(D340="","",(I340+M340)/2)</f>
        <v>5.1138270325405</v>
      </c>
      <c r="O340" s="16" t="n">
        <f aca="false">IF(D340="","",G340*N340)</f>
        <v>0.745595981344405</v>
      </c>
      <c r="P340" s="16" t="n">
        <f aca="false">IF(D340="","",H340+E340-K340-O340)</f>
        <v>28.2534761375894</v>
      </c>
      <c r="Q340" s="16" t="n">
        <f aca="false">IF(D340="","",IF(P340&gt;=0,K340,MAX(0,K340+P340)))</f>
        <v>0.9072</v>
      </c>
      <c r="R340" s="16" t="n">
        <f aca="false">IF(D340="","",Q340/$B$15)</f>
        <v>0.35</v>
      </c>
      <c r="S340" s="16" t="n">
        <f aca="false">IF(D340="","",MAX(0,J340-R340))</f>
        <v>0</v>
      </c>
      <c r="T340" s="16" t="n">
        <f aca="false">IF(D340="","",MAX(0,Z340-$B$8))</f>
        <v>0</v>
      </c>
      <c r="U340" s="16" t="n">
        <f aca="false">IF(D340="","",MAX(0,MIN($B$8,Z340)))</f>
        <v>28.2534761375894</v>
      </c>
      <c r="V340" s="16" t="str">
        <f aca="false">IF(D340="","",IF(S340&gt;0.0000001,"Sim","Não"))</f>
        <v>Não</v>
      </c>
      <c r="W340" s="16" t="n">
        <f aca="false">IF(D340="","",U340-(H340+E340-Q340-O340-T340))</f>
        <v>0</v>
      </c>
      <c r="X340" s="16" t="n">
        <f aca="false">IF(W340="","",ABS(W340))</f>
        <v>0</v>
      </c>
      <c r="Y340" s="16" t="n">
        <f aca="false">IF(U340="","",IF($B$8=0,0,U340/$B$8*100))</f>
        <v>59.8337063481351</v>
      </c>
      <c r="Z340" s="18" t="n">
        <f aca="false">IF(D340="","",MAX(0,IF(P340&gt;=0,P340,IF(K340+P340&gt;=0,0,P340+K340))))</f>
        <v>28.2534761375894</v>
      </c>
      <c r="AA340" s="18" t="n">
        <f aca="false">IF(D340="","",IF(H340&lt;=$B$16,1,IF(H340&gt;=$B$17,$B$21,MATCH(H340,Aux_CAV!$A$2:$A$121,1))))</f>
        <v>12</v>
      </c>
      <c r="AB340" s="18" t="n">
        <f aca="false">IF(D340="","",IF(L340&lt;=$B$16,1,IF(L340&gt;=$B$17,$B$21,MATCH(L340,Aux_CAV!$A$2:$A$121,1))))</f>
        <v>12</v>
      </c>
      <c r="AC340" s="19" t="n">
        <f aca="false">IF(D340="","",COUNT($D$24:D340))</f>
        <v>305</v>
      </c>
    </row>
    <row r="341" customFormat="false" ht="12.75" hidden="false" customHeight="true" outlineLevel="0" collapsed="false">
      <c r="A341" s="14" t="n">
        <f aca="false">IF(D341="","",DATE(B341,C341,1))</f>
        <v>13302</v>
      </c>
      <c r="B341" s="15" t="n">
        <f aca="false" t="array" ref="B341:B341">IF(D341="","",IFERROR(VALUE(INDEX(Vazoes_COLAR!$A$2:$A$200,INT((ROW()-24)/12)+1)),""))</f>
        <v>1936</v>
      </c>
      <c r="C341" s="15" t="n">
        <f aca="false">IF(D341="","",MOD(ROW()-24,12)+1)</f>
        <v>6</v>
      </c>
      <c r="D341" s="16" t="n">
        <f aca="false" t="array" ref="D341: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0.15183843537148</v>
      </c>
      <c r="E341" s="16" t="n">
        <f aca="false">IF(D341="","",D341*$B$15)</f>
        <v>0.393565224482876</v>
      </c>
      <c r="F341" s="16" t="n">
        <f aca="false" t="array" ref="F341:F341">IF(D341="","",IFERROR(INDEX(Dados_Evap!$C$2:$N$15,MATCH($B$9,Dados_Evap!$A$2:$A$15,0),C341),0))</f>
        <v>161.3</v>
      </c>
      <c r="G341" s="16" t="n">
        <f aca="false">IF(F341="","",F341/1000)</f>
        <v>0.1613</v>
      </c>
      <c r="H341" s="16" t="n">
        <f aca="false">IF(D341="","",MAX(0,MIN($B$8,IFERROR(LOOKUP(2,1/($U$24:U340&lt;&gt;""),$U$24:U340),$B$11))))</f>
        <v>28.2534761375894</v>
      </c>
      <c r="I341" s="16" t="n">
        <f aca="false" t="array" ref="I341: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>5.0510892686622</v>
      </c>
      <c r="J341" s="16" t="n">
        <f aca="false">IF(D341="","",$B$12)</f>
        <v>0.35</v>
      </c>
      <c r="K341" s="16" t="n">
        <f aca="false">IF(J341="","",J341*$B$15)</f>
        <v>0.9072</v>
      </c>
      <c r="L341" s="16" t="n">
        <f aca="false">IF(D341="","",H341+E341-K341-G341*I341)</f>
        <v>26.9251006630371</v>
      </c>
      <c r="M341" s="16" t="n">
        <f aca="false" t="array" ref="M341: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>4.91309298149997</v>
      </c>
      <c r="N341" s="16" t="n">
        <f aca="false">IF(D341="","",(I341+M341)/2)</f>
        <v>4.98209112508109</v>
      </c>
      <c r="O341" s="16" t="n">
        <f aca="false">IF(D341="","",G341*N341)</f>
        <v>0.803611298475579</v>
      </c>
      <c r="P341" s="16" t="n">
        <f aca="false">IF(D341="","",H341+E341-K341-O341)</f>
        <v>26.9362300635967</v>
      </c>
      <c r="Q341" s="16" t="n">
        <f aca="false">IF(D341="","",IF(P341&gt;=0,K341,MAX(0,K341+P341)))</f>
        <v>0.9072</v>
      </c>
      <c r="R341" s="16" t="n">
        <f aca="false">IF(D341="","",Q341/$B$15)</f>
        <v>0.35</v>
      </c>
      <c r="S341" s="16" t="n">
        <f aca="false">IF(D341="","",MAX(0,J341-R341))</f>
        <v>0</v>
      </c>
      <c r="T341" s="16" t="n">
        <f aca="false">IF(D341="","",MAX(0,Z341-$B$8))</f>
        <v>0</v>
      </c>
      <c r="U341" s="16" t="n">
        <f aca="false">IF(D341="","",MAX(0,MIN($B$8,Z341)))</f>
        <v>26.9362300635967</v>
      </c>
      <c r="V341" s="16" t="str">
        <f aca="false">IF(D341="","",IF(S341&gt;0.0000001,"Sim","Não"))</f>
        <v>Não</v>
      </c>
      <c r="W341" s="16" t="n">
        <f aca="false">IF(D341="","",U341-(H341+E341-Q341-O341-T341))</f>
        <v>0</v>
      </c>
      <c r="X341" s="16" t="n">
        <f aca="false">IF(W341="","",ABS(W341))</f>
        <v>0</v>
      </c>
      <c r="Y341" s="16" t="n">
        <f aca="false">IF(U341="","",IF($B$8=0,0,U341/$B$8*100))</f>
        <v>57.0441127988071</v>
      </c>
      <c r="Z341" s="18" t="n">
        <f aca="false">IF(D341="","",MAX(0,IF(P341&gt;=0,P341,IF(K341+P341&gt;=0,0,P341+K341))))</f>
        <v>26.9362300635967</v>
      </c>
      <c r="AA341" s="18" t="n">
        <f aca="false">IF(D341="","",IF(H341&lt;=$B$16,1,IF(H341&gt;=$B$17,$B$21,MATCH(H341,Aux_CAV!$A$2:$A$121,1))))</f>
        <v>12</v>
      </c>
      <c r="AB341" s="18" t="n">
        <f aca="false">IF(D341="","",IF(L341&lt;=$B$16,1,IF(L341&gt;=$B$17,$B$21,MATCH(L341,Aux_CAV!$A$2:$A$121,1))))</f>
        <v>12</v>
      </c>
      <c r="AC341" s="19" t="n">
        <f aca="false">IF(D341="","",COUNT($D$24:D341))</f>
        <v>306</v>
      </c>
    </row>
    <row r="342" customFormat="false" ht="12.75" hidden="false" customHeight="true" outlineLevel="0" collapsed="false">
      <c r="A342" s="14" t="n">
        <f aca="false">IF(D342="","",DATE(B342,C342,1))</f>
        <v>13332</v>
      </c>
      <c r="B342" s="15" t="n">
        <f aca="false" t="array" ref="B342:B342">IF(D342="","",IFERROR(VALUE(INDEX(Vazoes_COLAR!$A$2:$A$200,INT((ROW()-24)/12)+1)),""))</f>
        <v>1936</v>
      </c>
      <c r="C342" s="15" t="n">
        <f aca="false">IF(D342="","",MOD(ROW()-24,12)+1)</f>
        <v>7</v>
      </c>
      <c r="D342" s="16" t="n">
        <f aca="false" t="array" ref="D342: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0.0121562733211229</v>
      </c>
      <c r="E342" s="16" t="n">
        <f aca="false">IF(D342="","",D342*$B$15)</f>
        <v>0.0315090604483506</v>
      </c>
      <c r="F342" s="16" t="n">
        <f aca="false" t="array" ref="F342:F342">IF(D342="","",IFERROR(INDEX(Dados_Evap!$C$2:$N$15,MATCH($B$9,Dados_Evap!$A$2:$A$15,0),C342),0))</f>
        <v>224.8</v>
      </c>
      <c r="G342" s="16" t="n">
        <f aca="false">IF(F342="","",F342/1000)</f>
        <v>0.2248</v>
      </c>
      <c r="H342" s="16" t="n">
        <f aca="false">IF(D342="","",MAX(0,MIN($B$8,IFERROR(LOOKUP(2,1/($U$24:U341&lt;&gt;""),$U$24:U341),$B$11))))</f>
        <v>26.9362300635967</v>
      </c>
      <c r="I342" s="16" t="n">
        <f aca="false" t="array" ref="I342: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>4.91424914252898</v>
      </c>
      <c r="J342" s="16" t="n">
        <f aca="false">IF(D342="","",$B$12)</f>
        <v>0.35</v>
      </c>
      <c r="K342" s="16" t="n">
        <f aca="false">IF(J342="","",J342*$B$15)</f>
        <v>0.9072</v>
      </c>
      <c r="L342" s="16" t="n">
        <f aca="false">IF(D342="","",H342+E342-K342-G342*I342)</f>
        <v>24.9558159168045</v>
      </c>
      <c r="M342" s="16" t="n">
        <f aca="false" t="array" ref="M342: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>4.70851679912436</v>
      </c>
      <c r="N342" s="16" t="n">
        <f aca="false">IF(D342="","",(I342+M342)/2)</f>
        <v>4.81138297082667</v>
      </c>
      <c r="O342" s="16" t="n">
        <f aca="false">IF(D342="","",G342*N342)</f>
        <v>1.08159889184183</v>
      </c>
      <c r="P342" s="16" t="n">
        <f aca="false">IF(D342="","",H342+E342-K342-O342)</f>
        <v>24.9789402322032</v>
      </c>
      <c r="Q342" s="16" t="n">
        <f aca="false">IF(D342="","",IF(P342&gt;=0,K342,MAX(0,K342+P342)))</f>
        <v>0.9072</v>
      </c>
      <c r="R342" s="16" t="n">
        <f aca="false">IF(D342="","",Q342/$B$15)</f>
        <v>0.35</v>
      </c>
      <c r="S342" s="16" t="n">
        <f aca="false">IF(D342="","",MAX(0,J342-R342))</f>
        <v>0</v>
      </c>
      <c r="T342" s="16" t="n">
        <f aca="false">IF(D342="","",MAX(0,Z342-$B$8))</f>
        <v>0</v>
      </c>
      <c r="U342" s="16" t="n">
        <f aca="false">IF(D342="","",MAX(0,MIN($B$8,Z342)))</f>
        <v>24.9789402322032</v>
      </c>
      <c r="V342" s="16" t="str">
        <f aca="false">IF(D342="","",IF(S342&gt;0.0000001,"Sim","Não"))</f>
        <v>Não</v>
      </c>
      <c r="W342" s="16" t="n">
        <f aca="false">IF(D342="","",U342-(H342+E342-Q342-O342-T342))</f>
        <v>0</v>
      </c>
      <c r="X342" s="16" t="n">
        <f aca="false">IF(W342="","",ABS(W342))</f>
        <v>0</v>
      </c>
      <c r="Y342" s="16" t="n">
        <f aca="false">IF(U342="","",IF($B$8=0,0,U342/$B$8*100))</f>
        <v>52.8990686831919</v>
      </c>
      <c r="Z342" s="18" t="n">
        <f aca="false">IF(D342="","",MAX(0,IF(P342&gt;=0,P342,IF(K342+P342&gt;=0,0,P342+K342))))</f>
        <v>24.9789402322032</v>
      </c>
      <c r="AA342" s="18" t="n">
        <f aca="false">IF(D342="","",IF(H342&lt;=$B$16,1,IF(H342&gt;=$B$17,$B$21,MATCH(H342,Aux_CAV!$A$2:$A$121,1))))</f>
        <v>12</v>
      </c>
      <c r="AB342" s="18" t="n">
        <f aca="false">IF(D342="","",IF(L342&lt;=$B$16,1,IF(L342&gt;=$B$17,$B$21,MATCH(L342,Aux_CAV!$A$2:$A$121,1))))</f>
        <v>12</v>
      </c>
      <c r="AC342" s="19" t="n">
        <f aca="false">IF(D342="","",COUNT($D$24:D342))</f>
        <v>307</v>
      </c>
    </row>
    <row r="343" customFormat="false" ht="12.75" hidden="false" customHeight="true" outlineLevel="0" collapsed="false">
      <c r="A343" s="14" t="n">
        <f aca="false">IF(D343="","",DATE(B343,C343,1))</f>
        <v>13363</v>
      </c>
      <c r="B343" s="15" t="n">
        <f aca="false" t="array" ref="B343:B343">IF(D343="","",IFERROR(VALUE(INDEX(Vazoes_COLAR!$A$2:$A$200,INT((ROW()-24)/12)+1)),""))</f>
        <v>1936</v>
      </c>
      <c r="C343" s="15" t="n">
        <f aca="false">IF(D343="","",MOD(ROW()-24,12)+1)</f>
        <v>8</v>
      </c>
      <c r="D343" s="16" t="n">
        <f aca="false" t="array" ref="D343: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0.00731755350989718</v>
      </c>
      <c r="E343" s="16" t="n">
        <f aca="false">IF(D343="","",D343*$B$15)</f>
        <v>0.0189670986976535</v>
      </c>
      <c r="F343" s="16" t="n">
        <f aca="false" t="array" ref="F343:F343">IF(D343="","",IFERROR(INDEX(Dados_Evap!$C$2:$N$15,MATCH($B$9,Dados_Evap!$A$2:$A$15,0),C343),0))</f>
        <v>268.7</v>
      </c>
      <c r="G343" s="16" t="n">
        <f aca="false">IF(F343="","",F343/1000)</f>
        <v>0.2687</v>
      </c>
      <c r="H343" s="16" t="n">
        <f aca="false">IF(D343="","",MAX(0,MIN($B$8,IFERROR(LOOKUP(2,1/($U$24:U342&lt;&gt;""),$U$24:U342),$B$11))))</f>
        <v>24.9789402322032</v>
      </c>
      <c r="I343" s="16" t="n">
        <f aca="false" t="array" ref="I343: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>4.71091903383082</v>
      </c>
      <c r="J343" s="16" t="n">
        <f aca="false">IF(D343="","",$B$12)</f>
        <v>0.35</v>
      </c>
      <c r="K343" s="16" t="n">
        <f aca="false">IF(J343="","",J343*$B$15)</f>
        <v>0.9072</v>
      </c>
      <c r="L343" s="16" t="n">
        <f aca="false">IF(D343="","",H343+E343-K343-G343*I343)</f>
        <v>22.8248833865105</v>
      </c>
      <c r="M343" s="16" t="n">
        <f aca="false" t="array" ref="M343: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>4.46565679497321</v>
      </c>
      <c r="N343" s="16" t="n">
        <f aca="false">IF(D343="","",(I343+M343)/2)</f>
        <v>4.58828791440202</v>
      </c>
      <c r="O343" s="16" t="n">
        <f aca="false">IF(D343="","",G343*N343)</f>
        <v>1.23287296259982</v>
      </c>
      <c r="P343" s="16" t="n">
        <f aca="false">IF(D343="","",H343+E343-K343-O343)</f>
        <v>22.8578343683011</v>
      </c>
      <c r="Q343" s="16" t="n">
        <f aca="false">IF(D343="","",IF(P343&gt;=0,K343,MAX(0,K343+P343)))</f>
        <v>0.9072</v>
      </c>
      <c r="R343" s="16" t="n">
        <f aca="false">IF(D343="","",Q343/$B$15)</f>
        <v>0.35</v>
      </c>
      <c r="S343" s="16" t="n">
        <f aca="false">IF(D343="","",MAX(0,J343-R343))</f>
        <v>0</v>
      </c>
      <c r="T343" s="16" t="n">
        <f aca="false">IF(D343="","",MAX(0,Z343-$B$8))</f>
        <v>0</v>
      </c>
      <c r="U343" s="16" t="n">
        <f aca="false">IF(D343="","",MAX(0,MIN($B$8,Z343)))</f>
        <v>22.8578343683011</v>
      </c>
      <c r="V343" s="16" t="str">
        <f aca="false">IF(D343="","",IF(S343&gt;0.0000001,"Sim","Não"))</f>
        <v>Não</v>
      </c>
      <c r="W343" s="16" t="n">
        <f aca="false">IF(D343="","",U343-(H343+E343-Q343-O343-T343))</f>
        <v>0</v>
      </c>
      <c r="X343" s="16" t="n">
        <f aca="false">IF(W343="","",ABS(W343))</f>
        <v>0</v>
      </c>
      <c r="Y343" s="16" t="n">
        <f aca="false">IF(U343="","",IF($B$8=0,0,U343/$B$8*100))</f>
        <v>48.4071037024588</v>
      </c>
      <c r="Z343" s="18" t="n">
        <f aca="false">IF(D343="","",MAX(0,IF(P343&gt;=0,P343,IF(K343+P343&gt;=0,0,P343+K343))))</f>
        <v>22.8578343683011</v>
      </c>
      <c r="AA343" s="18" t="n">
        <f aca="false">IF(D343="","",IF(H343&lt;=$B$16,1,IF(H343&gt;=$B$17,$B$21,MATCH(H343,Aux_CAV!$A$2:$A$121,1))))</f>
        <v>12</v>
      </c>
      <c r="AB343" s="18" t="n">
        <f aca="false">IF(D343="","",IF(L343&lt;=$B$16,1,IF(L343&gt;=$B$17,$B$21,MATCH(L343,Aux_CAV!$A$2:$A$121,1))))</f>
        <v>11</v>
      </c>
      <c r="AC343" s="19" t="n">
        <f aca="false">IF(D343="","",COUNT($D$24:D343))</f>
        <v>308</v>
      </c>
    </row>
    <row r="344" customFormat="false" ht="12.75" hidden="false" customHeight="true" outlineLevel="0" collapsed="false">
      <c r="A344" s="14" t="n">
        <f aca="false">IF(D344="","",DATE(B344,C344,1))</f>
        <v>13394</v>
      </c>
      <c r="B344" s="15" t="n">
        <f aca="false" t="array" ref="B344:B344">IF(D344="","",IFERROR(VALUE(INDEX(Vazoes_COLAR!$A$2:$A$200,INT((ROW()-24)/12)+1)),""))</f>
        <v>1936</v>
      </c>
      <c r="C344" s="15" t="n">
        <f aca="false">IF(D344="","",MOD(ROW()-24,12)+1)</f>
        <v>9</v>
      </c>
      <c r="D344" s="16" t="n">
        <f aca="false" t="array" ref="D344: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0.00536202846297372</v>
      </c>
      <c r="E344" s="16" t="n">
        <f aca="false">IF(D344="","",D344*$B$15)</f>
        <v>0.0138983777760279</v>
      </c>
      <c r="F344" s="16" t="n">
        <f aca="false" t="array" ref="F344:F344">IF(D344="","",IFERROR(INDEX(Dados_Evap!$C$2:$N$15,MATCH($B$9,Dados_Evap!$A$2:$A$15,0),C344),0))</f>
        <v>292.8</v>
      </c>
      <c r="G344" s="16" t="n">
        <f aca="false">IF(F344="","",F344/1000)</f>
        <v>0.2928</v>
      </c>
      <c r="H344" s="16" t="n">
        <f aca="false">IF(D344="","",MAX(0,MIN($B$8,IFERROR(LOOKUP(2,1/($U$24:U343&lt;&gt;""),$U$24:U343),$B$11))))</f>
        <v>22.8578343683011</v>
      </c>
      <c r="I344" s="16" t="n">
        <f aca="false" t="array" ref="I344: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>4.46959483913842</v>
      </c>
      <c r="J344" s="16" t="n">
        <f aca="false">IF(D344="","",$B$12)</f>
        <v>0.35</v>
      </c>
      <c r="K344" s="16" t="n">
        <f aca="false">IF(J344="","",J344*$B$15)</f>
        <v>0.9072</v>
      </c>
      <c r="L344" s="16" t="n">
        <f aca="false">IF(D344="","",H344+E344-K344-G344*I344)</f>
        <v>20.6558353771774</v>
      </c>
      <c r="M344" s="16" t="n">
        <f aca="false" t="array" ref="M344: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>4.2064291060529</v>
      </c>
      <c r="N344" s="16" t="n">
        <f aca="false">IF(D344="","",(I344+M344)/2)</f>
        <v>4.33801197259566</v>
      </c>
      <c r="O344" s="16" t="n">
        <f aca="false">IF(D344="","",G344*N344)</f>
        <v>1.27016990557601</v>
      </c>
      <c r="P344" s="16" t="n">
        <f aca="false">IF(D344="","",H344+E344-K344-O344)</f>
        <v>20.6943628405011</v>
      </c>
      <c r="Q344" s="16" t="n">
        <f aca="false">IF(D344="","",IF(P344&gt;=0,K344,MAX(0,K344+P344)))</f>
        <v>0.9072</v>
      </c>
      <c r="R344" s="16" t="n">
        <f aca="false">IF(D344="","",Q344/$B$15)</f>
        <v>0.35</v>
      </c>
      <c r="S344" s="16" t="n">
        <f aca="false">IF(D344="","",MAX(0,J344-R344))</f>
        <v>0</v>
      </c>
      <c r="T344" s="16" t="n">
        <f aca="false">IF(D344="","",MAX(0,Z344-$B$8))</f>
        <v>0</v>
      </c>
      <c r="U344" s="16" t="n">
        <f aca="false">IF(D344="","",MAX(0,MIN($B$8,Z344)))</f>
        <v>20.6943628405011</v>
      </c>
      <c r="V344" s="16" t="str">
        <f aca="false">IF(D344="","",IF(S344&gt;0.0000001,"Sim","Não"))</f>
        <v>Não</v>
      </c>
      <c r="W344" s="16" t="n">
        <f aca="false">IF(D344="","",U344-(H344+E344-Q344-O344-T344))</f>
        <v>0</v>
      </c>
      <c r="X344" s="16" t="n">
        <f aca="false">IF(W344="","",ABS(W344))</f>
        <v>0</v>
      </c>
      <c r="Y344" s="16" t="n">
        <f aca="false">IF(U344="","",IF($B$8=0,0,U344/$B$8*100))</f>
        <v>43.8254189760717</v>
      </c>
      <c r="Z344" s="18" t="n">
        <f aca="false">IF(D344="","",MAX(0,IF(P344&gt;=0,P344,IF(K344+P344&gt;=0,0,P344+K344))))</f>
        <v>20.6943628405011</v>
      </c>
      <c r="AA344" s="18" t="n">
        <f aca="false">IF(D344="","",IF(H344&lt;=$B$16,1,IF(H344&gt;=$B$17,$B$21,MATCH(H344,Aux_CAV!$A$2:$A$121,1))))</f>
        <v>11</v>
      </c>
      <c r="AB344" s="18" t="n">
        <f aca="false">IF(D344="","",IF(L344&lt;=$B$16,1,IF(L344&gt;=$B$17,$B$21,MATCH(L344,Aux_CAV!$A$2:$A$121,1))))</f>
        <v>11</v>
      </c>
      <c r="AC344" s="19" t="n">
        <f aca="false">IF(D344="","",COUNT($D$24:D344))</f>
        <v>309</v>
      </c>
    </row>
    <row r="345" customFormat="false" ht="12.75" hidden="false" customHeight="true" outlineLevel="0" collapsed="false">
      <c r="A345" s="14" t="n">
        <f aca="false">IF(D345="","",DATE(B345,C345,1))</f>
        <v>13424</v>
      </c>
      <c r="B345" s="15" t="n">
        <f aca="false" t="array" ref="B345:B345">IF(D345="","",IFERROR(VALUE(INDEX(Vazoes_COLAR!$A$2:$A$200,INT((ROW()-24)/12)+1)),""))</f>
        <v>1936</v>
      </c>
      <c r="C345" s="15" t="n">
        <f aca="false">IF(D345="","",MOD(ROW()-24,12)+1)</f>
        <v>10</v>
      </c>
      <c r="D345" s="16" t="n">
        <f aca="false" t="array" ref="D345: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0.00514674922224795</v>
      </c>
      <c r="E345" s="16" t="n">
        <f aca="false">IF(D345="","",D345*$B$15)</f>
        <v>0.0133403739840667</v>
      </c>
      <c r="F345" s="16" t="n">
        <f aca="false" t="array" ref="F345:F345">IF(D345="","",IFERROR(INDEX(Dados_Evap!$C$2:$N$15,MATCH($B$9,Dados_Evap!$A$2:$A$15,0),C345),0))</f>
        <v>262.9</v>
      </c>
      <c r="G345" s="16" t="n">
        <f aca="false">IF(F345="","",F345/1000)</f>
        <v>0.2629</v>
      </c>
      <c r="H345" s="16" t="n">
        <f aca="false">IF(D345="","",MAX(0,MIN($B$8,IFERROR(LOOKUP(2,1/($U$24:U344&lt;&gt;""),$U$24:U344),$B$11))))</f>
        <v>20.6943628405011</v>
      </c>
      <c r="I345" s="16" t="n">
        <f aca="false" t="array" ref="I345: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>4.2110336077672</v>
      </c>
      <c r="J345" s="16" t="n">
        <f aca="false">IF(D345="","",$B$12)</f>
        <v>0.35</v>
      </c>
      <c r="K345" s="16" t="n">
        <f aca="false">IF(J345="","",J345*$B$15)</f>
        <v>0.9072</v>
      </c>
      <c r="L345" s="16" t="n">
        <f aca="false">IF(D345="","",H345+E345-K345-G345*I345)</f>
        <v>18.6934224790032</v>
      </c>
      <c r="M345" s="16" t="n">
        <f aca="false" t="array" ref="M345: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>3.97189683285647</v>
      </c>
      <c r="N345" s="16" t="n">
        <f aca="false">IF(D345="","",(I345+M345)/2)</f>
        <v>4.09146522031184</v>
      </c>
      <c r="O345" s="16" t="n">
        <f aca="false">IF(D345="","",G345*N345)</f>
        <v>1.07564620641998</v>
      </c>
      <c r="P345" s="16" t="n">
        <f aca="false">IF(D345="","",H345+E345-K345-O345)</f>
        <v>18.7248570080652</v>
      </c>
      <c r="Q345" s="16" t="n">
        <f aca="false">IF(D345="","",IF(P345&gt;=0,K345,MAX(0,K345+P345)))</f>
        <v>0.9072</v>
      </c>
      <c r="R345" s="16" t="n">
        <f aca="false">IF(D345="","",Q345/$B$15)</f>
        <v>0.35</v>
      </c>
      <c r="S345" s="16" t="n">
        <f aca="false">IF(D345="","",MAX(0,J345-R345))</f>
        <v>0</v>
      </c>
      <c r="T345" s="16" t="n">
        <f aca="false">IF(D345="","",MAX(0,Z345-$B$8))</f>
        <v>0</v>
      </c>
      <c r="U345" s="16" t="n">
        <f aca="false">IF(D345="","",MAX(0,MIN($B$8,Z345)))</f>
        <v>18.7248570080652</v>
      </c>
      <c r="V345" s="16" t="str">
        <f aca="false">IF(D345="","",IF(S345&gt;0.0000001,"Sim","Não"))</f>
        <v>Não</v>
      </c>
      <c r="W345" s="16" t="n">
        <f aca="false">IF(D345="","",U345-(H345+E345-Q345-O345-T345))</f>
        <v>0</v>
      </c>
      <c r="X345" s="16" t="n">
        <f aca="false">IF(W345="","",ABS(W345))</f>
        <v>0</v>
      </c>
      <c r="Y345" s="16" t="n">
        <f aca="false">IF(U345="","",IF($B$8=0,0,U345/$B$8*100))</f>
        <v>39.6545044643481</v>
      </c>
      <c r="Z345" s="18" t="n">
        <f aca="false">IF(D345="","",MAX(0,IF(P345&gt;=0,P345,IF(K345+P345&gt;=0,0,P345+K345))))</f>
        <v>18.7248570080652</v>
      </c>
      <c r="AA345" s="18" t="n">
        <f aca="false">IF(D345="","",IF(H345&lt;=$B$16,1,IF(H345&gt;=$B$17,$B$21,MATCH(H345,Aux_CAV!$A$2:$A$121,1))))</f>
        <v>11</v>
      </c>
      <c r="AB345" s="18" t="n">
        <f aca="false">IF(D345="","",IF(L345&lt;=$B$16,1,IF(L345&gt;=$B$17,$B$21,MATCH(L345,Aux_CAV!$A$2:$A$121,1))))</f>
        <v>11</v>
      </c>
      <c r="AC345" s="19" t="n">
        <f aca="false">IF(D345="","",COUNT($D$24:D345))</f>
        <v>310</v>
      </c>
    </row>
    <row r="346" customFormat="false" ht="12.75" hidden="false" customHeight="true" outlineLevel="0" collapsed="false">
      <c r="A346" s="14" t="n">
        <f aca="false">IF(D346="","",DATE(B346,C346,1))</f>
        <v>13455</v>
      </c>
      <c r="B346" s="15" t="n">
        <f aca="false" t="array" ref="B346:B346">IF(D346="","",IFERROR(VALUE(INDEX(Vazoes_COLAR!$A$2:$A$200,INT((ROW()-24)/12)+1)),""))</f>
        <v>1936</v>
      </c>
      <c r="C346" s="15" t="n">
        <f aca="false">IF(D346="","",MOD(ROW()-24,12)+1)</f>
        <v>11</v>
      </c>
      <c r="D346" s="16" t="n">
        <f aca="false" t="array" ref="D346: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0.00464220190271267</v>
      </c>
      <c r="E346" s="16" t="n">
        <f aca="false">IF(D346="","",D346*$B$15)</f>
        <v>0.0120325873318312</v>
      </c>
      <c r="F346" s="16" t="n">
        <f aca="false" t="array" ref="F346:F346">IF(D346="","",IFERROR(INDEX(Dados_Evap!$C$2:$N$15,MATCH($B$9,Dados_Evap!$A$2:$A$15,0),C346),0))</f>
        <v>223.7</v>
      </c>
      <c r="G346" s="16" t="n">
        <f aca="false">IF(F346="","",F346/1000)</f>
        <v>0.2237</v>
      </c>
      <c r="H346" s="16" t="n">
        <f aca="false">IF(D346="","",MAX(0,MIN($B$8,IFERROR(LOOKUP(2,1/($U$24:U345&lt;&gt;""),$U$24:U345),$B$11))))</f>
        <v>18.7248570080652</v>
      </c>
      <c r="I346" s="16" t="n">
        <f aca="false" t="array" ref="I346: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>3.9756536424273</v>
      </c>
      <c r="J346" s="16" t="n">
        <f aca="false">IF(D346="","",$B$12)</f>
        <v>0.35</v>
      </c>
      <c r="K346" s="16" t="n">
        <f aca="false">IF(J346="","",J346*$B$15)</f>
        <v>0.9072</v>
      </c>
      <c r="L346" s="16" t="n">
        <f aca="false">IF(D346="","",H346+E346-K346-G346*I346)</f>
        <v>16.940335875586</v>
      </c>
      <c r="M346" s="16" t="n">
        <f aca="false" t="array" ref="M346: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>3.76238160464321</v>
      </c>
      <c r="N346" s="16" t="n">
        <f aca="false">IF(D346="","",(I346+M346)/2)</f>
        <v>3.86901762353525</v>
      </c>
      <c r="O346" s="16" t="n">
        <f aca="false">IF(D346="","",G346*N346)</f>
        <v>0.865499242384836</v>
      </c>
      <c r="P346" s="16" t="n">
        <f aca="false">IF(D346="","",H346+E346-K346-O346)</f>
        <v>16.9641903530122</v>
      </c>
      <c r="Q346" s="16" t="n">
        <f aca="false">IF(D346="","",IF(P346&gt;=0,K346,MAX(0,K346+P346)))</f>
        <v>0.9072</v>
      </c>
      <c r="R346" s="16" t="n">
        <f aca="false">IF(D346="","",Q346/$B$15)</f>
        <v>0.35</v>
      </c>
      <c r="S346" s="16" t="n">
        <f aca="false">IF(D346="","",MAX(0,J346-R346))</f>
        <v>0</v>
      </c>
      <c r="T346" s="16" t="n">
        <f aca="false">IF(D346="","",MAX(0,Z346-$B$8))</f>
        <v>0</v>
      </c>
      <c r="U346" s="16" t="n">
        <f aca="false">IF(D346="","",MAX(0,MIN($B$8,Z346)))</f>
        <v>16.9641903530122</v>
      </c>
      <c r="V346" s="16" t="str">
        <f aca="false">IF(D346="","",IF(S346&gt;0.0000001,"Sim","Não"))</f>
        <v>Não</v>
      </c>
      <c r="W346" s="16" t="n">
        <f aca="false">IF(D346="","",U346-(H346+E346-Q346-O346-T346))</f>
        <v>0</v>
      </c>
      <c r="X346" s="16" t="n">
        <f aca="false">IF(W346="","",ABS(W346))</f>
        <v>0</v>
      </c>
      <c r="Y346" s="16" t="n">
        <f aca="false">IF(U346="","",IF($B$8=0,0,U346/$B$8*100))</f>
        <v>35.9258584350109</v>
      </c>
      <c r="Z346" s="18" t="n">
        <f aca="false">IF(D346="","",MAX(0,IF(P346&gt;=0,P346,IF(K346+P346&gt;=0,0,P346+K346))))</f>
        <v>16.9641903530122</v>
      </c>
      <c r="AA346" s="18" t="n">
        <f aca="false">IF(D346="","",IF(H346&lt;=$B$16,1,IF(H346&gt;=$B$17,$B$21,MATCH(H346,Aux_CAV!$A$2:$A$121,1))))</f>
        <v>11</v>
      </c>
      <c r="AB346" s="18" t="n">
        <f aca="false">IF(D346="","",IF(L346&lt;=$B$16,1,IF(L346&gt;=$B$17,$B$21,MATCH(L346,Aux_CAV!$A$2:$A$121,1))))</f>
        <v>11</v>
      </c>
      <c r="AC346" s="19" t="n">
        <f aca="false">IF(D346="","",COUNT($D$24:D346))</f>
        <v>311</v>
      </c>
    </row>
    <row r="347" customFormat="false" ht="12.75" hidden="false" customHeight="true" outlineLevel="0" collapsed="false">
      <c r="A347" s="14" t="n">
        <f aca="false">IF(D347="","",DATE(B347,C347,1))</f>
        <v>13485</v>
      </c>
      <c r="B347" s="15" t="n">
        <f aca="false" t="array" ref="B347:B347">IF(D347="","",IFERROR(VALUE(INDEX(Vazoes_COLAR!$A$2:$A$200,INT((ROW()-24)/12)+1)),""))</f>
        <v>1936</v>
      </c>
      <c r="C347" s="15" t="n">
        <f aca="false">IF(D347="","",MOD(ROW()-24,12)+1)</f>
        <v>12</v>
      </c>
      <c r="D347" s="16" t="n">
        <f aca="false" t="array" ref="D347: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0.0215021942569746</v>
      </c>
      <c r="E347" s="16" t="n">
        <f aca="false">IF(D347="","",D347*$B$15)</f>
        <v>0.0557336875140782</v>
      </c>
      <c r="F347" s="16" t="n">
        <f aca="false" t="array" ref="F347:F347">IF(D347="","",IFERROR(INDEX(Dados_Evap!$C$2:$N$15,MATCH($B$9,Dados_Evap!$A$2:$A$15,0),C347),0))</f>
        <v>216.1</v>
      </c>
      <c r="G347" s="16" t="n">
        <f aca="false">IF(F347="","",F347/1000)</f>
        <v>0.2161</v>
      </c>
      <c r="H347" s="16" t="n">
        <f aca="false">IF(D347="","",MAX(0,MIN($B$8,IFERROR(LOOKUP(2,1/($U$24:U346&lt;&gt;""),$U$24:U346),$B$11))))</f>
        <v>16.9641903530122</v>
      </c>
      <c r="I347" s="16" t="n">
        <f aca="false" t="array" ref="I347: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>3.76523250560389</v>
      </c>
      <c r="J347" s="16" t="n">
        <f aca="false">IF(D347="","",$B$12)</f>
        <v>0.35</v>
      </c>
      <c r="K347" s="16" t="n">
        <f aca="false">IF(J347="","",J347*$B$15)</f>
        <v>0.9072</v>
      </c>
      <c r="L347" s="16" t="n">
        <f aca="false">IF(D347="","",H347+E347-K347-G347*I347)</f>
        <v>15.2990572960652</v>
      </c>
      <c r="M347" s="16" t="n">
        <f aca="false" t="array" ref="M347: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>3.59021371054674</v>
      </c>
      <c r="N347" s="16" t="n">
        <f aca="false">IF(D347="","",(I347+M347)/2)</f>
        <v>3.67772310807532</v>
      </c>
      <c r="O347" s="16" t="n">
        <f aca="false">IF(D347="","",G347*N347)</f>
        <v>0.794755963655076</v>
      </c>
      <c r="P347" s="16" t="n">
        <f aca="false">IF(D347="","",H347+E347-K347-O347)</f>
        <v>15.3179680768712</v>
      </c>
      <c r="Q347" s="16" t="n">
        <f aca="false">IF(D347="","",IF(P347&gt;=0,K347,MAX(0,K347+P347)))</f>
        <v>0.9072</v>
      </c>
      <c r="R347" s="16" t="n">
        <f aca="false">IF(D347="","",Q347/$B$15)</f>
        <v>0.35</v>
      </c>
      <c r="S347" s="16" t="n">
        <f aca="false">IF(D347="","",MAX(0,J347-R347))</f>
        <v>0</v>
      </c>
      <c r="T347" s="16" t="n">
        <f aca="false">IF(D347="","",MAX(0,Z347-$B$8))</f>
        <v>0</v>
      </c>
      <c r="U347" s="16" t="n">
        <f aca="false">IF(D347="","",MAX(0,MIN($B$8,Z347)))</f>
        <v>15.3179680768712</v>
      </c>
      <c r="V347" s="16" t="str">
        <f aca="false">IF(D347="","",IF(S347&gt;0.0000001,"Sim","Não"))</f>
        <v>Não</v>
      </c>
      <c r="W347" s="16" t="n">
        <f aca="false">IF(D347="","",U347-(H347+E347-Q347-O347-T347))</f>
        <v>0</v>
      </c>
      <c r="X347" s="16" t="n">
        <f aca="false">IF(W347="","",ABS(W347))</f>
        <v>0</v>
      </c>
      <c r="Y347" s="16" t="n">
        <f aca="false">IF(U347="","",IF($B$8=0,0,U347/$B$8*100))</f>
        <v>32.4395766134502</v>
      </c>
      <c r="Z347" s="18" t="n">
        <f aca="false">IF(D347="","",MAX(0,IF(P347&gt;=0,P347,IF(K347+P347&gt;=0,0,P347+K347))))</f>
        <v>15.3179680768712</v>
      </c>
      <c r="AA347" s="18" t="n">
        <f aca="false">IF(D347="","",IF(H347&lt;=$B$16,1,IF(H347&gt;=$B$17,$B$21,MATCH(H347,Aux_CAV!$A$2:$A$121,1))))</f>
        <v>11</v>
      </c>
      <c r="AB347" s="18" t="n">
        <f aca="false">IF(D347="","",IF(L347&lt;=$B$16,1,IF(L347&gt;=$B$17,$B$21,MATCH(L347,Aux_CAV!$A$2:$A$121,1))))</f>
        <v>10</v>
      </c>
      <c r="AC347" s="19" t="n">
        <f aca="false">IF(D347="","",COUNT($D$24:D347))</f>
        <v>312</v>
      </c>
    </row>
    <row r="348" customFormat="false" ht="12.75" hidden="false" customHeight="true" outlineLevel="0" collapsed="false">
      <c r="A348" s="14" t="n">
        <f aca="false">IF(D348="","",DATE(B348,C348,1))</f>
        <v>13516</v>
      </c>
      <c r="B348" s="15" t="n">
        <f aca="false" t="array" ref="B348:B348">IF(D348="","",IFERROR(VALUE(INDEX(Vazoes_COLAR!$A$2:$A$200,INT((ROW()-24)/12)+1)),""))</f>
        <v>1937</v>
      </c>
      <c r="C348" s="15" t="n">
        <f aca="false">IF(D348="","",MOD(ROW()-24,12)+1)</f>
        <v>1</v>
      </c>
      <c r="D348" s="16" t="n">
        <f aca="false" t="array" ref="D348: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0.018263304596157</v>
      </c>
      <c r="E348" s="16" t="n">
        <f aca="false">IF(D348="","",D348*$B$15)</f>
        <v>0.0473384855132389</v>
      </c>
      <c r="F348" s="16" t="n">
        <f aca="false" t="array" ref="F348:F348">IF(D348="","",IFERROR(INDEX(Dados_Evap!$C$2:$N$15,MATCH($B$9,Dados_Evap!$A$2:$A$15,0),C348),0))</f>
        <v>160</v>
      </c>
      <c r="G348" s="16" t="n">
        <f aca="false">IF(F348="","",F348/1000)</f>
        <v>0.16</v>
      </c>
      <c r="H348" s="16" t="n">
        <f aca="false">IF(D348="","",MAX(0,MIN($B$8,IFERROR(LOOKUP(2,1/($U$24:U347&lt;&gt;""),$U$24:U347),$B$11))))</f>
        <v>15.3179680768712</v>
      </c>
      <c r="I348" s="16" t="n">
        <f aca="false" t="array" ref="I348: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>3.5918266889096</v>
      </c>
      <c r="J348" s="16" t="n">
        <f aca="false">IF(D348="","",$B$12)</f>
        <v>0.35</v>
      </c>
      <c r="K348" s="16" t="n">
        <f aca="false">IF(J348="","",J348*$B$15)</f>
        <v>0.9072</v>
      </c>
      <c r="L348" s="16" t="n">
        <f aca="false">IF(D348="","",H348+E348-K348-G348*I348)</f>
        <v>13.8834142921589</v>
      </c>
      <c r="M348" s="16" t="n">
        <f aca="false" t="array" ref="M348: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>3.46946768962532</v>
      </c>
      <c r="N348" s="16" t="n">
        <f aca="false">IF(D348="","",(I348+M348)/2)</f>
        <v>3.53064718926746</v>
      </c>
      <c r="O348" s="16" t="n">
        <f aca="false">IF(D348="","",G348*N348)</f>
        <v>0.564903550282793</v>
      </c>
      <c r="P348" s="16" t="n">
        <f aca="false">IF(D348="","",H348+E348-K348-O348)</f>
        <v>13.8932030121016</v>
      </c>
      <c r="Q348" s="16" t="n">
        <f aca="false">IF(D348="","",IF(P348&gt;=0,K348,MAX(0,K348+P348)))</f>
        <v>0.9072</v>
      </c>
      <c r="R348" s="16" t="n">
        <f aca="false">IF(D348="","",Q348/$B$15)</f>
        <v>0.35</v>
      </c>
      <c r="S348" s="16" t="n">
        <f aca="false">IF(D348="","",MAX(0,J348-R348))</f>
        <v>0</v>
      </c>
      <c r="T348" s="16" t="n">
        <f aca="false">IF(D348="","",MAX(0,Z348-$B$8))</f>
        <v>0</v>
      </c>
      <c r="U348" s="16" t="n">
        <f aca="false">IF(D348="","",MAX(0,MIN($B$8,Z348)))</f>
        <v>13.8932030121016</v>
      </c>
      <c r="V348" s="16" t="str">
        <f aca="false">IF(D348="","",IF(S348&gt;0.0000001,"Sim","Não"))</f>
        <v>Não</v>
      </c>
      <c r="W348" s="16" t="n">
        <f aca="false">IF(D348="","",U348-(H348+E348-Q348-O348-T348))</f>
        <v>0</v>
      </c>
      <c r="X348" s="16" t="n">
        <f aca="false">IF(W348="","",ABS(W348))</f>
        <v>0</v>
      </c>
      <c r="Y348" s="16" t="n">
        <f aca="false">IF(U348="","",IF($B$8=0,0,U348/$B$8*100))</f>
        <v>29.4222850743363</v>
      </c>
      <c r="Z348" s="18" t="n">
        <f aca="false">IF(D348="","",MAX(0,IF(P348&gt;=0,P348,IF(K348+P348&gt;=0,0,P348+K348))))</f>
        <v>13.8932030121016</v>
      </c>
      <c r="AA348" s="18" t="n">
        <f aca="false">IF(D348="","",IF(H348&lt;=$B$16,1,IF(H348&gt;=$B$17,$B$21,MATCH(H348,Aux_CAV!$A$2:$A$121,1))))</f>
        <v>10</v>
      </c>
      <c r="AB348" s="18" t="n">
        <f aca="false">IF(D348="","",IF(L348&lt;=$B$16,1,IF(L348&gt;=$B$17,$B$21,MATCH(L348,Aux_CAV!$A$2:$A$121,1))))</f>
        <v>10</v>
      </c>
      <c r="AC348" s="19" t="n">
        <f aca="false">IF(D348="","",COUNT($D$24:D348))</f>
        <v>313</v>
      </c>
    </row>
    <row r="349" customFormat="false" ht="12.75" hidden="false" customHeight="true" outlineLevel="0" collapsed="false">
      <c r="A349" s="14" t="n">
        <f aca="false">IF(D349="","",DATE(B349,C349,1))</f>
        <v>13547</v>
      </c>
      <c r="B349" s="15" t="n">
        <f aca="false" t="array" ref="B349:B349">IF(D349="","",IFERROR(VALUE(INDEX(Vazoes_COLAR!$A$2:$A$200,INT((ROW()-24)/12)+1)),""))</f>
        <v>1937</v>
      </c>
      <c r="C349" s="15" t="n">
        <f aca="false">IF(D349="","",MOD(ROW()-24,12)+1)</f>
        <v>2</v>
      </c>
      <c r="D349" s="16" t="n">
        <f aca="false" t="array" ref="D349: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0.746711411556816</v>
      </c>
      <c r="E349" s="16" t="n">
        <f aca="false">IF(D349="","",D349*$B$15)</f>
        <v>1.93547597875527</v>
      </c>
      <c r="F349" s="16" t="n">
        <f aca="false" t="array" ref="F349:F349">IF(D349="","",IFERROR(INDEX(Dados_Evap!$C$2:$N$15,MATCH($B$9,Dados_Evap!$A$2:$A$15,0),C349),0))</f>
        <v>124.3</v>
      </c>
      <c r="G349" s="16" t="n">
        <f aca="false">IF(F349="","",F349/1000)</f>
        <v>0.1243</v>
      </c>
      <c r="H349" s="16" t="n">
        <f aca="false">IF(D349="","",MAX(0,MIN($B$8,IFERROR(LOOKUP(2,1/($U$24:U348&lt;&gt;""),$U$24:U348),$B$11))))</f>
        <v>13.8932030121016</v>
      </c>
      <c r="I349" s="16" t="n">
        <f aca="false" t="array" ref="I349: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>3.47030260985573</v>
      </c>
      <c r="J349" s="16" t="n">
        <f aca="false">IF(D349="","",$B$12)</f>
        <v>0.35</v>
      </c>
      <c r="K349" s="16" t="n">
        <f aca="false">IF(J349="","",J349*$B$15)</f>
        <v>0.9072</v>
      </c>
      <c r="L349" s="16" t="n">
        <f aca="false">IF(D349="","",H349+E349-K349-G349*I349)</f>
        <v>14.4901203764518</v>
      </c>
      <c r="M349" s="16" t="n">
        <f aca="false" t="array" ref="M349: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>3.52121614975618</v>
      </c>
      <c r="N349" s="16" t="n">
        <f aca="false">IF(D349="","",(I349+M349)/2)</f>
        <v>3.49575937980595</v>
      </c>
      <c r="O349" s="16" t="n">
        <f aca="false">IF(D349="","",G349*N349)</f>
        <v>0.43452289090988</v>
      </c>
      <c r="P349" s="16" t="n">
        <f aca="false">IF(D349="","",H349+E349-K349-O349)</f>
        <v>14.486956099947</v>
      </c>
      <c r="Q349" s="16" t="n">
        <f aca="false">IF(D349="","",IF(P349&gt;=0,K349,MAX(0,K349+P349)))</f>
        <v>0.9072</v>
      </c>
      <c r="R349" s="16" t="n">
        <f aca="false">IF(D349="","",Q349/$B$15)</f>
        <v>0.35</v>
      </c>
      <c r="S349" s="16" t="n">
        <f aca="false">IF(D349="","",MAX(0,J349-R349))</f>
        <v>0</v>
      </c>
      <c r="T349" s="16" t="n">
        <f aca="false">IF(D349="","",MAX(0,Z349-$B$8))</f>
        <v>0</v>
      </c>
      <c r="U349" s="16" t="n">
        <f aca="false">IF(D349="","",MAX(0,MIN($B$8,Z349)))</f>
        <v>14.486956099947</v>
      </c>
      <c r="V349" s="16" t="str">
        <f aca="false">IF(D349="","",IF(S349&gt;0.0000001,"Sim","Não"))</f>
        <v>Não</v>
      </c>
      <c r="W349" s="16" t="n">
        <f aca="false">IF(D349="","",U349-(H349+E349-Q349-O349-T349))</f>
        <v>0</v>
      </c>
      <c r="X349" s="16" t="n">
        <f aca="false">IF(W349="","",ABS(W349))</f>
        <v>0</v>
      </c>
      <c r="Y349" s="16" t="n">
        <f aca="false">IF(U349="","",IF($B$8=0,0,U349/$B$8*100))</f>
        <v>30.679703727122</v>
      </c>
      <c r="Z349" s="18" t="n">
        <f aca="false">IF(D349="","",MAX(0,IF(P349&gt;=0,P349,IF(K349+P349&gt;=0,0,P349+K349))))</f>
        <v>14.486956099947</v>
      </c>
      <c r="AA349" s="18" t="n">
        <f aca="false">IF(D349="","",IF(H349&lt;=$B$16,1,IF(H349&gt;=$B$17,$B$21,MATCH(H349,Aux_CAV!$A$2:$A$121,1))))</f>
        <v>10</v>
      </c>
      <c r="AB349" s="18" t="n">
        <f aca="false">IF(D349="","",IF(L349&lt;=$B$16,1,IF(L349&gt;=$B$17,$B$21,MATCH(L349,Aux_CAV!$A$2:$A$121,1))))</f>
        <v>10</v>
      </c>
      <c r="AC349" s="19" t="n">
        <f aca="false">IF(D349="","",COUNT($D$24:D349))</f>
        <v>314</v>
      </c>
    </row>
    <row r="350" customFormat="false" ht="12.75" hidden="false" customHeight="true" outlineLevel="0" collapsed="false">
      <c r="A350" s="14" t="n">
        <f aca="false">IF(D350="","",DATE(B350,C350,1))</f>
        <v>13575</v>
      </c>
      <c r="B350" s="15" t="n">
        <f aca="false" t="array" ref="B350:B350">IF(D350="","",IFERROR(VALUE(INDEX(Vazoes_COLAR!$A$2:$A$200,INT((ROW()-24)/12)+1)),""))</f>
        <v>1937</v>
      </c>
      <c r="C350" s="15" t="n">
        <f aca="false">IF(D350="","",MOD(ROW()-24,12)+1)</f>
        <v>3</v>
      </c>
      <c r="D350" s="16" t="n">
        <f aca="false" t="array" ref="D350: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1.09676582447063</v>
      </c>
      <c r="E350" s="16" t="n">
        <f aca="false">IF(D350="","",D350*$B$15)</f>
        <v>2.84281701702787</v>
      </c>
      <c r="F350" s="16" t="n">
        <f aca="false" t="array" ref="F350:F350">IF(D350="","",IFERROR(INDEX(Dados_Evap!$C$2:$N$15,MATCH($B$9,Dados_Evap!$A$2:$A$15,0),C350),0))</f>
        <v>107.7</v>
      </c>
      <c r="G350" s="16" t="n">
        <f aca="false">IF(F350="","",F350/1000)</f>
        <v>0.1077</v>
      </c>
      <c r="H350" s="16" t="n">
        <f aca="false">IF(D350="","",MAX(0,MIN($B$8,IFERROR(LOOKUP(2,1/($U$24:U349&lt;&gt;""),$U$24:U349),$B$11))))</f>
        <v>14.486956099947</v>
      </c>
      <c r="I350" s="16" t="n">
        <f aca="false" t="array" ref="I350: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>3.52094625558371</v>
      </c>
      <c r="J350" s="16" t="n">
        <f aca="false">IF(D350="","",$B$12)</f>
        <v>0.35</v>
      </c>
      <c r="K350" s="16" t="n">
        <f aca="false">IF(J350="","",J350*$B$15)</f>
        <v>0.9072</v>
      </c>
      <c r="L350" s="16" t="n">
        <f aca="false">IF(D350="","",H350+E350-K350-G350*I350)</f>
        <v>16.0433672052485</v>
      </c>
      <c r="M350" s="16" t="n">
        <f aca="false" t="array" ref="M350: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>3.65518290989555</v>
      </c>
      <c r="N350" s="16" t="n">
        <f aca="false">IF(D350="","",(I350+M350)/2)</f>
        <v>3.58806458273963</v>
      </c>
      <c r="O350" s="16" t="n">
        <f aca="false">IF(D350="","",G350*N350)</f>
        <v>0.386434555561059</v>
      </c>
      <c r="P350" s="16" t="n">
        <f aca="false">IF(D350="","",H350+E350-K350-O350)</f>
        <v>16.0361385614138</v>
      </c>
      <c r="Q350" s="16" t="n">
        <f aca="false">IF(D350="","",IF(P350&gt;=0,K350,MAX(0,K350+P350)))</f>
        <v>0.9072</v>
      </c>
      <c r="R350" s="16" t="n">
        <f aca="false">IF(D350="","",Q350/$B$15)</f>
        <v>0.35</v>
      </c>
      <c r="S350" s="16" t="n">
        <f aca="false">IF(D350="","",MAX(0,J350-R350))</f>
        <v>0</v>
      </c>
      <c r="T350" s="16" t="n">
        <f aca="false">IF(D350="","",MAX(0,Z350-$B$8))</f>
        <v>0</v>
      </c>
      <c r="U350" s="16" t="n">
        <f aca="false">IF(D350="","",MAX(0,MIN($B$8,Z350)))</f>
        <v>16.0361385614138</v>
      </c>
      <c r="V350" s="16" t="str">
        <f aca="false">IF(D350="","",IF(S350&gt;0.0000001,"Sim","Não"))</f>
        <v>Não</v>
      </c>
      <c r="W350" s="16" t="n">
        <f aca="false">IF(D350="","",U350-(H350+E350-Q350-O350-T350))</f>
        <v>0</v>
      </c>
      <c r="X350" s="16" t="n">
        <f aca="false">IF(W350="","",ABS(W350))</f>
        <v>0</v>
      </c>
      <c r="Y350" s="16" t="n">
        <f aca="false">IF(U350="","",IF($B$8=0,0,U350/$B$8*100))</f>
        <v>33.9604797996904</v>
      </c>
      <c r="Z350" s="18" t="n">
        <f aca="false">IF(D350="","",MAX(0,IF(P350&gt;=0,P350,IF(K350+P350&gt;=0,0,P350+K350))))</f>
        <v>16.0361385614138</v>
      </c>
      <c r="AA350" s="18" t="n">
        <f aca="false">IF(D350="","",IF(H350&lt;=$B$16,1,IF(H350&gt;=$B$17,$B$21,MATCH(H350,Aux_CAV!$A$2:$A$121,1))))</f>
        <v>10</v>
      </c>
      <c r="AB350" s="18" t="n">
        <f aca="false">IF(D350="","",IF(L350&lt;=$B$16,1,IF(L350&gt;=$B$17,$B$21,MATCH(L350,Aux_CAV!$A$2:$A$121,1))))</f>
        <v>11</v>
      </c>
      <c r="AC350" s="19" t="n">
        <f aca="false">IF(D350="","",COUNT($D$24:D350))</f>
        <v>315</v>
      </c>
    </row>
    <row r="351" customFormat="false" ht="12.75" hidden="false" customHeight="true" outlineLevel="0" collapsed="false">
      <c r="A351" s="14" t="n">
        <f aca="false">IF(D351="","",DATE(B351,C351,1))</f>
        <v>13606</v>
      </c>
      <c r="B351" s="15" t="n">
        <f aca="false" t="array" ref="B351:B351">IF(D351="","",IFERROR(VALUE(INDEX(Vazoes_COLAR!$A$2:$A$200,INT((ROW()-24)/12)+1)),""))</f>
        <v>1937</v>
      </c>
      <c r="C351" s="15" t="n">
        <f aca="false">IF(D351="","",MOD(ROW()-24,12)+1)</f>
        <v>4</v>
      </c>
      <c r="D351" s="16" t="n">
        <f aca="false" t="array" ref="D351: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1.44079095668174</v>
      </c>
      <c r="E351" s="16" t="n">
        <f aca="false">IF(D351="","",D351*$B$15)</f>
        <v>3.73453015971907</v>
      </c>
      <c r="F351" s="16" t="n">
        <f aca="false" t="array" ref="F351:F351">IF(D351="","",IFERROR(INDEX(Dados_Evap!$C$2:$N$15,MATCH($B$9,Dados_Evap!$A$2:$A$15,0),C351),0))</f>
        <v>100.5</v>
      </c>
      <c r="G351" s="16" t="n">
        <f aca="false">IF(F351="","",F351/1000)</f>
        <v>0.1005</v>
      </c>
      <c r="H351" s="16" t="n">
        <f aca="false">IF(D351="","",MAX(0,MIN($B$8,IFERROR(LOOKUP(2,1/($U$24:U350&lt;&gt;""),$U$24:U350),$B$11))))</f>
        <v>16.0361385614138</v>
      </c>
      <c r="I351" s="16" t="n">
        <f aca="false" t="array" ref="I351: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>3.65431899880311</v>
      </c>
      <c r="J351" s="16" t="n">
        <f aca="false">IF(D351="","",$B$12)</f>
        <v>0.35</v>
      </c>
      <c r="K351" s="16" t="n">
        <f aca="false">IF(J351="","",J351*$B$15)</f>
        <v>0.9072</v>
      </c>
      <c r="L351" s="16" t="n">
        <f aca="false">IF(D351="","",H351+E351-K351-G351*I351)</f>
        <v>18.4962096617532</v>
      </c>
      <c r="M351" s="16" t="n">
        <f aca="false" t="array" ref="M351: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>3.94832749616074</v>
      </c>
      <c r="N351" s="16" t="n">
        <f aca="false">IF(D351="","",(I351+M351)/2)</f>
        <v>3.80132324748193</v>
      </c>
      <c r="O351" s="16" t="n">
        <f aca="false">IF(D351="","",G351*N351)</f>
        <v>0.382032986371934</v>
      </c>
      <c r="P351" s="16" t="n">
        <f aca="false">IF(D351="","",H351+E351-K351-O351)</f>
        <v>18.481435734761</v>
      </c>
      <c r="Q351" s="16" t="n">
        <f aca="false">IF(D351="","",IF(P351&gt;=0,K351,MAX(0,K351+P351)))</f>
        <v>0.9072</v>
      </c>
      <c r="R351" s="16" t="n">
        <f aca="false">IF(D351="","",Q351/$B$15)</f>
        <v>0.35</v>
      </c>
      <c r="S351" s="16" t="n">
        <f aca="false">IF(D351="","",MAX(0,J351-R351))</f>
        <v>0</v>
      </c>
      <c r="T351" s="16" t="n">
        <f aca="false">IF(D351="","",MAX(0,Z351-$B$8))</f>
        <v>0</v>
      </c>
      <c r="U351" s="16" t="n">
        <f aca="false">IF(D351="","",MAX(0,MIN($B$8,Z351)))</f>
        <v>18.481435734761</v>
      </c>
      <c r="V351" s="16" t="str">
        <f aca="false">IF(D351="","",IF(S351&gt;0.0000001,"Sim","Não"))</f>
        <v>Não</v>
      </c>
      <c r="W351" s="16" t="n">
        <f aca="false">IF(D351="","",U351-(H351+E351-Q351-O351-T351))</f>
        <v>0</v>
      </c>
      <c r="X351" s="16" t="n">
        <f aca="false">IF(W351="","",ABS(W351))</f>
        <v>0</v>
      </c>
      <c r="Y351" s="16" t="n">
        <f aca="false">IF(U351="","",IF($B$8=0,0,U351/$B$8*100))</f>
        <v>39.1389998618402</v>
      </c>
      <c r="Z351" s="18" t="n">
        <f aca="false">IF(D351="","",MAX(0,IF(P351&gt;=0,P351,IF(K351+P351&gt;=0,0,P351+K351))))</f>
        <v>18.481435734761</v>
      </c>
      <c r="AA351" s="18" t="n">
        <f aca="false">IF(D351="","",IF(H351&lt;=$B$16,1,IF(H351&gt;=$B$17,$B$21,MATCH(H351,Aux_CAV!$A$2:$A$121,1))))</f>
        <v>11</v>
      </c>
      <c r="AB351" s="18" t="n">
        <f aca="false">IF(D351="","",IF(L351&lt;=$B$16,1,IF(L351&gt;=$B$17,$B$21,MATCH(L351,Aux_CAV!$A$2:$A$121,1))))</f>
        <v>11</v>
      </c>
      <c r="AC351" s="19" t="n">
        <f aca="false">IF(D351="","",COUNT($D$24:D351))</f>
        <v>316</v>
      </c>
    </row>
    <row r="352" customFormat="false" ht="12.75" hidden="false" customHeight="true" outlineLevel="0" collapsed="false">
      <c r="A352" s="14" t="n">
        <f aca="false">IF(D352="","",DATE(B352,C352,1))</f>
        <v>13636</v>
      </c>
      <c r="B352" s="15" t="n">
        <f aca="false" t="array" ref="B352:B352">IF(D352="","",IFERROR(VALUE(INDEX(Vazoes_COLAR!$A$2:$A$200,INT((ROW()-24)/12)+1)),""))</f>
        <v>1937</v>
      </c>
      <c r="C352" s="15" t="n">
        <f aca="false">IF(D352="","",MOD(ROW()-24,12)+1)</f>
        <v>5</v>
      </c>
      <c r="D352" s="16" t="n">
        <f aca="false" t="array" ref="D352: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1.74899011606938</v>
      </c>
      <c r="E352" s="16" t="n">
        <f aca="false">IF(D352="","",D352*$B$15)</f>
        <v>4.53338238085183</v>
      </c>
      <c r="F352" s="16" t="n">
        <f aca="false" t="array" ref="F352:F352">IF(D352="","",IFERROR(INDEX(Dados_Evap!$C$2:$N$15,MATCH($B$9,Dados_Evap!$A$2:$A$15,0),C352),0))</f>
        <v>145.8</v>
      </c>
      <c r="G352" s="16" t="n">
        <f aca="false">IF(F352="","",F352/1000)</f>
        <v>0.1458</v>
      </c>
      <c r="H352" s="16" t="n">
        <f aca="false">IF(D352="","",MAX(0,MIN($B$8,IFERROR(LOOKUP(2,1/($U$24:U351&lt;&gt;""),$U$24:U351),$B$11))))</f>
        <v>18.481435734761</v>
      </c>
      <c r="I352" s="16" t="n">
        <f aca="false" t="array" ref="I352: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>3.94656183171533</v>
      </c>
      <c r="J352" s="16" t="n">
        <f aca="false">IF(D352="","",$B$12)</f>
        <v>0.35</v>
      </c>
      <c r="K352" s="16" t="n">
        <f aca="false">IF(J352="","",J352*$B$15)</f>
        <v>0.9072</v>
      </c>
      <c r="L352" s="16" t="n">
        <f aca="false">IF(D352="","",H352+E352-K352-G352*I352)</f>
        <v>21.5322094005487</v>
      </c>
      <c r="M352" s="16" t="n">
        <f aca="false" t="array" ref="M352: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>4.31116648933387</v>
      </c>
      <c r="N352" s="16" t="n">
        <f aca="false">IF(D352="","",(I352+M352)/2)</f>
        <v>4.1288641605246</v>
      </c>
      <c r="O352" s="16" t="n">
        <f aca="false">IF(D352="","",G352*N352)</f>
        <v>0.601988394604487</v>
      </c>
      <c r="P352" s="16" t="n">
        <f aca="false">IF(D352="","",H352+E352-K352-O352)</f>
        <v>21.5056297210083</v>
      </c>
      <c r="Q352" s="16" t="n">
        <f aca="false">IF(D352="","",IF(P352&gt;=0,K352,MAX(0,K352+P352)))</f>
        <v>0.9072</v>
      </c>
      <c r="R352" s="16" t="n">
        <f aca="false">IF(D352="","",Q352/$B$15)</f>
        <v>0.35</v>
      </c>
      <c r="S352" s="16" t="n">
        <f aca="false">IF(D352="","",MAX(0,J352-R352))</f>
        <v>0</v>
      </c>
      <c r="T352" s="16" t="n">
        <f aca="false">IF(D352="","",MAX(0,Z352-$B$8))</f>
        <v>0</v>
      </c>
      <c r="U352" s="16" t="n">
        <f aca="false">IF(D352="","",MAX(0,MIN($B$8,Z352)))</f>
        <v>21.5056297210083</v>
      </c>
      <c r="V352" s="16" t="str">
        <f aca="false">IF(D352="","",IF(S352&gt;0.0000001,"Sim","Não"))</f>
        <v>Não</v>
      </c>
      <c r="W352" s="16" t="n">
        <f aca="false">IF(D352="","",U352-(H352+E352-Q352-O352-T352))</f>
        <v>0</v>
      </c>
      <c r="X352" s="16" t="n">
        <f aca="false">IF(W352="","",ABS(W352))</f>
        <v>0</v>
      </c>
      <c r="Y352" s="16" t="n">
        <f aca="false">IF(U352="","",IF($B$8=0,0,U352/$B$8*100))</f>
        <v>45.5434767492764</v>
      </c>
      <c r="Z352" s="18" t="n">
        <f aca="false">IF(D352="","",MAX(0,IF(P352&gt;=0,P352,IF(K352+P352&gt;=0,0,P352+K352))))</f>
        <v>21.5056297210083</v>
      </c>
      <c r="AA352" s="18" t="n">
        <f aca="false">IF(D352="","",IF(H352&lt;=$B$16,1,IF(H352&gt;=$B$17,$B$21,MATCH(H352,Aux_CAV!$A$2:$A$121,1))))</f>
        <v>11</v>
      </c>
      <c r="AB352" s="18" t="n">
        <f aca="false">IF(D352="","",IF(L352&lt;=$B$16,1,IF(L352&gt;=$B$17,$B$21,MATCH(L352,Aux_CAV!$A$2:$A$121,1))))</f>
        <v>11</v>
      </c>
      <c r="AC352" s="19" t="n">
        <f aca="false">IF(D352="","",COUNT($D$24:D352))</f>
        <v>317</v>
      </c>
    </row>
    <row r="353" customFormat="false" ht="12.75" hidden="false" customHeight="true" outlineLevel="0" collapsed="false">
      <c r="A353" s="14" t="n">
        <f aca="false">IF(D353="","",DATE(B353,C353,1))</f>
        <v>13667</v>
      </c>
      <c r="B353" s="15" t="n">
        <f aca="false" t="array" ref="B353:B353">IF(D353="","",IFERROR(VALUE(INDEX(Vazoes_COLAR!$A$2:$A$200,INT((ROW()-24)/12)+1)),""))</f>
        <v>1937</v>
      </c>
      <c r="C353" s="15" t="n">
        <f aca="false">IF(D353="","",MOD(ROW()-24,12)+1)</f>
        <v>6</v>
      </c>
      <c r="D353" s="16" t="n">
        <f aca="false" t="array" ref="D353: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0.358103897904915</v>
      </c>
      <c r="E353" s="16" t="n">
        <f aca="false">IF(D353="","",D353*$B$15)</f>
        <v>0.92820530336954</v>
      </c>
      <c r="F353" s="16" t="n">
        <f aca="false" t="array" ref="F353:F353">IF(D353="","",IFERROR(INDEX(Dados_Evap!$C$2:$N$15,MATCH($B$9,Dados_Evap!$A$2:$A$15,0),C353),0))</f>
        <v>161.3</v>
      </c>
      <c r="G353" s="16" t="n">
        <f aca="false">IF(F353="","",F353/1000)</f>
        <v>0.1613</v>
      </c>
      <c r="H353" s="16" t="n">
        <f aca="false">IF(D353="","",MAX(0,MIN($B$8,IFERROR(LOOKUP(2,1/($U$24:U352&lt;&gt;""),$U$24:U352),$B$11))))</f>
        <v>21.5056297210083</v>
      </c>
      <c r="I353" s="16" t="n">
        <f aca="false" t="array" ref="I353: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>4.30798989348636</v>
      </c>
      <c r="J353" s="16" t="n">
        <f aca="false">IF(D353="","",$B$12)</f>
        <v>0.35</v>
      </c>
      <c r="K353" s="16" t="n">
        <f aca="false">IF(J353="","",J353*$B$15)</f>
        <v>0.9072</v>
      </c>
      <c r="L353" s="16" t="n">
        <f aca="false">IF(D353="","",H353+E353-K353-G353*I353)</f>
        <v>20.8317562545585</v>
      </c>
      <c r="M353" s="16" t="n">
        <f aca="false" t="array" ref="M353: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>4.2274537962765</v>
      </c>
      <c r="N353" s="16" t="n">
        <f aca="false">IF(D353="","",(I353+M353)/2)</f>
        <v>4.26772184488143</v>
      </c>
      <c r="O353" s="16" t="n">
        <f aca="false">IF(D353="","",G353*N353)</f>
        <v>0.688383533579375</v>
      </c>
      <c r="P353" s="16" t="n">
        <f aca="false">IF(D353="","",H353+E353-K353-O353)</f>
        <v>20.8382514907985</v>
      </c>
      <c r="Q353" s="16" t="n">
        <f aca="false">IF(D353="","",IF(P353&gt;=0,K353,MAX(0,K353+P353)))</f>
        <v>0.9072</v>
      </c>
      <c r="R353" s="16" t="n">
        <f aca="false">IF(D353="","",Q353/$B$15)</f>
        <v>0.35</v>
      </c>
      <c r="S353" s="16" t="n">
        <f aca="false">IF(D353="","",MAX(0,J353-R353))</f>
        <v>0</v>
      </c>
      <c r="T353" s="16" t="n">
        <f aca="false">IF(D353="","",MAX(0,Z353-$B$8))</f>
        <v>0</v>
      </c>
      <c r="U353" s="16" t="n">
        <f aca="false">IF(D353="","",MAX(0,MIN($B$8,Z353)))</f>
        <v>20.8382514907985</v>
      </c>
      <c r="V353" s="16" t="str">
        <f aca="false">IF(D353="","",IF(S353&gt;0.0000001,"Sim","Não"))</f>
        <v>Não</v>
      </c>
      <c r="W353" s="16" t="n">
        <f aca="false">IF(D353="","",U353-(H353+E353-Q353-O353-T353))</f>
        <v>0</v>
      </c>
      <c r="X353" s="16" t="n">
        <f aca="false">IF(W353="","",ABS(W353))</f>
        <v>0</v>
      </c>
      <c r="Y353" s="16" t="n">
        <f aca="false">IF(U353="","",IF($B$8=0,0,U353/$B$8*100))</f>
        <v>44.1301386929235</v>
      </c>
      <c r="Z353" s="18" t="n">
        <f aca="false">IF(D353="","",MAX(0,IF(P353&gt;=0,P353,IF(K353+P353&gt;=0,0,P353+K353))))</f>
        <v>20.8382514907985</v>
      </c>
      <c r="AA353" s="18" t="n">
        <f aca="false">IF(D353="","",IF(H353&lt;=$B$16,1,IF(H353&gt;=$B$17,$B$21,MATCH(H353,Aux_CAV!$A$2:$A$121,1))))</f>
        <v>11</v>
      </c>
      <c r="AB353" s="18" t="n">
        <f aca="false">IF(D353="","",IF(L353&lt;=$B$16,1,IF(L353&gt;=$B$17,$B$21,MATCH(L353,Aux_CAV!$A$2:$A$121,1))))</f>
        <v>11</v>
      </c>
      <c r="AC353" s="19" t="n">
        <f aca="false">IF(D353="","",COUNT($D$24:D353))</f>
        <v>318</v>
      </c>
    </row>
    <row r="354" customFormat="false" ht="12.75" hidden="false" customHeight="true" outlineLevel="0" collapsed="false">
      <c r="A354" s="14" t="n">
        <f aca="false">IF(D354="","",DATE(B354,C354,1))</f>
        <v>13697</v>
      </c>
      <c r="B354" s="15" t="n">
        <f aca="false" t="array" ref="B354:B354">IF(D354="","",IFERROR(VALUE(INDEX(Vazoes_COLAR!$A$2:$A$200,INT((ROW()-24)/12)+1)),""))</f>
        <v>1937</v>
      </c>
      <c r="C354" s="15" t="n">
        <f aca="false">IF(D354="","",MOD(ROW()-24,12)+1)</f>
        <v>7</v>
      </c>
      <c r="D354" s="16" t="n">
        <f aca="false" t="array" ref="D354: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0.122925784684544</v>
      </c>
      <c r="E354" s="16" t="n">
        <f aca="false">IF(D354="","",D354*$B$15)</f>
        <v>0.318623633902338</v>
      </c>
      <c r="F354" s="16" t="n">
        <f aca="false" t="array" ref="F354:F354">IF(D354="","",IFERROR(INDEX(Dados_Evap!$C$2:$N$15,MATCH($B$9,Dados_Evap!$A$2:$A$15,0),C354),0))</f>
        <v>224.8</v>
      </c>
      <c r="G354" s="16" t="n">
        <f aca="false">IF(F354="","",F354/1000)</f>
        <v>0.2248</v>
      </c>
      <c r="H354" s="16" t="n">
        <f aca="false">IF(D354="","",MAX(0,MIN($B$8,IFERROR(LOOKUP(2,1/($U$24:U353&lt;&gt;""),$U$24:U353),$B$11))))</f>
        <v>20.8382514907985</v>
      </c>
      <c r="I354" s="16" t="n">
        <f aca="false" t="array" ref="I354: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>4.22823005621738</v>
      </c>
      <c r="J354" s="16" t="n">
        <f aca="false">IF(D354="","",$B$12)</f>
        <v>0.35</v>
      </c>
      <c r="K354" s="16" t="n">
        <f aca="false">IF(J354="","",J354*$B$15)</f>
        <v>0.9072</v>
      </c>
      <c r="L354" s="16" t="n">
        <f aca="false">IF(D354="","",H354+E354-K354-G354*I354)</f>
        <v>19.2991690080631</v>
      </c>
      <c r="M354" s="16" t="n">
        <f aca="false" t="array" ref="M354: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>4.04429093023194</v>
      </c>
      <c r="N354" s="16" t="n">
        <f aca="false">IF(D354="","",(I354+M354)/2)</f>
        <v>4.13626049322466</v>
      </c>
      <c r="O354" s="16" t="n">
        <f aca="false">IF(D354="","",G354*N354)</f>
        <v>0.929831358876903</v>
      </c>
      <c r="P354" s="16" t="n">
        <f aca="false">IF(D354="","",H354+E354-K354-O354)</f>
        <v>19.3198437658239</v>
      </c>
      <c r="Q354" s="16" t="n">
        <f aca="false">IF(D354="","",IF(P354&gt;=0,K354,MAX(0,K354+P354)))</f>
        <v>0.9072</v>
      </c>
      <c r="R354" s="16" t="n">
        <f aca="false">IF(D354="","",Q354/$B$15)</f>
        <v>0.35</v>
      </c>
      <c r="S354" s="16" t="n">
        <f aca="false">IF(D354="","",MAX(0,J354-R354))</f>
        <v>0</v>
      </c>
      <c r="T354" s="16" t="n">
        <f aca="false">IF(D354="","",MAX(0,Z354-$B$8))</f>
        <v>0</v>
      </c>
      <c r="U354" s="16" t="n">
        <f aca="false">IF(D354="","",MAX(0,MIN($B$8,Z354)))</f>
        <v>19.3198437658239</v>
      </c>
      <c r="V354" s="16" t="str">
        <f aca="false">IF(D354="","",IF(S354&gt;0.0000001,"Sim","Não"))</f>
        <v>Não</v>
      </c>
      <c r="W354" s="16" t="n">
        <f aca="false">IF(D354="","",U354-(H354+E354-Q354-O354-T354))</f>
        <v>0</v>
      </c>
      <c r="X354" s="16" t="n">
        <f aca="false">IF(W354="","",ABS(W354))</f>
        <v>0</v>
      </c>
      <c r="Y354" s="16" t="n">
        <f aca="false">IF(U354="","",IF($B$8=0,0,U354/$B$8*100))</f>
        <v>40.9145357175432</v>
      </c>
      <c r="Z354" s="18" t="n">
        <f aca="false">IF(D354="","",MAX(0,IF(P354&gt;=0,P354,IF(K354+P354&gt;=0,0,P354+K354))))</f>
        <v>19.3198437658239</v>
      </c>
      <c r="AA354" s="18" t="n">
        <f aca="false">IF(D354="","",IF(H354&lt;=$B$16,1,IF(H354&gt;=$B$17,$B$21,MATCH(H354,Aux_CAV!$A$2:$A$121,1))))</f>
        <v>11</v>
      </c>
      <c r="AB354" s="18" t="n">
        <f aca="false">IF(D354="","",IF(L354&lt;=$B$16,1,IF(L354&gt;=$B$17,$B$21,MATCH(L354,Aux_CAV!$A$2:$A$121,1))))</f>
        <v>11</v>
      </c>
      <c r="AC354" s="19" t="n">
        <f aca="false">IF(D354="","",COUNT($D$24:D354))</f>
        <v>319</v>
      </c>
    </row>
    <row r="355" customFormat="false" ht="12.75" hidden="false" customHeight="true" outlineLevel="0" collapsed="false">
      <c r="A355" s="14" t="n">
        <f aca="false">IF(D355="","",DATE(B355,C355,1))</f>
        <v>13728</v>
      </c>
      <c r="B355" s="15" t="n">
        <f aca="false" t="array" ref="B355:B355">IF(D355="","",IFERROR(VALUE(INDEX(Vazoes_COLAR!$A$2:$A$200,INT((ROW()-24)/12)+1)),""))</f>
        <v>1937</v>
      </c>
      <c r="C355" s="15" t="n">
        <f aca="false">IF(D355="","",MOD(ROW()-24,12)+1)</f>
        <v>8</v>
      </c>
      <c r="D355" s="16" t="n">
        <f aca="false" t="array" ref="D355: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0.0171071263592443</v>
      </c>
      <c r="E355" s="16" t="n">
        <f aca="false">IF(D355="","",D355*$B$15)</f>
        <v>0.0443416715231612</v>
      </c>
      <c r="F355" s="16" t="n">
        <f aca="false" t="array" ref="F355:F355">IF(D355="","",IFERROR(INDEX(Dados_Evap!$C$2:$N$15,MATCH($B$9,Dados_Evap!$A$2:$A$15,0),C355),0))</f>
        <v>268.7</v>
      </c>
      <c r="G355" s="16" t="n">
        <f aca="false">IF(F355="","",F355/1000)</f>
        <v>0.2687</v>
      </c>
      <c r="H355" s="16" t="n">
        <f aca="false">IF(D355="","",MAX(0,MIN($B$8,IFERROR(LOOKUP(2,1/($U$24:U354&lt;&gt;""),$U$24:U354),$B$11))))</f>
        <v>19.3198437658239</v>
      </c>
      <c r="I355" s="16" t="n">
        <f aca="false" t="array" ref="I355: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>4.04676181591554</v>
      </c>
      <c r="J355" s="16" t="n">
        <f aca="false">IF(D355="","",$B$12)</f>
        <v>0.35</v>
      </c>
      <c r="K355" s="16" t="n">
        <f aca="false">IF(J355="","",J355*$B$15)</f>
        <v>0.9072</v>
      </c>
      <c r="L355" s="16" t="n">
        <f aca="false">IF(D355="","",H355+E355-K355-G355*I355)</f>
        <v>17.3696205374106</v>
      </c>
      <c r="M355" s="16" t="n">
        <f aca="false" t="array" ref="M355: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>3.81368635691004</v>
      </c>
      <c r="N355" s="16" t="n">
        <f aca="false">IF(D355="","",(I355+M355)/2)</f>
        <v>3.93022408641279</v>
      </c>
      <c r="O355" s="16" t="n">
        <f aca="false">IF(D355="","",G355*N355)</f>
        <v>1.05605121201912</v>
      </c>
      <c r="P355" s="16" t="n">
        <f aca="false">IF(D355="","",H355+E355-K355-O355)</f>
        <v>17.4009342253279</v>
      </c>
      <c r="Q355" s="16" t="n">
        <f aca="false">IF(D355="","",IF(P355&gt;=0,K355,MAX(0,K355+P355)))</f>
        <v>0.9072</v>
      </c>
      <c r="R355" s="16" t="n">
        <f aca="false">IF(D355="","",Q355/$B$15)</f>
        <v>0.35</v>
      </c>
      <c r="S355" s="16" t="n">
        <f aca="false">IF(D355="","",MAX(0,J355-R355))</f>
        <v>0</v>
      </c>
      <c r="T355" s="16" t="n">
        <f aca="false">IF(D355="","",MAX(0,Z355-$B$8))</f>
        <v>0</v>
      </c>
      <c r="U355" s="16" t="n">
        <f aca="false">IF(D355="","",MAX(0,MIN($B$8,Z355)))</f>
        <v>17.4009342253279</v>
      </c>
      <c r="V355" s="16" t="str">
        <f aca="false">IF(D355="","",IF(S355&gt;0.0000001,"Sim","Não"))</f>
        <v>Não</v>
      </c>
      <c r="W355" s="16" t="n">
        <f aca="false">IF(D355="","",U355-(H355+E355-Q355-O355-T355))</f>
        <v>0</v>
      </c>
      <c r="X355" s="16" t="n">
        <f aca="false">IF(W355="","",ABS(W355))</f>
        <v>0</v>
      </c>
      <c r="Y355" s="16" t="n">
        <f aca="false">IF(U355="","",IF($B$8=0,0,U355/$B$8*100))</f>
        <v>36.8507713369927</v>
      </c>
      <c r="Z355" s="18" t="n">
        <f aca="false">IF(D355="","",MAX(0,IF(P355&gt;=0,P355,IF(K355+P355&gt;=0,0,P355+K355))))</f>
        <v>17.4009342253279</v>
      </c>
      <c r="AA355" s="18" t="n">
        <f aca="false">IF(D355="","",IF(H355&lt;=$B$16,1,IF(H355&gt;=$B$17,$B$21,MATCH(H355,Aux_CAV!$A$2:$A$121,1))))</f>
        <v>11</v>
      </c>
      <c r="AB355" s="18" t="n">
        <f aca="false">IF(D355="","",IF(L355&lt;=$B$16,1,IF(L355&gt;=$B$17,$B$21,MATCH(L355,Aux_CAV!$A$2:$A$121,1))))</f>
        <v>11</v>
      </c>
      <c r="AC355" s="19" t="n">
        <f aca="false">IF(D355="","",COUNT($D$24:D355))</f>
        <v>320</v>
      </c>
    </row>
    <row r="356" customFormat="false" ht="12.75" hidden="false" customHeight="true" outlineLevel="0" collapsed="false">
      <c r="A356" s="14" t="n">
        <f aca="false">IF(D356="","",DATE(B356,C356,1))</f>
        <v>13759</v>
      </c>
      <c r="B356" s="15" t="n">
        <f aca="false" t="array" ref="B356:B356">IF(D356="","",IFERROR(VALUE(INDEX(Vazoes_COLAR!$A$2:$A$200,INT((ROW()-24)/12)+1)),""))</f>
        <v>1937</v>
      </c>
      <c r="C356" s="15" t="n">
        <f aca="false">IF(D356="","",MOD(ROW()-24,12)+1)</f>
        <v>9</v>
      </c>
      <c r="D356" s="16" t="n">
        <f aca="false" t="array" ref="D356: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0.0289316936643284</v>
      </c>
      <c r="E356" s="16" t="n">
        <f aca="false">IF(D356="","",D356*$B$15)</f>
        <v>0.0749909499779392</v>
      </c>
      <c r="F356" s="16" t="n">
        <f aca="false" t="array" ref="F356:F356">IF(D356="","",IFERROR(INDEX(Dados_Evap!$C$2:$N$15,MATCH($B$9,Dados_Evap!$A$2:$A$15,0),C356),0))</f>
        <v>292.8</v>
      </c>
      <c r="G356" s="16" t="n">
        <f aca="false">IF(F356="","",F356/1000)</f>
        <v>0.2928</v>
      </c>
      <c r="H356" s="16" t="n">
        <f aca="false">IF(D356="","",MAX(0,MIN($B$8,IFERROR(LOOKUP(2,1/($U$24:U355&lt;&gt;""),$U$24:U355),$B$11))))</f>
        <v>17.4009342253279</v>
      </c>
      <c r="I356" s="16" t="n">
        <f aca="false" t="array" ref="I356: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>3.81742872449041</v>
      </c>
      <c r="J356" s="16" t="n">
        <f aca="false">IF(D356="","",$B$12)</f>
        <v>0.35</v>
      </c>
      <c r="K356" s="16" t="n">
        <f aca="false">IF(J356="","",J356*$B$15)</f>
        <v>0.9072</v>
      </c>
      <c r="L356" s="16" t="n">
        <f aca="false">IF(D356="","",H356+E356-K356-G356*I356)</f>
        <v>15.4509820447751</v>
      </c>
      <c r="M356" s="16" t="n">
        <f aca="false" t="array" ref="M356: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>3.6031719979367</v>
      </c>
      <c r="N356" s="16" t="n">
        <f aca="false">IF(D356="","",(I356+M356)/2)</f>
        <v>3.71030036121356</v>
      </c>
      <c r="O356" s="16" t="n">
        <f aca="false">IF(D356="","",G356*N356)</f>
        <v>1.08637594576333</v>
      </c>
      <c r="P356" s="16" t="n">
        <f aca="false">IF(D356="","",H356+E356-K356-O356)</f>
        <v>15.4823492295426</v>
      </c>
      <c r="Q356" s="16" t="n">
        <f aca="false">IF(D356="","",IF(P356&gt;=0,K356,MAX(0,K356+P356)))</f>
        <v>0.9072</v>
      </c>
      <c r="R356" s="16" t="n">
        <f aca="false">IF(D356="","",Q356/$B$15)</f>
        <v>0.35</v>
      </c>
      <c r="S356" s="16" t="n">
        <f aca="false">IF(D356="","",MAX(0,J356-R356))</f>
        <v>0</v>
      </c>
      <c r="T356" s="16" t="n">
        <f aca="false">IF(D356="","",MAX(0,Z356-$B$8))</f>
        <v>0</v>
      </c>
      <c r="U356" s="16" t="n">
        <f aca="false">IF(D356="","",MAX(0,MIN($B$8,Z356)))</f>
        <v>15.4823492295426</v>
      </c>
      <c r="V356" s="16" t="str">
        <f aca="false">IF(D356="","",IF(S356&gt;0.0000001,"Sim","Não"))</f>
        <v>Não</v>
      </c>
      <c r="W356" s="16" t="n">
        <f aca="false">IF(D356="","",U356-(H356+E356-Q356-O356-T356))</f>
        <v>0</v>
      </c>
      <c r="X356" s="16" t="n">
        <f aca="false">IF(W356="","",ABS(W356))</f>
        <v>0</v>
      </c>
      <c r="Y356" s="16" t="n">
        <f aca="false">IF(U356="","",IF($B$8=0,0,U356/$B$8*100))</f>
        <v>32.7876942599376</v>
      </c>
      <c r="Z356" s="18" t="n">
        <f aca="false">IF(D356="","",MAX(0,IF(P356&gt;=0,P356,IF(K356+P356&gt;=0,0,P356+K356))))</f>
        <v>15.4823492295426</v>
      </c>
      <c r="AA356" s="18" t="n">
        <f aca="false">IF(D356="","",IF(H356&lt;=$B$16,1,IF(H356&gt;=$B$17,$B$21,MATCH(H356,Aux_CAV!$A$2:$A$121,1))))</f>
        <v>11</v>
      </c>
      <c r="AB356" s="18" t="n">
        <f aca="false">IF(D356="","",IF(L356&lt;=$B$16,1,IF(L356&gt;=$B$17,$B$21,MATCH(L356,Aux_CAV!$A$2:$A$121,1))))</f>
        <v>10</v>
      </c>
      <c r="AC356" s="19" t="n">
        <f aca="false">IF(D356="","",COUNT($D$24:D356))</f>
        <v>321</v>
      </c>
    </row>
    <row r="357" customFormat="false" ht="12.75" hidden="false" customHeight="true" outlineLevel="0" collapsed="false">
      <c r="A357" s="14" t="n">
        <f aca="false">IF(D357="","",DATE(B357,C357,1))</f>
        <v>13789</v>
      </c>
      <c r="B357" s="15" t="n">
        <f aca="false" t="array" ref="B357:B357">IF(D357="","",IFERROR(VALUE(INDEX(Vazoes_COLAR!$A$2:$A$200,INT((ROW()-24)/12)+1)),""))</f>
        <v>1937</v>
      </c>
      <c r="C357" s="15" t="n">
        <f aca="false">IF(D357="","",MOD(ROW()-24,12)+1)</f>
        <v>10</v>
      </c>
      <c r="D357" s="16" t="n">
        <f aca="false" t="array" ref="D357: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0.018061567737258</v>
      </c>
      <c r="E357" s="16" t="n">
        <f aca="false">IF(D357="","",D357*$B$15)</f>
        <v>0.0468155835749727</v>
      </c>
      <c r="F357" s="16" t="n">
        <f aca="false" t="array" ref="F357:F357">IF(D357="","",IFERROR(INDEX(Dados_Evap!$C$2:$N$15,MATCH($B$9,Dados_Evap!$A$2:$A$15,0),C357),0))</f>
        <v>262.9</v>
      </c>
      <c r="G357" s="16" t="n">
        <f aca="false">IF(F357="","",F357/1000)</f>
        <v>0.2629</v>
      </c>
      <c r="H357" s="16" t="n">
        <f aca="false">IF(D357="","",MAX(0,MIN($B$8,IFERROR(LOOKUP(2,1/($U$24:U356&lt;&gt;""),$U$24:U356),$B$11))))</f>
        <v>15.4823492295426</v>
      </c>
      <c r="I357" s="16" t="n">
        <f aca="false" t="array" ref="I357: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>3.60584743428451</v>
      </c>
      <c r="J357" s="16" t="n">
        <f aca="false">IF(D357="","",$B$12)</f>
        <v>0.35</v>
      </c>
      <c r="K357" s="16" t="n">
        <f aca="false">IF(J357="","",J357*$B$15)</f>
        <v>0.9072</v>
      </c>
      <c r="L357" s="16" t="n">
        <f aca="false">IF(D357="","",H357+E357-K357-G357*I357)</f>
        <v>13.6739875226441</v>
      </c>
      <c r="M357" s="16" t="n">
        <f aca="false" t="array" ref="M357: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>3.45160481810788</v>
      </c>
      <c r="N357" s="16" t="n">
        <f aca="false">IF(D357="","",(I357+M357)/2)</f>
        <v>3.5287261261962</v>
      </c>
      <c r="O357" s="16" t="n">
        <f aca="false">IF(D357="","",G357*N357)</f>
        <v>0.92770209857698</v>
      </c>
      <c r="P357" s="16" t="n">
        <f aca="false">IF(D357="","",H357+E357-K357-O357)</f>
        <v>13.6942627145405</v>
      </c>
      <c r="Q357" s="16" t="n">
        <f aca="false">IF(D357="","",IF(P357&gt;=0,K357,MAX(0,K357+P357)))</f>
        <v>0.9072</v>
      </c>
      <c r="R357" s="16" t="n">
        <f aca="false">IF(D357="","",Q357/$B$15)</f>
        <v>0.35</v>
      </c>
      <c r="S357" s="16" t="n">
        <f aca="false">IF(D357="","",MAX(0,J357-R357))</f>
        <v>0</v>
      </c>
      <c r="T357" s="16" t="n">
        <f aca="false">IF(D357="","",MAX(0,Z357-$B$8))</f>
        <v>0</v>
      </c>
      <c r="U357" s="16" t="n">
        <f aca="false">IF(D357="","",MAX(0,MIN($B$8,Z357)))</f>
        <v>13.6942627145405</v>
      </c>
      <c r="V357" s="16" t="str">
        <f aca="false">IF(D357="","",IF(S357&gt;0.0000001,"Sim","Não"))</f>
        <v>Não</v>
      </c>
      <c r="W357" s="16" t="n">
        <f aca="false">IF(D357="","",U357-(H357+E357-Q357-O357-T357))</f>
        <v>0</v>
      </c>
      <c r="X357" s="16" t="n">
        <f aca="false">IF(W357="","",ABS(W357))</f>
        <v>0</v>
      </c>
      <c r="Y357" s="16" t="n">
        <f aca="false">IF(U357="","",IF($B$8=0,0,U357/$B$8*100))</f>
        <v>29.0009799121994</v>
      </c>
      <c r="Z357" s="18" t="n">
        <f aca="false">IF(D357="","",MAX(0,IF(P357&gt;=0,P357,IF(K357+P357&gt;=0,0,P357+K357))))</f>
        <v>13.6942627145405</v>
      </c>
      <c r="AA357" s="18" t="n">
        <f aca="false">IF(D357="","",IF(H357&lt;=$B$16,1,IF(H357&gt;=$B$17,$B$21,MATCH(H357,Aux_CAV!$A$2:$A$121,1))))</f>
        <v>10</v>
      </c>
      <c r="AB357" s="18" t="n">
        <f aca="false">IF(D357="","",IF(L357&lt;=$B$16,1,IF(L357&gt;=$B$17,$B$21,MATCH(L357,Aux_CAV!$A$2:$A$121,1))))</f>
        <v>10</v>
      </c>
      <c r="AC357" s="19" t="n">
        <f aca="false">IF(D357="","",COUNT($D$24:D357))</f>
        <v>322</v>
      </c>
    </row>
    <row r="358" customFormat="false" ht="12.75" hidden="false" customHeight="true" outlineLevel="0" collapsed="false">
      <c r="A358" s="14" t="n">
        <f aca="false">IF(D358="","",DATE(B358,C358,1))</f>
        <v>13820</v>
      </c>
      <c r="B358" s="15" t="n">
        <f aca="false" t="array" ref="B358:B358">IF(D358="","",IFERROR(VALUE(INDEX(Vazoes_COLAR!$A$2:$A$200,INT((ROW()-24)/12)+1)),""))</f>
        <v>1937</v>
      </c>
      <c r="C358" s="15" t="n">
        <f aca="false">IF(D358="","",MOD(ROW()-24,12)+1)</f>
        <v>11</v>
      </c>
      <c r="D358" s="16" t="n">
        <f aca="false" t="array" ref="D358: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0.0205940294790811</v>
      </c>
      <c r="E358" s="16" t="n">
        <f aca="false">IF(D358="","",D358*$B$15)</f>
        <v>0.0533797244097782</v>
      </c>
      <c r="F358" s="16" t="n">
        <f aca="false" t="array" ref="F358:F358">IF(D358="","",IFERROR(INDEX(Dados_Evap!$C$2:$N$15,MATCH($B$9,Dados_Evap!$A$2:$A$15,0),C358),0))</f>
        <v>223.7</v>
      </c>
      <c r="G358" s="16" t="n">
        <f aca="false">IF(F358="","",F358/1000)</f>
        <v>0.2237</v>
      </c>
      <c r="H358" s="16" t="n">
        <f aca="false">IF(D358="","",MAX(0,MIN($B$8,IFERROR(LOOKUP(2,1/($U$24:U357&lt;&gt;""),$U$24:U357),$B$11))))</f>
        <v>13.6942627145405</v>
      </c>
      <c r="I358" s="16" t="n">
        <f aca="false" t="array" ref="I358: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>3.45333417271081</v>
      </c>
      <c r="J358" s="16" t="n">
        <f aca="false">IF(D358="","",$B$12)</f>
        <v>0.35</v>
      </c>
      <c r="K358" s="16" t="n">
        <f aca="false">IF(J358="","",J358*$B$15)</f>
        <v>0.9072</v>
      </c>
      <c r="L358" s="16" t="n">
        <f aca="false">IF(D358="","",H358+E358-K358-G358*I358)</f>
        <v>12.0679315845149</v>
      </c>
      <c r="M358" s="16" t="n">
        <f aca="false" t="array" ref="M358: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>3.31461769397333</v>
      </c>
      <c r="N358" s="16" t="n">
        <f aca="false">IF(D358="","",(I358+M358)/2)</f>
        <v>3.38397593334207</v>
      </c>
      <c r="O358" s="16" t="n">
        <f aca="false">IF(D358="","",G358*N358)</f>
        <v>0.756995416288621</v>
      </c>
      <c r="P358" s="16" t="n">
        <f aca="false">IF(D358="","",H358+E358-K358-O358)</f>
        <v>12.0834470226617</v>
      </c>
      <c r="Q358" s="16" t="n">
        <f aca="false">IF(D358="","",IF(P358&gt;=0,K358,MAX(0,K358+P358)))</f>
        <v>0.9072</v>
      </c>
      <c r="R358" s="16" t="n">
        <f aca="false">IF(D358="","",Q358/$B$15)</f>
        <v>0.35</v>
      </c>
      <c r="S358" s="16" t="n">
        <f aca="false">IF(D358="","",MAX(0,J358-R358))</f>
        <v>0</v>
      </c>
      <c r="T358" s="16" t="n">
        <f aca="false">IF(D358="","",MAX(0,Z358-$B$8))</f>
        <v>0</v>
      </c>
      <c r="U358" s="16" t="n">
        <f aca="false">IF(D358="","",MAX(0,MIN($B$8,Z358)))</f>
        <v>12.0834470226617</v>
      </c>
      <c r="V358" s="16" t="str">
        <f aca="false">IF(D358="","",IF(S358&gt;0.0000001,"Sim","Não"))</f>
        <v>Não</v>
      </c>
      <c r="W358" s="16" t="n">
        <f aca="false">IF(D358="","",U358-(H358+E358-Q358-O358-T358))</f>
        <v>0</v>
      </c>
      <c r="X358" s="16" t="n">
        <f aca="false">IF(W358="","",ABS(W358))</f>
        <v>0</v>
      </c>
      <c r="Y358" s="16" t="n">
        <f aca="false">IF(U358="","",IF($B$8=0,0,U358/$B$8*100))</f>
        <v>25.5896802682374</v>
      </c>
      <c r="Z358" s="18" t="n">
        <f aca="false">IF(D358="","",MAX(0,IF(P358&gt;=0,P358,IF(K358+P358&gt;=0,0,P358+K358))))</f>
        <v>12.0834470226617</v>
      </c>
      <c r="AA358" s="18" t="n">
        <f aca="false">IF(D358="","",IF(H358&lt;=$B$16,1,IF(H358&gt;=$B$17,$B$21,MATCH(H358,Aux_CAV!$A$2:$A$121,1))))</f>
        <v>10</v>
      </c>
      <c r="AB358" s="18" t="n">
        <f aca="false">IF(D358="","",IF(L358&lt;=$B$16,1,IF(L358&gt;=$B$17,$B$21,MATCH(L358,Aux_CAV!$A$2:$A$121,1))))</f>
        <v>10</v>
      </c>
      <c r="AC358" s="19" t="n">
        <f aca="false">IF(D358="","",COUNT($D$24:D358))</f>
        <v>323</v>
      </c>
    </row>
    <row r="359" customFormat="false" ht="12.75" hidden="false" customHeight="true" outlineLevel="0" collapsed="false">
      <c r="A359" s="14" t="n">
        <f aca="false">IF(D359="","",DATE(B359,C359,1))</f>
        <v>13850</v>
      </c>
      <c r="B359" s="15" t="n">
        <f aca="false" t="array" ref="B359:B359">IF(D359="","",IFERROR(VALUE(INDEX(Vazoes_COLAR!$A$2:$A$200,INT((ROW()-24)/12)+1)),""))</f>
        <v>1937</v>
      </c>
      <c r="C359" s="15" t="n">
        <f aca="false">IF(D359="","",MOD(ROW()-24,12)+1)</f>
        <v>12</v>
      </c>
      <c r="D359" s="16" t="n">
        <f aca="false" t="array" ref="D359: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0.0262217577856252</v>
      </c>
      <c r="E359" s="16" t="n">
        <f aca="false">IF(D359="","",D359*$B$15)</f>
        <v>0.0679667961803405</v>
      </c>
      <c r="F359" s="16" t="n">
        <f aca="false" t="array" ref="F359:F359">IF(D359="","",IFERROR(INDEX(Dados_Evap!$C$2:$N$15,MATCH($B$9,Dados_Evap!$A$2:$A$15,0),C359),0))</f>
        <v>216.1</v>
      </c>
      <c r="G359" s="16" t="n">
        <f aca="false">IF(F359="","",F359/1000)</f>
        <v>0.2161</v>
      </c>
      <c r="H359" s="16" t="n">
        <f aca="false">IF(D359="","",MAX(0,MIN($B$8,IFERROR(LOOKUP(2,1/($U$24:U358&lt;&gt;""),$U$24:U358),$B$11))))</f>
        <v>12.0834470226617</v>
      </c>
      <c r="I359" s="16" t="n">
        <f aca="false" t="array" ref="I359: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>3.31594106957997</v>
      </c>
      <c r="J359" s="16" t="n">
        <f aca="false">IF(D359="","",$B$12)</f>
        <v>0.35</v>
      </c>
      <c r="K359" s="16" t="n">
        <f aca="false">IF(J359="","",J359*$B$15)</f>
        <v>0.9072</v>
      </c>
      <c r="L359" s="16" t="n">
        <f aca="false">IF(D359="","",H359+E359-K359-G359*I359)</f>
        <v>10.5276389537058</v>
      </c>
      <c r="M359" s="16" t="n">
        <f aca="false" t="array" ref="M359: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>3.1832397931102</v>
      </c>
      <c r="N359" s="16" t="n">
        <f aca="false">IF(D359="","",(I359+M359)/2)</f>
        <v>3.24959043134509</v>
      </c>
      <c r="O359" s="16" t="n">
        <f aca="false">IF(D359="","",G359*N359)</f>
        <v>0.702236492213673</v>
      </c>
      <c r="P359" s="16" t="n">
        <f aca="false">IF(D359="","",H359+E359-K359-O359)</f>
        <v>10.5419773266284</v>
      </c>
      <c r="Q359" s="16" t="n">
        <f aca="false">IF(D359="","",IF(P359&gt;=0,K359,MAX(0,K359+P359)))</f>
        <v>0.9072</v>
      </c>
      <c r="R359" s="16" t="n">
        <f aca="false">IF(D359="","",Q359/$B$15)</f>
        <v>0.35</v>
      </c>
      <c r="S359" s="16" t="n">
        <f aca="false">IF(D359="","",MAX(0,J359-R359))</f>
        <v>0</v>
      </c>
      <c r="T359" s="16" t="n">
        <f aca="false">IF(D359="","",MAX(0,Z359-$B$8))</f>
        <v>0</v>
      </c>
      <c r="U359" s="16" t="n">
        <f aca="false">IF(D359="","",MAX(0,MIN($B$8,Z359)))</f>
        <v>10.5419773266284</v>
      </c>
      <c r="V359" s="16" t="str">
        <f aca="false">IF(D359="","",IF(S359&gt;0.0000001,"Sim","Não"))</f>
        <v>Não</v>
      </c>
      <c r="W359" s="16" t="n">
        <f aca="false">IF(D359="","",U359-(H359+E359-Q359-O359-T359))</f>
        <v>0</v>
      </c>
      <c r="X359" s="16" t="n">
        <f aca="false">IF(W359="","",ABS(W359))</f>
        <v>0</v>
      </c>
      <c r="Y359" s="16" t="n">
        <f aca="false">IF(U359="","",IF($B$8=0,0,U359/$B$8*100))</f>
        <v>22.3252378793485</v>
      </c>
      <c r="Z359" s="18" t="n">
        <f aca="false">IF(D359="","",MAX(0,IF(P359&gt;=0,P359,IF(K359+P359&gt;=0,0,P359+K359))))</f>
        <v>10.5419773266284</v>
      </c>
      <c r="AA359" s="18" t="n">
        <f aca="false">IF(D359="","",IF(H359&lt;=$B$16,1,IF(H359&gt;=$B$17,$B$21,MATCH(H359,Aux_CAV!$A$2:$A$121,1))))</f>
        <v>10</v>
      </c>
      <c r="AB359" s="18" t="n">
        <f aca="false">IF(D359="","",IF(L359&lt;=$B$16,1,IF(L359&gt;=$B$17,$B$21,MATCH(L359,Aux_CAV!$A$2:$A$121,1))))</f>
        <v>10</v>
      </c>
      <c r="AC359" s="19" t="n">
        <f aca="false">IF(D359="","",COUNT($D$24:D359))</f>
        <v>324</v>
      </c>
    </row>
    <row r="360" customFormat="false" ht="12.75" hidden="false" customHeight="true" outlineLevel="0" collapsed="false">
      <c r="A360" s="14" t="n">
        <f aca="false">IF(D360="","",DATE(B360,C360,1))</f>
        <v>13881</v>
      </c>
      <c r="B360" s="15" t="n">
        <f aca="false" t="array" ref="B360:B360">IF(D360="","",IFERROR(VALUE(INDEX(Vazoes_COLAR!$A$2:$A$200,INT((ROW()-24)/12)+1)),""))</f>
        <v>1938</v>
      </c>
      <c r="C360" s="15" t="n">
        <f aca="false">IF(D360="","",MOD(ROW()-24,12)+1)</f>
        <v>1</v>
      </c>
      <c r="D360" s="16" t="n">
        <f aca="false" t="array" ref="D360: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0.132907587490365</v>
      </c>
      <c r="E360" s="16" t="n">
        <f aca="false">IF(D360="","",D360*$B$15)</f>
        <v>0.344496466775026</v>
      </c>
      <c r="F360" s="16" t="n">
        <f aca="false" t="array" ref="F360:F360">IF(D360="","",IFERROR(INDEX(Dados_Evap!$C$2:$N$15,MATCH($B$9,Dados_Evap!$A$2:$A$15,0),C360),0))</f>
        <v>160</v>
      </c>
      <c r="G360" s="16" t="n">
        <f aca="false">IF(F360="","",F360/1000)</f>
        <v>0.16</v>
      </c>
      <c r="H360" s="16" t="n">
        <f aca="false">IF(D360="","",MAX(0,MIN($B$8,IFERROR(LOOKUP(2,1/($U$24:U359&lt;&gt;""),$U$24:U359),$B$11))))</f>
        <v>10.5419773266284</v>
      </c>
      <c r="I360" s="16" t="n">
        <f aca="false" t="array" ref="I360: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>3.18446277197713</v>
      </c>
      <c r="J360" s="16" t="n">
        <f aca="false">IF(D360="","",$B$12)</f>
        <v>0.35</v>
      </c>
      <c r="K360" s="16" t="n">
        <f aca="false">IF(J360="","",J360*$B$15)</f>
        <v>0.9072</v>
      </c>
      <c r="L360" s="16" t="n">
        <f aca="false">IF(D360="","",H360+E360-K360-G360*I360)</f>
        <v>9.46975974988705</v>
      </c>
      <c r="M360" s="16" t="n">
        <f aca="false" t="array" ref="M360: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>3.09300891984331</v>
      </c>
      <c r="N360" s="16" t="n">
        <f aca="false">IF(D360="","",(I360+M360)/2)</f>
        <v>3.13873584591022</v>
      </c>
      <c r="O360" s="16" t="n">
        <f aca="false">IF(D360="","",G360*N360)</f>
        <v>0.502197735345635</v>
      </c>
      <c r="P360" s="16" t="n">
        <f aca="false">IF(D360="","",H360+E360-K360-O360)</f>
        <v>9.47707605805776</v>
      </c>
      <c r="Q360" s="16" t="n">
        <f aca="false">IF(D360="","",IF(P360&gt;=0,K360,MAX(0,K360+P360)))</f>
        <v>0.9072</v>
      </c>
      <c r="R360" s="16" t="n">
        <f aca="false">IF(D360="","",Q360/$B$15)</f>
        <v>0.35</v>
      </c>
      <c r="S360" s="16" t="n">
        <f aca="false">IF(D360="","",MAX(0,J360-R360))</f>
        <v>0</v>
      </c>
      <c r="T360" s="16" t="n">
        <f aca="false">IF(D360="","",MAX(0,Z360-$B$8))</f>
        <v>0</v>
      </c>
      <c r="U360" s="16" t="n">
        <f aca="false">IF(D360="","",MAX(0,MIN($B$8,Z360)))</f>
        <v>9.47707605805776</v>
      </c>
      <c r="V360" s="16" t="str">
        <f aca="false">IF(D360="","",IF(S360&gt;0.0000001,"Sim","Não"))</f>
        <v>Não</v>
      </c>
      <c r="W360" s="16" t="n">
        <f aca="false">IF(D360="","",U360-(H360+E360-Q360-O360-T360))</f>
        <v>0</v>
      </c>
      <c r="X360" s="16" t="n">
        <f aca="false">IF(W360="","",ABS(W360))</f>
        <v>0</v>
      </c>
      <c r="Y360" s="16" t="n">
        <f aca="false">IF(U360="","",IF($B$8=0,0,U360/$B$8*100))</f>
        <v>20.0700467133794</v>
      </c>
      <c r="Z360" s="18" t="n">
        <f aca="false">IF(D360="","",MAX(0,IF(P360&gt;=0,P360,IF(K360+P360&gt;=0,0,P360+K360))))</f>
        <v>9.47707605805776</v>
      </c>
      <c r="AA360" s="18" t="n">
        <f aca="false">IF(D360="","",IF(H360&lt;=$B$16,1,IF(H360&gt;=$B$17,$B$21,MATCH(H360,Aux_CAV!$A$2:$A$121,1))))</f>
        <v>10</v>
      </c>
      <c r="AB360" s="18" t="n">
        <f aca="false">IF(D360="","",IF(L360&lt;=$B$16,1,IF(L360&gt;=$B$17,$B$21,MATCH(L360,Aux_CAV!$A$2:$A$121,1))))</f>
        <v>10</v>
      </c>
      <c r="AC360" s="19" t="n">
        <f aca="false">IF(D360="","",COUNT($D$24:D360))</f>
        <v>325</v>
      </c>
    </row>
    <row r="361" customFormat="false" ht="12.75" hidden="false" customHeight="true" outlineLevel="0" collapsed="false">
      <c r="A361" s="14" t="n">
        <f aca="false">IF(D361="","",DATE(B361,C361,1))</f>
        <v>13912</v>
      </c>
      <c r="B361" s="15" t="n">
        <f aca="false" t="array" ref="B361:B361">IF(D361="","",IFERROR(VALUE(INDEX(Vazoes_COLAR!$A$2:$A$200,INT((ROW()-24)/12)+1)),""))</f>
        <v>1938</v>
      </c>
      <c r="C361" s="15" t="n">
        <f aca="false">IF(D361="","",MOD(ROW()-24,12)+1)</f>
        <v>2</v>
      </c>
      <c r="D361" s="16" t="n">
        <f aca="false" t="array" ref="D361: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0.0949925647509364</v>
      </c>
      <c r="E361" s="16" t="n">
        <f aca="false">IF(D361="","",D361*$B$15)</f>
        <v>0.246220727834427</v>
      </c>
      <c r="F361" s="16" t="n">
        <f aca="false" t="array" ref="F361:F361">IF(D361="","",IFERROR(INDEX(Dados_Evap!$C$2:$N$15,MATCH($B$9,Dados_Evap!$A$2:$A$15,0),C361),0))</f>
        <v>124.3</v>
      </c>
      <c r="G361" s="16" t="n">
        <f aca="false">IF(F361="","",F361/1000)</f>
        <v>0.1243</v>
      </c>
      <c r="H361" s="16" t="n">
        <f aca="false">IF(D361="","",MAX(0,MIN($B$8,IFERROR(LOOKUP(2,1/($U$24:U360&lt;&gt;""),$U$24:U360),$B$11))))</f>
        <v>9.47707605805776</v>
      </c>
      <c r="I361" s="16" t="n">
        <f aca="false" t="array" ref="I361: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>3.09363295789316</v>
      </c>
      <c r="J361" s="16" t="n">
        <f aca="false">IF(D361="","",$B$12)</f>
        <v>0.35</v>
      </c>
      <c r="K361" s="16" t="n">
        <f aca="false">IF(J361="","",J361*$B$15)</f>
        <v>0.9072</v>
      </c>
      <c r="L361" s="16" t="n">
        <f aca="false">IF(D361="","",H361+E361-K361-G361*I361)</f>
        <v>8.43155820922607</v>
      </c>
      <c r="M361" s="16" t="n">
        <f aca="false" t="array" ref="M361: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>2.8361974977007</v>
      </c>
      <c r="N361" s="16" t="n">
        <f aca="false">IF(D361="","",(I361+M361)/2)</f>
        <v>2.96491522779693</v>
      </c>
      <c r="O361" s="16" t="n">
        <f aca="false">IF(D361="","",G361*N361)</f>
        <v>0.368538962815158</v>
      </c>
      <c r="P361" s="16" t="n">
        <f aca="false">IF(D361="","",H361+E361-K361-O361)</f>
        <v>8.44755782307703</v>
      </c>
      <c r="Q361" s="16" t="n">
        <f aca="false">IF(D361="","",IF(P361&gt;=0,K361,MAX(0,K361+P361)))</f>
        <v>0.9072</v>
      </c>
      <c r="R361" s="16" t="n">
        <f aca="false">IF(D361="","",Q361/$B$15)</f>
        <v>0.35</v>
      </c>
      <c r="S361" s="16" t="n">
        <f aca="false">IF(D361="","",MAX(0,J361-R361))</f>
        <v>0</v>
      </c>
      <c r="T361" s="16" t="n">
        <f aca="false">IF(D361="","",MAX(0,Z361-$B$8))</f>
        <v>0</v>
      </c>
      <c r="U361" s="16" t="n">
        <f aca="false">IF(D361="","",MAX(0,MIN($B$8,Z361)))</f>
        <v>8.44755782307703</v>
      </c>
      <c r="V361" s="16" t="str">
        <f aca="false">IF(D361="","",IF(S361&gt;0.0000001,"Sim","Não"))</f>
        <v>Não</v>
      </c>
      <c r="W361" s="16" t="n">
        <f aca="false">IF(D361="","",U361-(H361+E361-Q361-O361-T361))</f>
        <v>0</v>
      </c>
      <c r="X361" s="16" t="n">
        <f aca="false">IF(W361="","",ABS(W361))</f>
        <v>0</v>
      </c>
      <c r="Y361" s="16" t="n">
        <f aca="false">IF(U361="","",IF($B$8=0,0,U361/$B$8*100))</f>
        <v>17.8897878506502</v>
      </c>
      <c r="Z361" s="18" t="n">
        <f aca="false">IF(D361="","",MAX(0,IF(P361&gt;=0,P361,IF(K361+P361&gt;=0,0,P361+K361))))</f>
        <v>8.44755782307703</v>
      </c>
      <c r="AA361" s="18" t="n">
        <f aca="false">IF(D361="","",IF(H361&lt;=$B$16,1,IF(H361&gt;=$B$17,$B$21,MATCH(H361,Aux_CAV!$A$2:$A$121,1))))</f>
        <v>10</v>
      </c>
      <c r="AB361" s="18" t="n">
        <f aca="false">IF(D361="","",IF(L361&lt;=$B$16,1,IF(L361&gt;=$B$17,$B$21,MATCH(L361,Aux_CAV!$A$2:$A$121,1))))</f>
        <v>9</v>
      </c>
      <c r="AC361" s="19" t="n">
        <f aca="false">IF(D361="","",COUNT($D$24:D361))</f>
        <v>326</v>
      </c>
    </row>
    <row r="362" customFormat="false" ht="12.75" hidden="false" customHeight="true" outlineLevel="0" collapsed="false">
      <c r="A362" s="14" t="n">
        <f aca="false">IF(D362="","",DATE(B362,C362,1))</f>
        <v>13940</v>
      </c>
      <c r="B362" s="15" t="n">
        <f aca="false" t="array" ref="B362:B362">IF(D362="","",IFERROR(VALUE(INDEX(Vazoes_COLAR!$A$2:$A$200,INT((ROW()-24)/12)+1)),""))</f>
        <v>1938</v>
      </c>
      <c r="C362" s="15" t="n">
        <f aca="false">IF(D362="","",MOD(ROW()-24,12)+1)</f>
        <v>3</v>
      </c>
      <c r="D362" s="16" t="n">
        <f aca="false" t="array" ref="D362: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1.75383583660969</v>
      </c>
      <c r="E362" s="16" t="n">
        <f aca="false">IF(D362="","",D362*$B$15)</f>
        <v>4.54594248849232</v>
      </c>
      <c r="F362" s="16" t="n">
        <f aca="false" t="array" ref="F362:F362">IF(D362="","",IFERROR(INDEX(Dados_Evap!$C$2:$N$15,MATCH($B$9,Dados_Evap!$A$2:$A$15,0),C362),0))</f>
        <v>107.7</v>
      </c>
      <c r="G362" s="16" t="n">
        <f aca="false">IF(F362="","",F362/1000)</f>
        <v>0.1077</v>
      </c>
      <c r="H362" s="16" t="n">
        <f aca="false">IF(D362="","",MAX(0,MIN($B$8,IFERROR(LOOKUP(2,1/($U$24:U361&lt;&gt;""),$U$24:U361),$B$11))))</f>
        <v>8.44755782307703</v>
      </c>
      <c r="I362" s="16" t="n">
        <f aca="false" t="array" ref="I362: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>2.84106546531918</v>
      </c>
      <c r="J362" s="16" t="n">
        <f aca="false">IF(D362="","",$B$12)</f>
        <v>0.35</v>
      </c>
      <c r="K362" s="16" t="n">
        <f aca="false">IF(J362="","",J362*$B$15)</f>
        <v>0.9072</v>
      </c>
      <c r="L362" s="16" t="n">
        <f aca="false">IF(D362="","",H362+E362-K362-G362*I362)</f>
        <v>11.7803175609545</v>
      </c>
      <c r="M362" s="16" t="n">
        <f aca="false" t="array" ref="M362: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>3.29008590961082</v>
      </c>
      <c r="N362" s="16" t="n">
        <f aca="false">IF(D362="","",(I362+M362)/2)</f>
        <v>3.065575687465</v>
      </c>
      <c r="O362" s="16" t="n">
        <f aca="false">IF(D362="","",G362*N362)</f>
        <v>0.330162501539981</v>
      </c>
      <c r="P362" s="16" t="n">
        <f aca="false">IF(D362="","",H362+E362-K362-O362)</f>
        <v>11.7561378100294</v>
      </c>
      <c r="Q362" s="16" t="n">
        <f aca="false">IF(D362="","",IF(P362&gt;=0,K362,MAX(0,K362+P362)))</f>
        <v>0.9072</v>
      </c>
      <c r="R362" s="16" t="n">
        <f aca="false">IF(D362="","",Q362/$B$15)</f>
        <v>0.35</v>
      </c>
      <c r="S362" s="16" t="n">
        <f aca="false">IF(D362="","",MAX(0,J362-R362))</f>
        <v>0</v>
      </c>
      <c r="T362" s="16" t="n">
        <f aca="false">IF(D362="","",MAX(0,Z362-$B$8))</f>
        <v>0</v>
      </c>
      <c r="U362" s="16" t="n">
        <f aca="false">IF(D362="","",MAX(0,MIN($B$8,Z362)))</f>
        <v>11.7561378100294</v>
      </c>
      <c r="V362" s="16" t="str">
        <f aca="false">IF(D362="","",IF(S362&gt;0.0000001,"Sim","Não"))</f>
        <v>Não</v>
      </c>
      <c r="W362" s="16" t="n">
        <f aca="false">IF(D362="","",U362-(H362+E362-Q362-O362-T362))</f>
        <v>0</v>
      </c>
      <c r="X362" s="16" t="n">
        <f aca="false">IF(W362="","",ABS(W362))</f>
        <v>0</v>
      </c>
      <c r="Y362" s="16" t="n">
        <f aca="false">IF(U362="","",IF($B$8=0,0,U362/$B$8*100))</f>
        <v>24.8965222575802</v>
      </c>
      <c r="Z362" s="18" t="n">
        <f aca="false">IF(D362="","",MAX(0,IF(P362&gt;=0,P362,IF(K362+P362&gt;=0,0,P362+K362))))</f>
        <v>11.7561378100294</v>
      </c>
      <c r="AA362" s="18" t="n">
        <f aca="false">IF(D362="","",IF(H362&lt;=$B$16,1,IF(H362&gt;=$B$17,$B$21,MATCH(H362,Aux_CAV!$A$2:$A$121,1))))</f>
        <v>9</v>
      </c>
      <c r="AB362" s="18" t="n">
        <f aca="false">IF(D362="","",IF(L362&lt;=$B$16,1,IF(L362&gt;=$B$17,$B$21,MATCH(L362,Aux_CAV!$A$2:$A$121,1))))</f>
        <v>10</v>
      </c>
      <c r="AC362" s="19" t="n">
        <f aca="false">IF(D362="","",COUNT($D$24:D362))</f>
        <v>327</v>
      </c>
    </row>
    <row r="363" customFormat="false" ht="12.75" hidden="false" customHeight="true" outlineLevel="0" collapsed="false">
      <c r="A363" s="14" t="n">
        <f aca="false">IF(D363="","",DATE(B363,C363,1))</f>
        <v>13971</v>
      </c>
      <c r="B363" s="15" t="n">
        <f aca="false" t="array" ref="B363:B363">IF(D363="","",IFERROR(VALUE(INDEX(Vazoes_COLAR!$A$2:$A$200,INT((ROW()-24)/12)+1)),""))</f>
        <v>1938</v>
      </c>
      <c r="C363" s="15" t="n">
        <f aca="false">IF(D363="","",MOD(ROW()-24,12)+1)</f>
        <v>4</v>
      </c>
      <c r="D363" s="16" t="n">
        <f aca="false" t="array" ref="D363: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1.28447959899663</v>
      </c>
      <c r="E363" s="16" t="n">
        <f aca="false">IF(D363="","",D363*$B$15)</f>
        <v>3.32937112059927</v>
      </c>
      <c r="F363" s="16" t="n">
        <f aca="false" t="array" ref="F363:F363">IF(D363="","",IFERROR(INDEX(Dados_Evap!$C$2:$N$15,MATCH($B$9,Dados_Evap!$A$2:$A$15,0),C363),0))</f>
        <v>100.5</v>
      </c>
      <c r="G363" s="16" t="n">
        <f aca="false">IF(F363="","",F363/1000)</f>
        <v>0.1005</v>
      </c>
      <c r="H363" s="16" t="n">
        <f aca="false">IF(D363="","",MAX(0,MIN($B$8,IFERROR(LOOKUP(2,1/($U$24:U362&lt;&gt;""),$U$24:U362),$B$11))))</f>
        <v>11.7561378100294</v>
      </c>
      <c r="I363" s="16" t="n">
        <f aca="false" t="array" ref="I363: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>3.28802351909074</v>
      </c>
      <c r="J363" s="16" t="n">
        <f aca="false">IF(D363="","",$B$12)</f>
        <v>0.35</v>
      </c>
      <c r="K363" s="16" t="n">
        <f aca="false">IF(J363="","",J363*$B$15)</f>
        <v>0.9072</v>
      </c>
      <c r="L363" s="16" t="n">
        <f aca="false">IF(D363="","",H363+E363-K363-G363*I363)</f>
        <v>13.84786256696</v>
      </c>
      <c r="M363" s="16" t="n">
        <f aca="false" t="array" ref="M363: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>3.46643533659365</v>
      </c>
      <c r="N363" s="16" t="n">
        <f aca="false">IF(D363="","",(I363+M363)/2)</f>
        <v>3.37722942784219</v>
      </c>
      <c r="O363" s="16" t="n">
        <f aca="false">IF(D363="","",G363*N363)</f>
        <v>0.339411557498141</v>
      </c>
      <c r="P363" s="16" t="n">
        <f aca="false">IF(D363="","",H363+E363-K363-O363)</f>
        <v>13.8388973731305</v>
      </c>
      <c r="Q363" s="16" t="n">
        <f aca="false">IF(D363="","",IF(P363&gt;=0,K363,MAX(0,K363+P363)))</f>
        <v>0.9072</v>
      </c>
      <c r="R363" s="16" t="n">
        <f aca="false">IF(D363="","",Q363/$B$15)</f>
        <v>0.35</v>
      </c>
      <c r="S363" s="16" t="n">
        <f aca="false">IF(D363="","",MAX(0,J363-R363))</f>
        <v>0</v>
      </c>
      <c r="T363" s="16" t="n">
        <f aca="false">IF(D363="","",MAX(0,Z363-$B$8))</f>
        <v>0</v>
      </c>
      <c r="U363" s="16" t="n">
        <f aca="false">IF(D363="","",MAX(0,MIN($B$8,Z363)))</f>
        <v>13.8388973731305</v>
      </c>
      <c r="V363" s="16" t="str">
        <f aca="false">IF(D363="","",IF(S363&gt;0.0000001,"Sim","Não"))</f>
        <v>Não</v>
      </c>
      <c r="W363" s="16" t="n">
        <f aca="false">IF(D363="","",U363-(H363+E363-Q363-O363-T363))</f>
        <v>0</v>
      </c>
      <c r="X363" s="16" t="n">
        <f aca="false">IF(W363="","",ABS(W363))</f>
        <v>0</v>
      </c>
      <c r="Y363" s="16" t="n">
        <f aca="false">IF(U363="","",IF($B$8=0,0,U363/$B$8*100))</f>
        <v>29.3072794856639</v>
      </c>
      <c r="Z363" s="18" t="n">
        <f aca="false">IF(D363="","",MAX(0,IF(P363&gt;=0,P363,IF(K363+P363&gt;=0,0,P363+K363))))</f>
        <v>13.8388973731305</v>
      </c>
      <c r="AA363" s="18" t="n">
        <f aca="false">IF(D363="","",IF(H363&lt;=$B$16,1,IF(H363&gt;=$B$17,$B$21,MATCH(H363,Aux_CAV!$A$2:$A$121,1))))</f>
        <v>10</v>
      </c>
      <c r="AB363" s="18" t="n">
        <f aca="false">IF(D363="","",IF(L363&lt;=$B$16,1,IF(L363&gt;=$B$17,$B$21,MATCH(L363,Aux_CAV!$A$2:$A$121,1))))</f>
        <v>10</v>
      </c>
      <c r="AC363" s="19" t="n">
        <f aca="false">IF(D363="","",COUNT($D$24:D363))</f>
        <v>328</v>
      </c>
    </row>
    <row r="364" customFormat="false" ht="12.75" hidden="false" customHeight="true" outlineLevel="0" collapsed="false">
      <c r="A364" s="14" t="n">
        <f aca="false">IF(D364="","",DATE(B364,C364,1))</f>
        <v>14001</v>
      </c>
      <c r="B364" s="15" t="n">
        <f aca="false" t="array" ref="B364:B364">IF(D364="","",IFERROR(VALUE(INDEX(Vazoes_COLAR!$A$2:$A$200,INT((ROW()-24)/12)+1)),""))</f>
        <v>1938</v>
      </c>
      <c r="C364" s="15" t="n">
        <f aca="false">IF(D364="","",MOD(ROW()-24,12)+1)</f>
        <v>5</v>
      </c>
      <c r="D364" s="16" t="n">
        <f aca="false" t="array" ref="D364: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0.417793720410817</v>
      </c>
      <c r="E364" s="16" t="n">
        <f aca="false">IF(D364="","",D364*$B$15)</f>
        <v>1.08292132330484</v>
      </c>
      <c r="F364" s="16" t="n">
        <f aca="false" t="array" ref="F364:F364">IF(D364="","",IFERROR(INDEX(Dados_Evap!$C$2:$N$15,MATCH($B$9,Dados_Evap!$A$2:$A$15,0),C364),0))</f>
        <v>145.8</v>
      </c>
      <c r="G364" s="16" t="n">
        <f aca="false">IF(F364="","",F364/1000)</f>
        <v>0.1458</v>
      </c>
      <c r="H364" s="16" t="n">
        <f aca="false">IF(D364="","",MAX(0,MIN($B$8,IFERROR(LOOKUP(2,1/($U$24:U363&lt;&gt;""),$U$24:U363),$B$11))))</f>
        <v>13.8388973731305</v>
      </c>
      <c r="I364" s="16" t="n">
        <f aca="false" t="array" ref="I364: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>3.46567065829642</v>
      </c>
      <c r="J364" s="16" t="n">
        <f aca="false">IF(D364="","",$B$12)</f>
        <v>0.35</v>
      </c>
      <c r="K364" s="16" t="n">
        <f aca="false">IF(J364="","",J364*$B$15)</f>
        <v>0.9072</v>
      </c>
      <c r="L364" s="16" t="n">
        <f aca="false">IF(D364="","",H364+E364-K364-G364*I364)</f>
        <v>13.5093239144557</v>
      </c>
      <c r="M364" s="16" t="n">
        <f aca="false" t="array" ref="M364: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>3.43755998093887</v>
      </c>
      <c r="N364" s="16" t="n">
        <f aca="false">IF(D364="","",(I364+M364)/2)</f>
        <v>3.45161531961765</v>
      </c>
      <c r="O364" s="16" t="n">
        <f aca="false">IF(D364="","",G364*N364)</f>
        <v>0.503245513600253</v>
      </c>
      <c r="P364" s="16" t="n">
        <f aca="false">IF(D364="","",H364+E364-K364-O364)</f>
        <v>13.5113731828351</v>
      </c>
      <c r="Q364" s="16" t="n">
        <f aca="false">IF(D364="","",IF(P364&gt;=0,K364,MAX(0,K364+P364)))</f>
        <v>0.9072</v>
      </c>
      <c r="R364" s="16" t="n">
        <f aca="false">IF(D364="","",Q364/$B$15)</f>
        <v>0.35</v>
      </c>
      <c r="S364" s="16" t="n">
        <f aca="false">IF(D364="","",MAX(0,J364-R364))</f>
        <v>0</v>
      </c>
      <c r="T364" s="16" t="n">
        <f aca="false">IF(D364="","",MAX(0,Z364-$B$8))</f>
        <v>0</v>
      </c>
      <c r="U364" s="16" t="n">
        <f aca="false">IF(D364="","",MAX(0,MIN($B$8,Z364)))</f>
        <v>13.5113731828351</v>
      </c>
      <c r="V364" s="16" t="str">
        <f aca="false">IF(D364="","",IF(S364&gt;0.0000001,"Sim","Não"))</f>
        <v>Não</v>
      </c>
      <c r="W364" s="16" t="n">
        <f aca="false">IF(D364="","",U364-(H364+E364-Q364-O364-T364))</f>
        <v>0</v>
      </c>
      <c r="X364" s="16" t="n">
        <f aca="false">IF(W364="","",ABS(W364))</f>
        <v>0</v>
      </c>
      <c r="Y364" s="16" t="n">
        <f aca="false">IF(U364="","",IF($B$8=0,0,U364/$B$8*100))</f>
        <v>28.6136662067664</v>
      </c>
      <c r="Z364" s="18" t="n">
        <f aca="false">IF(D364="","",MAX(0,IF(P364&gt;=0,P364,IF(K364+P364&gt;=0,0,P364+K364))))</f>
        <v>13.5113731828351</v>
      </c>
      <c r="AA364" s="18" t="n">
        <f aca="false">IF(D364="","",IF(H364&lt;=$B$16,1,IF(H364&gt;=$B$17,$B$21,MATCH(H364,Aux_CAV!$A$2:$A$121,1))))</f>
        <v>10</v>
      </c>
      <c r="AB364" s="18" t="n">
        <f aca="false">IF(D364="","",IF(L364&lt;=$B$16,1,IF(L364&gt;=$B$17,$B$21,MATCH(L364,Aux_CAV!$A$2:$A$121,1))))</f>
        <v>10</v>
      </c>
      <c r="AC364" s="19" t="n">
        <f aca="false">IF(D364="","",COUNT($D$24:D364))</f>
        <v>329</v>
      </c>
    </row>
    <row r="365" customFormat="false" ht="12.75" hidden="false" customHeight="true" outlineLevel="0" collapsed="false">
      <c r="A365" s="14" t="n">
        <f aca="false">IF(D365="","",DATE(B365,C365,1))</f>
        <v>14032</v>
      </c>
      <c r="B365" s="15" t="n">
        <f aca="false" t="array" ref="B365:B365">IF(D365="","",IFERROR(VALUE(INDEX(Vazoes_COLAR!$A$2:$A$200,INT((ROW()-24)/12)+1)),""))</f>
        <v>1938</v>
      </c>
      <c r="C365" s="15" t="n">
        <f aca="false">IF(D365="","",MOD(ROW()-24,12)+1)</f>
        <v>6</v>
      </c>
      <c r="D365" s="16" t="n">
        <f aca="false" t="array" ref="D365: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0.0836303796387858</v>
      </c>
      <c r="E365" s="16" t="n">
        <f aca="false">IF(D365="","",D365*$B$15)</f>
        <v>0.216769944023733</v>
      </c>
      <c r="F365" s="16" t="n">
        <f aca="false" t="array" ref="F365:F365">IF(D365="","",IFERROR(INDEX(Dados_Evap!$C$2:$N$15,MATCH($B$9,Dados_Evap!$A$2:$A$15,0),C365),0))</f>
        <v>161.3</v>
      </c>
      <c r="G365" s="16" t="n">
        <f aca="false">IF(F365="","",F365/1000)</f>
        <v>0.1613</v>
      </c>
      <c r="H365" s="16" t="n">
        <f aca="false">IF(D365="","",MAX(0,MIN($B$8,IFERROR(LOOKUP(2,1/($U$24:U364&lt;&gt;""),$U$24:U364),$B$11))))</f>
        <v>13.5113731828351</v>
      </c>
      <c r="I365" s="16" t="n">
        <f aca="false" t="array" ref="I365: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>3.43773477147711</v>
      </c>
      <c r="J365" s="16" t="n">
        <f aca="false">IF(D365="","",$B$12)</f>
        <v>0.35</v>
      </c>
      <c r="K365" s="16" t="n">
        <f aca="false">IF(J365="","",J365*$B$15)</f>
        <v>0.9072</v>
      </c>
      <c r="L365" s="16" t="n">
        <f aca="false">IF(D365="","",H365+E365-K365-G365*I365)</f>
        <v>12.2664365082196</v>
      </c>
      <c r="M365" s="16" t="n">
        <f aca="false" t="array" ref="M365: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>3.33154899628932</v>
      </c>
      <c r="N365" s="16" t="n">
        <f aca="false">IF(D365="","",(I365+M365)/2)</f>
        <v>3.38464188388321</v>
      </c>
      <c r="O365" s="16" t="n">
        <f aca="false">IF(D365="","",G365*N365)</f>
        <v>0.545942735870362</v>
      </c>
      <c r="P365" s="16" t="n">
        <f aca="false">IF(D365="","",H365+E365-K365-O365)</f>
        <v>12.2750003909884</v>
      </c>
      <c r="Q365" s="16" t="n">
        <f aca="false">IF(D365="","",IF(P365&gt;=0,K365,MAX(0,K365+P365)))</f>
        <v>0.9072</v>
      </c>
      <c r="R365" s="16" t="n">
        <f aca="false">IF(D365="","",Q365/$B$15)</f>
        <v>0.35</v>
      </c>
      <c r="S365" s="16" t="n">
        <f aca="false">IF(D365="","",MAX(0,J365-R365))</f>
        <v>0</v>
      </c>
      <c r="T365" s="16" t="n">
        <f aca="false">IF(D365="","",MAX(0,Z365-$B$8))</f>
        <v>0</v>
      </c>
      <c r="U365" s="16" t="n">
        <f aca="false">IF(D365="","",MAX(0,MIN($B$8,Z365)))</f>
        <v>12.2750003909884</v>
      </c>
      <c r="V365" s="16" t="str">
        <f aca="false">IF(D365="","",IF(S365&gt;0.0000001,"Sim","Não"))</f>
        <v>Não</v>
      </c>
      <c r="W365" s="16" t="n">
        <f aca="false">IF(D365="","",U365-(H365+E365-Q365-O365-T365))</f>
        <v>0</v>
      </c>
      <c r="X365" s="16" t="n">
        <f aca="false">IF(W365="","",ABS(W365))</f>
        <v>0</v>
      </c>
      <c r="Y365" s="16" t="n">
        <f aca="false">IF(U365="","",IF($B$8=0,0,U365/$B$8*100))</f>
        <v>25.995341785236</v>
      </c>
      <c r="Z365" s="18" t="n">
        <f aca="false">IF(D365="","",MAX(0,IF(P365&gt;=0,P365,IF(K365+P365&gt;=0,0,P365+K365))))</f>
        <v>12.2750003909884</v>
      </c>
      <c r="AA365" s="18" t="n">
        <f aca="false">IF(D365="","",IF(H365&lt;=$B$16,1,IF(H365&gt;=$B$17,$B$21,MATCH(H365,Aux_CAV!$A$2:$A$121,1))))</f>
        <v>10</v>
      </c>
      <c r="AB365" s="18" t="n">
        <f aca="false">IF(D365="","",IF(L365&lt;=$B$16,1,IF(L365&gt;=$B$17,$B$21,MATCH(L365,Aux_CAV!$A$2:$A$121,1))))</f>
        <v>10</v>
      </c>
      <c r="AC365" s="19" t="n">
        <f aca="false">IF(D365="","",COUNT($D$24:D365))</f>
        <v>330</v>
      </c>
    </row>
    <row r="366" customFormat="false" ht="12.75" hidden="false" customHeight="true" outlineLevel="0" collapsed="false">
      <c r="A366" s="14" t="n">
        <f aca="false">IF(D366="","",DATE(B366,C366,1))</f>
        <v>14062</v>
      </c>
      <c r="B366" s="15" t="n">
        <f aca="false" t="array" ref="B366:B366">IF(D366="","",IFERROR(VALUE(INDEX(Vazoes_COLAR!$A$2:$A$200,INT((ROW()-24)/12)+1)),""))</f>
        <v>1938</v>
      </c>
      <c r="C366" s="15" t="n">
        <f aca="false">IF(D366="","",MOD(ROW()-24,12)+1)</f>
        <v>7</v>
      </c>
      <c r="D366" s="16" t="n">
        <f aca="false" t="array" ref="D366: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0.0116830831674295</v>
      </c>
      <c r="E366" s="16" t="n">
        <f aca="false">IF(D366="","",D366*$B$15)</f>
        <v>0.0302825515699773</v>
      </c>
      <c r="F366" s="16" t="n">
        <f aca="false" t="array" ref="F366:F366">IF(D366="","",IFERROR(INDEX(Dados_Evap!$C$2:$N$15,MATCH($B$9,Dados_Evap!$A$2:$A$15,0),C366),0))</f>
        <v>224.8</v>
      </c>
      <c r="G366" s="16" t="n">
        <f aca="false">IF(F366="","",F366/1000)</f>
        <v>0.2248</v>
      </c>
      <c r="H366" s="16" t="n">
        <f aca="false">IF(D366="","",MAX(0,MIN($B$8,IFERROR(LOOKUP(2,1/($U$24:U365&lt;&gt;""),$U$24:U365),$B$11))))</f>
        <v>12.2750003909884</v>
      </c>
      <c r="I366" s="16" t="n">
        <f aca="false" t="array" ref="I366: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>3.33227944511372</v>
      </c>
      <c r="J366" s="16" t="n">
        <f aca="false">IF(D366="","",$B$12)</f>
        <v>0.35</v>
      </c>
      <c r="K366" s="16" t="n">
        <f aca="false">IF(J366="","",J366*$B$15)</f>
        <v>0.9072</v>
      </c>
      <c r="L366" s="16" t="n">
        <f aca="false">IF(D366="","",H366+E366-K366-G366*I366)</f>
        <v>10.6489865232969</v>
      </c>
      <c r="M366" s="16" t="n">
        <f aca="false" t="array" ref="M366: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>3.19359002698709</v>
      </c>
      <c r="N366" s="16" t="n">
        <f aca="false">IF(D366="","",(I366+M366)/2)</f>
        <v>3.2629347360504</v>
      </c>
      <c r="O366" s="16" t="n">
        <f aca="false">IF(D366="","",G366*N366)</f>
        <v>0.733507728664131</v>
      </c>
      <c r="P366" s="16" t="n">
        <f aca="false">IF(D366="","",H366+E366-K366-O366)</f>
        <v>10.6645752138943</v>
      </c>
      <c r="Q366" s="16" t="n">
        <f aca="false">IF(D366="","",IF(P366&gt;=0,K366,MAX(0,K366+P366)))</f>
        <v>0.9072</v>
      </c>
      <c r="R366" s="16" t="n">
        <f aca="false">IF(D366="","",Q366/$B$15)</f>
        <v>0.35</v>
      </c>
      <c r="S366" s="16" t="n">
        <f aca="false">IF(D366="","",MAX(0,J366-R366))</f>
        <v>0</v>
      </c>
      <c r="T366" s="16" t="n">
        <f aca="false">IF(D366="","",MAX(0,Z366-$B$8))</f>
        <v>0</v>
      </c>
      <c r="U366" s="16" t="n">
        <f aca="false">IF(D366="","",MAX(0,MIN($B$8,Z366)))</f>
        <v>10.6645752138943</v>
      </c>
      <c r="V366" s="16" t="str">
        <f aca="false">IF(D366="","",IF(S366&gt;0.0000001,"Sim","Não"))</f>
        <v>Não</v>
      </c>
      <c r="W366" s="16" t="n">
        <f aca="false">IF(D366="","",U366-(H366+E366-Q366-O366-T366))</f>
        <v>0</v>
      </c>
      <c r="X366" s="16" t="n">
        <f aca="false">IF(W366="","",ABS(W366))</f>
        <v>0</v>
      </c>
      <c r="Y366" s="16" t="n">
        <f aca="false">IF(U366="","",IF($B$8=0,0,U366/$B$8*100))</f>
        <v>22.5848691526775</v>
      </c>
      <c r="Z366" s="18" t="n">
        <f aca="false">IF(D366="","",MAX(0,IF(P366&gt;=0,P366,IF(K366+P366&gt;=0,0,P366+K366))))</f>
        <v>10.6645752138943</v>
      </c>
      <c r="AA366" s="18" t="n">
        <f aca="false">IF(D366="","",IF(H366&lt;=$B$16,1,IF(H366&gt;=$B$17,$B$21,MATCH(H366,Aux_CAV!$A$2:$A$121,1))))</f>
        <v>10</v>
      </c>
      <c r="AB366" s="18" t="n">
        <f aca="false">IF(D366="","",IF(L366&lt;=$B$16,1,IF(L366&gt;=$B$17,$B$21,MATCH(L366,Aux_CAV!$A$2:$A$121,1))))</f>
        <v>10</v>
      </c>
      <c r="AC366" s="19" t="n">
        <f aca="false">IF(D366="","",COUNT($D$24:D366))</f>
        <v>331</v>
      </c>
    </row>
    <row r="367" customFormat="false" ht="12.75" hidden="false" customHeight="true" outlineLevel="0" collapsed="false">
      <c r="A367" s="14" t="n">
        <f aca="false">IF(D367="","",DATE(B367,C367,1))</f>
        <v>14093</v>
      </c>
      <c r="B367" s="15" t="n">
        <f aca="false" t="array" ref="B367:B367">IF(D367="","",IFERROR(VALUE(INDEX(Vazoes_COLAR!$A$2:$A$200,INT((ROW()-24)/12)+1)),""))</f>
        <v>1938</v>
      </c>
      <c r="C367" s="15" t="n">
        <f aca="false">IF(D367="","",MOD(ROW()-24,12)+1)</f>
        <v>8</v>
      </c>
      <c r="D367" s="16" t="n">
        <f aca="false" t="array" ref="D367: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0.0148912730169054</v>
      </c>
      <c r="E367" s="16" t="n">
        <f aca="false">IF(D367="","",D367*$B$15)</f>
        <v>0.0385981796598188</v>
      </c>
      <c r="F367" s="16" t="n">
        <f aca="false" t="array" ref="F367:F367">IF(D367="","",IFERROR(INDEX(Dados_Evap!$C$2:$N$15,MATCH($B$9,Dados_Evap!$A$2:$A$15,0),C367),0))</f>
        <v>268.7</v>
      </c>
      <c r="G367" s="16" t="n">
        <f aca="false">IF(F367="","",F367/1000)</f>
        <v>0.2687</v>
      </c>
      <c r="H367" s="16" t="n">
        <f aca="false">IF(D367="","",MAX(0,MIN($B$8,IFERROR(LOOKUP(2,1/($U$24:U366&lt;&gt;""),$U$24:U366),$B$11))))</f>
        <v>10.6645752138943</v>
      </c>
      <c r="I367" s="16" t="n">
        <f aca="false" t="array" ref="I367: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>3.19491965059687</v>
      </c>
      <c r="J367" s="16" t="n">
        <f aca="false">IF(D367="","",$B$12)</f>
        <v>0.35</v>
      </c>
      <c r="K367" s="16" t="n">
        <f aca="false">IF(J367="","",J367*$B$15)</f>
        <v>0.9072</v>
      </c>
      <c r="L367" s="16" t="n">
        <f aca="false">IF(D367="","",H367+E367-K367-G367*I367)</f>
        <v>8.93749848343873</v>
      </c>
      <c r="M367" s="16" t="n">
        <f aca="false" t="array" ref="M367: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>2.99013251730157</v>
      </c>
      <c r="N367" s="16" t="n">
        <f aca="false">IF(D367="","",(I367+M367)/2)</f>
        <v>3.09252608394922</v>
      </c>
      <c r="O367" s="16" t="n">
        <f aca="false">IF(D367="","",G367*N367)</f>
        <v>0.830961758757155</v>
      </c>
      <c r="P367" s="16" t="n">
        <f aca="false">IF(D367="","",H367+E367-K367-O367)</f>
        <v>8.96501163479696</v>
      </c>
      <c r="Q367" s="16" t="n">
        <f aca="false">IF(D367="","",IF(P367&gt;=0,K367,MAX(0,K367+P367)))</f>
        <v>0.9072</v>
      </c>
      <c r="R367" s="16" t="n">
        <f aca="false">IF(D367="","",Q367/$B$15)</f>
        <v>0.35</v>
      </c>
      <c r="S367" s="16" t="n">
        <f aca="false">IF(D367="","",MAX(0,J367-R367))</f>
        <v>0</v>
      </c>
      <c r="T367" s="16" t="n">
        <f aca="false">IF(D367="","",MAX(0,Z367-$B$8))</f>
        <v>0</v>
      </c>
      <c r="U367" s="16" t="n">
        <f aca="false">IF(D367="","",MAX(0,MIN($B$8,Z367)))</f>
        <v>8.96501163479696</v>
      </c>
      <c r="V367" s="16" t="str">
        <f aca="false">IF(D367="","",IF(S367&gt;0.0000001,"Sim","Não"))</f>
        <v>Não</v>
      </c>
      <c r="W367" s="16" t="n">
        <f aca="false">IF(D367="","",U367-(H367+E367-Q367-O367-T367))</f>
        <v>0</v>
      </c>
      <c r="X367" s="16" t="n">
        <f aca="false">IF(W367="","",ABS(W367))</f>
        <v>0</v>
      </c>
      <c r="Y367" s="16" t="n">
        <f aca="false">IF(U367="","",IF($B$8=0,0,U367/$B$8*100))</f>
        <v>18.9856239618741</v>
      </c>
      <c r="Z367" s="18" t="n">
        <f aca="false">IF(D367="","",MAX(0,IF(P367&gt;=0,P367,IF(K367+P367&gt;=0,0,P367+K367))))</f>
        <v>8.96501163479696</v>
      </c>
      <c r="AA367" s="18" t="n">
        <f aca="false">IF(D367="","",IF(H367&lt;=$B$16,1,IF(H367&gt;=$B$17,$B$21,MATCH(H367,Aux_CAV!$A$2:$A$121,1))))</f>
        <v>10</v>
      </c>
      <c r="AB367" s="18" t="n">
        <f aca="false">IF(D367="","",IF(L367&lt;=$B$16,1,IF(L367&gt;=$B$17,$B$21,MATCH(L367,Aux_CAV!$A$2:$A$121,1))))</f>
        <v>9</v>
      </c>
      <c r="AC367" s="19" t="n">
        <f aca="false">IF(D367="","",COUNT($D$24:D367))</f>
        <v>332</v>
      </c>
    </row>
    <row r="368" customFormat="false" ht="12.75" hidden="false" customHeight="true" outlineLevel="0" collapsed="false">
      <c r="A368" s="14" t="n">
        <f aca="false">IF(D368="","",DATE(B368,C368,1))</f>
        <v>14124</v>
      </c>
      <c r="B368" s="15" t="n">
        <f aca="false" t="array" ref="B368:B368">IF(D368="","",IFERROR(VALUE(INDEX(Vazoes_COLAR!$A$2:$A$200,INT((ROW()-24)/12)+1)),""))</f>
        <v>1938</v>
      </c>
      <c r="C368" s="15" t="n">
        <f aca="false">IF(D368="","",MOD(ROW()-24,12)+1)</f>
        <v>9</v>
      </c>
      <c r="D368" s="16" t="n">
        <f aca="false" t="array" ref="D368: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0.0107281222055295</v>
      </c>
      <c r="E368" s="16" t="n">
        <f aca="false">IF(D368="","",D368*$B$15)</f>
        <v>0.0278072927567325</v>
      </c>
      <c r="F368" s="16" t="n">
        <f aca="false" t="array" ref="F368:F368">IF(D368="","",IFERROR(INDEX(Dados_Evap!$C$2:$N$15,MATCH($B$9,Dados_Evap!$A$2:$A$15,0),C368),0))</f>
        <v>292.8</v>
      </c>
      <c r="G368" s="16" t="n">
        <f aca="false">IF(F368="","",F368/1000)</f>
        <v>0.2928</v>
      </c>
      <c r="H368" s="16" t="n">
        <f aca="false">IF(D368="","",MAX(0,MIN($B$8,IFERROR(LOOKUP(2,1/($U$24:U367&lt;&gt;""),$U$24:U367),$B$11))))</f>
        <v>8.96501163479696</v>
      </c>
      <c r="I368" s="16" t="n">
        <f aca="false" t="array" ref="I368: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>2.99850353994886</v>
      </c>
      <c r="J368" s="16" t="n">
        <f aca="false">IF(D368="","",$B$12)</f>
        <v>0.35</v>
      </c>
      <c r="K368" s="16" t="n">
        <f aca="false">IF(J368="","",J368*$B$15)</f>
        <v>0.9072</v>
      </c>
      <c r="L368" s="16" t="n">
        <f aca="false">IF(D368="","",H368+E368-K368-G368*I368)</f>
        <v>7.20765709105666</v>
      </c>
      <c r="M368" s="16" t="n">
        <f aca="false" t="array" ref="M368: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>2.46381907238533</v>
      </c>
      <c r="N368" s="16" t="n">
        <f aca="false">IF(D368="","",(I368+M368)/2)</f>
        <v>2.73116130616709</v>
      </c>
      <c r="O368" s="16" t="n">
        <f aca="false">IF(D368="","",G368*N368)</f>
        <v>0.799684030445725</v>
      </c>
      <c r="P368" s="16" t="n">
        <f aca="false">IF(D368="","",H368+E368-K368-O368)</f>
        <v>7.28593489710796</v>
      </c>
      <c r="Q368" s="16" t="n">
        <f aca="false">IF(D368="","",IF(P368&gt;=0,K368,MAX(0,K368+P368)))</f>
        <v>0.9072</v>
      </c>
      <c r="R368" s="16" t="n">
        <f aca="false">IF(D368="","",Q368/$B$15)</f>
        <v>0.35</v>
      </c>
      <c r="S368" s="16" t="n">
        <f aca="false">IF(D368="","",MAX(0,J368-R368))</f>
        <v>0</v>
      </c>
      <c r="T368" s="16" t="n">
        <f aca="false">IF(D368="","",MAX(0,Z368-$B$8))</f>
        <v>0</v>
      </c>
      <c r="U368" s="16" t="n">
        <f aca="false">IF(D368="","",MAX(0,MIN($B$8,Z368)))</f>
        <v>7.28593489710796</v>
      </c>
      <c r="V368" s="16" t="str">
        <f aca="false">IF(D368="","",IF(S368&gt;0.0000001,"Sim","Não"))</f>
        <v>Não</v>
      </c>
      <c r="W368" s="16" t="n">
        <f aca="false">IF(D368="","",U368-(H368+E368-Q368-O368-T368))</f>
        <v>0</v>
      </c>
      <c r="X368" s="16" t="n">
        <f aca="false">IF(W368="","",ABS(W368))</f>
        <v>0</v>
      </c>
      <c r="Y368" s="16" t="n">
        <f aca="false">IF(U368="","",IF($B$8=0,0,U368/$B$8*100))</f>
        <v>15.4297647122151</v>
      </c>
      <c r="Z368" s="18" t="n">
        <f aca="false">IF(D368="","",MAX(0,IF(P368&gt;=0,P368,IF(K368+P368&gt;=0,0,P368+K368))))</f>
        <v>7.28593489710796</v>
      </c>
      <c r="AA368" s="18" t="n">
        <f aca="false">IF(D368="","",IF(H368&lt;=$B$16,1,IF(H368&gt;=$B$17,$B$21,MATCH(H368,Aux_CAV!$A$2:$A$121,1))))</f>
        <v>9</v>
      </c>
      <c r="AB368" s="18" t="n">
        <f aca="false">IF(D368="","",IF(L368&lt;=$B$16,1,IF(L368&gt;=$B$17,$B$21,MATCH(L368,Aux_CAV!$A$2:$A$121,1))))</f>
        <v>9</v>
      </c>
      <c r="AC368" s="19" t="n">
        <f aca="false">IF(D368="","",COUNT($D$24:D368))</f>
        <v>333</v>
      </c>
    </row>
    <row r="369" customFormat="false" ht="12.75" hidden="false" customHeight="true" outlineLevel="0" collapsed="false">
      <c r="A369" s="14" t="n">
        <f aca="false">IF(D369="","",DATE(B369,C369,1))</f>
        <v>14154</v>
      </c>
      <c r="B369" s="15" t="n">
        <f aca="false" t="array" ref="B369:B369">IF(D369="","",IFERROR(VALUE(INDEX(Vazoes_COLAR!$A$2:$A$200,INT((ROW()-24)/12)+1)),""))</f>
        <v>1938</v>
      </c>
      <c r="C369" s="15" t="n">
        <f aca="false">IF(D369="","",MOD(ROW()-24,12)+1)</f>
        <v>10</v>
      </c>
      <c r="D369" s="16" t="n">
        <f aca="false" t="array" ref="D369: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0.0141765647983626</v>
      </c>
      <c r="E369" s="16" t="n">
        <f aca="false">IF(D369="","",D369*$B$15)</f>
        <v>0.0367456559573559</v>
      </c>
      <c r="F369" s="16" t="n">
        <f aca="false" t="array" ref="F369:F369">IF(D369="","",IFERROR(INDEX(Dados_Evap!$C$2:$N$15,MATCH($B$9,Dados_Evap!$A$2:$A$15,0),C369),0))</f>
        <v>262.9</v>
      </c>
      <c r="G369" s="16" t="n">
        <f aca="false">IF(F369="","",F369/1000)</f>
        <v>0.2629</v>
      </c>
      <c r="H369" s="16" t="n">
        <f aca="false">IF(D369="","",MAX(0,MIN($B$8,IFERROR(LOOKUP(2,1/($U$24:U368&lt;&gt;""),$U$24:U368),$B$11))))</f>
        <v>7.28593489710796</v>
      </c>
      <c r="I369" s="16" t="n">
        <f aca="false" t="array" ref="I369: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>2.48763551124774</v>
      </c>
      <c r="J369" s="16" t="n">
        <f aca="false">IF(D369="","",$B$12)</f>
        <v>0.35</v>
      </c>
      <c r="K369" s="16" t="n">
        <f aca="false">IF(J369="","",J369*$B$15)</f>
        <v>0.9072</v>
      </c>
      <c r="L369" s="16" t="n">
        <f aca="false">IF(D369="","",H369+E369-K369-G369*I369)</f>
        <v>5.76148117715829</v>
      </c>
      <c r="M369" s="16" t="n">
        <f aca="false" t="array" ref="M369: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>2.02381235815667</v>
      </c>
      <c r="N369" s="16" t="n">
        <f aca="false">IF(D369="","",(I369+M369)/2)</f>
        <v>2.25572393470221</v>
      </c>
      <c r="O369" s="16" t="n">
        <f aca="false">IF(D369="","",G369*N369)</f>
        <v>0.59302982243321</v>
      </c>
      <c r="P369" s="16" t="n">
        <f aca="false">IF(D369="","",H369+E369-K369-O369)</f>
        <v>5.82245073063211</v>
      </c>
      <c r="Q369" s="16" t="n">
        <f aca="false">IF(D369="","",IF(P369&gt;=0,K369,MAX(0,K369+P369)))</f>
        <v>0.9072</v>
      </c>
      <c r="R369" s="16" t="n">
        <f aca="false">IF(D369="","",Q369/$B$15)</f>
        <v>0.35</v>
      </c>
      <c r="S369" s="16" t="n">
        <f aca="false">IF(D369="","",MAX(0,J369-R369))</f>
        <v>0</v>
      </c>
      <c r="T369" s="16" t="n">
        <f aca="false">IF(D369="","",MAX(0,Z369-$B$8))</f>
        <v>0</v>
      </c>
      <c r="U369" s="16" t="n">
        <f aca="false">IF(D369="","",MAX(0,MIN($B$8,Z369)))</f>
        <v>5.82245073063211</v>
      </c>
      <c r="V369" s="16" t="str">
        <f aca="false">IF(D369="","",IF(S369&gt;0.0000001,"Sim","Não"))</f>
        <v>Não</v>
      </c>
      <c r="W369" s="16" t="n">
        <f aca="false">IF(D369="","",U369-(H369+E369-Q369-O369-T369))</f>
        <v>0</v>
      </c>
      <c r="X369" s="16" t="n">
        <f aca="false">IF(W369="","",ABS(W369))</f>
        <v>0</v>
      </c>
      <c r="Y369" s="16" t="n">
        <f aca="false">IF(U369="","",IF($B$8=0,0,U369/$B$8*100))</f>
        <v>12.3304759225585</v>
      </c>
      <c r="Z369" s="18" t="n">
        <f aca="false">IF(D369="","",MAX(0,IF(P369&gt;=0,P369,IF(K369+P369&gt;=0,0,P369+K369))))</f>
        <v>5.82245073063211</v>
      </c>
      <c r="AA369" s="18" t="n">
        <f aca="false">IF(D369="","",IF(H369&lt;=$B$16,1,IF(H369&gt;=$B$17,$B$21,MATCH(H369,Aux_CAV!$A$2:$A$121,1))))</f>
        <v>9</v>
      </c>
      <c r="AB369" s="18" t="n">
        <f aca="false">IF(D369="","",IF(L369&lt;=$B$16,1,IF(L369&gt;=$B$17,$B$21,MATCH(L369,Aux_CAV!$A$2:$A$121,1))))</f>
        <v>9</v>
      </c>
      <c r="AC369" s="19" t="n">
        <f aca="false">IF(D369="","",COUNT($D$24:D369))</f>
        <v>334</v>
      </c>
    </row>
    <row r="370" customFormat="false" ht="12.75" hidden="false" customHeight="true" outlineLevel="0" collapsed="false">
      <c r="A370" s="14" t="n">
        <f aca="false">IF(D370="","",DATE(B370,C370,1))</f>
        <v>14185</v>
      </c>
      <c r="B370" s="15" t="n">
        <f aca="false" t="array" ref="B370:B370">IF(D370="","",IFERROR(VALUE(INDEX(Vazoes_COLAR!$A$2:$A$200,INT((ROW()-24)/12)+1)),""))</f>
        <v>1938</v>
      </c>
      <c r="C370" s="15" t="n">
        <f aca="false">IF(D370="","",MOD(ROW()-24,12)+1)</f>
        <v>11</v>
      </c>
      <c r="D370" s="16" t="n">
        <f aca="false" t="array" ref="D370: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0.0161591089349964</v>
      </c>
      <c r="E370" s="16" t="n">
        <f aca="false">IF(D370="","",D370*$B$15)</f>
        <v>0.0418844103595107</v>
      </c>
      <c r="F370" s="16" t="n">
        <f aca="false" t="array" ref="F370:F370">IF(D370="","",IFERROR(INDEX(Dados_Evap!$C$2:$N$15,MATCH($B$9,Dados_Evap!$A$2:$A$15,0),C370),0))</f>
        <v>223.7</v>
      </c>
      <c r="G370" s="16" t="n">
        <f aca="false">IF(F370="","",F370/1000)</f>
        <v>0.2237</v>
      </c>
      <c r="H370" s="16" t="n">
        <f aca="false">IF(D370="","",MAX(0,MIN($B$8,IFERROR(LOOKUP(2,1/($U$24:U369&lt;&gt;""),$U$24:U369),$B$11))))</f>
        <v>5.82245073063211</v>
      </c>
      <c r="I370" s="16" t="n">
        <f aca="false" t="array" ref="I370: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>2.04236266910722</v>
      </c>
      <c r="J370" s="16" t="n">
        <f aca="false">IF(D370="","",$B$12)</f>
        <v>0.35</v>
      </c>
      <c r="K370" s="16" t="n">
        <f aca="false">IF(J370="","",J370*$B$15)</f>
        <v>0.9072</v>
      </c>
      <c r="L370" s="16" t="n">
        <f aca="false">IF(D370="","",H370+E370-K370-G370*I370)</f>
        <v>4.50025861191234</v>
      </c>
      <c r="M370" s="16" t="n">
        <f aca="false" t="array" ref="M370: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>1.64007868404992</v>
      </c>
      <c r="N370" s="16" t="n">
        <f aca="false">IF(D370="","",(I370+M370)/2)</f>
        <v>1.84122067657857</v>
      </c>
      <c r="O370" s="16" t="n">
        <f aca="false">IF(D370="","",G370*N370)</f>
        <v>0.411881065350626</v>
      </c>
      <c r="P370" s="16" t="n">
        <f aca="false">IF(D370="","",H370+E370-K370-O370)</f>
        <v>4.545254075641</v>
      </c>
      <c r="Q370" s="16" t="n">
        <f aca="false">IF(D370="","",IF(P370&gt;=0,K370,MAX(0,K370+P370)))</f>
        <v>0.9072</v>
      </c>
      <c r="R370" s="16" t="n">
        <f aca="false">IF(D370="","",Q370/$B$15)</f>
        <v>0.35</v>
      </c>
      <c r="S370" s="16" t="n">
        <f aca="false">IF(D370="","",MAX(0,J370-R370))</f>
        <v>0</v>
      </c>
      <c r="T370" s="16" t="n">
        <f aca="false">IF(D370="","",MAX(0,Z370-$B$8))</f>
        <v>0</v>
      </c>
      <c r="U370" s="16" t="n">
        <f aca="false">IF(D370="","",MAX(0,MIN($B$8,Z370)))</f>
        <v>4.545254075641</v>
      </c>
      <c r="V370" s="16" t="str">
        <f aca="false">IF(D370="","",IF(S370&gt;0.0000001,"Sim","Não"))</f>
        <v>Não</v>
      </c>
      <c r="W370" s="16" t="n">
        <f aca="false">IF(D370="","",U370-(H370+E370-Q370-O370-T370))</f>
        <v>0</v>
      </c>
      <c r="X370" s="16" t="n">
        <f aca="false">IF(W370="","",ABS(W370))</f>
        <v>0</v>
      </c>
      <c r="Y370" s="16" t="n">
        <f aca="false">IF(U370="","",IF($B$8=0,0,U370/$B$8*100))</f>
        <v>9.62569689885852</v>
      </c>
      <c r="Z370" s="18" t="n">
        <f aca="false">IF(D370="","",MAX(0,IF(P370&gt;=0,P370,IF(K370+P370&gt;=0,0,P370+K370))))</f>
        <v>4.545254075641</v>
      </c>
      <c r="AA370" s="18" t="n">
        <f aca="false">IF(D370="","",IF(H370&lt;=$B$16,1,IF(H370&gt;=$B$17,$B$21,MATCH(H370,Aux_CAV!$A$2:$A$121,1))))</f>
        <v>9</v>
      </c>
      <c r="AB370" s="18" t="n">
        <f aca="false">IF(D370="","",IF(L370&lt;=$B$16,1,IF(L370&gt;=$B$17,$B$21,MATCH(L370,Aux_CAV!$A$2:$A$121,1))))</f>
        <v>9</v>
      </c>
      <c r="AC370" s="19" t="n">
        <f aca="false">IF(D370="","",COUNT($D$24:D370))</f>
        <v>335</v>
      </c>
    </row>
    <row r="371" customFormat="false" ht="12.75" hidden="false" customHeight="true" outlineLevel="0" collapsed="false">
      <c r="A371" s="14" t="n">
        <f aca="false">IF(D371="","",DATE(B371,C371,1))</f>
        <v>14215</v>
      </c>
      <c r="B371" s="15" t="n">
        <f aca="false" t="array" ref="B371:B371">IF(D371="","",IFERROR(VALUE(INDEX(Vazoes_COLAR!$A$2:$A$200,INT((ROW()-24)/12)+1)),""))</f>
        <v>1938</v>
      </c>
      <c r="C371" s="15" t="n">
        <f aca="false">IF(D371="","",MOD(ROW()-24,12)+1)</f>
        <v>12</v>
      </c>
      <c r="D371" s="16" t="n">
        <f aca="false" t="array" ref="D371: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0.00519771663605676</v>
      </c>
      <c r="E371" s="16" t="n">
        <f aca="false">IF(D371="","",D371*$B$15)</f>
        <v>0.0134724815206591</v>
      </c>
      <c r="F371" s="16" t="n">
        <f aca="false" t="array" ref="F371:F371">IF(D371="","",IFERROR(INDEX(Dados_Evap!$C$2:$N$15,MATCH($B$9,Dados_Evap!$A$2:$A$15,0),C371),0))</f>
        <v>216.1</v>
      </c>
      <c r="G371" s="16" t="n">
        <f aca="false">IF(F371="","",F371/1000)</f>
        <v>0.2161</v>
      </c>
      <c r="H371" s="16" t="n">
        <f aca="false">IF(D371="","",MAX(0,MIN($B$8,IFERROR(LOOKUP(2,1/($U$24:U370&lt;&gt;""),$U$24:U370),$B$11))))</f>
        <v>4.545254075641</v>
      </c>
      <c r="I371" s="16" t="n">
        <f aca="false" t="array" ref="I371: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>1.65376879322694</v>
      </c>
      <c r="J371" s="16" t="n">
        <f aca="false">IF(D371="","",$B$12)</f>
        <v>0.35</v>
      </c>
      <c r="K371" s="16" t="n">
        <f aca="false">IF(J371="","",J371*$B$15)</f>
        <v>0.9072</v>
      </c>
      <c r="L371" s="16" t="n">
        <f aca="false">IF(D371="","",H371+E371-K371-G371*I371)</f>
        <v>3.29414712094531</v>
      </c>
      <c r="M371" s="16" t="n">
        <f aca="false" t="array" ref="M371: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>1.31200801689712</v>
      </c>
      <c r="N371" s="16" t="n">
        <f aca="false">IF(D371="","",(I371+M371)/2)</f>
        <v>1.48288840506203</v>
      </c>
      <c r="O371" s="16" t="n">
        <f aca="false">IF(D371="","",G371*N371)</f>
        <v>0.320452184333905</v>
      </c>
      <c r="P371" s="16" t="n">
        <f aca="false">IF(D371="","",H371+E371-K371-O371)</f>
        <v>3.33107437282775</v>
      </c>
      <c r="Q371" s="16" t="n">
        <f aca="false">IF(D371="","",IF(P371&gt;=0,K371,MAX(0,K371+P371)))</f>
        <v>0.9072</v>
      </c>
      <c r="R371" s="16" t="n">
        <f aca="false">IF(D371="","",Q371/$B$15)</f>
        <v>0.35</v>
      </c>
      <c r="S371" s="16" t="n">
        <f aca="false">IF(D371="","",MAX(0,J371-R371))</f>
        <v>0</v>
      </c>
      <c r="T371" s="16" t="n">
        <f aca="false">IF(D371="","",MAX(0,Z371-$B$8))</f>
        <v>0</v>
      </c>
      <c r="U371" s="16" t="n">
        <f aca="false">IF(D371="","",MAX(0,MIN($B$8,Z371)))</f>
        <v>3.33107437282775</v>
      </c>
      <c r="V371" s="16" t="str">
        <f aca="false">IF(D371="","",IF(S371&gt;0.0000001,"Sim","Não"))</f>
        <v>Não</v>
      </c>
      <c r="W371" s="16" t="n">
        <f aca="false">IF(D371="","",U371-(H371+E371-Q371-O371-T371))</f>
        <v>0</v>
      </c>
      <c r="X371" s="16" t="n">
        <f aca="false">IF(W371="","",ABS(W371))</f>
        <v>0</v>
      </c>
      <c r="Y371" s="16" t="n">
        <f aca="false">IF(U371="","",IF($B$8=0,0,U371/$B$8*100))</f>
        <v>7.05437181877965</v>
      </c>
      <c r="Z371" s="18" t="n">
        <f aca="false">IF(D371="","",MAX(0,IF(P371&gt;=0,P371,IF(K371+P371&gt;=0,0,P371+K371))))</f>
        <v>3.33107437282775</v>
      </c>
      <c r="AA371" s="18" t="n">
        <f aca="false">IF(D371="","",IF(H371&lt;=$B$16,1,IF(H371&gt;=$B$17,$B$21,MATCH(H371,Aux_CAV!$A$2:$A$121,1))))</f>
        <v>9</v>
      </c>
      <c r="AB371" s="18" t="n">
        <f aca="false">IF(D371="","",IF(L371&lt;=$B$16,1,IF(L371&gt;=$B$17,$B$21,MATCH(L371,Aux_CAV!$A$2:$A$121,1))))</f>
        <v>8</v>
      </c>
      <c r="AC371" s="19" t="n">
        <f aca="false">IF(D371="","",COUNT($D$24:D371))</f>
        <v>336</v>
      </c>
    </row>
    <row r="372" customFormat="false" ht="12.75" hidden="false" customHeight="true" outlineLevel="0" collapsed="false">
      <c r="A372" s="14" t="n">
        <f aca="false">IF(D372="","",DATE(B372,C372,1))</f>
        <v>14246</v>
      </c>
      <c r="B372" s="15" t="n">
        <f aca="false" t="array" ref="B372:B372">IF(D372="","",IFERROR(VALUE(INDEX(Vazoes_COLAR!$A$2:$A$200,INT((ROW()-24)/12)+1)),""))</f>
        <v>1939</v>
      </c>
      <c r="C372" s="15" t="n">
        <f aca="false">IF(D372="","",MOD(ROW()-24,12)+1)</f>
        <v>1</v>
      </c>
      <c r="D372" s="16" t="n">
        <f aca="false" t="array" ref="D372: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0.0140403103050496</v>
      </c>
      <c r="E372" s="16" t="n">
        <f aca="false">IF(D372="","",D372*$B$15)</f>
        <v>0.0363924843106886</v>
      </c>
      <c r="F372" s="16" t="n">
        <f aca="false" t="array" ref="F372:F372">IF(D372="","",IFERROR(INDEX(Dados_Evap!$C$2:$N$15,MATCH($B$9,Dados_Evap!$A$2:$A$15,0),C372),0))</f>
        <v>160</v>
      </c>
      <c r="G372" s="16" t="n">
        <f aca="false">IF(F372="","",F372/1000)</f>
        <v>0.16</v>
      </c>
      <c r="H372" s="16" t="n">
        <f aca="false">IF(D372="","",MAX(0,MIN($B$8,IFERROR(LOOKUP(2,1/($U$24:U371&lt;&gt;""),$U$24:U371),$B$11))))</f>
        <v>3.33107437282775</v>
      </c>
      <c r="I372" s="16" t="n">
        <f aca="false" t="array" ref="I372: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>1.32205222940915</v>
      </c>
      <c r="J372" s="16" t="n">
        <f aca="false">IF(D372="","",$B$12)</f>
        <v>0.35</v>
      </c>
      <c r="K372" s="16" t="n">
        <f aca="false">IF(J372="","",J372*$B$15)</f>
        <v>0.9072</v>
      </c>
      <c r="L372" s="16" t="n">
        <f aca="false">IF(D372="","",H372+E372-K372-G372*I372)</f>
        <v>2.24873850043297</v>
      </c>
      <c r="M372" s="16" t="n">
        <f aca="false" t="array" ref="M372: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>1.02765687211777</v>
      </c>
      <c r="N372" s="16" t="n">
        <f aca="false">IF(D372="","",(I372+M372)/2)</f>
        <v>1.17485455076346</v>
      </c>
      <c r="O372" s="16" t="n">
        <f aca="false">IF(D372="","",G372*N372)</f>
        <v>0.187976728122153</v>
      </c>
      <c r="P372" s="16" t="n">
        <f aca="false">IF(D372="","",H372+E372-K372-O372)</f>
        <v>2.27229012901628</v>
      </c>
      <c r="Q372" s="16" t="n">
        <f aca="false">IF(D372="","",IF(P372&gt;=0,K372,MAX(0,K372+P372)))</f>
        <v>0.9072</v>
      </c>
      <c r="R372" s="16" t="n">
        <f aca="false">IF(D372="","",Q372/$B$15)</f>
        <v>0.35</v>
      </c>
      <c r="S372" s="16" t="n">
        <f aca="false">IF(D372="","",MAX(0,J372-R372))</f>
        <v>0</v>
      </c>
      <c r="T372" s="16" t="n">
        <f aca="false">IF(D372="","",MAX(0,Z372-$B$8))</f>
        <v>0</v>
      </c>
      <c r="U372" s="16" t="n">
        <f aca="false">IF(D372="","",MAX(0,MIN($B$8,Z372)))</f>
        <v>2.27229012901628</v>
      </c>
      <c r="V372" s="16" t="str">
        <f aca="false">IF(D372="","",IF(S372&gt;0.0000001,"Sim","Não"))</f>
        <v>Não</v>
      </c>
      <c r="W372" s="16" t="n">
        <f aca="false">IF(D372="","",U372-(H372+E372-Q372-O372-T372))</f>
        <v>0</v>
      </c>
      <c r="X372" s="16" t="n">
        <f aca="false">IF(W372="","",ABS(W372))</f>
        <v>0</v>
      </c>
      <c r="Y372" s="16" t="n">
        <f aca="false">IF(U372="","",IF($B$8=0,0,U372/$B$8*100))</f>
        <v>4.81213496191504</v>
      </c>
      <c r="Z372" s="18" t="n">
        <f aca="false">IF(D372="","",MAX(0,IF(P372&gt;=0,P372,IF(K372+P372&gt;=0,0,P372+K372))))</f>
        <v>2.27229012901628</v>
      </c>
      <c r="AA372" s="18" t="n">
        <f aca="false">IF(D372="","",IF(H372&lt;=$B$16,1,IF(H372&gt;=$B$17,$B$21,MATCH(H372,Aux_CAV!$A$2:$A$121,1))))</f>
        <v>8</v>
      </c>
      <c r="AB372" s="18" t="n">
        <f aca="false">IF(D372="","",IF(L372&lt;=$B$16,1,IF(L372&gt;=$B$17,$B$21,MATCH(L372,Aux_CAV!$A$2:$A$121,1))))</f>
        <v>8</v>
      </c>
      <c r="AC372" s="19" t="n">
        <f aca="false">IF(D372="","",COUNT($D$24:D372))</f>
        <v>337</v>
      </c>
    </row>
    <row r="373" customFormat="false" ht="12.75" hidden="false" customHeight="true" outlineLevel="0" collapsed="false">
      <c r="A373" s="14" t="n">
        <f aca="false">IF(D373="","",DATE(B373,C373,1))</f>
        <v>14277</v>
      </c>
      <c r="B373" s="15" t="n">
        <f aca="false" t="array" ref="B373:B373">IF(D373="","",IFERROR(VALUE(INDEX(Vazoes_COLAR!$A$2:$A$200,INT((ROW()-24)/12)+1)),""))</f>
        <v>1939</v>
      </c>
      <c r="C373" s="15" t="n">
        <f aca="false">IF(D373="","",MOD(ROW()-24,12)+1)</f>
        <v>2</v>
      </c>
      <c r="D373" s="16" t="n">
        <f aca="false" t="array" ref="D373: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0.718243672761944</v>
      </c>
      <c r="E373" s="16" t="n">
        <f aca="false">IF(D373="","",D373*$B$15)</f>
        <v>1.86168759979896</v>
      </c>
      <c r="F373" s="16" t="n">
        <f aca="false" t="array" ref="F373:F373">IF(D373="","",IFERROR(INDEX(Dados_Evap!$C$2:$N$15,MATCH($B$9,Dados_Evap!$A$2:$A$15,0),C373),0))</f>
        <v>124.3</v>
      </c>
      <c r="G373" s="16" t="n">
        <f aca="false">IF(F373="","",F373/1000)</f>
        <v>0.1243</v>
      </c>
      <c r="H373" s="16" t="n">
        <f aca="false">IF(D373="","",MAX(0,MIN($B$8,IFERROR(LOOKUP(2,1/($U$24:U372&lt;&gt;""),$U$24:U372),$B$11))))</f>
        <v>2.27229012901628</v>
      </c>
      <c r="I373" s="16" t="n">
        <f aca="false" t="array" ref="I373: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>1.03406291509243</v>
      </c>
      <c r="J373" s="16" t="n">
        <f aca="false">IF(D373="","",$B$12)</f>
        <v>0.35</v>
      </c>
      <c r="K373" s="16" t="n">
        <f aca="false">IF(J373="","",J373*$B$15)</f>
        <v>0.9072</v>
      </c>
      <c r="L373" s="16" t="n">
        <f aca="false">IF(D373="","",H373+E373-K373-G373*I373)</f>
        <v>3.09824370846925</v>
      </c>
      <c r="M373" s="16" t="n">
        <f aca="false" t="array" ref="M373: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>1.25872228870364</v>
      </c>
      <c r="N373" s="16" t="n">
        <f aca="false">IF(D373="","",(I373+M373)/2)</f>
        <v>1.14639260189803</v>
      </c>
      <c r="O373" s="16" t="n">
        <f aca="false">IF(D373="","",G373*N373)</f>
        <v>0.142496600415926</v>
      </c>
      <c r="P373" s="16" t="n">
        <f aca="false">IF(D373="","",H373+E373-K373-O373)</f>
        <v>3.08428112839932</v>
      </c>
      <c r="Q373" s="16" t="n">
        <f aca="false">IF(D373="","",IF(P373&gt;=0,K373,MAX(0,K373+P373)))</f>
        <v>0.9072</v>
      </c>
      <c r="R373" s="16" t="n">
        <f aca="false">IF(D373="","",Q373/$B$15)</f>
        <v>0.35</v>
      </c>
      <c r="S373" s="16" t="n">
        <f aca="false">IF(D373="","",MAX(0,J373-R373))</f>
        <v>0</v>
      </c>
      <c r="T373" s="16" t="n">
        <f aca="false">IF(D373="","",MAX(0,Z373-$B$8))</f>
        <v>0</v>
      </c>
      <c r="U373" s="16" t="n">
        <f aca="false">IF(D373="","",MAX(0,MIN($B$8,Z373)))</f>
        <v>3.08428112839932</v>
      </c>
      <c r="V373" s="16" t="str">
        <f aca="false">IF(D373="","",IF(S373&gt;0.0000001,"Sim","Não"))</f>
        <v>Não</v>
      </c>
      <c r="W373" s="16" t="n">
        <f aca="false">IF(D373="","",U373-(H373+E373-Q373-O373-T373))</f>
        <v>0</v>
      </c>
      <c r="X373" s="16" t="n">
        <f aca="false">IF(W373="","",ABS(W373))</f>
        <v>0</v>
      </c>
      <c r="Y373" s="16" t="n">
        <f aca="false">IF(U373="","",IF($B$8=0,0,U373/$B$8*100))</f>
        <v>6.53172623549199</v>
      </c>
      <c r="Z373" s="18" t="n">
        <f aca="false">IF(D373="","",MAX(0,IF(P373&gt;=0,P373,IF(K373+P373&gt;=0,0,P373+K373))))</f>
        <v>3.08428112839932</v>
      </c>
      <c r="AA373" s="18" t="n">
        <f aca="false">IF(D373="","",IF(H373&lt;=$B$16,1,IF(H373&gt;=$B$17,$B$21,MATCH(H373,Aux_CAV!$A$2:$A$121,1))))</f>
        <v>8</v>
      </c>
      <c r="AB373" s="18" t="n">
        <f aca="false">IF(D373="","",IF(L373&lt;=$B$16,1,IF(L373&gt;=$B$17,$B$21,MATCH(L373,Aux_CAV!$A$2:$A$121,1))))</f>
        <v>8</v>
      </c>
      <c r="AC373" s="19" t="n">
        <f aca="false">IF(D373="","",COUNT($D$24:D373))</f>
        <v>338</v>
      </c>
    </row>
    <row r="374" customFormat="false" ht="12.75" hidden="false" customHeight="true" outlineLevel="0" collapsed="false">
      <c r="A374" s="14" t="n">
        <f aca="false">IF(D374="","",DATE(B374,C374,1))</f>
        <v>14305</v>
      </c>
      <c r="B374" s="15" t="n">
        <f aca="false" t="array" ref="B374:B374">IF(D374="","",IFERROR(VALUE(INDEX(Vazoes_COLAR!$A$2:$A$200,INT((ROW()-24)/12)+1)),""))</f>
        <v>1939</v>
      </c>
      <c r="C374" s="15" t="n">
        <f aca="false">IF(D374="","",MOD(ROW()-24,12)+1)</f>
        <v>3</v>
      </c>
      <c r="D374" s="16" t="n">
        <f aca="false" t="array" ref="D374: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2.59939790447794</v>
      </c>
      <c r="E374" s="16" t="n">
        <f aca="false">IF(D374="","",D374*$B$15)</f>
        <v>6.73763936840682</v>
      </c>
      <c r="F374" s="16" t="n">
        <f aca="false" t="array" ref="F374:F374">IF(D374="","",IFERROR(INDEX(Dados_Evap!$C$2:$N$15,MATCH($B$9,Dados_Evap!$A$2:$A$15,0),C374),0))</f>
        <v>107.7</v>
      </c>
      <c r="G374" s="16" t="n">
        <f aca="false">IF(F374="","",F374/1000)</f>
        <v>0.1077</v>
      </c>
      <c r="H374" s="16" t="n">
        <f aca="false">IF(D374="","",MAX(0,MIN($B$8,IFERROR(LOOKUP(2,1/($U$24:U373&lt;&gt;""),$U$24:U373),$B$11))))</f>
        <v>3.08428112839932</v>
      </c>
      <c r="I374" s="16" t="n">
        <f aca="false" t="array" ref="I374: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>1.25492446692461</v>
      </c>
      <c r="J374" s="16" t="n">
        <f aca="false">IF(D374="","",$B$12)</f>
        <v>0.35</v>
      </c>
      <c r="K374" s="16" t="n">
        <f aca="false">IF(J374="","",J374*$B$15)</f>
        <v>0.9072</v>
      </c>
      <c r="L374" s="16" t="n">
        <f aca="false">IF(D374="","",H374+E374-K374-G374*I374)</f>
        <v>8.77956513171836</v>
      </c>
      <c r="M374" s="16" t="n">
        <f aca="false" t="array" ref="M374: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>2.94208045496963</v>
      </c>
      <c r="N374" s="16" t="n">
        <f aca="false">IF(D374="","",(I374+M374)/2)</f>
        <v>2.09850246094712</v>
      </c>
      <c r="O374" s="16" t="n">
        <f aca="false">IF(D374="","",G374*N374)</f>
        <v>0.226008715044005</v>
      </c>
      <c r="P374" s="16" t="n">
        <f aca="false">IF(D374="","",H374+E374-K374-O374)</f>
        <v>8.68871178176213</v>
      </c>
      <c r="Q374" s="16" t="n">
        <f aca="false">IF(D374="","",IF(P374&gt;=0,K374,MAX(0,K374+P374)))</f>
        <v>0.9072</v>
      </c>
      <c r="R374" s="16" t="n">
        <f aca="false">IF(D374="","",Q374/$B$15)</f>
        <v>0.35</v>
      </c>
      <c r="S374" s="16" t="n">
        <f aca="false">IF(D374="","",MAX(0,J374-R374))</f>
        <v>0</v>
      </c>
      <c r="T374" s="16" t="n">
        <f aca="false">IF(D374="","",MAX(0,Z374-$B$8))</f>
        <v>0</v>
      </c>
      <c r="U374" s="16" t="n">
        <f aca="false">IF(D374="","",MAX(0,MIN($B$8,Z374)))</f>
        <v>8.68871178176213</v>
      </c>
      <c r="V374" s="16" t="str">
        <f aca="false">IF(D374="","",IF(S374&gt;0.0000001,"Sim","Não"))</f>
        <v>Não</v>
      </c>
      <c r="W374" s="16" t="n">
        <f aca="false">IF(D374="","",U374-(H374+E374-Q374-O374-T374))</f>
        <v>0</v>
      </c>
      <c r="X374" s="16" t="n">
        <f aca="false">IF(W374="","",ABS(W374))</f>
        <v>0</v>
      </c>
      <c r="Y374" s="16" t="n">
        <f aca="false">IF(U374="","",IF($B$8=0,0,U374/$B$8*100))</f>
        <v>18.4004908550659</v>
      </c>
      <c r="Z374" s="18" t="n">
        <f aca="false">IF(D374="","",MAX(0,IF(P374&gt;=0,P374,IF(K374+P374&gt;=0,0,P374+K374))))</f>
        <v>8.68871178176213</v>
      </c>
      <c r="AA374" s="18" t="n">
        <f aca="false">IF(D374="","",IF(H374&lt;=$B$16,1,IF(H374&gt;=$B$17,$B$21,MATCH(H374,Aux_CAV!$A$2:$A$121,1))))</f>
        <v>8</v>
      </c>
      <c r="AB374" s="18" t="n">
        <f aca="false">IF(D374="","",IF(L374&lt;=$B$16,1,IF(L374&gt;=$B$17,$B$21,MATCH(L374,Aux_CAV!$A$2:$A$121,1))))</f>
        <v>9</v>
      </c>
      <c r="AC374" s="19" t="n">
        <f aca="false">IF(D374="","",COUNT($D$24:D374))</f>
        <v>339</v>
      </c>
    </row>
    <row r="375" customFormat="false" ht="12.75" hidden="false" customHeight="true" outlineLevel="0" collapsed="false">
      <c r="A375" s="14" t="n">
        <f aca="false">IF(D375="","",DATE(B375,C375,1))</f>
        <v>14336</v>
      </c>
      <c r="B375" s="15" t="n">
        <f aca="false" t="array" ref="B375:B375">IF(D375="","",IFERROR(VALUE(INDEX(Vazoes_COLAR!$A$2:$A$200,INT((ROW()-24)/12)+1)),""))</f>
        <v>1939</v>
      </c>
      <c r="C375" s="15" t="n">
        <f aca="false">IF(D375="","",MOD(ROW()-24,12)+1)</f>
        <v>4</v>
      </c>
      <c r="D375" s="16" t="n">
        <f aca="false" t="array" ref="D375: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1.19964281719247</v>
      </c>
      <c r="E375" s="16" t="n">
        <f aca="false">IF(D375="","",D375*$B$15)</f>
        <v>3.10947418216288</v>
      </c>
      <c r="F375" s="16" t="n">
        <f aca="false" t="array" ref="F375:F375">IF(D375="","",IFERROR(INDEX(Dados_Evap!$C$2:$N$15,MATCH($B$9,Dados_Evap!$A$2:$A$15,0),C375),0))</f>
        <v>100.5</v>
      </c>
      <c r="G375" s="16" t="n">
        <f aca="false">IF(F375="","",F375/1000)</f>
        <v>0.1005</v>
      </c>
      <c r="H375" s="16" t="n">
        <f aca="false">IF(D375="","",MAX(0,MIN($B$8,IFERROR(LOOKUP(2,1/($U$24:U374&lt;&gt;""),$U$24:U374),$B$11))))</f>
        <v>8.68871178176213</v>
      </c>
      <c r="I375" s="16" t="n">
        <f aca="false" t="array" ref="I375: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>2.91443783998295</v>
      </c>
      <c r="J375" s="16" t="n">
        <f aca="false">IF(D375="","",$B$12)</f>
        <v>0.35</v>
      </c>
      <c r="K375" s="16" t="n">
        <f aca="false">IF(J375="","",J375*$B$15)</f>
        <v>0.9072</v>
      </c>
      <c r="L375" s="16" t="n">
        <f aca="false">IF(D375="","",H375+E375-K375-G375*I375)</f>
        <v>10.5980849610067</v>
      </c>
      <c r="M375" s="16" t="n">
        <f aca="false" t="array" ref="M375: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>3.18924842314469</v>
      </c>
      <c r="N375" s="16" t="n">
        <f aca="false">IF(D375="","",(I375+M375)/2)</f>
        <v>3.05184313156382</v>
      </c>
      <c r="O375" s="16" t="n">
        <f aca="false">IF(D375="","",G375*N375)</f>
        <v>0.306710234722164</v>
      </c>
      <c r="P375" s="16" t="n">
        <f aca="false">IF(D375="","",H375+E375-K375-O375)</f>
        <v>10.5842757292029</v>
      </c>
      <c r="Q375" s="16" t="n">
        <f aca="false">IF(D375="","",IF(P375&gt;=0,K375,MAX(0,K375+P375)))</f>
        <v>0.9072</v>
      </c>
      <c r="R375" s="16" t="n">
        <f aca="false">IF(D375="","",Q375/$B$15)</f>
        <v>0.35</v>
      </c>
      <c r="S375" s="16" t="n">
        <f aca="false">IF(D375="","",MAX(0,J375-R375))</f>
        <v>0</v>
      </c>
      <c r="T375" s="16" t="n">
        <f aca="false">IF(D375="","",MAX(0,Z375-$B$8))</f>
        <v>0</v>
      </c>
      <c r="U375" s="16" t="n">
        <f aca="false">IF(D375="","",MAX(0,MIN($B$8,Z375)))</f>
        <v>10.5842757292029</v>
      </c>
      <c r="V375" s="16" t="str">
        <f aca="false">IF(D375="","",IF(S375&gt;0.0000001,"Sim","Não"))</f>
        <v>Não</v>
      </c>
      <c r="W375" s="16" t="n">
        <f aca="false">IF(D375="","",U375-(H375+E375-Q375-O375-T375))</f>
        <v>0</v>
      </c>
      <c r="X375" s="16" t="n">
        <f aca="false">IF(W375="","",ABS(W375))</f>
        <v>0</v>
      </c>
      <c r="Y375" s="16" t="n">
        <f aca="false">IF(U375="","",IF($B$8=0,0,U375/$B$8*100))</f>
        <v>22.4148151825558</v>
      </c>
      <c r="Z375" s="18" t="n">
        <f aca="false">IF(D375="","",MAX(0,IF(P375&gt;=0,P375,IF(K375+P375&gt;=0,0,P375+K375))))</f>
        <v>10.5842757292029</v>
      </c>
      <c r="AA375" s="18" t="n">
        <f aca="false">IF(D375="","",IF(H375&lt;=$B$16,1,IF(H375&gt;=$B$17,$B$21,MATCH(H375,Aux_CAV!$A$2:$A$121,1))))</f>
        <v>9</v>
      </c>
      <c r="AB375" s="18" t="n">
        <f aca="false">IF(D375="","",IF(L375&lt;=$B$16,1,IF(L375&gt;=$B$17,$B$21,MATCH(L375,Aux_CAV!$A$2:$A$121,1))))</f>
        <v>10</v>
      </c>
      <c r="AC375" s="19" t="n">
        <f aca="false">IF(D375="","",COUNT($D$24:D375))</f>
        <v>340</v>
      </c>
    </row>
    <row r="376" customFormat="false" ht="12.75" hidden="false" customHeight="true" outlineLevel="0" collapsed="false">
      <c r="A376" s="14" t="n">
        <f aca="false">IF(D376="","",DATE(B376,C376,1))</f>
        <v>14366</v>
      </c>
      <c r="B376" s="15" t="n">
        <f aca="false" t="array" ref="B376:B376">IF(D376="","",IFERROR(VALUE(INDEX(Vazoes_COLAR!$A$2:$A$200,INT((ROW()-24)/12)+1)),""))</f>
        <v>1939</v>
      </c>
      <c r="C376" s="15" t="n">
        <f aca="false">IF(D376="","",MOD(ROW()-24,12)+1)</f>
        <v>5</v>
      </c>
      <c r="D376" s="16" t="n">
        <f aca="false" t="array" ref="D376: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1.05262244047712</v>
      </c>
      <c r="E376" s="16" t="n">
        <f aca="false">IF(D376="","",D376*$B$15)</f>
        <v>2.7283973657167</v>
      </c>
      <c r="F376" s="16" t="n">
        <f aca="false" t="array" ref="F376:F376">IF(D376="","",IFERROR(INDEX(Dados_Evap!$C$2:$N$15,MATCH($B$9,Dados_Evap!$A$2:$A$15,0),C376),0))</f>
        <v>145.8</v>
      </c>
      <c r="G376" s="16" t="n">
        <f aca="false">IF(F376="","",F376/1000)</f>
        <v>0.1458</v>
      </c>
      <c r="H376" s="16" t="n">
        <f aca="false">IF(D376="","",MAX(0,MIN($B$8,IFERROR(LOOKUP(2,1/($U$24:U375&lt;&gt;""),$U$24:U375),$B$11))))</f>
        <v>10.5842757292029</v>
      </c>
      <c r="I376" s="16" t="n">
        <f aca="false" t="array" ref="I376: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>3.1880705769026</v>
      </c>
      <c r="J376" s="16" t="n">
        <f aca="false">IF(D376="","",$B$12)</f>
        <v>0.35</v>
      </c>
      <c r="K376" s="16" t="n">
        <f aca="false">IF(J376="","",J376*$B$15)</f>
        <v>0.9072</v>
      </c>
      <c r="L376" s="16" t="n">
        <f aca="false">IF(D376="","",H376+E376-K376-G376*I376)</f>
        <v>11.9406524048072</v>
      </c>
      <c r="M376" s="16" t="n">
        <f aca="false" t="array" ref="M376: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>3.30376152864532</v>
      </c>
      <c r="N376" s="16" t="n">
        <f aca="false">IF(D376="","",(I376+M376)/2)</f>
        <v>3.24591605277396</v>
      </c>
      <c r="O376" s="16" t="n">
        <f aca="false">IF(D376="","",G376*N376)</f>
        <v>0.473254560494443</v>
      </c>
      <c r="P376" s="16" t="n">
        <f aca="false">IF(D376="","",H376+E376-K376-O376)</f>
        <v>11.9322185344251</v>
      </c>
      <c r="Q376" s="16" t="n">
        <f aca="false">IF(D376="","",IF(P376&gt;=0,K376,MAX(0,K376+P376)))</f>
        <v>0.9072</v>
      </c>
      <c r="R376" s="16" t="n">
        <f aca="false">IF(D376="","",Q376/$B$15)</f>
        <v>0.35</v>
      </c>
      <c r="S376" s="16" t="n">
        <f aca="false">IF(D376="","",MAX(0,J376-R376))</f>
        <v>0</v>
      </c>
      <c r="T376" s="16" t="n">
        <f aca="false">IF(D376="","",MAX(0,Z376-$B$8))</f>
        <v>0</v>
      </c>
      <c r="U376" s="16" t="n">
        <f aca="false">IF(D376="","",MAX(0,MIN($B$8,Z376)))</f>
        <v>11.9322185344251</v>
      </c>
      <c r="V376" s="16" t="str">
        <f aca="false">IF(D376="","",IF(S376&gt;0.0000001,"Sim","Não"))</f>
        <v>Não</v>
      </c>
      <c r="W376" s="16" t="n">
        <f aca="false">IF(D376="","",U376-(H376+E376-Q376-O376-T376))</f>
        <v>0</v>
      </c>
      <c r="X376" s="16" t="n">
        <f aca="false">IF(W376="","",ABS(W376))</f>
        <v>0</v>
      </c>
      <c r="Y376" s="16" t="n">
        <f aca="false">IF(U376="","",IF($B$8=0,0,U376/$B$8*100))</f>
        <v>25.269416633683</v>
      </c>
      <c r="Z376" s="18" t="n">
        <f aca="false">IF(D376="","",MAX(0,IF(P376&gt;=0,P376,IF(K376+P376&gt;=0,0,P376+K376))))</f>
        <v>11.9322185344251</v>
      </c>
      <c r="AA376" s="18" t="n">
        <f aca="false">IF(D376="","",IF(H376&lt;=$B$16,1,IF(H376&gt;=$B$17,$B$21,MATCH(H376,Aux_CAV!$A$2:$A$121,1))))</f>
        <v>10</v>
      </c>
      <c r="AB376" s="18" t="n">
        <f aca="false">IF(D376="","",IF(L376&lt;=$B$16,1,IF(L376&gt;=$B$17,$B$21,MATCH(L376,Aux_CAV!$A$2:$A$121,1))))</f>
        <v>10</v>
      </c>
      <c r="AC376" s="19" t="n">
        <f aca="false">IF(D376="","",COUNT($D$24:D376))</f>
        <v>341</v>
      </c>
    </row>
    <row r="377" customFormat="false" ht="12.75" hidden="false" customHeight="true" outlineLevel="0" collapsed="false">
      <c r="A377" s="14" t="n">
        <f aca="false">IF(D377="","",DATE(B377,C377,1))</f>
        <v>14397</v>
      </c>
      <c r="B377" s="15" t="n">
        <f aca="false" t="array" ref="B377:B377">IF(D377="","",IFERROR(VALUE(INDEX(Vazoes_COLAR!$A$2:$A$200,INT((ROW()-24)/12)+1)),""))</f>
        <v>1939</v>
      </c>
      <c r="C377" s="15" t="n">
        <f aca="false">IF(D377="","",MOD(ROW()-24,12)+1)</f>
        <v>6</v>
      </c>
      <c r="D377" s="16" t="n">
        <f aca="false" t="array" ref="D377: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0.135788709416905</v>
      </c>
      <c r="E377" s="16" t="n">
        <f aca="false">IF(D377="","",D377*$B$15)</f>
        <v>0.351964334808618</v>
      </c>
      <c r="F377" s="16" t="n">
        <f aca="false" t="array" ref="F377:F377">IF(D377="","",IFERROR(INDEX(Dados_Evap!$C$2:$N$15,MATCH($B$9,Dados_Evap!$A$2:$A$15,0),C377),0))</f>
        <v>161.3</v>
      </c>
      <c r="G377" s="16" t="n">
        <f aca="false">IF(F377="","",F377/1000)</f>
        <v>0.1613</v>
      </c>
      <c r="H377" s="16" t="n">
        <f aca="false">IF(D377="","",MAX(0,MIN($B$8,IFERROR(LOOKUP(2,1/($U$24:U376&lt;&gt;""),$U$24:U376),$B$11))))</f>
        <v>11.9322185344251</v>
      </c>
      <c r="I377" s="16" t="n">
        <f aca="false" t="array" ref="I377: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>3.30304216911273</v>
      </c>
      <c r="J377" s="16" t="n">
        <f aca="false">IF(D377="","",$B$12)</f>
        <v>0.35</v>
      </c>
      <c r="K377" s="16" t="n">
        <f aca="false">IF(J377="","",J377*$B$15)</f>
        <v>0.9072</v>
      </c>
      <c r="L377" s="16" t="n">
        <f aca="false">IF(D377="","",H377+E377-K377-G377*I377)</f>
        <v>10.8442021673558</v>
      </c>
      <c r="M377" s="16" t="n">
        <f aca="false" t="array" ref="M377: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>3.210240773098</v>
      </c>
      <c r="N377" s="16" t="n">
        <f aca="false">IF(D377="","",(I377+M377)/2)</f>
        <v>3.25664147110536</v>
      </c>
      <c r="O377" s="16" t="n">
        <f aca="false">IF(D377="","",G377*N377)</f>
        <v>0.525296269289295</v>
      </c>
      <c r="P377" s="16" t="n">
        <f aca="false">IF(D377="","",H377+E377-K377-O377)</f>
        <v>10.8516865999444</v>
      </c>
      <c r="Q377" s="16" t="n">
        <f aca="false">IF(D377="","",IF(P377&gt;=0,K377,MAX(0,K377+P377)))</f>
        <v>0.9072</v>
      </c>
      <c r="R377" s="16" t="n">
        <f aca="false">IF(D377="","",Q377/$B$15)</f>
        <v>0.35</v>
      </c>
      <c r="S377" s="16" t="n">
        <f aca="false">IF(D377="","",MAX(0,J377-R377))</f>
        <v>0</v>
      </c>
      <c r="T377" s="16" t="n">
        <f aca="false">IF(D377="","",MAX(0,Z377-$B$8))</f>
        <v>0</v>
      </c>
      <c r="U377" s="16" t="n">
        <f aca="false">IF(D377="","",MAX(0,MIN($B$8,Z377)))</f>
        <v>10.8516865999444</v>
      </c>
      <c r="V377" s="16" t="str">
        <f aca="false">IF(D377="","",IF(S377&gt;0.0000001,"Sim","Não"))</f>
        <v>Não</v>
      </c>
      <c r="W377" s="16" t="n">
        <f aca="false">IF(D377="","",U377-(H377+E377-Q377-O377-T377))</f>
        <v>0</v>
      </c>
      <c r="X377" s="16" t="n">
        <f aca="false">IF(W377="","",ABS(W377))</f>
        <v>0</v>
      </c>
      <c r="Y377" s="16" t="n">
        <f aca="false">IF(U377="","",IF($B$8=0,0,U377/$B$8*100))</f>
        <v>22.9811236762906</v>
      </c>
      <c r="Z377" s="18" t="n">
        <f aca="false">IF(D377="","",MAX(0,IF(P377&gt;=0,P377,IF(K377+P377&gt;=0,0,P377+K377))))</f>
        <v>10.8516865999444</v>
      </c>
      <c r="AA377" s="18" t="n">
        <f aca="false">IF(D377="","",IF(H377&lt;=$B$16,1,IF(H377&gt;=$B$17,$B$21,MATCH(H377,Aux_CAV!$A$2:$A$121,1))))</f>
        <v>10</v>
      </c>
      <c r="AB377" s="18" t="n">
        <f aca="false">IF(D377="","",IF(L377&lt;=$B$16,1,IF(L377&gt;=$B$17,$B$21,MATCH(L377,Aux_CAV!$A$2:$A$121,1))))</f>
        <v>10</v>
      </c>
      <c r="AC377" s="19" t="n">
        <f aca="false">IF(D377="","",COUNT($D$24:D377))</f>
        <v>342</v>
      </c>
    </row>
    <row r="378" customFormat="false" ht="12.75" hidden="false" customHeight="true" outlineLevel="0" collapsed="false">
      <c r="A378" s="14" t="n">
        <f aca="false">IF(D378="","",DATE(B378,C378,1))</f>
        <v>14427</v>
      </c>
      <c r="B378" s="15" t="n">
        <f aca="false" t="array" ref="B378:B378">IF(D378="","",IFERROR(VALUE(INDEX(Vazoes_COLAR!$A$2:$A$200,INT((ROW()-24)/12)+1)),""))</f>
        <v>1939</v>
      </c>
      <c r="C378" s="15" t="n">
        <f aca="false">IF(D378="","",MOD(ROW()-24,12)+1)</f>
        <v>7</v>
      </c>
      <c r="D378" s="16" t="n">
        <f aca="false" t="array" ref="D378: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0.0926884785337245</v>
      </c>
      <c r="E378" s="16" t="n">
        <f aca="false">IF(D378="","",D378*$B$15)</f>
        <v>0.240248536359414</v>
      </c>
      <c r="F378" s="16" t="n">
        <f aca="false" t="array" ref="F378:F378">IF(D378="","",IFERROR(INDEX(Dados_Evap!$C$2:$N$15,MATCH($B$9,Dados_Evap!$A$2:$A$15,0),C378),0))</f>
        <v>224.8</v>
      </c>
      <c r="G378" s="16" t="n">
        <f aca="false">IF(F378="","",F378/1000)</f>
        <v>0.2248</v>
      </c>
      <c r="H378" s="16" t="n">
        <f aca="false">IF(D378="","",MAX(0,MIN($B$8,IFERROR(LOOKUP(2,1/($U$24:U377&lt;&gt;""),$U$24:U377),$B$11))))</f>
        <v>10.8516865999444</v>
      </c>
      <c r="I378" s="16" t="n">
        <f aca="false" t="array" ref="I378: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>3.21087915117173</v>
      </c>
      <c r="J378" s="16" t="n">
        <f aca="false">IF(D378="","",$B$12)</f>
        <v>0.35</v>
      </c>
      <c r="K378" s="16" t="n">
        <f aca="false">IF(J378="","",J378*$B$15)</f>
        <v>0.9072</v>
      </c>
      <c r="L378" s="16" t="n">
        <f aca="false">IF(D378="","",H378+E378-K378-G378*I378)</f>
        <v>9.46292950312044</v>
      </c>
      <c r="M378" s="16" t="n">
        <f aca="false" t="array" ref="M378: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>3.09242633997204</v>
      </c>
      <c r="N378" s="16" t="n">
        <f aca="false">IF(D378="","",(I378+M378)/2)</f>
        <v>3.15165274557188</v>
      </c>
      <c r="O378" s="16" t="n">
        <f aca="false">IF(D378="","",G378*N378)</f>
        <v>0.70849153720456</v>
      </c>
      <c r="P378" s="16" t="n">
        <f aca="false">IF(D378="","",H378+E378-K378-O378)</f>
        <v>9.47624359909928</v>
      </c>
      <c r="Q378" s="16" t="n">
        <f aca="false">IF(D378="","",IF(P378&gt;=0,K378,MAX(0,K378+P378)))</f>
        <v>0.9072</v>
      </c>
      <c r="R378" s="16" t="n">
        <f aca="false">IF(D378="","",Q378/$B$15)</f>
        <v>0.35</v>
      </c>
      <c r="S378" s="16" t="n">
        <f aca="false">IF(D378="","",MAX(0,J378-R378))</f>
        <v>0</v>
      </c>
      <c r="T378" s="16" t="n">
        <f aca="false">IF(D378="","",MAX(0,Z378-$B$8))</f>
        <v>0</v>
      </c>
      <c r="U378" s="16" t="n">
        <f aca="false">IF(D378="","",MAX(0,MIN($B$8,Z378)))</f>
        <v>9.47624359909928</v>
      </c>
      <c r="V378" s="16" t="str">
        <f aca="false">IF(D378="","",IF(S378&gt;0.0000001,"Sim","Não"))</f>
        <v>Não</v>
      </c>
      <c r="W378" s="16" t="n">
        <f aca="false">IF(D378="","",U378-(H378+E378-Q378-O378-T378))</f>
        <v>0</v>
      </c>
      <c r="X378" s="16" t="n">
        <f aca="false">IF(W378="","",ABS(W378))</f>
        <v>0</v>
      </c>
      <c r="Y378" s="16" t="n">
        <f aca="false">IF(U378="","",IF($B$8=0,0,U378/$B$8*100))</f>
        <v>20.0682837761526</v>
      </c>
      <c r="Z378" s="18" t="n">
        <f aca="false">IF(D378="","",MAX(0,IF(P378&gt;=0,P378,IF(K378+P378&gt;=0,0,P378+K378))))</f>
        <v>9.47624359909928</v>
      </c>
      <c r="AA378" s="18" t="n">
        <f aca="false">IF(D378="","",IF(H378&lt;=$B$16,1,IF(H378&gt;=$B$17,$B$21,MATCH(H378,Aux_CAV!$A$2:$A$121,1))))</f>
        <v>10</v>
      </c>
      <c r="AB378" s="18" t="n">
        <f aca="false">IF(D378="","",IF(L378&lt;=$B$16,1,IF(L378&gt;=$B$17,$B$21,MATCH(L378,Aux_CAV!$A$2:$A$121,1))))</f>
        <v>10</v>
      </c>
      <c r="AC378" s="19" t="n">
        <f aca="false">IF(D378="","",COUNT($D$24:D378))</f>
        <v>343</v>
      </c>
    </row>
    <row r="379" customFormat="false" ht="12.75" hidden="false" customHeight="true" outlineLevel="0" collapsed="false">
      <c r="A379" s="14" t="n">
        <f aca="false">IF(D379="","",DATE(B379,C379,1))</f>
        <v>14458</v>
      </c>
      <c r="B379" s="15" t="n">
        <f aca="false" t="array" ref="B379:B379">IF(D379="","",IFERROR(VALUE(INDEX(Vazoes_COLAR!$A$2:$A$200,INT((ROW()-24)/12)+1)),""))</f>
        <v>1939</v>
      </c>
      <c r="C379" s="15" t="n">
        <f aca="false">IF(D379="","",MOD(ROW()-24,12)+1)</f>
        <v>8</v>
      </c>
      <c r="D379" s="16" t="n">
        <f aca="false" t="array" ref="D379: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0.059041184534377</v>
      </c>
      <c r="E379" s="16" t="n">
        <f aca="false">IF(D379="","",D379*$B$15)</f>
        <v>0.153034750313105</v>
      </c>
      <c r="F379" s="16" t="n">
        <f aca="false" t="array" ref="F379:F379">IF(D379="","",IFERROR(INDEX(Dados_Evap!$C$2:$N$15,MATCH($B$9,Dados_Evap!$A$2:$A$15,0),C379),0))</f>
        <v>268.7</v>
      </c>
      <c r="G379" s="16" t="n">
        <f aca="false">IF(F379="","",F379/1000)</f>
        <v>0.2687</v>
      </c>
      <c r="H379" s="16" t="n">
        <f aca="false">IF(D379="","",MAX(0,MIN($B$8,IFERROR(LOOKUP(2,1/($U$24:U378&lt;&gt;""),$U$24:U378),$B$11))))</f>
        <v>9.47624359909928</v>
      </c>
      <c r="I379" s="16" t="n">
        <f aca="false" t="array" ref="I379: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>3.09356195404082</v>
      </c>
      <c r="J379" s="16" t="n">
        <f aca="false">IF(D379="","",$B$12)</f>
        <v>0.35</v>
      </c>
      <c r="K379" s="16" t="n">
        <f aca="false">IF(J379="","",J379*$B$15)</f>
        <v>0.9072</v>
      </c>
      <c r="L379" s="16" t="n">
        <f aca="false">IF(D379="","",H379+E379-K379-G379*I379)</f>
        <v>7.89083825236162</v>
      </c>
      <c r="M379" s="16" t="n">
        <f aca="false" t="array" ref="M379: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>2.67168057465471</v>
      </c>
      <c r="N379" s="16" t="n">
        <f aca="false">IF(D379="","",(I379+M379)/2)</f>
        <v>2.88262126434776</v>
      </c>
      <c r="O379" s="16" t="n">
        <f aca="false">IF(D379="","",G379*N379)</f>
        <v>0.774560333730244</v>
      </c>
      <c r="P379" s="16" t="n">
        <f aca="false">IF(D379="","",H379+E379-K379-O379)</f>
        <v>7.94751801568214</v>
      </c>
      <c r="Q379" s="16" t="n">
        <f aca="false">IF(D379="","",IF(P379&gt;=0,K379,MAX(0,K379+P379)))</f>
        <v>0.9072</v>
      </c>
      <c r="R379" s="16" t="n">
        <f aca="false">IF(D379="","",Q379/$B$15)</f>
        <v>0.35</v>
      </c>
      <c r="S379" s="16" t="n">
        <f aca="false">IF(D379="","",MAX(0,J379-R379))</f>
        <v>0</v>
      </c>
      <c r="T379" s="16" t="n">
        <f aca="false">IF(D379="","",MAX(0,Z379-$B$8))</f>
        <v>0</v>
      </c>
      <c r="U379" s="16" t="n">
        <f aca="false">IF(D379="","",MAX(0,MIN($B$8,Z379)))</f>
        <v>7.94751801568214</v>
      </c>
      <c r="V379" s="16" t="str">
        <f aca="false">IF(D379="","",IF(S379&gt;0.0000001,"Sim","Não"))</f>
        <v>Não</v>
      </c>
      <c r="W379" s="16" t="n">
        <f aca="false">IF(D379="","",U379-(H379+E379-Q379-O379-T379))</f>
        <v>0</v>
      </c>
      <c r="X379" s="16" t="n">
        <f aca="false">IF(W379="","",ABS(W379))</f>
        <v>0</v>
      </c>
      <c r="Y379" s="16" t="n">
        <f aca="false">IF(U379="","",IF($B$8=0,0,U379/$B$8*100))</f>
        <v>16.8308301899241</v>
      </c>
      <c r="Z379" s="18" t="n">
        <f aca="false">IF(D379="","",MAX(0,IF(P379&gt;=0,P379,IF(K379+P379&gt;=0,0,P379+K379))))</f>
        <v>7.94751801568214</v>
      </c>
      <c r="AA379" s="18" t="n">
        <f aca="false">IF(D379="","",IF(H379&lt;=$B$16,1,IF(H379&gt;=$B$17,$B$21,MATCH(H379,Aux_CAV!$A$2:$A$121,1))))</f>
        <v>10</v>
      </c>
      <c r="AB379" s="18" t="n">
        <f aca="false">IF(D379="","",IF(L379&lt;=$B$16,1,IF(L379&gt;=$B$17,$B$21,MATCH(L379,Aux_CAV!$A$2:$A$121,1))))</f>
        <v>9</v>
      </c>
      <c r="AC379" s="19" t="n">
        <f aca="false">IF(D379="","",COUNT($D$24:D379))</f>
        <v>344</v>
      </c>
    </row>
    <row r="380" customFormat="false" ht="12.75" hidden="false" customHeight="true" outlineLevel="0" collapsed="false">
      <c r="A380" s="14" t="n">
        <f aca="false">IF(D380="","",DATE(B380,C380,1))</f>
        <v>14489</v>
      </c>
      <c r="B380" s="15" t="n">
        <f aca="false" t="array" ref="B380:B380">IF(D380="","",IFERROR(VALUE(INDEX(Vazoes_COLAR!$A$2:$A$200,INT((ROW()-24)/12)+1)),""))</f>
        <v>1939</v>
      </c>
      <c r="C380" s="15" t="n">
        <f aca="false">IF(D380="","",MOD(ROW()-24,12)+1)</f>
        <v>9</v>
      </c>
      <c r="D380" s="16" t="n">
        <f aca="false" t="array" ref="D380: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0.0392987132341198</v>
      </c>
      <c r="E380" s="16" t="n">
        <f aca="false">IF(D380="","",D380*$B$15)</f>
        <v>0.101862264702839</v>
      </c>
      <c r="F380" s="16" t="n">
        <f aca="false" t="array" ref="F380:F380">IF(D380="","",IFERROR(INDEX(Dados_Evap!$C$2:$N$15,MATCH($B$9,Dados_Evap!$A$2:$A$15,0),C380),0))</f>
        <v>292.8</v>
      </c>
      <c r="G380" s="16" t="n">
        <f aca="false">IF(F380="","",F380/1000)</f>
        <v>0.2928</v>
      </c>
      <c r="H380" s="16" t="n">
        <f aca="false">IF(D380="","",MAX(0,MIN($B$8,IFERROR(LOOKUP(2,1/($U$24:U379&lt;&gt;""),$U$24:U379),$B$11))))</f>
        <v>7.94751801568214</v>
      </c>
      <c r="I380" s="16" t="n">
        <f aca="false" t="array" ref="I380: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>2.68892569413308</v>
      </c>
      <c r="J380" s="16" t="n">
        <f aca="false">IF(D380="","",$B$12)</f>
        <v>0.35</v>
      </c>
      <c r="K380" s="16" t="n">
        <f aca="false">IF(J380="","",J380*$B$15)</f>
        <v>0.9072</v>
      </c>
      <c r="L380" s="16" t="n">
        <f aca="false">IF(D380="","",H380+E380-K380-G380*I380)</f>
        <v>6.35486283714282</v>
      </c>
      <c r="M380" s="16" t="n">
        <f aca="false" t="array" ref="M380: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>2.20435188449239</v>
      </c>
      <c r="N380" s="16" t="n">
        <f aca="false">IF(D380="","",(I380+M380)/2)</f>
        <v>2.44663878931273</v>
      </c>
      <c r="O380" s="16" t="n">
        <f aca="false">IF(D380="","",G380*N380)</f>
        <v>0.716375837510768</v>
      </c>
      <c r="P380" s="16" t="n">
        <f aca="false">IF(D380="","",H380+E380-K380-O380)</f>
        <v>6.42580444287421</v>
      </c>
      <c r="Q380" s="16" t="n">
        <f aca="false">IF(D380="","",IF(P380&gt;=0,K380,MAX(0,K380+P380)))</f>
        <v>0.9072</v>
      </c>
      <c r="R380" s="16" t="n">
        <f aca="false">IF(D380="","",Q380/$B$15)</f>
        <v>0.35</v>
      </c>
      <c r="S380" s="16" t="n">
        <f aca="false">IF(D380="","",MAX(0,J380-R380))</f>
        <v>0</v>
      </c>
      <c r="T380" s="16" t="n">
        <f aca="false">IF(D380="","",MAX(0,Z380-$B$8))</f>
        <v>0</v>
      </c>
      <c r="U380" s="16" t="n">
        <f aca="false">IF(D380="","",MAX(0,MIN($B$8,Z380)))</f>
        <v>6.42580444287421</v>
      </c>
      <c r="V380" s="16" t="str">
        <f aca="false">IF(D380="","",IF(S380&gt;0.0000001,"Sim","Não"))</f>
        <v>Não</v>
      </c>
      <c r="W380" s="16" t="n">
        <f aca="false">IF(D380="","",U380-(H380+E380-Q380-O380-T380))</f>
        <v>0</v>
      </c>
      <c r="X380" s="16" t="n">
        <f aca="false">IF(W380="","",ABS(W380))</f>
        <v>0</v>
      </c>
      <c r="Y380" s="16" t="n">
        <f aca="false">IF(U380="","",IF($B$8=0,0,U380/$B$8*100))</f>
        <v>13.6082262661462</v>
      </c>
      <c r="Z380" s="18" t="n">
        <f aca="false">IF(D380="","",MAX(0,IF(P380&gt;=0,P380,IF(K380+P380&gt;=0,0,P380+K380))))</f>
        <v>6.42580444287421</v>
      </c>
      <c r="AA380" s="18" t="n">
        <f aca="false">IF(D380="","",IF(H380&lt;=$B$16,1,IF(H380&gt;=$B$17,$B$21,MATCH(H380,Aux_CAV!$A$2:$A$121,1))))</f>
        <v>9</v>
      </c>
      <c r="AB380" s="18" t="n">
        <f aca="false">IF(D380="","",IF(L380&lt;=$B$16,1,IF(L380&gt;=$B$17,$B$21,MATCH(L380,Aux_CAV!$A$2:$A$121,1))))</f>
        <v>9</v>
      </c>
      <c r="AC380" s="19" t="n">
        <f aca="false">IF(D380="","",COUNT($D$24:D380))</f>
        <v>345</v>
      </c>
    </row>
    <row r="381" customFormat="false" ht="12.75" hidden="false" customHeight="true" outlineLevel="0" collapsed="false">
      <c r="A381" s="14" t="n">
        <f aca="false">IF(D381="","",DATE(B381,C381,1))</f>
        <v>14519</v>
      </c>
      <c r="B381" s="15" t="n">
        <f aca="false" t="array" ref="B381:B381">IF(D381="","",IFERROR(VALUE(INDEX(Vazoes_COLAR!$A$2:$A$200,INT((ROW()-24)/12)+1)),""))</f>
        <v>1939</v>
      </c>
      <c r="C381" s="15" t="n">
        <f aca="false">IF(D381="","",MOD(ROW()-24,12)+1)</f>
        <v>10</v>
      </c>
      <c r="D381" s="16" t="n">
        <f aca="false" t="array" ref="D381: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0.0862367386140783</v>
      </c>
      <c r="E381" s="16" t="n">
        <f aca="false">IF(D381="","",D381*$B$15)</f>
        <v>0.223525626487691</v>
      </c>
      <c r="F381" s="16" t="n">
        <f aca="false" t="array" ref="F381:F381">IF(D381="","",IFERROR(INDEX(Dados_Evap!$C$2:$N$15,MATCH($B$9,Dados_Evap!$A$2:$A$15,0),C381),0))</f>
        <v>262.9</v>
      </c>
      <c r="G381" s="16" t="n">
        <f aca="false">IF(F381="","",F381/1000)</f>
        <v>0.2629</v>
      </c>
      <c r="H381" s="16" t="n">
        <f aca="false">IF(D381="","",MAX(0,MIN($B$8,IFERROR(LOOKUP(2,1/($U$24:U380&lt;&gt;""),$U$24:U380),$B$11))))</f>
        <v>6.42580444287421</v>
      </c>
      <c r="I381" s="16" t="n">
        <f aca="false" t="array" ref="I381: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>2.22593624538513</v>
      </c>
      <c r="J381" s="16" t="n">
        <f aca="false">IF(D381="","",$B$12)</f>
        <v>0.35</v>
      </c>
      <c r="K381" s="16" t="n">
        <f aca="false">IF(J381="","",J381*$B$15)</f>
        <v>0.9072</v>
      </c>
      <c r="L381" s="16" t="n">
        <f aca="false">IF(D381="","",H381+E381-K381-G381*I381)</f>
        <v>5.15693143045015</v>
      </c>
      <c r="M381" s="16" t="n">
        <f aca="false" t="array" ref="M381: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>1.83987488203058</v>
      </c>
      <c r="N381" s="16" t="n">
        <f aca="false">IF(D381="","",(I381+M381)/2)</f>
        <v>2.03290556370786</v>
      </c>
      <c r="O381" s="16" t="n">
        <f aca="false">IF(D381="","",G381*N381)</f>
        <v>0.534450872698795</v>
      </c>
      <c r="P381" s="16" t="n">
        <f aca="false">IF(D381="","",H381+E381-K381-O381)</f>
        <v>5.20767919666311</v>
      </c>
      <c r="Q381" s="16" t="n">
        <f aca="false">IF(D381="","",IF(P381&gt;=0,K381,MAX(0,K381+P381)))</f>
        <v>0.9072</v>
      </c>
      <c r="R381" s="16" t="n">
        <f aca="false">IF(D381="","",Q381/$B$15)</f>
        <v>0.35</v>
      </c>
      <c r="S381" s="16" t="n">
        <f aca="false">IF(D381="","",MAX(0,J381-R381))</f>
        <v>0</v>
      </c>
      <c r="T381" s="16" t="n">
        <f aca="false">IF(D381="","",MAX(0,Z381-$B$8))</f>
        <v>0</v>
      </c>
      <c r="U381" s="16" t="n">
        <f aca="false">IF(D381="","",MAX(0,MIN($B$8,Z381)))</f>
        <v>5.20767919666311</v>
      </c>
      <c r="V381" s="16" t="str">
        <f aca="false">IF(D381="","",IF(S381&gt;0.0000001,"Sim","Não"))</f>
        <v>Não</v>
      </c>
      <c r="W381" s="16" t="n">
        <f aca="false">IF(D381="","",U381-(H381+E381-Q381-O381-T381))</f>
        <v>0</v>
      </c>
      <c r="X381" s="16" t="n">
        <f aca="false">IF(W381="","",ABS(W381))</f>
        <v>0</v>
      </c>
      <c r="Y381" s="16" t="n">
        <f aca="false">IF(U381="","",IF($B$8=0,0,U381/$B$8*100))</f>
        <v>11.0285455244877</v>
      </c>
      <c r="Z381" s="18" t="n">
        <f aca="false">IF(D381="","",MAX(0,IF(P381&gt;=0,P381,IF(K381+P381&gt;=0,0,P381+K381))))</f>
        <v>5.20767919666311</v>
      </c>
      <c r="AA381" s="18" t="n">
        <f aca="false">IF(D381="","",IF(H381&lt;=$B$16,1,IF(H381&gt;=$B$17,$B$21,MATCH(H381,Aux_CAV!$A$2:$A$121,1))))</f>
        <v>9</v>
      </c>
      <c r="AB381" s="18" t="n">
        <f aca="false">IF(D381="","",IF(L381&lt;=$B$16,1,IF(L381&gt;=$B$17,$B$21,MATCH(L381,Aux_CAV!$A$2:$A$121,1))))</f>
        <v>9</v>
      </c>
      <c r="AC381" s="19" t="n">
        <f aca="false">IF(D381="","",COUNT($D$24:D381))</f>
        <v>346</v>
      </c>
    </row>
    <row r="382" customFormat="false" ht="12.75" hidden="false" customHeight="true" outlineLevel="0" collapsed="false">
      <c r="A382" s="14" t="n">
        <f aca="false">IF(D382="","",DATE(B382,C382,1))</f>
        <v>14550</v>
      </c>
      <c r="B382" s="15" t="n">
        <f aca="false" t="array" ref="B382:B382">IF(D382="","",IFERROR(VALUE(INDEX(Vazoes_COLAR!$A$2:$A$200,INT((ROW()-24)/12)+1)),""))</f>
        <v>1939</v>
      </c>
      <c r="C382" s="15" t="n">
        <f aca="false">IF(D382="","",MOD(ROW()-24,12)+1)</f>
        <v>11</v>
      </c>
      <c r="D382" s="16" t="n">
        <f aca="false" t="array" ref="D382: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0.0787293751887184</v>
      </c>
      <c r="E382" s="16" t="n">
        <f aca="false">IF(D382="","",D382*$B$15)</f>
        <v>0.204066540489158</v>
      </c>
      <c r="F382" s="16" t="n">
        <f aca="false" t="array" ref="F382:F382">IF(D382="","",IFERROR(INDEX(Dados_Evap!$C$2:$N$15,MATCH($B$9,Dados_Evap!$A$2:$A$15,0),C382),0))</f>
        <v>223.7</v>
      </c>
      <c r="G382" s="16" t="n">
        <f aca="false">IF(F382="","",F382/1000)</f>
        <v>0.2237</v>
      </c>
      <c r="H382" s="16" t="n">
        <f aca="false">IF(D382="","",MAX(0,MIN($B$8,IFERROR(LOOKUP(2,1/($U$24:U381&lt;&gt;""),$U$24:U381),$B$11))))</f>
        <v>5.20767919666311</v>
      </c>
      <c r="I382" s="16" t="n">
        <f aca="false" t="array" ref="I382: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>1.8553151598358</v>
      </c>
      <c r="J382" s="16" t="n">
        <f aca="false">IF(D382="","",$B$12)</f>
        <v>0.35</v>
      </c>
      <c r="K382" s="16" t="n">
        <f aca="false">IF(J382="","",J382*$B$15)</f>
        <v>0.9072</v>
      </c>
      <c r="L382" s="16" t="n">
        <f aca="false">IF(D382="","",H382+E382-K382-G382*I382)</f>
        <v>4.089511735897</v>
      </c>
      <c r="M382" s="16" t="n">
        <f aca="false" t="array" ref="M382: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>1.52834719216398</v>
      </c>
      <c r="N382" s="16" t="n">
        <f aca="false">IF(D382="","",(I382+M382)/2)</f>
        <v>1.69183117599989</v>
      </c>
      <c r="O382" s="16" t="n">
        <f aca="false">IF(D382="","",G382*N382)</f>
        <v>0.378462634071175</v>
      </c>
      <c r="P382" s="16" t="n">
        <f aca="false">IF(D382="","",H382+E382-K382-O382)</f>
        <v>4.12608310308109</v>
      </c>
      <c r="Q382" s="16" t="n">
        <f aca="false">IF(D382="","",IF(P382&gt;=0,K382,MAX(0,K382+P382)))</f>
        <v>0.9072</v>
      </c>
      <c r="R382" s="16" t="n">
        <f aca="false">IF(D382="","",Q382/$B$15)</f>
        <v>0.35</v>
      </c>
      <c r="S382" s="16" t="n">
        <f aca="false">IF(D382="","",MAX(0,J382-R382))</f>
        <v>0</v>
      </c>
      <c r="T382" s="16" t="n">
        <f aca="false">IF(D382="","",MAX(0,Z382-$B$8))</f>
        <v>0</v>
      </c>
      <c r="U382" s="16" t="n">
        <f aca="false">IF(D382="","",MAX(0,MIN($B$8,Z382)))</f>
        <v>4.12608310308109</v>
      </c>
      <c r="V382" s="16" t="str">
        <f aca="false">IF(D382="","",IF(S382&gt;0.0000001,"Sim","Não"))</f>
        <v>Não</v>
      </c>
      <c r="W382" s="16" t="n">
        <f aca="false">IF(D382="","",U382-(H382+E382-Q382-O382-T382))</f>
        <v>0</v>
      </c>
      <c r="X382" s="16" t="n">
        <f aca="false">IF(W382="","",ABS(W382))</f>
        <v>0</v>
      </c>
      <c r="Y382" s="16" t="n">
        <f aca="false">IF(U382="","",IF($B$8=0,0,U382/$B$8*100))</f>
        <v>8.73799894765161</v>
      </c>
      <c r="Z382" s="18" t="n">
        <f aca="false">IF(D382="","",MAX(0,IF(P382&gt;=0,P382,IF(K382+P382&gt;=0,0,P382+K382))))</f>
        <v>4.12608310308109</v>
      </c>
      <c r="AA382" s="18" t="n">
        <f aca="false">IF(D382="","",IF(H382&lt;=$B$16,1,IF(H382&gt;=$B$17,$B$21,MATCH(H382,Aux_CAV!$A$2:$A$121,1))))</f>
        <v>9</v>
      </c>
      <c r="AB382" s="18" t="n">
        <f aca="false">IF(D382="","",IF(L382&lt;=$B$16,1,IF(L382&gt;=$B$17,$B$21,MATCH(L382,Aux_CAV!$A$2:$A$121,1))))</f>
        <v>8</v>
      </c>
      <c r="AC382" s="19" t="n">
        <f aca="false">IF(D382="","",COUNT($D$24:D382))</f>
        <v>347</v>
      </c>
    </row>
    <row r="383" customFormat="false" ht="12.75" hidden="false" customHeight="true" outlineLevel="0" collapsed="false">
      <c r="A383" s="14" t="n">
        <f aca="false">IF(D383="","",DATE(B383,C383,1))</f>
        <v>14580</v>
      </c>
      <c r="B383" s="15" t="n">
        <f aca="false" t="array" ref="B383:B383">IF(D383="","",IFERROR(VALUE(INDEX(Vazoes_COLAR!$A$2:$A$200,INT((ROW()-24)/12)+1)),""))</f>
        <v>1939</v>
      </c>
      <c r="C383" s="15" t="n">
        <f aca="false">IF(D383="","",MOD(ROW()-24,12)+1)</f>
        <v>12</v>
      </c>
      <c r="D383" s="16" t="n">
        <f aca="false" t="array" ref="D383: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0.0347937510428148</v>
      </c>
      <c r="E383" s="16" t="n">
        <f aca="false">IF(D383="","",D383*$B$15)</f>
        <v>0.090185402702976</v>
      </c>
      <c r="F383" s="16" t="n">
        <f aca="false" t="array" ref="F383:F383">IF(D383="","",IFERROR(INDEX(Dados_Evap!$C$2:$N$15,MATCH($B$9,Dados_Evap!$A$2:$A$15,0),C383),0))</f>
        <v>216.1</v>
      </c>
      <c r="G383" s="16" t="n">
        <f aca="false">IF(F383="","",F383/1000)</f>
        <v>0.2161</v>
      </c>
      <c r="H383" s="16" t="n">
        <f aca="false">IF(D383="","",MAX(0,MIN($B$8,IFERROR(LOOKUP(2,1/($U$24:U382&lt;&gt;""),$U$24:U382),$B$11))))</f>
        <v>4.12608310308109</v>
      </c>
      <c r="I383" s="16" t="n">
        <f aca="false" t="array" ref="I383: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>1.53829460403806</v>
      </c>
      <c r="J383" s="16" t="n">
        <f aca="false">IF(D383="","",$B$12)</f>
        <v>0.35</v>
      </c>
      <c r="K383" s="16" t="n">
        <f aca="false">IF(J383="","",J383*$B$15)</f>
        <v>0.9072</v>
      </c>
      <c r="L383" s="16" t="n">
        <f aca="false">IF(D383="","",H383+E383-K383-G383*I383)</f>
        <v>2.97664304185144</v>
      </c>
      <c r="M383" s="16" t="n">
        <f aca="false" t="array" ref="M383: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>1.22564690738359</v>
      </c>
      <c r="N383" s="16" t="n">
        <f aca="false">IF(D383="","",(I383+M383)/2)</f>
        <v>1.38197075571082</v>
      </c>
      <c r="O383" s="16" t="n">
        <f aca="false">IF(D383="","",G383*N383)</f>
        <v>0.298643880309109</v>
      </c>
      <c r="P383" s="16" t="n">
        <f aca="false">IF(D383="","",H383+E383-K383-O383)</f>
        <v>3.01042462547496</v>
      </c>
      <c r="Q383" s="16" t="n">
        <f aca="false">IF(D383="","",IF(P383&gt;=0,K383,MAX(0,K383+P383)))</f>
        <v>0.9072</v>
      </c>
      <c r="R383" s="16" t="n">
        <f aca="false">IF(D383="","",Q383/$B$15)</f>
        <v>0.35</v>
      </c>
      <c r="S383" s="16" t="n">
        <f aca="false">IF(D383="","",MAX(0,J383-R383))</f>
        <v>0</v>
      </c>
      <c r="T383" s="16" t="n">
        <f aca="false">IF(D383="","",MAX(0,Z383-$B$8))</f>
        <v>0</v>
      </c>
      <c r="U383" s="16" t="n">
        <f aca="false">IF(D383="","",MAX(0,MIN($B$8,Z383)))</f>
        <v>3.01042462547496</v>
      </c>
      <c r="V383" s="16" t="str">
        <f aca="false">IF(D383="","",IF(S383&gt;0.0000001,"Sim","Não"))</f>
        <v>Não</v>
      </c>
      <c r="W383" s="16" t="n">
        <f aca="false">IF(D383="","",U383-(H383+E383-Q383-O383-T383))</f>
        <v>0</v>
      </c>
      <c r="X383" s="16" t="n">
        <f aca="false">IF(W383="","",ABS(W383))</f>
        <v>0</v>
      </c>
      <c r="Y383" s="16" t="n">
        <f aca="false">IF(U383="","",IF($B$8=0,0,U383/$B$8*100))</f>
        <v>6.37531686885845</v>
      </c>
      <c r="Z383" s="18" t="n">
        <f aca="false">IF(D383="","",MAX(0,IF(P383&gt;=0,P383,IF(K383+P383&gt;=0,0,P383+K383))))</f>
        <v>3.01042462547496</v>
      </c>
      <c r="AA383" s="18" t="n">
        <f aca="false">IF(D383="","",IF(H383&lt;=$B$16,1,IF(H383&gt;=$B$17,$B$21,MATCH(H383,Aux_CAV!$A$2:$A$121,1))))</f>
        <v>8</v>
      </c>
      <c r="AB383" s="18" t="n">
        <f aca="false">IF(D383="","",IF(L383&lt;=$B$16,1,IF(L383&gt;=$B$17,$B$21,MATCH(L383,Aux_CAV!$A$2:$A$121,1))))</f>
        <v>8</v>
      </c>
      <c r="AC383" s="19" t="n">
        <f aca="false">IF(D383="","",COUNT($D$24:D383))</f>
        <v>348</v>
      </c>
    </row>
    <row r="384" customFormat="false" ht="12.75" hidden="false" customHeight="true" outlineLevel="0" collapsed="false">
      <c r="A384" s="14" t="n">
        <f aca="false">IF(D384="","",DATE(B384,C384,1))</f>
        <v>14611</v>
      </c>
      <c r="B384" s="15" t="n">
        <f aca="false" t="array" ref="B384:B384">IF(D384="","",IFERROR(VALUE(INDEX(Vazoes_COLAR!$A$2:$A$200,INT((ROW()-24)/12)+1)),""))</f>
        <v>1940</v>
      </c>
      <c r="C384" s="15" t="n">
        <f aca="false">IF(D384="","",MOD(ROW()-24,12)+1)</f>
        <v>1</v>
      </c>
      <c r="D384" s="16" t="n">
        <f aca="false" t="array" ref="D384: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0.160470145845522</v>
      </c>
      <c r="E384" s="16" t="n">
        <f aca="false">IF(D384="","",D384*$B$15)</f>
        <v>0.415938618031593</v>
      </c>
      <c r="F384" s="16" t="n">
        <f aca="false" t="array" ref="F384:F384">IF(D384="","",IFERROR(INDEX(Dados_Evap!$C$2:$N$15,MATCH($B$9,Dados_Evap!$A$2:$A$15,0),C384),0))</f>
        <v>160</v>
      </c>
      <c r="G384" s="16" t="n">
        <f aca="false">IF(F384="","",F384/1000)</f>
        <v>0.16</v>
      </c>
      <c r="H384" s="16" t="n">
        <f aca="false">IF(D384="","",MAX(0,MIN($B$8,IFERROR(LOOKUP(2,1/($U$24:U383&lt;&gt;""),$U$24:U383),$B$11))))</f>
        <v>3.01042462547496</v>
      </c>
      <c r="I384" s="16" t="n">
        <f aca="false" t="array" ref="I384: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>1.23483549812919</v>
      </c>
      <c r="J384" s="16" t="n">
        <f aca="false">IF(D384="","",$B$12)</f>
        <v>0.35</v>
      </c>
      <c r="K384" s="16" t="n">
        <f aca="false">IF(J384="","",J384*$B$15)</f>
        <v>0.9072</v>
      </c>
      <c r="L384" s="16" t="n">
        <f aca="false">IF(D384="","",H384+E384-K384-G384*I384)</f>
        <v>2.32158956380588</v>
      </c>
      <c r="M384" s="16" t="n">
        <f aca="false" t="array" ref="M384: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>1.0474723613552</v>
      </c>
      <c r="N384" s="16" t="n">
        <f aca="false">IF(D384="","",(I384+M384)/2)</f>
        <v>1.14115392974219</v>
      </c>
      <c r="O384" s="16" t="n">
        <f aca="false">IF(D384="","",G384*N384)</f>
        <v>0.182584628758751</v>
      </c>
      <c r="P384" s="16" t="n">
        <f aca="false">IF(D384="","",H384+E384-K384-O384)</f>
        <v>2.3365786147478</v>
      </c>
      <c r="Q384" s="16" t="n">
        <f aca="false">IF(D384="","",IF(P384&gt;=0,K384,MAX(0,K384+P384)))</f>
        <v>0.9072</v>
      </c>
      <c r="R384" s="16" t="n">
        <f aca="false">IF(D384="","",Q384/$B$15)</f>
        <v>0.35</v>
      </c>
      <c r="S384" s="16" t="n">
        <f aca="false">IF(D384="","",MAX(0,J384-R384))</f>
        <v>0</v>
      </c>
      <c r="T384" s="16" t="n">
        <f aca="false">IF(D384="","",MAX(0,Z384-$B$8))</f>
        <v>0</v>
      </c>
      <c r="U384" s="16" t="n">
        <f aca="false">IF(D384="","",MAX(0,MIN($B$8,Z384)))</f>
        <v>2.3365786147478</v>
      </c>
      <c r="V384" s="16" t="str">
        <f aca="false">IF(D384="","",IF(S384&gt;0.0000001,"Sim","Não"))</f>
        <v>Não</v>
      </c>
      <c r="W384" s="16" t="n">
        <f aca="false">IF(D384="","",U384-(H384+E384-Q384-O384-T384))</f>
        <v>0</v>
      </c>
      <c r="X384" s="16" t="n">
        <f aca="false">IF(W384="","",ABS(W384))</f>
        <v>0</v>
      </c>
      <c r="Y384" s="16" t="n">
        <f aca="false">IF(U384="","",IF($B$8=0,0,U384/$B$8*100))</f>
        <v>4.94828169154553</v>
      </c>
      <c r="Z384" s="18" t="n">
        <f aca="false">IF(D384="","",MAX(0,IF(P384&gt;=0,P384,IF(K384+P384&gt;=0,0,P384+K384))))</f>
        <v>2.3365786147478</v>
      </c>
      <c r="AA384" s="18" t="n">
        <f aca="false">IF(D384="","",IF(H384&lt;=$B$16,1,IF(H384&gt;=$B$17,$B$21,MATCH(H384,Aux_CAV!$A$2:$A$121,1))))</f>
        <v>8</v>
      </c>
      <c r="AB384" s="18" t="n">
        <f aca="false">IF(D384="","",IF(L384&lt;=$B$16,1,IF(L384&gt;=$B$17,$B$21,MATCH(L384,Aux_CAV!$A$2:$A$121,1))))</f>
        <v>8</v>
      </c>
      <c r="AC384" s="19" t="n">
        <f aca="false">IF(D384="","",COUNT($D$24:D384))</f>
        <v>349</v>
      </c>
    </row>
    <row r="385" customFormat="false" ht="12.75" hidden="false" customHeight="true" outlineLevel="0" collapsed="false">
      <c r="A385" s="14" t="n">
        <f aca="false">IF(D385="","",DATE(B385,C385,1))</f>
        <v>14642</v>
      </c>
      <c r="B385" s="15" t="n">
        <f aca="false" t="array" ref="B385:B385">IF(D385="","",IFERROR(VALUE(INDEX(Vazoes_COLAR!$A$2:$A$200,INT((ROW()-24)/12)+1)),""))</f>
        <v>1940</v>
      </c>
      <c r="C385" s="15" t="n">
        <f aca="false">IF(D385="","",MOD(ROW()-24,12)+1)</f>
        <v>2</v>
      </c>
      <c r="D385" s="16" t="n">
        <f aca="false" t="array" ref="D385: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0.513779310560979</v>
      </c>
      <c r="E385" s="16" t="n">
        <f aca="false">IF(D385="","",D385*$B$15)</f>
        <v>1.33171597297406</v>
      </c>
      <c r="F385" s="16" t="n">
        <f aca="false" t="array" ref="F385:F385">IF(D385="","",IFERROR(INDEX(Dados_Evap!$C$2:$N$15,MATCH($B$9,Dados_Evap!$A$2:$A$15,0),C385),0))</f>
        <v>124.3</v>
      </c>
      <c r="G385" s="16" t="n">
        <f aca="false">IF(F385="","",F385/1000)</f>
        <v>0.1243</v>
      </c>
      <c r="H385" s="16" t="n">
        <f aca="false">IF(D385="","",MAX(0,MIN($B$8,IFERROR(LOOKUP(2,1/($U$24:U384&lt;&gt;""),$U$24:U384),$B$11))))</f>
        <v>2.3365786147478</v>
      </c>
      <c r="I385" s="16" t="n">
        <f aca="false" t="array" ref="I385: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>1.0515493832114</v>
      </c>
      <c r="J385" s="16" t="n">
        <f aca="false">IF(D385="","",$B$12)</f>
        <v>0.35</v>
      </c>
      <c r="K385" s="16" t="n">
        <f aca="false">IF(J385="","",J385*$B$15)</f>
        <v>0.9072</v>
      </c>
      <c r="L385" s="16" t="n">
        <f aca="false">IF(D385="","",H385+E385-K385-G385*I385)</f>
        <v>2.63038699938868</v>
      </c>
      <c r="M385" s="16" t="n">
        <f aca="false" t="array" ref="M385: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>1.13146526383372</v>
      </c>
      <c r="N385" s="16" t="n">
        <f aca="false">IF(D385="","",(I385+M385)/2)</f>
        <v>1.09150732352256</v>
      </c>
      <c r="O385" s="16" t="n">
        <f aca="false">IF(D385="","",G385*N385)</f>
        <v>0.135674360313854</v>
      </c>
      <c r="P385" s="16" t="n">
        <f aca="false">IF(D385="","",H385+E385-K385-O385)</f>
        <v>2.625420227408</v>
      </c>
      <c r="Q385" s="16" t="n">
        <f aca="false">IF(D385="","",IF(P385&gt;=0,K385,MAX(0,K385+P385)))</f>
        <v>0.9072</v>
      </c>
      <c r="R385" s="16" t="n">
        <f aca="false">IF(D385="","",Q385/$B$15)</f>
        <v>0.35</v>
      </c>
      <c r="S385" s="16" t="n">
        <f aca="false">IF(D385="","",MAX(0,J385-R385))</f>
        <v>0</v>
      </c>
      <c r="T385" s="16" t="n">
        <f aca="false">IF(D385="","",MAX(0,Z385-$B$8))</f>
        <v>0</v>
      </c>
      <c r="U385" s="16" t="n">
        <f aca="false">IF(D385="","",MAX(0,MIN($B$8,Z385)))</f>
        <v>2.625420227408</v>
      </c>
      <c r="V385" s="16" t="str">
        <f aca="false">IF(D385="","",IF(S385&gt;0.0000001,"Sim","Não"))</f>
        <v>Não</v>
      </c>
      <c r="W385" s="16" t="n">
        <f aca="false">IF(D385="","",U385-(H385+E385-Q385-O385-T385))</f>
        <v>0</v>
      </c>
      <c r="X385" s="16" t="n">
        <f aca="false">IF(W385="","",ABS(W385))</f>
        <v>0</v>
      </c>
      <c r="Y385" s="16" t="n">
        <f aca="false">IF(U385="","",IF($B$8=0,0,U385/$B$8*100))</f>
        <v>5.55997506863194</v>
      </c>
      <c r="Z385" s="18" t="n">
        <f aca="false">IF(D385="","",MAX(0,IF(P385&gt;=0,P385,IF(K385+P385&gt;=0,0,P385+K385))))</f>
        <v>2.625420227408</v>
      </c>
      <c r="AA385" s="18" t="n">
        <f aca="false">IF(D385="","",IF(H385&lt;=$B$16,1,IF(H385&gt;=$B$17,$B$21,MATCH(H385,Aux_CAV!$A$2:$A$121,1))))</f>
        <v>8</v>
      </c>
      <c r="AB385" s="18" t="n">
        <f aca="false">IF(D385="","",IF(L385&lt;=$B$16,1,IF(L385&gt;=$B$17,$B$21,MATCH(L385,Aux_CAV!$A$2:$A$121,1))))</f>
        <v>8</v>
      </c>
      <c r="AC385" s="19" t="n">
        <f aca="false">IF(D385="","",COUNT($D$24:D385))</f>
        <v>350</v>
      </c>
    </row>
    <row r="386" customFormat="false" ht="12.75" hidden="false" customHeight="true" outlineLevel="0" collapsed="false">
      <c r="A386" s="14" t="n">
        <f aca="false">IF(D386="","",DATE(B386,C386,1))</f>
        <v>14671</v>
      </c>
      <c r="B386" s="15" t="n">
        <f aca="false" t="array" ref="B386:B386">IF(D386="","",IFERROR(VALUE(INDEX(Vazoes_COLAR!$A$2:$A$200,INT((ROW()-24)/12)+1)),""))</f>
        <v>1940</v>
      </c>
      <c r="C386" s="15" t="n">
        <f aca="false">IF(D386="","",MOD(ROW()-24,12)+1)</f>
        <v>3</v>
      </c>
      <c r="D386" s="16" t="n">
        <f aca="false" t="array" ref="D386: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6.98419473091504</v>
      </c>
      <c r="E386" s="16" t="n">
        <f aca="false">IF(D386="","",D386*$B$15)</f>
        <v>18.1030327425318</v>
      </c>
      <c r="F386" s="16" t="n">
        <f aca="false" t="array" ref="F386:F386">IF(D386="","",IFERROR(INDEX(Dados_Evap!$C$2:$N$15,MATCH($B$9,Dados_Evap!$A$2:$A$15,0),C386),0))</f>
        <v>107.7</v>
      </c>
      <c r="G386" s="16" t="n">
        <f aca="false">IF(F386="","",F386/1000)</f>
        <v>0.1077</v>
      </c>
      <c r="H386" s="16" t="n">
        <f aca="false">IF(D386="","",MAX(0,MIN($B$8,IFERROR(LOOKUP(2,1/($U$24:U385&lt;&gt;""),$U$24:U385),$B$11))))</f>
        <v>2.625420227408</v>
      </c>
      <c r="I386" s="16" t="n">
        <f aca="false" t="array" ref="I386: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>1.13011430185498</v>
      </c>
      <c r="J386" s="16" t="n">
        <f aca="false">IF(D386="","",$B$12)</f>
        <v>0.35</v>
      </c>
      <c r="K386" s="16" t="n">
        <f aca="false">IF(J386="","",J386*$B$15)</f>
        <v>0.9072</v>
      </c>
      <c r="L386" s="16" t="n">
        <f aca="false">IF(D386="","",H386+E386-K386-G386*I386)</f>
        <v>19.69953965963</v>
      </c>
      <c r="M386" s="16" t="n">
        <f aca="false" t="array" ref="M386: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>4.0921401056631</v>
      </c>
      <c r="N386" s="16" t="n">
        <f aca="false">IF(D386="","",(I386+M386)/2)</f>
        <v>2.61112720375904</v>
      </c>
      <c r="O386" s="16" t="n">
        <f aca="false">IF(D386="","",G386*N386)</f>
        <v>0.281218399844848</v>
      </c>
      <c r="P386" s="16" t="n">
        <f aca="false">IF(D386="","",H386+E386-K386-O386)</f>
        <v>19.5400345700949</v>
      </c>
      <c r="Q386" s="16" t="n">
        <f aca="false">IF(D386="","",IF(P386&gt;=0,K386,MAX(0,K386+P386)))</f>
        <v>0.9072</v>
      </c>
      <c r="R386" s="16" t="n">
        <f aca="false">IF(D386="","",Q386/$B$15)</f>
        <v>0.35</v>
      </c>
      <c r="S386" s="16" t="n">
        <f aca="false">IF(D386="","",MAX(0,J386-R386))</f>
        <v>0</v>
      </c>
      <c r="T386" s="16" t="n">
        <f aca="false">IF(D386="","",MAX(0,Z386-$B$8))</f>
        <v>0</v>
      </c>
      <c r="U386" s="16" t="n">
        <f aca="false">IF(D386="","",MAX(0,MIN($B$8,Z386)))</f>
        <v>19.5400345700949</v>
      </c>
      <c r="V386" s="16" t="str">
        <f aca="false">IF(D386="","",IF(S386&gt;0.0000001,"Sim","Não"))</f>
        <v>Não</v>
      </c>
      <c r="W386" s="16" t="n">
        <f aca="false">IF(D386="","",U386-(H386+E386-Q386-O386-T386))</f>
        <v>0</v>
      </c>
      <c r="X386" s="16" t="n">
        <f aca="false">IF(W386="","",ABS(W386))</f>
        <v>0</v>
      </c>
      <c r="Y386" s="16" t="n">
        <f aca="false">IF(U386="","",IF($B$8=0,0,U386/$B$8*100))</f>
        <v>41.3808440705103</v>
      </c>
      <c r="Z386" s="18" t="n">
        <f aca="false">IF(D386="","",MAX(0,IF(P386&gt;=0,P386,IF(K386+P386&gt;=0,0,P386+K386))))</f>
        <v>19.5400345700949</v>
      </c>
      <c r="AA386" s="18" t="n">
        <f aca="false">IF(D386="","",IF(H386&lt;=$B$16,1,IF(H386&gt;=$B$17,$B$21,MATCH(H386,Aux_CAV!$A$2:$A$121,1))))</f>
        <v>8</v>
      </c>
      <c r="AB386" s="18" t="n">
        <f aca="false">IF(D386="","",IF(L386&lt;=$B$16,1,IF(L386&gt;=$B$17,$B$21,MATCH(L386,Aux_CAV!$A$2:$A$121,1))))</f>
        <v>11</v>
      </c>
      <c r="AC386" s="19" t="n">
        <f aca="false">IF(D386="","",COUNT($D$24:D386))</f>
        <v>351</v>
      </c>
    </row>
    <row r="387" customFormat="false" ht="12.75" hidden="false" customHeight="true" outlineLevel="0" collapsed="false">
      <c r="A387" s="14" t="n">
        <f aca="false">IF(D387="","",DATE(B387,C387,1))</f>
        <v>14702</v>
      </c>
      <c r="B387" s="15" t="n">
        <f aca="false" t="array" ref="B387:B387">IF(D387="","",IFERROR(VALUE(INDEX(Vazoes_COLAR!$A$2:$A$200,INT((ROW()-24)/12)+1)),""))</f>
        <v>1940</v>
      </c>
      <c r="C387" s="15" t="n">
        <f aca="false">IF(D387="","",MOD(ROW()-24,12)+1)</f>
        <v>4</v>
      </c>
      <c r="D387" s="16" t="n">
        <f aca="false" t="array" ref="D387: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12.2501554304686</v>
      </c>
      <c r="E387" s="16" t="n">
        <f aca="false">IF(D387="","",D387*$B$15)</f>
        <v>31.7524028757746</v>
      </c>
      <c r="F387" s="16" t="n">
        <f aca="false" t="array" ref="F387:F387">IF(D387="","",IFERROR(INDEX(Dados_Evap!$C$2:$N$15,MATCH($B$9,Dados_Evap!$A$2:$A$15,0),C387),0))</f>
        <v>100.5</v>
      </c>
      <c r="G387" s="16" t="n">
        <f aca="false">IF(F387="","",F387/1000)</f>
        <v>0.1005</v>
      </c>
      <c r="H387" s="16" t="n">
        <f aca="false">IF(D387="","",MAX(0,MIN($B$8,IFERROR(LOOKUP(2,1/($U$24:U386&lt;&gt;""),$U$24:U386),$B$11))))</f>
        <v>19.5400345700949</v>
      </c>
      <c r="I387" s="16" t="n">
        <f aca="false" t="array" ref="I387: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>4.07307730227964</v>
      </c>
      <c r="J387" s="16" t="n">
        <f aca="false">IF(D387="","",$B$12)</f>
        <v>0.35</v>
      </c>
      <c r="K387" s="16" t="n">
        <f aca="false">IF(J387="","",J387*$B$15)</f>
        <v>0.9072</v>
      </c>
      <c r="L387" s="16" t="n">
        <f aca="false">IF(D387="","",H387+E387-K387-G387*I387)</f>
        <v>49.9758931769904</v>
      </c>
      <c r="M387" s="16" t="n">
        <f aca="false" t="array" ref="M387: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>7.29488171598668</v>
      </c>
      <c r="N387" s="16" t="n">
        <f aca="false">IF(D387="","",(I387+M387)/2)</f>
        <v>5.68397950913316</v>
      </c>
      <c r="O387" s="16" t="n">
        <f aca="false">IF(D387="","",G387*N387)</f>
        <v>0.571239940667883</v>
      </c>
      <c r="P387" s="16" t="n">
        <f aca="false">IF(D387="","",H387+E387-K387-O387)</f>
        <v>49.8139975052017</v>
      </c>
      <c r="Q387" s="16" t="n">
        <f aca="false">IF(D387="","",IF(P387&gt;=0,K387,MAX(0,K387+P387)))</f>
        <v>0.9072</v>
      </c>
      <c r="R387" s="16" t="n">
        <f aca="false">IF(D387="","",Q387/$B$15)</f>
        <v>0.35</v>
      </c>
      <c r="S387" s="16" t="n">
        <f aca="false">IF(D387="","",MAX(0,J387-R387))</f>
        <v>0</v>
      </c>
      <c r="T387" s="16" t="n">
        <f aca="false">IF(D387="","",MAX(0,Z387-$B$8))</f>
        <v>2.59399750520167</v>
      </c>
      <c r="U387" s="16" t="n">
        <f aca="false">IF(D387="","",MAX(0,MIN($B$8,Z387)))</f>
        <v>47.22</v>
      </c>
      <c r="V387" s="16" t="str">
        <f aca="false">IF(D387="","",IF(S387&gt;0.0000001,"Sim","Não"))</f>
        <v>Não</v>
      </c>
      <c r="W387" s="16" t="n">
        <f aca="false">IF(D387="","",U387-(H387+E387-Q387-O387-T387))</f>
        <v>0</v>
      </c>
      <c r="X387" s="16" t="n">
        <f aca="false">IF(W387="","",ABS(W387))</f>
        <v>0</v>
      </c>
      <c r="Y387" s="16" t="n">
        <f aca="false">IF(U387="","",IF($B$8=0,0,U387/$B$8*100))</f>
        <v>100</v>
      </c>
      <c r="Z387" s="18" t="n">
        <f aca="false">IF(D387="","",MAX(0,IF(P387&gt;=0,P387,IF(K387+P387&gt;=0,0,P387+K387))))</f>
        <v>49.8139975052017</v>
      </c>
      <c r="AA387" s="18" t="n">
        <f aca="false">IF(D387="","",IF(H387&lt;=$B$16,1,IF(H387&gt;=$B$17,$B$21,MATCH(H387,Aux_CAV!$A$2:$A$121,1))))</f>
        <v>11</v>
      </c>
      <c r="AB387" s="18" t="n">
        <f aca="false">IF(D387="","",IF(L387&lt;=$B$16,1,IF(L387&gt;=$B$17,$B$21,MATCH(L387,Aux_CAV!$A$2:$A$121,1))))</f>
        <v>14</v>
      </c>
      <c r="AC387" s="19" t="n">
        <f aca="false">IF(D387="","",COUNT($D$24:D387))</f>
        <v>352</v>
      </c>
    </row>
    <row r="388" customFormat="false" ht="12.75" hidden="false" customHeight="true" outlineLevel="0" collapsed="false">
      <c r="A388" s="14" t="n">
        <f aca="false">IF(D388="","",DATE(B388,C388,1))</f>
        <v>14732</v>
      </c>
      <c r="B388" s="15" t="n">
        <f aca="false" t="array" ref="B388:B388">IF(D388="","",IFERROR(VALUE(INDEX(Vazoes_COLAR!$A$2:$A$200,INT((ROW()-24)/12)+1)),""))</f>
        <v>1940</v>
      </c>
      <c r="C388" s="15" t="n">
        <f aca="false">IF(D388="","",MOD(ROW()-24,12)+1)</f>
        <v>5</v>
      </c>
      <c r="D388" s="16" t="n">
        <f aca="false" t="array" ref="D388: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5.92469954286836</v>
      </c>
      <c r="E388" s="16" t="n">
        <f aca="false">IF(D388="","",D388*$B$15)</f>
        <v>15.3568212151148</v>
      </c>
      <c r="F388" s="16" t="n">
        <f aca="false" t="array" ref="F388:F388">IF(D388="","",IFERROR(INDEX(Dados_Evap!$C$2:$N$15,MATCH($B$9,Dados_Evap!$A$2:$A$15,0),C388),0))</f>
        <v>145.8</v>
      </c>
      <c r="G388" s="16" t="n">
        <f aca="false">IF(F388="","",F388/1000)</f>
        <v>0.1458</v>
      </c>
      <c r="H388" s="16" t="n">
        <f aca="false">IF(D388="","",MAX(0,MIN($B$8,IFERROR(LOOKUP(2,1/($U$24:U387&lt;&gt;""),$U$24:U387),$B$11))))</f>
        <v>47.22</v>
      </c>
      <c r="I388" s="16" t="n">
        <f aca="false" t="array" ref="I388: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>6.97</v>
      </c>
      <c r="J388" s="16" t="n">
        <f aca="false">IF(D388="","",$B$12)</f>
        <v>0.35</v>
      </c>
      <c r="K388" s="16" t="n">
        <f aca="false">IF(J388="","",J388*$B$15)</f>
        <v>0.9072</v>
      </c>
      <c r="L388" s="16" t="n">
        <f aca="false">IF(D388="","",H388+E388-K388-G388*I388)</f>
        <v>60.6533952151148</v>
      </c>
      <c r="M388" s="16" t="n">
        <f aca="false" t="array" ref="M388: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>8.58946797901421</v>
      </c>
      <c r="N388" s="16" t="n">
        <f aca="false">IF(D388="","",(I388+M388)/2)</f>
        <v>7.77973398950711</v>
      </c>
      <c r="O388" s="16" t="n">
        <f aca="false">IF(D388="","",G388*N388)</f>
        <v>1.13428521567014</v>
      </c>
      <c r="P388" s="16" t="n">
        <f aca="false">IF(D388="","",H388+E388-K388-O388)</f>
        <v>60.5353359994447</v>
      </c>
      <c r="Q388" s="16" t="n">
        <f aca="false">IF(D388="","",IF(P388&gt;=0,K388,MAX(0,K388+P388)))</f>
        <v>0.9072</v>
      </c>
      <c r="R388" s="16" t="n">
        <f aca="false">IF(D388="","",Q388/$B$15)</f>
        <v>0.35</v>
      </c>
      <c r="S388" s="16" t="n">
        <f aca="false">IF(D388="","",MAX(0,J388-R388))</f>
        <v>0</v>
      </c>
      <c r="T388" s="16" t="n">
        <f aca="false">IF(D388="","",MAX(0,Z388-$B$8))</f>
        <v>13.3153359994447</v>
      </c>
      <c r="U388" s="16" t="n">
        <f aca="false">IF(D388="","",MAX(0,MIN($B$8,Z388)))</f>
        <v>47.22</v>
      </c>
      <c r="V388" s="16" t="str">
        <f aca="false">IF(D388="","",IF(S388&gt;0.0000001,"Sim","Não"))</f>
        <v>Não</v>
      </c>
      <c r="W388" s="16" t="n">
        <f aca="false">IF(D388="","",U388-(H388+E388-Q388-O388-T388))</f>
        <v>0</v>
      </c>
      <c r="X388" s="16" t="n">
        <f aca="false">IF(W388="","",ABS(W388))</f>
        <v>0</v>
      </c>
      <c r="Y388" s="16" t="n">
        <f aca="false">IF(U388="","",IF($B$8=0,0,U388/$B$8*100))</f>
        <v>100</v>
      </c>
      <c r="Z388" s="18" t="n">
        <f aca="false">IF(D388="","",MAX(0,IF(P388&gt;=0,P388,IF(K388+P388&gt;=0,0,P388+K388))))</f>
        <v>60.5353359994447</v>
      </c>
      <c r="AA388" s="18" t="n">
        <f aca="false">IF(D388="","",IF(H388&lt;=$B$16,1,IF(H388&gt;=$B$17,$B$21,MATCH(H388,Aux_CAV!$A$2:$A$121,1))))</f>
        <v>14</v>
      </c>
      <c r="AB388" s="18" t="n">
        <f aca="false">IF(D388="","",IF(L388&lt;=$B$16,1,IF(L388&gt;=$B$17,$B$21,MATCH(L388,Aux_CAV!$A$2:$A$121,1))))</f>
        <v>15</v>
      </c>
      <c r="AC388" s="19" t="n">
        <f aca="false">IF(D388="","",COUNT($D$24:D388))</f>
        <v>353</v>
      </c>
    </row>
    <row r="389" customFormat="false" ht="12.75" hidden="false" customHeight="true" outlineLevel="0" collapsed="false">
      <c r="A389" s="14" t="n">
        <f aca="false">IF(D389="","",DATE(B389,C389,1))</f>
        <v>14763</v>
      </c>
      <c r="B389" s="15" t="n">
        <f aca="false" t="array" ref="B389:B389">IF(D389="","",IFERROR(VALUE(INDEX(Vazoes_COLAR!$A$2:$A$200,INT((ROW()-24)/12)+1)),""))</f>
        <v>1940</v>
      </c>
      <c r="C389" s="15" t="n">
        <f aca="false">IF(D389="","",MOD(ROW()-24,12)+1)</f>
        <v>6</v>
      </c>
      <c r="D389" s="16" t="n">
        <f aca="false" t="array" ref="D389: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0.991029858744934</v>
      </c>
      <c r="E389" s="16" t="n">
        <f aca="false">IF(D389="","",D389*$B$15)</f>
        <v>2.56874939386687</v>
      </c>
      <c r="F389" s="16" t="n">
        <f aca="false" t="array" ref="F389:F389">IF(D389="","",IFERROR(INDEX(Dados_Evap!$C$2:$N$15,MATCH($B$9,Dados_Evap!$A$2:$A$15,0),C389),0))</f>
        <v>161.3</v>
      </c>
      <c r="G389" s="16" t="n">
        <f aca="false">IF(F389="","",F389/1000)</f>
        <v>0.1613</v>
      </c>
      <c r="H389" s="16" t="n">
        <f aca="false">IF(D389="","",MAX(0,MIN($B$8,IFERROR(LOOKUP(2,1/($U$24:U388&lt;&gt;""),$U$24:U388),$B$11))))</f>
        <v>47.22</v>
      </c>
      <c r="I389" s="16" t="n">
        <f aca="false" t="array" ref="I389: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>6.97</v>
      </c>
      <c r="J389" s="16" t="n">
        <f aca="false">IF(D389="","",$B$12)</f>
        <v>0.35</v>
      </c>
      <c r="K389" s="16" t="n">
        <f aca="false">IF(J389="","",J389*$B$15)</f>
        <v>0.9072</v>
      </c>
      <c r="L389" s="16" t="n">
        <f aca="false">IF(D389="","",H389+E389-K389-G389*I389)</f>
        <v>47.7572883938669</v>
      </c>
      <c r="M389" s="16" t="n">
        <f aca="false" t="array" ref="M389: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>7.03333887569975</v>
      </c>
      <c r="N389" s="16" t="n">
        <f aca="false">IF(D389="","",(I389+M389)/2)</f>
        <v>7.00166943784988</v>
      </c>
      <c r="O389" s="16" t="n">
        <f aca="false">IF(D389="","",G389*N389)</f>
        <v>1.12936928032519</v>
      </c>
      <c r="P389" s="16" t="n">
        <f aca="false">IF(D389="","",H389+E389-K389-O389)</f>
        <v>47.7521801135417</v>
      </c>
      <c r="Q389" s="16" t="n">
        <f aca="false">IF(D389="","",IF(P389&gt;=0,K389,MAX(0,K389+P389)))</f>
        <v>0.9072</v>
      </c>
      <c r="R389" s="16" t="n">
        <f aca="false">IF(D389="","",Q389/$B$15)</f>
        <v>0.35</v>
      </c>
      <c r="S389" s="16" t="n">
        <f aca="false">IF(D389="","",MAX(0,J389-R389))</f>
        <v>0</v>
      </c>
      <c r="T389" s="16" t="n">
        <f aca="false">IF(D389="","",MAX(0,Z389-$B$8))</f>
        <v>0.532180113541678</v>
      </c>
      <c r="U389" s="16" t="n">
        <f aca="false">IF(D389="","",MAX(0,MIN($B$8,Z389)))</f>
        <v>47.22</v>
      </c>
      <c r="V389" s="16" t="str">
        <f aca="false">IF(D389="","",IF(S389&gt;0.0000001,"Sim","Não"))</f>
        <v>Não</v>
      </c>
      <c r="W389" s="16" t="n">
        <f aca="false">IF(D389="","",U389-(H389+E389-Q389-O389-T389))</f>
        <v>0</v>
      </c>
      <c r="X389" s="16" t="n">
        <f aca="false">IF(W389="","",ABS(W389))</f>
        <v>0</v>
      </c>
      <c r="Y389" s="16" t="n">
        <f aca="false">IF(U389="","",IF($B$8=0,0,U389/$B$8*100))</f>
        <v>100</v>
      </c>
      <c r="Z389" s="18" t="n">
        <f aca="false">IF(D389="","",MAX(0,IF(P389&gt;=0,P389,IF(K389+P389&gt;=0,0,P389+K389))))</f>
        <v>47.7521801135417</v>
      </c>
      <c r="AA389" s="18" t="n">
        <f aca="false">IF(D389="","",IF(H389&lt;=$B$16,1,IF(H389&gt;=$B$17,$B$21,MATCH(H389,Aux_CAV!$A$2:$A$121,1))))</f>
        <v>14</v>
      </c>
      <c r="AB389" s="18" t="n">
        <f aca="false">IF(D389="","",IF(L389&lt;=$B$16,1,IF(L389&gt;=$B$17,$B$21,MATCH(L389,Aux_CAV!$A$2:$A$121,1))))</f>
        <v>14</v>
      </c>
      <c r="AC389" s="19" t="n">
        <f aca="false">IF(D389="","",COUNT($D$24:D389))</f>
        <v>354</v>
      </c>
    </row>
    <row r="390" customFormat="false" ht="12.75" hidden="false" customHeight="true" outlineLevel="0" collapsed="false">
      <c r="A390" s="14" t="n">
        <f aca="false">IF(D390="","",DATE(B390,C390,1))</f>
        <v>14793</v>
      </c>
      <c r="B390" s="15" t="n">
        <f aca="false" t="array" ref="B390:B390">IF(D390="","",IFERROR(VALUE(INDEX(Vazoes_COLAR!$A$2:$A$200,INT((ROW()-24)/12)+1)),""))</f>
        <v>1940</v>
      </c>
      <c r="C390" s="15" t="n">
        <f aca="false">IF(D390="","",MOD(ROW()-24,12)+1)</f>
        <v>7</v>
      </c>
      <c r="D390" s="16" t="n">
        <f aca="false" t="array" ref="D390: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0.196616894190884</v>
      </c>
      <c r="E390" s="16" t="n">
        <f aca="false">IF(D390="","",D390*$B$15)</f>
        <v>0.509630989742771</v>
      </c>
      <c r="F390" s="16" t="n">
        <f aca="false" t="array" ref="F390:F390">IF(D390="","",IFERROR(INDEX(Dados_Evap!$C$2:$N$15,MATCH($B$9,Dados_Evap!$A$2:$A$15,0),C390),0))</f>
        <v>224.8</v>
      </c>
      <c r="G390" s="16" t="n">
        <f aca="false">IF(F390="","",F390/1000)</f>
        <v>0.2248</v>
      </c>
      <c r="H390" s="16" t="n">
        <f aca="false">IF(D390="","",MAX(0,MIN($B$8,IFERROR(LOOKUP(2,1/($U$24:U389&lt;&gt;""),$U$24:U389),$B$11))))</f>
        <v>47.22</v>
      </c>
      <c r="I390" s="16" t="n">
        <f aca="false" t="array" ref="I390: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>6.97</v>
      </c>
      <c r="J390" s="16" t="n">
        <f aca="false">IF(D390="","",$B$12)</f>
        <v>0.35</v>
      </c>
      <c r="K390" s="16" t="n">
        <f aca="false">IF(J390="","",J390*$B$15)</f>
        <v>0.9072</v>
      </c>
      <c r="L390" s="16" t="n">
        <f aca="false">IF(D390="","",H390+E390-K390-G390*I390)</f>
        <v>45.2555749897428</v>
      </c>
      <c r="M390" s="16" t="n">
        <f aca="false" t="array" ref="M390: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>6.77386637083124</v>
      </c>
      <c r="N390" s="16" t="n">
        <f aca="false">IF(D390="","",(I390+M390)/2)</f>
        <v>6.87193318541562</v>
      </c>
      <c r="O390" s="16" t="n">
        <f aca="false">IF(D390="","",G390*N390)</f>
        <v>1.54481058008143</v>
      </c>
      <c r="P390" s="16" t="n">
        <f aca="false">IF(D390="","",H390+E390-K390-O390)</f>
        <v>45.2776204096613</v>
      </c>
      <c r="Q390" s="16" t="n">
        <f aca="false">IF(D390="","",IF(P390&gt;=0,K390,MAX(0,K390+P390)))</f>
        <v>0.9072</v>
      </c>
      <c r="R390" s="16" t="n">
        <f aca="false">IF(D390="","",Q390/$B$15)</f>
        <v>0.35</v>
      </c>
      <c r="S390" s="16" t="n">
        <f aca="false">IF(D390="","",MAX(0,J390-R390))</f>
        <v>0</v>
      </c>
      <c r="T390" s="16" t="n">
        <f aca="false">IF(D390="","",MAX(0,Z390-$B$8))</f>
        <v>0</v>
      </c>
      <c r="U390" s="16" t="n">
        <f aca="false">IF(D390="","",MAX(0,MIN($B$8,Z390)))</f>
        <v>45.2776204096613</v>
      </c>
      <c r="V390" s="16" t="str">
        <f aca="false">IF(D390="","",IF(S390&gt;0.0000001,"Sim","Não"))</f>
        <v>Não</v>
      </c>
      <c r="W390" s="16" t="n">
        <f aca="false">IF(D390="","",U390-(H390+E390-Q390-O390-T390))</f>
        <v>0</v>
      </c>
      <c r="X390" s="16" t="n">
        <f aca="false">IF(W390="","",ABS(W390))</f>
        <v>0</v>
      </c>
      <c r="Y390" s="16" t="n">
        <f aca="false">IF(U390="","",IF($B$8=0,0,U390/$B$8*100))</f>
        <v>95.8865319984357</v>
      </c>
      <c r="Z390" s="18" t="n">
        <f aca="false">IF(D390="","",MAX(0,IF(P390&gt;=0,P390,IF(K390+P390&gt;=0,0,P390+K390))))</f>
        <v>45.2776204096613</v>
      </c>
      <c r="AA390" s="18" t="n">
        <f aca="false">IF(D390="","",IF(H390&lt;=$B$16,1,IF(H390&gt;=$B$17,$B$21,MATCH(H390,Aux_CAV!$A$2:$A$121,1))))</f>
        <v>14</v>
      </c>
      <c r="AB390" s="18" t="n">
        <f aca="false">IF(D390="","",IF(L390&lt;=$B$16,1,IF(L390&gt;=$B$17,$B$21,MATCH(L390,Aux_CAV!$A$2:$A$121,1))))</f>
        <v>13</v>
      </c>
      <c r="AC390" s="19" t="n">
        <f aca="false">IF(D390="","",COUNT($D$24:D390))</f>
        <v>355</v>
      </c>
    </row>
    <row r="391" customFormat="false" ht="12.75" hidden="false" customHeight="true" outlineLevel="0" collapsed="false">
      <c r="A391" s="14" t="n">
        <f aca="false">IF(D391="","",DATE(B391,C391,1))</f>
        <v>14824</v>
      </c>
      <c r="B391" s="15" t="n">
        <f aca="false" t="array" ref="B391:B391">IF(D391="","",IFERROR(VALUE(INDEX(Vazoes_COLAR!$A$2:$A$200,INT((ROW()-24)/12)+1)),""))</f>
        <v>1940</v>
      </c>
      <c r="C391" s="15" t="n">
        <f aca="false">IF(D391="","",MOD(ROW()-24,12)+1)</f>
        <v>8</v>
      </c>
      <c r="D391" s="16" t="n">
        <f aca="false" t="array" ref="D391: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0.0514651201303207</v>
      </c>
      <c r="E391" s="16" t="n">
        <f aca="false">IF(D391="","",D391*$B$15)</f>
        <v>0.133397591377791</v>
      </c>
      <c r="F391" s="16" t="n">
        <f aca="false" t="array" ref="F391:F391">IF(D391="","",IFERROR(INDEX(Dados_Evap!$C$2:$N$15,MATCH($B$9,Dados_Evap!$A$2:$A$15,0),C391),0))</f>
        <v>268.7</v>
      </c>
      <c r="G391" s="16" t="n">
        <f aca="false">IF(F391="","",F391/1000)</f>
        <v>0.2687</v>
      </c>
      <c r="H391" s="16" t="n">
        <f aca="false">IF(D391="","",MAX(0,MIN($B$8,IFERROR(LOOKUP(2,1/($U$24:U390&lt;&gt;""),$U$24:U390),$B$11))))</f>
        <v>45.2776204096613</v>
      </c>
      <c r="I391" s="16" t="n">
        <f aca="false" t="array" ref="I391: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>6.7760674465621</v>
      </c>
      <c r="J391" s="16" t="n">
        <f aca="false">IF(D391="","",$B$12)</f>
        <v>0.35</v>
      </c>
      <c r="K391" s="16" t="n">
        <f aca="false">IF(J391="","",J391*$B$15)</f>
        <v>0.9072</v>
      </c>
      <c r="L391" s="16" t="n">
        <f aca="false">IF(D391="","",H391+E391-K391-G391*I391)</f>
        <v>42.6830886781479</v>
      </c>
      <c r="M391" s="16" t="n">
        <f aca="false" t="array" ref="M391: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>6.51702221865156</v>
      </c>
      <c r="N391" s="16" t="n">
        <f aca="false">IF(D391="","",(I391+M391)/2)</f>
        <v>6.64654483260683</v>
      </c>
      <c r="O391" s="16" t="n">
        <f aca="false">IF(D391="","",G391*N391)</f>
        <v>1.78592659652145</v>
      </c>
      <c r="P391" s="16" t="n">
        <f aca="false">IF(D391="","",H391+E391-K391-O391)</f>
        <v>42.7178914045177</v>
      </c>
      <c r="Q391" s="16" t="n">
        <f aca="false">IF(D391="","",IF(P391&gt;=0,K391,MAX(0,K391+P391)))</f>
        <v>0.9072</v>
      </c>
      <c r="R391" s="16" t="n">
        <f aca="false">IF(D391="","",Q391/$B$15)</f>
        <v>0.35</v>
      </c>
      <c r="S391" s="16" t="n">
        <f aca="false">IF(D391="","",MAX(0,J391-R391))</f>
        <v>0</v>
      </c>
      <c r="T391" s="16" t="n">
        <f aca="false">IF(D391="","",MAX(0,Z391-$B$8))</f>
        <v>0</v>
      </c>
      <c r="U391" s="16" t="n">
        <f aca="false">IF(D391="","",MAX(0,MIN($B$8,Z391)))</f>
        <v>42.7178914045177</v>
      </c>
      <c r="V391" s="16" t="str">
        <f aca="false">IF(D391="","",IF(S391&gt;0.0000001,"Sim","Não"))</f>
        <v>Não</v>
      </c>
      <c r="W391" s="16" t="n">
        <f aca="false">IF(D391="","",U391-(H391+E391-Q391-O391-T391))</f>
        <v>0</v>
      </c>
      <c r="X391" s="16" t="n">
        <f aca="false">IF(W391="","",ABS(W391))</f>
        <v>0</v>
      </c>
      <c r="Y391" s="16" t="n">
        <f aca="false">IF(U391="","",IF($B$8=0,0,U391/$B$8*100))</f>
        <v>90.4656743001221</v>
      </c>
      <c r="Z391" s="18" t="n">
        <f aca="false">IF(D391="","",MAX(0,IF(P391&gt;=0,P391,IF(K391+P391&gt;=0,0,P391+K391))))</f>
        <v>42.7178914045177</v>
      </c>
      <c r="AA391" s="18" t="n">
        <f aca="false">IF(D391="","",IF(H391&lt;=$B$16,1,IF(H391&gt;=$B$17,$B$21,MATCH(H391,Aux_CAV!$A$2:$A$121,1))))</f>
        <v>13</v>
      </c>
      <c r="AB391" s="18" t="n">
        <f aca="false">IF(D391="","",IF(L391&lt;=$B$16,1,IF(L391&gt;=$B$17,$B$21,MATCH(L391,Aux_CAV!$A$2:$A$121,1))))</f>
        <v>13</v>
      </c>
      <c r="AC391" s="19" t="n">
        <f aca="false">IF(D391="","",COUNT($D$24:D391))</f>
        <v>356</v>
      </c>
    </row>
    <row r="392" customFormat="false" ht="12.75" hidden="false" customHeight="true" outlineLevel="0" collapsed="false">
      <c r="A392" s="14" t="n">
        <f aca="false">IF(D392="","",DATE(B392,C392,1))</f>
        <v>14855</v>
      </c>
      <c r="B392" s="15" t="n">
        <f aca="false" t="array" ref="B392:B392">IF(D392="","",IFERROR(VALUE(INDEX(Vazoes_COLAR!$A$2:$A$200,INT((ROW()-24)/12)+1)),""))</f>
        <v>1940</v>
      </c>
      <c r="C392" s="15" t="n">
        <f aca="false">IF(D392="","",MOD(ROW()-24,12)+1)</f>
        <v>9</v>
      </c>
      <c r="D392" s="16" t="n">
        <f aca="false" t="array" ref="D392: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0.0633409117382173</v>
      </c>
      <c r="E392" s="16" t="n">
        <f aca="false">IF(D392="","",D392*$B$15)</f>
        <v>0.164179643225459</v>
      </c>
      <c r="F392" s="16" t="n">
        <f aca="false" t="array" ref="F392:F392">IF(D392="","",IFERROR(INDEX(Dados_Evap!$C$2:$N$15,MATCH($B$9,Dados_Evap!$A$2:$A$15,0),C392),0))</f>
        <v>292.8</v>
      </c>
      <c r="G392" s="16" t="n">
        <f aca="false">IF(F392="","",F392/1000)</f>
        <v>0.2928</v>
      </c>
      <c r="H392" s="16" t="n">
        <f aca="false">IF(D392="","",MAX(0,MIN($B$8,IFERROR(LOOKUP(2,1/($U$24:U391&lt;&gt;""),$U$24:U391),$B$11))))</f>
        <v>42.7178914045177</v>
      </c>
      <c r="I392" s="16" t="n">
        <f aca="false" t="array" ref="I392: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>6.52049701916175</v>
      </c>
      <c r="J392" s="16" t="n">
        <f aca="false">IF(D392="","",$B$12)</f>
        <v>0.35</v>
      </c>
      <c r="K392" s="16" t="n">
        <f aca="false">IF(J392="","",J392*$B$15)</f>
        <v>0.9072</v>
      </c>
      <c r="L392" s="16" t="n">
        <f aca="false">IF(D392="","",H392+E392-K392-G392*I392)</f>
        <v>40.0656695205326</v>
      </c>
      <c r="M392" s="16" t="n">
        <f aca="false" t="array" ref="M392: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>6.25569184678273</v>
      </c>
      <c r="N392" s="16" t="n">
        <f aca="false">IF(D392="","",(I392+M392)/2)</f>
        <v>6.38809443297224</v>
      </c>
      <c r="O392" s="16" t="n">
        <f aca="false">IF(D392="","",G392*N392)</f>
        <v>1.87043404997427</v>
      </c>
      <c r="P392" s="16" t="n">
        <f aca="false">IF(D392="","",H392+E392-K392-O392)</f>
        <v>40.1044369977689</v>
      </c>
      <c r="Q392" s="16" t="n">
        <f aca="false">IF(D392="","",IF(P392&gt;=0,K392,MAX(0,K392+P392)))</f>
        <v>0.9072</v>
      </c>
      <c r="R392" s="16" t="n">
        <f aca="false">IF(D392="","",Q392/$B$15)</f>
        <v>0.35</v>
      </c>
      <c r="S392" s="16" t="n">
        <f aca="false">IF(D392="","",MAX(0,J392-R392))</f>
        <v>0</v>
      </c>
      <c r="T392" s="16" t="n">
        <f aca="false">IF(D392="","",MAX(0,Z392-$B$8))</f>
        <v>0</v>
      </c>
      <c r="U392" s="16" t="n">
        <f aca="false">IF(D392="","",MAX(0,MIN($B$8,Z392)))</f>
        <v>40.1044369977689</v>
      </c>
      <c r="V392" s="16" t="str">
        <f aca="false">IF(D392="","",IF(S392&gt;0.0000001,"Sim","Não"))</f>
        <v>Não</v>
      </c>
      <c r="W392" s="16" t="n">
        <f aca="false">IF(D392="","",U392-(H392+E392-Q392-O392-T392))</f>
        <v>0</v>
      </c>
      <c r="X392" s="16" t="n">
        <f aca="false">IF(W392="","",ABS(W392))</f>
        <v>0</v>
      </c>
      <c r="Y392" s="16" t="n">
        <f aca="false">IF(U392="","",IF($B$8=0,0,U392/$B$8*100))</f>
        <v>84.9310398089133</v>
      </c>
      <c r="Z392" s="18" t="n">
        <f aca="false">IF(D392="","",MAX(0,IF(P392&gt;=0,P392,IF(K392+P392&gt;=0,0,P392+K392))))</f>
        <v>40.1044369977689</v>
      </c>
      <c r="AA392" s="18" t="n">
        <f aca="false">IF(D392="","",IF(H392&lt;=$B$16,1,IF(H392&gt;=$B$17,$B$21,MATCH(H392,Aux_CAV!$A$2:$A$121,1))))</f>
        <v>13</v>
      </c>
      <c r="AB392" s="18" t="n">
        <f aca="false">IF(D392="","",IF(L392&lt;=$B$16,1,IF(L392&gt;=$B$17,$B$21,MATCH(L392,Aux_CAV!$A$2:$A$121,1))))</f>
        <v>13</v>
      </c>
      <c r="AC392" s="19" t="n">
        <f aca="false">IF(D392="","",COUNT($D$24:D392))</f>
        <v>357</v>
      </c>
    </row>
    <row r="393" customFormat="false" ht="12.75" hidden="false" customHeight="true" outlineLevel="0" collapsed="false">
      <c r="A393" s="14" t="n">
        <f aca="false">IF(D393="","",DATE(B393,C393,1))</f>
        <v>14885</v>
      </c>
      <c r="B393" s="15" t="n">
        <f aca="false" t="array" ref="B393:B393">IF(D393="","",IFERROR(VALUE(INDEX(Vazoes_COLAR!$A$2:$A$200,INT((ROW()-24)/12)+1)),""))</f>
        <v>1940</v>
      </c>
      <c r="C393" s="15" t="n">
        <f aca="false">IF(D393="","",MOD(ROW()-24,12)+1)</f>
        <v>10</v>
      </c>
      <c r="D393" s="16" t="n">
        <f aca="false" t="array" ref="D393: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0.0346945937651654</v>
      </c>
      <c r="E393" s="16" t="n">
        <f aca="false">IF(D393="","",D393*$B$15)</f>
        <v>0.0899283870393087</v>
      </c>
      <c r="F393" s="16" t="n">
        <f aca="false" t="array" ref="F393:F393">IF(D393="","",IFERROR(INDEX(Dados_Evap!$C$2:$N$15,MATCH($B$9,Dados_Evap!$A$2:$A$15,0),C393),0))</f>
        <v>262.9</v>
      </c>
      <c r="G393" s="16" t="n">
        <f aca="false">IF(F393="","",F393/1000)</f>
        <v>0.2629</v>
      </c>
      <c r="H393" s="16" t="n">
        <f aca="false">IF(D393="","",MAX(0,MIN($B$8,IFERROR(LOOKUP(2,1/($U$24:U392&lt;&gt;""),$U$24:U392),$B$11))))</f>
        <v>40.1044369977689</v>
      </c>
      <c r="I393" s="16" t="n">
        <f aca="false" t="array" ref="I393: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>6.25956249899107</v>
      </c>
      <c r="J393" s="16" t="n">
        <f aca="false">IF(D393="","",$B$12)</f>
        <v>0.35</v>
      </c>
      <c r="K393" s="16" t="n">
        <f aca="false">IF(J393="","",J393*$B$15)</f>
        <v>0.9072</v>
      </c>
      <c r="L393" s="16" t="n">
        <f aca="false">IF(D393="","",H393+E393-K393-G393*I393)</f>
        <v>37.6415264038234</v>
      </c>
      <c r="M393" s="16" t="n">
        <f aca="false" t="array" ref="M393: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>6.01365868968992</v>
      </c>
      <c r="N393" s="16" t="n">
        <f aca="false">IF(D393="","",(I393+M393)/2)</f>
        <v>6.13661059434049</v>
      </c>
      <c r="O393" s="16" t="n">
        <f aca="false">IF(D393="","",G393*N393)</f>
        <v>1.61331492525212</v>
      </c>
      <c r="P393" s="16" t="n">
        <f aca="false">IF(D393="","",H393+E393-K393-O393)</f>
        <v>37.6738504595561</v>
      </c>
      <c r="Q393" s="16" t="n">
        <f aca="false">IF(D393="","",IF(P393&gt;=0,K393,MAX(0,K393+P393)))</f>
        <v>0.9072</v>
      </c>
      <c r="R393" s="16" t="n">
        <f aca="false">IF(D393="","",Q393/$B$15)</f>
        <v>0.35</v>
      </c>
      <c r="S393" s="16" t="n">
        <f aca="false">IF(D393="","",MAX(0,J393-R393))</f>
        <v>0</v>
      </c>
      <c r="T393" s="16" t="n">
        <f aca="false">IF(D393="","",MAX(0,Z393-$B$8))</f>
        <v>0</v>
      </c>
      <c r="U393" s="16" t="n">
        <f aca="false">IF(D393="","",MAX(0,MIN($B$8,Z393)))</f>
        <v>37.6738504595561</v>
      </c>
      <c r="V393" s="16" t="str">
        <f aca="false">IF(D393="","",IF(S393&gt;0.0000001,"Sim","Não"))</f>
        <v>Não</v>
      </c>
      <c r="W393" s="16" t="n">
        <f aca="false">IF(D393="","",U393-(H393+E393-Q393-O393-T393))</f>
        <v>0</v>
      </c>
      <c r="X393" s="16" t="n">
        <f aca="false">IF(W393="","",ABS(W393))</f>
        <v>0</v>
      </c>
      <c r="Y393" s="16" t="n">
        <f aca="false">IF(U393="","",IF($B$8=0,0,U393/$B$8*100))</f>
        <v>79.7836731460315</v>
      </c>
      <c r="Z393" s="18" t="n">
        <f aca="false">IF(D393="","",MAX(0,IF(P393&gt;=0,P393,IF(K393+P393&gt;=0,0,P393+K393))))</f>
        <v>37.6738504595561</v>
      </c>
      <c r="AA393" s="18" t="n">
        <f aca="false">IF(D393="","",IF(H393&lt;=$B$16,1,IF(H393&gt;=$B$17,$B$21,MATCH(H393,Aux_CAV!$A$2:$A$121,1))))</f>
        <v>13</v>
      </c>
      <c r="AB393" s="18" t="n">
        <f aca="false">IF(D393="","",IF(L393&lt;=$B$16,1,IF(L393&gt;=$B$17,$B$21,MATCH(L393,Aux_CAV!$A$2:$A$121,1))))</f>
        <v>13</v>
      </c>
      <c r="AC393" s="19" t="n">
        <f aca="false">IF(D393="","",COUNT($D$24:D393))</f>
        <v>358</v>
      </c>
    </row>
    <row r="394" customFormat="false" ht="12.75" hidden="false" customHeight="true" outlineLevel="0" collapsed="false">
      <c r="A394" s="14" t="n">
        <f aca="false">IF(D394="","",DATE(B394,C394,1))</f>
        <v>14916</v>
      </c>
      <c r="B394" s="15" t="n">
        <f aca="false" t="array" ref="B394:B394">IF(D394="","",IFERROR(VALUE(INDEX(Vazoes_COLAR!$A$2:$A$200,INT((ROW()-24)/12)+1)),""))</f>
        <v>1940</v>
      </c>
      <c r="C394" s="15" t="n">
        <f aca="false">IF(D394="","",MOD(ROW()-24,12)+1)</f>
        <v>11</v>
      </c>
      <c r="D394" s="16" t="n">
        <f aca="false" t="array" ref="D394: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0.115560063686489</v>
      </c>
      <c r="E394" s="16" t="n">
        <f aca="false">IF(D394="","",D394*$B$15)</f>
        <v>0.29953168507538</v>
      </c>
      <c r="F394" s="16" t="n">
        <f aca="false" t="array" ref="F394:F394">IF(D394="","",IFERROR(INDEX(Dados_Evap!$C$2:$N$15,MATCH($B$9,Dados_Evap!$A$2:$A$15,0),C394),0))</f>
        <v>223.7</v>
      </c>
      <c r="G394" s="16" t="n">
        <f aca="false">IF(F394="","",F394/1000)</f>
        <v>0.2237</v>
      </c>
      <c r="H394" s="16" t="n">
        <f aca="false">IF(D394="","",MAX(0,MIN($B$8,IFERROR(LOOKUP(2,1/($U$24:U393&lt;&gt;""),$U$24:U393),$B$11))))</f>
        <v>37.6738504595561</v>
      </c>
      <c r="I394" s="16" t="n">
        <f aca="false" t="array" ref="I394: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>6.01688601286448</v>
      </c>
      <c r="J394" s="16" t="n">
        <f aca="false">IF(D394="","",$B$12)</f>
        <v>0.35</v>
      </c>
      <c r="K394" s="16" t="n">
        <f aca="false">IF(J394="","",J394*$B$15)</f>
        <v>0.9072</v>
      </c>
      <c r="L394" s="16" t="n">
        <f aca="false">IF(D394="","",H394+E394-K394-G394*I394)</f>
        <v>35.7202047435536</v>
      </c>
      <c r="M394" s="16" t="n">
        <f aca="false" t="array" ref="M394: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>5.82182861826361</v>
      </c>
      <c r="N394" s="16" t="n">
        <f aca="false">IF(D394="","",(I394+M394)/2)</f>
        <v>5.91935731556405</v>
      </c>
      <c r="O394" s="16" t="n">
        <f aca="false">IF(D394="","",G394*N394)</f>
        <v>1.32416023149168</v>
      </c>
      <c r="P394" s="16" t="n">
        <f aca="false">IF(D394="","",H394+E394-K394-O394)</f>
        <v>35.7420219131398</v>
      </c>
      <c r="Q394" s="16" t="n">
        <f aca="false">IF(D394="","",IF(P394&gt;=0,K394,MAX(0,K394+P394)))</f>
        <v>0.9072</v>
      </c>
      <c r="R394" s="16" t="n">
        <f aca="false">IF(D394="","",Q394/$B$15)</f>
        <v>0.35</v>
      </c>
      <c r="S394" s="16" t="n">
        <f aca="false">IF(D394="","",MAX(0,J394-R394))</f>
        <v>0</v>
      </c>
      <c r="T394" s="16" t="n">
        <f aca="false">IF(D394="","",MAX(0,Z394-$B$8))</f>
        <v>0</v>
      </c>
      <c r="U394" s="16" t="n">
        <f aca="false">IF(D394="","",MAX(0,MIN($B$8,Z394)))</f>
        <v>35.7420219131398</v>
      </c>
      <c r="V394" s="16" t="str">
        <f aca="false">IF(D394="","",IF(S394&gt;0.0000001,"Sim","Não"))</f>
        <v>Não</v>
      </c>
      <c r="W394" s="16" t="n">
        <f aca="false">IF(D394="","",U394-(H394+E394-Q394-O394-T394))</f>
        <v>0</v>
      </c>
      <c r="X394" s="16" t="n">
        <f aca="false">IF(W394="","",ABS(W394))</f>
        <v>0</v>
      </c>
      <c r="Y394" s="16" t="n">
        <f aca="false">IF(U394="","",IF($B$8=0,0,U394/$B$8*100))</f>
        <v>75.6925495830999</v>
      </c>
      <c r="Z394" s="18" t="n">
        <f aca="false">IF(D394="","",MAX(0,IF(P394&gt;=0,P394,IF(K394+P394&gt;=0,0,P394+K394))))</f>
        <v>35.7420219131398</v>
      </c>
      <c r="AA394" s="18" t="n">
        <f aca="false">IF(D394="","",IF(H394&lt;=$B$16,1,IF(H394&gt;=$B$17,$B$21,MATCH(H394,Aux_CAV!$A$2:$A$121,1))))</f>
        <v>13</v>
      </c>
      <c r="AB394" s="18" t="n">
        <f aca="false">IF(D394="","",IF(L394&lt;=$B$16,1,IF(L394&gt;=$B$17,$B$21,MATCH(L394,Aux_CAV!$A$2:$A$121,1))))</f>
        <v>13</v>
      </c>
      <c r="AC394" s="19" t="n">
        <f aca="false">IF(D394="","",COUNT($D$24:D394))</f>
        <v>359</v>
      </c>
    </row>
    <row r="395" customFormat="false" ht="12.75" hidden="false" customHeight="true" outlineLevel="0" collapsed="false">
      <c r="A395" s="14" t="n">
        <f aca="false">IF(D395="","",DATE(B395,C395,1))</f>
        <v>14946</v>
      </c>
      <c r="B395" s="15" t="n">
        <f aca="false" t="array" ref="B395:B395">IF(D395="","",IFERROR(VALUE(INDEX(Vazoes_COLAR!$A$2:$A$200,INT((ROW()-24)/12)+1)),""))</f>
        <v>1940</v>
      </c>
      <c r="C395" s="15" t="n">
        <f aca="false">IF(D395="","",MOD(ROW()-24,12)+1)</f>
        <v>12</v>
      </c>
      <c r="D395" s="16" t="n">
        <f aca="false" t="array" ref="D395: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0.0871697647596774</v>
      </c>
      <c r="E395" s="16" t="n">
        <f aca="false">IF(D395="","",D395*$B$15)</f>
        <v>0.225944030257084</v>
      </c>
      <c r="F395" s="16" t="n">
        <f aca="false" t="array" ref="F395:F395">IF(D395="","",IFERROR(INDEX(Dados_Evap!$C$2:$N$15,MATCH($B$9,Dados_Evap!$A$2:$A$15,0),C395),0))</f>
        <v>216.1</v>
      </c>
      <c r="G395" s="16" t="n">
        <f aca="false">IF(F395="","",F395/1000)</f>
        <v>0.2161</v>
      </c>
      <c r="H395" s="16" t="n">
        <f aca="false">IF(D395="","",MAX(0,MIN($B$8,IFERROR(LOOKUP(2,1/($U$24:U394&lt;&gt;""),$U$24:U394),$B$11))))</f>
        <v>35.7420219131398</v>
      </c>
      <c r="I395" s="16" t="n">
        <f aca="false" t="array" ref="I395: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>5.82400690484965</v>
      </c>
      <c r="J395" s="16" t="n">
        <f aca="false">IF(D395="","",$B$12)</f>
        <v>0.35</v>
      </c>
      <c r="K395" s="16" t="n">
        <f aca="false">IF(J395="","",J395*$B$15)</f>
        <v>0.9072</v>
      </c>
      <c r="L395" s="16" t="n">
        <f aca="false">IF(D395="","",H395+E395-K395-G395*I395)</f>
        <v>33.8021980512588</v>
      </c>
      <c r="M395" s="16" t="n">
        <f aca="false" t="array" ref="M395: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>5.62750989464533</v>
      </c>
      <c r="N395" s="16" t="n">
        <f aca="false">IF(D395="","",(I395+M395)/2)</f>
        <v>5.72575839974749</v>
      </c>
      <c r="O395" s="16" t="n">
        <f aca="false">IF(D395="","",G395*N395)</f>
        <v>1.23733639018543</v>
      </c>
      <c r="P395" s="16" t="n">
        <f aca="false">IF(D395="","",H395+E395-K395-O395)</f>
        <v>33.8234295532114</v>
      </c>
      <c r="Q395" s="16" t="n">
        <f aca="false">IF(D395="","",IF(P395&gt;=0,K395,MAX(0,K395+P395)))</f>
        <v>0.9072</v>
      </c>
      <c r="R395" s="16" t="n">
        <f aca="false">IF(D395="","",Q395/$B$15)</f>
        <v>0.35</v>
      </c>
      <c r="S395" s="16" t="n">
        <f aca="false">IF(D395="","",MAX(0,J395-R395))</f>
        <v>0</v>
      </c>
      <c r="T395" s="16" t="n">
        <f aca="false">IF(D395="","",MAX(0,Z395-$B$8))</f>
        <v>0</v>
      </c>
      <c r="U395" s="16" t="n">
        <f aca="false">IF(D395="","",MAX(0,MIN($B$8,Z395)))</f>
        <v>33.8234295532114</v>
      </c>
      <c r="V395" s="16" t="str">
        <f aca="false">IF(D395="","",IF(S395&gt;0.0000001,"Sim","Não"))</f>
        <v>Não</v>
      </c>
      <c r="W395" s="16" t="n">
        <f aca="false">IF(D395="","",U395-(H395+E395-Q395-O395-T395))</f>
        <v>0</v>
      </c>
      <c r="X395" s="16" t="n">
        <f aca="false">IF(W395="","",ABS(W395))</f>
        <v>0</v>
      </c>
      <c r="Y395" s="16" t="n">
        <f aca="false">IF(U395="","",IF($B$8=0,0,U395/$B$8*100))</f>
        <v>71.6294569106552</v>
      </c>
      <c r="Z395" s="18" t="n">
        <f aca="false">IF(D395="","",MAX(0,IF(P395&gt;=0,P395,IF(K395+P395&gt;=0,0,P395+K395))))</f>
        <v>33.8234295532114</v>
      </c>
      <c r="AA395" s="18" t="n">
        <f aca="false">IF(D395="","",IF(H395&lt;=$B$16,1,IF(H395&gt;=$B$17,$B$21,MATCH(H395,Aux_CAV!$A$2:$A$121,1))))</f>
        <v>13</v>
      </c>
      <c r="AB395" s="18" t="n">
        <f aca="false">IF(D395="","",IF(L395&lt;=$B$16,1,IF(L395&gt;=$B$17,$B$21,MATCH(L395,Aux_CAV!$A$2:$A$121,1))))</f>
        <v>12</v>
      </c>
      <c r="AC395" s="19" t="n">
        <f aca="false">IF(D395="","",COUNT($D$24:D395))</f>
        <v>360</v>
      </c>
    </row>
    <row r="396" customFormat="false" ht="12.75" hidden="false" customHeight="true" outlineLevel="0" collapsed="false">
      <c r="A396" s="14" t="n">
        <f aca="false">IF(D396="","",DATE(B396,C396,1))</f>
        <v>14977</v>
      </c>
      <c r="B396" s="15" t="n">
        <f aca="false" t="array" ref="B396:B396">IF(D396="","",IFERROR(VALUE(INDEX(Vazoes_COLAR!$A$2:$A$200,INT((ROW()-24)/12)+1)),""))</f>
        <v>1941</v>
      </c>
      <c r="C396" s="15" t="n">
        <f aca="false">IF(D396="","",MOD(ROW()-24,12)+1)</f>
        <v>1</v>
      </c>
      <c r="D396" s="16" t="n">
        <f aca="false" t="array" ref="D396: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0.100573634852633</v>
      </c>
      <c r="E396" s="16" t="n">
        <f aca="false">IF(D396="","",D396*$B$15)</f>
        <v>0.260686861538025</v>
      </c>
      <c r="F396" s="16" t="n">
        <f aca="false" t="array" ref="F396:F396">IF(D396="","",IFERROR(INDEX(Dados_Evap!$C$2:$N$15,MATCH($B$9,Dados_Evap!$A$2:$A$15,0),C396),0))</f>
        <v>160</v>
      </c>
      <c r="G396" s="16" t="n">
        <f aca="false">IF(F396="","",F396/1000)</f>
        <v>0.16</v>
      </c>
      <c r="H396" s="16" t="n">
        <f aca="false">IF(D396="","",MAX(0,MIN($B$8,IFERROR(LOOKUP(2,1/($U$24:U395&lt;&gt;""),$U$24:U395),$B$11))))</f>
        <v>33.8234295532114</v>
      </c>
      <c r="I396" s="16" t="n">
        <f aca="false" t="array" ref="I396: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>5.62971549727536</v>
      </c>
      <c r="J396" s="16" t="n">
        <f aca="false">IF(D396="","",$B$12)</f>
        <v>0.35</v>
      </c>
      <c r="K396" s="16" t="n">
        <f aca="false">IF(J396="","",J396*$B$15)</f>
        <v>0.9072</v>
      </c>
      <c r="L396" s="16" t="n">
        <f aca="false">IF(D396="","",H396+E396-K396-G396*I396)</f>
        <v>32.2761619351854</v>
      </c>
      <c r="M396" s="16" t="n">
        <f aca="false" t="array" ref="M396: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>5.46897992918916</v>
      </c>
      <c r="N396" s="16" t="n">
        <f aca="false">IF(D396="","",(I396+M396)/2)</f>
        <v>5.54934771323226</v>
      </c>
      <c r="O396" s="16" t="n">
        <f aca="false">IF(D396="","",G396*N396)</f>
        <v>0.887895634117161</v>
      </c>
      <c r="P396" s="16" t="n">
        <f aca="false">IF(D396="","",H396+E396-K396-O396)</f>
        <v>32.2890207806323</v>
      </c>
      <c r="Q396" s="16" t="n">
        <f aca="false">IF(D396="","",IF(P396&gt;=0,K396,MAX(0,K396+P396)))</f>
        <v>0.9072</v>
      </c>
      <c r="R396" s="16" t="n">
        <f aca="false">IF(D396="","",Q396/$B$15)</f>
        <v>0.35</v>
      </c>
      <c r="S396" s="16" t="n">
        <f aca="false">IF(D396="","",MAX(0,J396-R396))</f>
        <v>0</v>
      </c>
      <c r="T396" s="16" t="n">
        <f aca="false">IF(D396="","",MAX(0,Z396-$B$8))</f>
        <v>0</v>
      </c>
      <c r="U396" s="16" t="n">
        <f aca="false">IF(D396="","",MAX(0,MIN($B$8,Z396)))</f>
        <v>32.2890207806323</v>
      </c>
      <c r="V396" s="16" t="str">
        <f aca="false">IF(D396="","",IF(S396&gt;0.0000001,"Sim","Não"))</f>
        <v>Não</v>
      </c>
      <c r="W396" s="16" t="n">
        <f aca="false">IF(D396="","",U396-(H396+E396-Q396-O396-T396))</f>
        <v>0</v>
      </c>
      <c r="X396" s="16" t="n">
        <f aca="false">IF(W396="","",ABS(W396))</f>
        <v>0</v>
      </c>
      <c r="Y396" s="16" t="n">
        <f aca="false">IF(U396="","",IF($B$8=0,0,U396/$B$8*100))</f>
        <v>68.3799677692339</v>
      </c>
      <c r="Z396" s="18" t="n">
        <f aca="false">IF(D396="","",MAX(0,IF(P396&gt;=0,P396,IF(K396+P396&gt;=0,0,P396+K396))))</f>
        <v>32.2890207806323</v>
      </c>
      <c r="AA396" s="18" t="n">
        <f aca="false">IF(D396="","",IF(H396&lt;=$B$16,1,IF(H396&gt;=$B$17,$B$21,MATCH(H396,Aux_CAV!$A$2:$A$121,1))))</f>
        <v>12</v>
      </c>
      <c r="AB396" s="18" t="n">
        <f aca="false">IF(D396="","",IF(L396&lt;=$B$16,1,IF(L396&gt;=$B$17,$B$21,MATCH(L396,Aux_CAV!$A$2:$A$121,1))))</f>
        <v>12</v>
      </c>
      <c r="AC396" s="19" t="n">
        <f aca="false">IF(D396="","",COUNT($D$24:D396))</f>
        <v>361</v>
      </c>
    </row>
    <row r="397" customFormat="false" ht="12.75" hidden="false" customHeight="true" outlineLevel="0" collapsed="false">
      <c r="A397" s="14" t="n">
        <f aca="false">IF(D397="","",DATE(B397,C397,1))</f>
        <v>15008</v>
      </c>
      <c r="B397" s="15" t="n">
        <f aca="false" t="array" ref="B397:B397">IF(D397="","",IFERROR(VALUE(INDEX(Vazoes_COLAR!$A$2:$A$200,INT((ROW()-24)/12)+1)),""))</f>
        <v>1941</v>
      </c>
      <c r="C397" s="15" t="n">
        <f aca="false">IF(D397="","",MOD(ROW()-24,12)+1)</f>
        <v>2</v>
      </c>
      <c r="D397" s="16" t="n">
        <f aca="false" t="array" ref="D397: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0.410698659542048</v>
      </c>
      <c r="E397" s="16" t="n">
        <f aca="false">IF(D397="","",D397*$B$15)</f>
        <v>1.06453092553299</v>
      </c>
      <c r="F397" s="16" t="n">
        <f aca="false" t="array" ref="F397:F397">IF(D397="","",IFERROR(INDEX(Dados_Evap!$C$2:$N$15,MATCH($B$9,Dados_Evap!$A$2:$A$15,0),C397),0))</f>
        <v>124.3</v>
      </c>
      <c r="G397" s="16" t="n">
        <f aca="false">IF(F397="","",F397/1000)</f>
        <v>0.1243</v>
      </c>
      <c r="H397" s="16" t="n">
        <f aca="false">IF(D397="","",MAX(0,MIN($B$8,IFERROR(LOOKUP(2,1/($U$24:U396&lt;&gt;""),$U$24:U396),$B$11))))</f>
        <v>32.2890207806323</v>
      </c>
      <c r="I397" s="16" t="n">
        <f aca="false" t="array" ref="I397: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>5.47031575099772</v>
      </c>
      <c r="J397" s="16" t="n">
        <f aca="false">IF(D397="","",$B$12)</f>
        <v>0.35</v>
      </c>
      <c r="K397" s="16" t="n">
        <f aca="false">IF(J397="","",J397*$B$15)</f>
        <v>0.9072</v>
      </c>
      <c r="L397" s="16" t="n">
        <f aca="false">IF(D397="","",H397+E397-K397-G397*I397)</f>
        <v>31.7663914583162</v>
      </c>
      <c r="M397" s="16" t="n">
        <f aca="false" t="array" ref="M397: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>5.41602319032994</v>
      </c>
      <c r="N397" s="16" t="n">
        <f aca="false">IF(D397="","",(I397+M397)/2)</f>
        <v>5.44316947066383</v>
      </c>
      <c r="O397" s="16" t="n">
        <f aca="false">IF(D397="","",G397*N397)</f>
        <v>0.676585965203514</v>
      </c>
      <c r="P397" s="16" t="n">
        <f aca="false">IF(D397="","",H397+E397-K397-O397)</f>
        <v>31.7697657409617</v>
      </c>
      <c r="Q397" s="16" t="n">
        <f aca="false">IF(D397="","",IF(P397&gt;=0,K397,MAX(0,K397+P397)))</f>
        <v>0.9072</v>
      </c>
      <c r="R397" s="16" t="n">
        <f aca="false">IF(D397="","",Q397/$B$15)</f>
        <v>0.35</v>
      </c>
      <c r="S397" s="16" t="n">
        <f aca="false">IF(D397="","",MAX(0,J397-R397))</f>
        <v>0</v>
      </c>
      <c r="T397" s="16" t="n">
        <f aca="false">IF(D397="","",MAX(0,Z397-$B$8))</f>
        <v>0</v>
      </c>
      <c r="U397" s="16" t="n">
        <f aca="false">IF(D397="","",MAX(0,MIN($B$8,Z397)))</f>
        <v>31.7697657409617</v>
      </c>
      <c r="V397" s="16" t="str">
        <f aca="false">IF(D397="","",IF(S397&gt;0.0000001,"Sim","Não"))</f>
        <v>Não</v>
      </c>
      <c r="W397" s="16" t="n">
        <f aca="false">IF(D397="","",U397-(H397+E397-Q397-O397-T397))</f>
        <v>0</v>
      </c>
      <c r="X397" s="16" t="n">
        <f aca="false">IF(W397="","",ABS(W397))</f>
        <v>0</v>
      </c>
      <c r="Y397" s="16" t="n">
        <f aca="false">IF(U397="","",IF($B$8=0,0,U397/$B$8*100))</f>
        <v>67.2803171134302</v>
      </c>
      <c r="Z397" s="18" t="n">
        <f aca="false">IF(D397="","",MAX(0,IF(P397&gt;=0,P397,IF(K397+P397&gt;=0,0,P397+K397))))</f>
        <v>31.7697657409617</v>
      </c>
      <c r="AA397" s="18" t="n">
        <f aca="false">IF(D397="","",IF(H397&lt;=$B$16,1,IF(H397&gt;=$B$17,$B$21,MATCH(H397,Aux_CAV!$A$2:$A$121,1))))</f>
        <v>12</v>
      </c>
      <c r="AB397" s="18" t="n">
        <f aca="false">IF(D397="","",IF(L397&lt;=$B$16,1,IF(L397&gt;=$B$17,$B$21,MATCH(L397,Aux_CAV!$A$2:$A$121,1))))</f>
        <v>12</v>
      </c>
      <c r="AC397" s="19" t="n">
        <f aca="false">IF(D397="","",COUNT($D$24:D397))</f>
        <v>362</v>
      </c>
    </row>
    <row r="398" customFormat="false" ht="12.75" hidden="false" customHeight="true" outlineLevel="0" collapsed="false">
      <c r="A398" s="14" t="n">
        <f aca="false">IF(D398="","",DATE(B398,C398,1))</f>
        <v>15036</v>
      </c>
      <c r="B398" s="15" t="n">
        <f aca="false" t="array" ref="B398:B398">IF(D398="","",IFERROR(VALUE(INDEX(Vazoes_COLAR!$A$2:$A$200,INT((ROW()-24)/12)+1)),""))</f>
        <v>1941</v>
      </c>
      <c r="C398" s="15" t="n">
        <f aca="false">IF(D398="","",MOD(ROW()-24,12)+1)</f>
        <v>3</v>
      </c>
      <c r="D398" s="16" t="n">
        <f aca="false" t="array" ref="D398: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2.36027398760152</v>
      </c>
      <c r="E398" s="16" t="n">
        <f aca="false">IF(D398="","",D398*$B$15)</f>
        <v>6.11783017586314</v>
      </c>
      <c r="F398" s="16" t="n">
        <f aca="false" t="array" ref="F398:F398">IF(D398="","",IFERROR(INDEX(Dados_Evap!$C$2:$N$15,MATCH($B$9,Dados_Evap!$A$2:$A$15,0),C398),0))</f>
        <v>107.7</v>
      </c>
      <c r="G398" s="16" t="n">
        <f aca="false">IF(F398="","",F398/1000)</f>
        <v>0.1077</v>
      </c>
      <c r="H398" s="16" t="n">
        <f aca="false">IF(D398="","",MAX(0,MIN($B$8,IFERROR(LOOKUP(2,1/($U$24:U397&lt;&gt;""),$U$24:U397),$B$11))))</f>
        <v>31.7697657409617</v>
      </c>
      <c r="I398" s="16" t="n">
        <f aca="false" t="array" ref="I398: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>5.41637372260476</v>
      </c>
      <c r="J398" s="16" t="n">
        <f aca="false">IF(D398="","",$B$12)</f>
        <v>0.35</v>
      </c>
      <c r="K398" s="16" t="n">
        <f aca="false">IF(J398="","",J398*$B$15)</f>
        <v>0.9072</v>
      </c>
      <c r="L398" s="16" t="n">
        <f aca="false">IF(D398="","",H398+E398-K398-G398*I398)</f>
        <v>36.3970524669003</v>
      </c>
      <c r="M398" s="16" t="n">
        <f aca="false" t="array" ref="M398: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>5.88940696800027</v>
      </c>
      <c r="N398" s="16" t="n">
        <f aca="false">IF(D398="","",(I398+M398)/2)</f>
        <v>5.65289034530252</v>
      </c>
      <c r="O398" s="16" t="n">
        <f aca="false">IF(D398="","",G398*N398)</f>
        <v>0.608816290189081</v>
      </c>
      <c r="P398" s="16" t="n">
        <f aca="false">IF(D398="","",H398+E398-K398-O398)</f>
        <v>36.3715796266358</v>
      </c>
      <c r="Q398" s="16" t="n">
        <f aca="false">IF(D398="","",IF(P398&gt;=0,K398,MAX(0,K398+P398)))</f>
        <v>0.9072</v>
      </c>
      <c r="R398" s="16" t="n">
        <f aca="false">IF(D398="","",Q398/$B$15)</f>
        <v>0.35</v>
      </c>
      <c r="S398" s="16" t="n">
        <f aca="false">IF(D398="","",MAX(0,J398-R398))</f>
        <v>0</v>
      </c>
      <c r="T398" s="16" t="n">
        <f aca="false">IF(D398="","",MAX(0,Z398-$B$8))</f>
        <v>0</v>
      </c>
      <c r="U398" s="16" t="n">
        <f aca="false">IF(D398="","",MAX(0,MIN($B$8,Z398)))</f>
        <v>36.3715796266358</v>
      </c>
      <c r="V398" s="16" t="str">
        <f aca="false">IF(D398="","",IF(S398&gt;0.0000001,"Sim","Não"))</f>
        <v>Não</v>
      </c>
      <c r="W398" s="16" t="n">
        <f aca="false">IF(D398="","",U398-(H398+E398-Q398-O398-T398))</f>
        <v>0</v>
      </c>
      <c r="X398" s="16" t="n">
        <f aca="false">IF(W398="","",ABS(W398))</f>
        <v>0</v>
      </c>
      <c r="Y398" s="16" t="n">
        <f aca="false">IF(U398="","",IF($B$8=0,0,U398/$B$8*100))</f>
        <v>77.0257933643282</v>
      </c>
      <c r="Z398" s="18" t="n">
        <f aca="false">IF(D398="","",MAX(0,IF(P398&gt;=0,P398,IF(K398+P398&gt;=0,0,P398+K398))))</f>
        <v>36.3715796266358</v>
      </c>
      <c r="AA398" s="18" t="n">
        <f aca="false">IF(D398="","",IF(H398&lt;=$B$16,1,IF(H398&gt;=$B$17,$B$21,MATCH(H398,Aux_CAV!$A$2:$A$121,1))))</f>
        <v>12</v>
      </c>
      <c r="AB398" s="18" t="n">
        <f aca="false">IF(D398="","",IF(L398&lt;=$B$16,1,IF(L398&gt;=$B$17,$B$21,MATCH(L398,Aux_CAV!$A$2:$A$121,1))))</f>
        <v>13</v>
      </c>
      <c r="AC398" s="19" t="n">
        <f aca="false">IF(D398="","",COUNT($D$24:D398))</f>
        <v>363</v>
      </c>
    </row>
    <row r="399" customFormat="false" ht="12.75" hidden="false" customHeight="true" outlineLevel="0" collapsed="false">
      <c r="A399" s="14" t="n">
        <f aca="false">IF(D399="","",DATE(B399,C399,1))</f>
        <v>15067</v>
      </c>
      <c r="B399" s="15" t="n">
        <f aca="false" t="array" ref="B399:B399">IF(D399="","",IFERROR(VALUE(INDEX(Vazoes_COLAR!$A$2:$A$200,INT((ROW()-24)/12)+1)),""))</f>
        <v>1941</v>
      </c>
      <c r="C399" s="15" t="n">
        <f aca="false">IF(D399="","",MOD(ROW()-24,12)+1)</f>
        <v>4</v>
      </c>
      <c r="D399" s="16" t="n">
        <f aca="false" t="array" ref="D399: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2.87857353316696</v>
      </c>
      <c r="E399" s="16" t="n">
        <f aca="false">IF(D399="","",D399*$B$15)</f>
        <v>7.46126259796876</v>
      </c>
      <c r="F399" s="16" t="n">
        <f aca="false" t="array" ref="F399:F399">IF(D399="","",IFERROR(INDEX(Dados_Evap!$C$2:$N$15,MATCH($B$9,Dados_Evap!$A$2:$A$15,0),C399),0))</f>
        <v>100.5</v>
      </c>
      <c r="G399" s="16" t="n">
        <f aca="false">IF(F399="","",F399/1000)</f>
        <v>0.1005</v>
      </c>
      <c r="H399" s="16" t="n">
        <f aca="false">IF(D399="","",MAX(0,MIN($B$8,IFERROR(LOOKUP(2,1/($U$24:U398&lt;&gt;""),$U$24:U398),$B$11))))</f>
        <v>36.3715796266358</v>
      </c>
      <c r="I399" s="16" t="n">
        <f aca="false" t="array" ref="I399: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>5.88686368913738</v>
      </c>
      <c r="J399" s="16" t="n">
        <f aca="false">IF(D399="","",$B$12)</f>
        <v>0.35</v>
      </c>
      <c r="K399" s="16" t="n">
        <f aca="false">IF(J399="","",J399*$B$15)</f>
        <v>0.9072</v>
      </c>
      <c r="L399" s="16" t="n">
        <f aca="false">IF(D399="","",H399+E399-K399-G399*I399)</f>
        <v>42.3340124238462</v>
      </c>
      <c r="M399" s="16" t="n">
        <f aca="false" t="array" ref="M399: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>6.4821694794249</v>
      </c>
      <c r="N399" s="16" t="n">
        <f aca="false">IF(D399="","",(I399+M399)/2)</f>
        <v>6.18451658428114</v>
      </c>
      <c r="O399" s="16" t="n">
        <f aca="false">IF(D399="","",G399*N399)</f>
        <v>0.621543916720255</v>
      </c>
      <c r="P399" s="16" t="n">
        <f aca="false">IF(D399="","",H399+E399-K399-O399)</f>
        <v>42.3040983078843</v>
      </c>
      <c r="Q399" s="16" t="n">
        <f aca="false">IF(D399="","",IF(P399&gt;=0,K399,MAX(0,K399+P399)))</f>
        <v>0.9072</v>
      </c>
      <c r="R399" s="16" t="n">
        <f aca="false">IF(D399="","",Q399/$B$15)</f>
        <v>0.35</v>
      </c>
      <c r="S399" s="16" t="n">
        <f aca="false">IF(D399="","",MAX(0,J399-R399))</f>
        <v>0</v>
      </c>
      <c r="T399" s="16" t="n">
        <f aca="false">IF(D399="","",MAX(0,Z399-$B$8))</f>
        <v>0</v>
      </c>
      <c r="U399" s="16" t="n">
        <f aca="false">IF(D399="","",MAX(0,MIN($B$8,Z399)))</f>
        <v>42.3040983078843</v>
      </c>
      <c r="V399" s="16" t="str">
        <f aca="false">IF(D399="","",IF(S399&gt;0.0000001,"Sim","Não"))</f>
        <v>Não</v>
      </c>
      <c r="W399" s="16" t="n">
        <f aca="false">IF(D399="","",U399-(H399+E399-Q399-O399-T399))</f>
        <v>0</v>
      </c>
      <c r="X399" s="16" t="n">
        <f aca="false">IF(W399="","",ABS(W399))</f>
        <v>0</v>
      </c>
      <c r="Y399" s="16" t="n">
        <f aca="false">IF(U399="","",IF($B$8=0,0,U399/$B$8*100))</f>
        <v>89.5893653280057</v>
      </c>
      <c r="Z399" s="18" t="n">
        <f aca="false">IF(D399="","",MAX(0,IF(P399&gt;=0,P399,IF(K399+P399&gt;=0,0,P399+K399))))</f>
        <v>42.3040983078843</v>
      </c>
      <c r="AA399" s="18" t="n">
        <f aca="false">IF(D399="","",IF(H399&lt;=$B$16,1,IF(H399&gt;=$B$17,$B$21,MATCH(H399,Aux_CAV!$A$2:$A$121,1))))</f>
        <v>13</v>
      </c>
      <c r="AB399" s="18" t="n">
        <f aca="false">IF(D399="","",IF(L399&lt;=$B$16,1,IF(L399&gt;=$B$17,$B$21,MATCH(L399,Aux_CAV!$A$2:$A$121,1))))</f>
        <v>13</v>
      </c>
      <c r="AC399" s="19" t="n">
        <f aca="false">IF(D399="","",COUNT($D$24:D399))</f>
        <v>364</v>
      </c>
    </row>
    <row r="400" customFormat="false" ht="12.75" hidden="false" customHeight="true" outlineLevel="0" collapsed="false">
      <c r="A400" s="14" t="n">
        <f aca="false">IF(D400="","",DATE(B400,C400,1))</f>
        <v>15097</v>
      </c>
      <c r="B400" s="15" t="n">
        <f aca="false" t="array" ref="B400:B400">IF(D400="","",IFERROR(VALUE(INDEX(Vazoes_COLAR!$A$2:$A$200,INT((ROW()-24)/12)+1)),""))</f>
        <v>1941</v>
      </c>
      <c r="C400" s="15" t="n">
        <f aca="false">IF(D400="","",MOD(ROW()-24,12)+1)</f>
        <v>5</v>
      </c>
      <c r="D400" s="16" t="n">
        <f aca="false" t="array" ref="D400: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1.06482527547731</v>
      </c>
      <c r="E400" s="16" t="n">
        <f aca="false">IF(D400="","",D400*$B$15)</f>
        <v>2.76002711403719</v>
      </c>
      <c r="F400" s="16" t="n">
        <f aca="false" t="array" ref="F400:F400">IF(D400="","",IFERROR(INDEX(Dados_Evap!$C$2:$N$15,MATCH($B$9,Dados_Evap!$A$2:$A$15,0),C400),0))</f>
        <v>145.8</v>
      </c>
      <c r="G400" s="16" t="n">
        <f aca="false">IF(F400="","",F400/1000)</f>
        <v>0.1458</v>
      </c>
      <c r="H400" s="16" t="n">
        <f aca="false">IF(D400="","",MAX(0,MIN($B$8,IFERROR(LOOKUP(2,1/($U$24:U399&lt;&gt;""),$U$24:U399),$B$11))))</f>
        <v>42.3040983078843</v>
      </c>
      <c r="I400" s="16" t="n">
        <f aca="false" t="array" ref="I400: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>6.47918277130606</v>
      </c>
      <c r="J400" s="16" t="n">
        <f aca="false">IF(D400="","",$B$12)</f>
        <v>0.35</v>
      </c>
      <c r="K400" s="16" t="n">
        <f aca="false">IF(J400="","",J400*$B$15)</f>
        <v>0.9072</v>
      </c>
      <c r="L400" s="16" t="n">
        <f aca="false">IF(D400="","",H400+E400-K400-G400*I400)</f>
        <v>43.212260573865</v>
      </c>
      <c r="M400" s="16" t="n">
        <f aca="false" t="array" ref="M400: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>6.56985620509502</v>
      </c>
      <c r="N400" s="16" t="n">
        <f aca="false">IF(D400="","",(I400+M400)/2)</f>
        <v>6.52451948820054</v>
      </c>
      <c r="O400" s="16" t="n">
        <f aca="false">IF(D400="","",G400*N400)</f>
        <v>0.951274941379638</v>
      </c>
      <c r="P400" s="16" t="n">
        <f aca="false">IF(D400="","",H400+E400-K400-O400)</f>
        <v>43.2056504805418</v>
      </c>
      <c r="Q400" s="16" t="n">
        <f aca="false">IF(D400="","",IF(P400&gt;=0,K400,MAX(0,K400+P400)))</f>
        <v>0.9072</v>
      </c>
      <c r="R400" s="16" t="n">
        <f aca="false">IF(D400="","",Q400/$B$15)</f>
        <v>0.35</v>
      </c>
      <c r="S400" s="16" t="n">
        <f aca="false">IF(D400="","",MAX(0,J400-R400))</f>
        <v>0</v>
      </c>
      <c r="T400" s="16" t="n">
        <f aca="false">IF(D400="","",MAX(0,Z400-$B$8))</f>
        <v>0</v>
      </c>
      <c r="U400" s="16" t="n">
        <f aca="false">IF(D400="","",MAX(0,MIN($B$8,Z400)))</f>
        <v>43.2056504805418</v>
      </c>
      <c r="V400" s="16" t="str">
        <f aca="false">IF(D400="","",IF(S400&gt;0.0000001,"Sim","Não"))</f>
        <v>Não</v>
      </c>
      <c r="W400" s="16" t="n">
        <f aca="false">IF(D400="","",U400-(H400+E400-Q400-O400-T400))</f>
        <v>0</v>
      </c>
      <c r="X400" s="16" t="n">
        <f aca="false">IF(W400="","",ABS(W400))</f>
        <v>0</v>
      </c>
      <c r="Y400" s="16" t="n">
        <f aca="false">IF(U400="","",IF($B$8=0,0,U400/$B$8*100))</f>
        <v>91.4986244822995</v>
      </c>
      <c r="Z400" s="18" t="n">
        <f aca="false">IF(D400="","",MAX(0,IF(P400&gt;=0,P400,IF(K400+P400&gt;=0,0,P400+K400))))</f>
        <v>43.2056504805418</v>
      </c>
      <c r="AA400" s="18" t="n">
        <f aca="false">IF(D400="","",IF(H400&lt;=$B$16,1,IF(H400&gt;=$B$17,$B$21,MATCH(H400,Aux_CAV!$A$2:$A$121,1))))</f>
        <v>13</v>
      </c>
      <c r="AB400" s="18" t="n">
        <f aca="false">IF(D400="","",IF(L400&lt;=$B$16,1,IF(L400&gt;=$B$17,$B$21,MATCH(L400,Aux_CAV!$A$2:$A$121,1))))</f>
        <v>13</v>
      </c>
      <c r="AC400" s="19" t="n">
        <f aca="false">IF(D400="","",COUNT($D$24:D400))</f>
        <v>365</v>
      </c>
    </row>
    <row r="401" customFormat="false" ht="12.75" hidden="false" customHeight="true" outlineLevel="0" collapsed="false">
      <c r="A401" s="14" t="n">
        <f aca="false">IF(D401="","",DATE(B401,C401,1))</f>
        <v>15128</v>
      </c>
      <c r="B401" s="15" t="n">
        <f aca="false" t="array" ref="B401:B401">IF(D401="","",IFERROR(VALUE(INDEX(Vazoes_COLAR!$A$2:$A$200,INT((ROW()-24)/12)+1)),""))</f>
        <v>1941</v>
      </c>
      <c r="C401" s="15" t="n">
        <f aca="false">IF(D401="","",MOD(ROW()-24,12)+1)</f>
        <v>6</v>
      </c>
      <c r="D401" s="16" t="n">
        <f aca="false" t="array" ref="D401: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0.100071198251632</v>
      </c>
      <c r="E401" s="16" t="n">
        <f aca="false">IF(D401="","",D401*$B$15)</f>
        <v>0.25938454586823</v>
      </c>
      <c r="F401" s="16" t="n">
        <f aca="false" t="array" ref="F401:F401">IF(D401="","",IFERROR(INDEX(Dados_Evap!$C$2:$N$15,MATCH($B$9,Dados_Evap!$A$2:$A$15,0),C401),0))</f>
        <v>161.3</v>
      </c>
      <c r="G401" s="16" t="n">
        <f aca="false">IF(F401="","",F401/1000)</f>
        <v>0.1613</v>
      </c>
      <c r="H401" s="16" t="n">
        <f aca="false">IF(D401="","",MAX(0,MIN($B$8,IFERROR(LOOKUP(2,1/($U$24:U400&lt;&gt;""),$U$24:U400),$B$11))))</f>
        <v>43.2056504805418</v>
      </c>
      <c r="I401" s="16" t="n">
        <f aca="false" t="array" ref="I401: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>6.56919623508555</v>
      </c>
      <c r="J401" s="16" t="n">
        <f aca="false">IF(D401="","",$B$12)</f>
        <v>0.35</v>
      </c>
      <c r="K401" s="16" t="n">
        <f aca="false">IF(J401="","",J401*$B$15)</f>
        <v>0.9072</v>
      </c>
      <c r="L401" s="16" t="n">
        <f aca="false">IF(D401="","",H401+E401-K401-G401*I401)</f>
        <v>41.4982236736908</v>
      </c>
      <c r="M401" s="16" t="n">
        <f aca="false" t="array" ref="M401: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>6.39872201773485</v>
      </c>
      <c r="N401" s="16" t="n">
        <f aca="false">IF(D401="","",(I401+M401)/2)</f>
        <v>6.4839591264102</v>
      </c>
      <c r="O401" s="16" t="n">
        <f aca="false">IF(D401="","",G401*N401)</f>
        <v>1.04586260708996</v>
      </c>
      <c r="P401" s="16" t="n">
        <f aca="false">IF(D401="","",H401+E401-K401-O401)</f>
        <v>41.5119724193201</v>
      </c>
      <c r="Q401" s="16" t="n">
        <f aca="false">IF(D401="","",IF(P401&gt;=0,K401,MAX(0,K401+P401)))</f>
        <v>0.9072</v>
      </c>
      <c r="R401" s="16" t="n">
        <f aca="false">IF(D401="","",Q401/$B$15)</f>
        <v>0.35</v>
      </c>
      <c r="S401" s="16" t="n">
        <f aca="false">IF(D401="","",MAX(0,J401-R401))</f>
        <v>0</v>
      </c>
      <c r="T401" s="16" t="n">
        <f aca="false">IF(D401="","",MAX(0,Z401-$B$8))</f>
        <v>0</v>
      </c>
      <c r="U401" s="16" t="n">
        <f aca="false">IF(D401="","",MAX(0,MIN($B$8,Z401)))</f>
        <v>41.5119724193201</v>
      </c>
      <c r="V401" s="16" t="str">
        <f aca="false">IF(D401="","",IF(S401&gt;0.0000001,"Sim","Não"))</f>
        <v>Não</v>
      </c>
      <c r="W401" s="16" t="n">
        <f aca="false">IF(D401="","",U401-(H401+E401-Q401-O401-T401))</f>
        <v>0</v>
      </c>
      <c r="X401" s="16" t="n">
        <f aca="false">IF(W401="","",ABS(W401))</f>
        <v>0</v>
      </c>
      <c r="Y401" s="16" t="n">
        <f aca="false">IF(U401="","",IF($B$8=0,0,U401/$B$8*100))</f>
        <v>87.911843327658</v>
      </c>
      <c r="Z401" s="18" t="n">
        <f aca="false">IF(D401="","",MAX(0,IF(P401&gt;=0,P401,IF(K401+P401&gt;=0,0,P401+K401))))</f>
        <v>41.5119724193201</v>
      </c>
      <c r="AA401" s="18" t="n">
        <f aca="false">IF(D401="","",IF(H401&lt;=$B$16,1,IF(H401&gt;=$B$17,$B$21,MATCH(H401,Aux_CAV!$A$2:$A$121,1))))</f>
        <v>13</v>
      </c>
      <c r="AB401" s="18" t="n">
        <f aca="false">IF(D401="","",IF(L401&lt;=$B$16,1,IF(L401&gt;=$B$17,$B$21,MATCH(L401,Aux_CAV!$A$2:$A$121,1))))</f>
        <v>13</v>
      </c>
      <c r="AC401" s="19" t="n">
        <f aca="false">IF(D401="","",COUNT($D$24:D401))</f>
        <v>366</v>
      </c>
    </row>
    <row r="402" customFormat="false" ht="12.75" hidden="false" customHeight="true" outlineLevel="0" collapsed="false">
      <c r="A402" s="14" t="n">
        <f aca="false">IF(D402="","",DATE(B402,C402,1))</f>
        <v>15158</v>
      </c>
      <c r="B402" s="15" t="n">
        <f aca="false" t="array" ref="B402:B402">IF(D402="","",IFERROR(VALUE(INDEX(Vazoes_COLAR!$A$2:$A$200,INT((ROW()-24)/12)+1)),""))</f>
        <v>1941</v>
      </c>
      <c r="C402" s="15" t="n">
        <f aca="false">IF(D402="","",MOD(ROW()-24,12)+1)</f>
        <v>7</v>
      </c>
      <c r="D402" s="16" t="n">
        <f aca="false" t="array" ref="D402: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0.100189439521626</v>
      </c>
      <c r="E402" s="16" t="n">
        <f aca="false">IF(D402="","",D402*$B$15)</f>
        <v>0.259691027240055</v>
      </c>
      <c r="F402" s="16" t="n">
        <f aca="false" t="array" ref="F402:F402">IF(D402="","",IFERROR(INDEX(Dados_Evap!$C$2:$N$15,MATCH($B$9,Dados_Evap!$A$2:$A$15,0),C402),0))</f>
        <v>224.8</v>
      </c>
      <c r="G402" s="16" t="n">
        <f aca="false">IF(F402="","",F402/1000)</f>
        <v>0.2248</v>
      </c>
      <c r="H402" s="16" t="n">
        <f aca="false">IF(D402="","",MAX(0,MIN($B$8,IFERROR(LOOKUP(2,1/($U$24:U401&lt;&gt;""),$U$24:U401),$B$11))))</f>
        <v>41.5119724193201</v>
      </c>
      <c r="I402" s="16" t="n">
        <f aca="false" t="array" ref="I402: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>6.40009473054532</v>
      </c>
      <c r="J402" s="16" t="n">
        <f aca="false">IF(D402="","",$B$12)</f>
        <v>0.35</v>
      </c>
      <c r="K402" s="16" t="n">
        <f aca="false">IF(J402="","",J402*$B$15)</f>
        <v>0.9072</v>
      </c>
      <c r="L402" s="16" t="n">
        <f aca="false">IF(D402="","",H402+E402-K402-G402*I402)</f>
        <v>39.4257221511336</v>
      </c>
      <c r="M402" s="16" t="n">
        <f aca="false" t="array" ref="M402: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>6.1917977304984</v>
      </c>
      <c r="N402" s="16" t="n">
        <f aca="false">IF(D402="","",(I402+M402)/2)</f>
        <v>6.29594623052186</v>
      </c>
      <c r="O402" s="16" t="n">
        <f aca="false">IF(D402="","",G402*N402)</f>
        <v>1.41532871262131</v>
      </c>
      <c r="P402" s="16" t="n">
        <f aca="false">IF(D402="","",H402+E402-K402-O402)</f>
        <v>39.4491347339388</v>
      </c>
      <c r="Q402" s="16" t="n">
        <f aca="false">IF(D402="","",IF(P402&gt;=0,K402,MAX(0,K402+P402)))</f>
        <v>0.9072</v>
      </c>
      <c r="R402" s="16" t="n">
        <f aca="false">IF(D402="","",Q402/$B$15)</f>
        <v>0.35</v>
      </c>
      <c r="S402" s="16" t="n">
        <f aca="false">IF(D402="","",MAX(0,J402-R402))</f>
        <v>0</v>
      </c>
      <c r="T402" s="16" t="n">
        <f aca="false">IF(D402="","",MAX(0,Z402-$B$8))</f>
        <v>0</v>
      </c>
      <c r="U402" s="16" t="n">
        <f aca="false">IF(D402="","",MAX(0,MIN($B$8,Z402)))</f>
        <v>39.4491347339388</v>
      </c>
      <c r="V402" s="16" t="str">
        <f aca="false">IF(D402="","",IF(S402&gt;0.0000001,"Sim","Não"))</f>
        <v>Não</v>
      </c>
      <c r="W402" s="16" t="n">
        <f aca="false">IF(D402="","",U402-(H402+E402-Q402-O402-T402))</f>
        <v>0</v>
      </c>
      <c r="X402" s="16" t="n">
        <f aca="false">IF(W402="","",ABS(W402))</f>
        <v>0</v>
      </c>
      <c r="Y402" s="16" t="n">
        <f aca="false">IF(U402="","",IF($B$8=0,0,U402/$B$8*100))</f>
        <v>83.5432755907218</v>
      </c>
      <c r="Z402" s="18" t="n">
        <f aca="false">IF(D402="","",MAX(0,IF(P402&gt;=0,P402,IF(K402+P402&gt;=0,0,P402+K402))))</f>
        <v>39.4491347339388</v>
      </c>
      <c r="AA402" s="18" t="n">
        <f aca="false">IF(D402="","",IF(H402&lt;=$B$16,1,IF(H402&gt;=$B$17,$B$21,MATCH(H402,Aux_CAV!$A$2:$A$121,1))))</f>
        <v>13</v>
      </c>
      <c r="AB402" s="18" t="n">
        <f aca="false">IF(D402="","",IF(L402&lt;=$B$16,1,IF(L402&gt;=$B$17,$B$21,MATCH(L402,Aux_CAV!$A$2:$A$121,1))))</f>
        <v>13</v>
      </c>
      <c r="AC402" s="19" t="n">
        <f aca="false">IF(D402="","",COUNT($D$24:D402))</f>
        <v>367</v>
      </c>
    </row>
    <row r="403" customFormat="false" ht="12.75" hidden="false" customHeight="true" outlineLevel="0" collapsed="false">
      <c r="A403" s="14" t="n">
        <f aca="false">IF(D403="","",DATE(B403,C403,1))</f>
        <v>15189</v>
      </c>
      <c r="B403" s="15" t="n">
        <f aca="false" t="array" ref="B403:B403">IF(D403="","",IFERROR(VALUE(INDEX(Vazoes_COLAR!$A$2:$A$200,INT((ROW()-24)/12)+1)),""))</f>
        <v>1941</v>
      </c>
      <c r="C403" s="15" t="n">
        <f aca="false">IF(D403="","",MOD(ROW()-24,12)+1)</f>
        <v>8</v>
      </c>
      <c r="D403" s="16" t="n">
        <f aca="false" t="array" ref="D403: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0.0330983847470968</v>
      </c>
      <c r="E403" s="16" t="n">
        <f aca="false">IF(D403="","",D403*$B$15)</f>
        <v>0.0857910132644749</v>
      </c>
      <c r="F403" s="16" t="n">
        <f aca="false" t="array" ref="F403:F403">IF(D403="","",IFERROR(INDEX(Dados_Evap!$C$2:$N$15,MATCH($B$9,Dados_Evap!$A$2:$A$15,0),C403),0))</f>
        <v>268.7</v>
      </c>
      <c r="G403" s="16" t="n">
        <f aca="false">IF(F403="","",F403/1000)</f>
        <v>0.2687</v>
      </c>
      <c r="H403" s="16" t="n">
        <f aca="false">IF(D403="","",MAX(0,MIN($B$8,IFERROR(LOOKUP(2,1/($U$24:U402&lt;&gt;""),$U$24:U402),$B$11))))</f>
        <v>39.4491347339388</v>
      </c>
      <c r="I403" s="16" t="n">
        <f aca="false" t="array" ref="I403: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>6.19413530755521</v>
      </c>
      <c r="J403" s="16" t="n">
        <f aca="false">IF(D403="","",$B$12)</f>
        <v>0.35</v>
      </c>
      <c r="K403" s="16" t="n">
        <f aca="false">IF(J403="","",J403*$B$15)</f>
        <v>0.9072</v>
      </c>
      <c r="L403" s="16" t="n">
        <f aca="false">IF(D403="","",H403+E403-K403-G403*I403)</f>
        <v>36.9633615900632</v>
      </c>
      <c r="M403" s="16" t="n">
        <f aca="false" t="array" ref="M403: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>5.9459488380016</v>
      </c>
      <c r="N403" s="16" t="n">
        <f aca="false">IF(D403="","",(I403+M403)/2)</f>
        <v>6.07004207277841</v>
      </c>
      <c r="O403" s="16" t="n">
        <f aca="false">IF(D403="","",G403*N403)</f>
        <v>1.63102030495556</v>
      </c>
      <c r="P403" s="16" t="n">
        <f aca="false">IF(D403="","",H403+E403-K403-O403)</f>
        <v>36.9967054422477</v>
      </c>
      <c r="Q403" s="16" t="n">
        <f aca="false">IF(D403="","",IF(P403&gt;=0,K403,MAX(0,K403+P403)))</f>
        <v>0.9072</v>
      </c>
      <c r="R403" s="16" t="n">
        <f aca="false">IF(D403="","",Q403/$B$15)</f>
        <v>0.35</v>
      </c>
      <c r="S403" s="16" t="n">
        <f aca="false">IF(D403="","",MAX(0,J403-R403))</f>
        <v>0</v>
      </c>
      <c r="T403" s="16" t="n">
        <f aca="false">IF(D403="","",MAX(0,Z403-$B$8))</f>
        <v>0</v>
      </c>
      <c r="U403" s="16" t="n">
        <f aca="false">IF(D403="","",MAX(0,MIN($B$8,Z403)))</f>
        <v>36.9967054422477</v>
      </c>
      <c r="V403" s="16" t="str">
        <f aca="false">IF(D403="","",IF(S403&gt;0.0000001,"Sim","Não"))</f>
        <v>Não</v>
      </c>
      <c r="W403" s="16" t="n">
        <f aca="false">IF(D403="","",U403-(H403+E403-Q403-O403-T403))</f>
        <v>0</v>
      </c>
      <c r="X403" s="16" t="n">
        <f aca="false">IF(W403="","",ABS(W403))</f>
        <v>0</v>
      </c>
      <c r="Y403" s="16" t="n">
        <f aca="false">IF(U403="","",IF($B$8=0,0,U403/$B$8*100))</f>
        <v>78.3496515083603</v>
      </c>
      <c r="Z403" s="18" t="n">
        <f aca="false">IF(D403="","",MAX(0,IF(P403&gt;=0,P403,IF(K403+P403&gt;=0,0,P403+K403))))</f>
        <v>36.9967054422477</v>
      </c>
      <c r="AA403" s="18" t="n">
        <f aca="false">IF(D403="","",IF(H403&lt;=$B$16,1,IF(H403&gt;=$B$17,$B$21,MATCH(H403,Aux_CAV!$A$2:$A$121,1))))</f>
        <v>13</v>
      </c>
      <c r="AB403" s="18" t="n">
        <f aca="false">IF(D403="","",IF(L403&lt;=$B$16,1,IF(L403&gt;=$B$17,$B$21,MATCH(L403,Aux_CAV!$A$2:$A$121,1))))</f>
        <v>13</v>
      </c>
      <c r="AC403" s="19" t="n">
        <f aca="false">IF(D403="","",COUNT($D$24:D403))</f>
        <v>368</v>
      </c>
    </row>
    <row r="404" customFormat="false" ht="12.75" hidden="false" customHeight="true" outlineLevel="0" collapsed="false">
      <c r="A404" s="14" t="n">
        <f aca="false">IF(D404="","",DATE(B404,C404,1))</f>
        <v>15220</v>
      </c>
      <c r="B404" s="15" t="n">
        <f aca="false" t="array" ref="B404:B404">IF(D404="","",IFERROR(VALUE(INDEX(Vazoes_COLAR!$A$2:$A$200,INT((ROW()-24)/12)+1)),""))</f>
        <v>1941</v>
      </c>
      <c r="C404" s="15" t="n">
        <f aca="false">IF(D404="","",MOD(ROW()-24,12)+1)</f>
        <v>9</v>
      </c>
      <c r="D404" s="16" t="n">
        <f aca="false" t="array" ref="D404: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0.0147226464070765</v>
      </c>
      <c r="E404" s="16" t="n">
        <f aca="false">IF(D404="","",D404*$B$15)</f>
        <v>0.0381610994871423</v>
      </c>
      <c r="F404" s="16" t="n">
        <f aca="false" t="array" ref="F404:F404">IF(D404="","",IFERROR(INDEX(Dados_Evap!$C$2:$N$15,MATCH($B$9,Dados_Evap!$A$2:$A$15,0),C404),0))</f>
        <v>292.8</v>
      </c>
      <c r="G404" s="16" t="n">
        <f aca="false">IF(F404="","",F404/1000)</f>
        <v>0.2928</v>
      </c>
      <c r="H404" s="16" t="n">
        <f aca="false">IF(D404="","",MAX(0,MIN($B$8,IFERROR(LOOKUP(2,1/($U$24:U403&lt;&gt;""),$U$24:U403),$B$11))))</f>
        <v>36.9967054422477</v>
      </c>
      <c r="I404" s="16" t="n">
        <f aca="false" t="array" ref="I404: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>5.94927798047599</v>
      </c>
      <c r="J404" s="16" t="n">
        <f aca="false">IF(D404="","",$B$12)</f>
        <v>0.35</v>
      </c>
      <c r="K404" s="16" t="n">
        <f aca="false">IF(J404="","",J404*$B$15)</f>
        <v>0.9072</v>
      </c>
      <c r="L404" s="16" t="n">
        <f aca="false">IF(D404="","",H404+E404-K404-G404*I404)</f>
        <v>34.3857179490515</v>
      </c>
      <c r="M404" s="16" t="n">
        <f aca="false" t="array" ref="M404: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>5.68812798111506</v>
      </c>
      <c r="N404" s="16" t="n">
        <f aca="false">IF(D404="","",(I404+M404)/2)</f>
        <v>5.81870298079553</v>
      </c>
      <c r="O404" s="16" t="n">
        <f aca="false">IF(D404="","",G404*N404)</f>
        <v>1.70371623277693</v>
      </c>
      <c r="P404" s="16" t="n">
        <f aca="false">IF(D404="","",H404+E404-K404-O404)</f>
        <v>34.423950308958</v>
      </c>
      <c r="Q404" s="16" t="n">
        <f aca="false">IF(D404="","",IF(P404&gt;=0,K404,MAX(0,K404+P404)))</f>
        <v>0.9072</v>
      </c>
      <c r="R404" s="16" t="n">
        <f aca="false">IF(D404="","",Q404/$B$15)</f>
        <v>0.35</v>
      </c>
      <c r="S404" s="16" t="n">
        <f aca="false">IF(D404="","",MAX(0,J404-R404))</f>
        <v>0</v>
      </c>
      <c r="T404" s="16" t="n">
        <f aca="false">IF(D404="","",MAX(0,Z404-$B$8))</f>
        <v>0</v>
      </c>
      <c r="U404" s="16" t="n">
        <f aca="false">IF(D404="","",MAX(0,MIN($B$8,Z404)))</f>
        <v>34.423950308958</v>
      </c>
      <c r="V404" s="16" t="str">
        <f aca="false">IF(D404="","",IF(S404&gt;0.0000001,"Sim","Não"))</f>
        <v>Não</v>
      </c>
      <c r="W404" s="16" t="n">
        <f aca="false">IF(D404="","",U404-(H404+E404-Q404-O404-T404))</f>
        <v>0</v>
      </c>
      <c r="X404" s="16" t="n">
        <f aca="false">IF(W404="","",ABS(W404))</f>
        <v>0</v>
      </c>
      <c r="Y404" s="16" t="n">
        <f aca="false">IF(U404="","",IF($B$8=0,0,U404/$B$8*100))</f>
        <v>72.9012077699237</v>
      </c>
      <c r="Z404" s="18" t="n">
        <f aca="false">IF(D404="","",MAX(0,IF(P404&gt;=0,P404,IF(K404+P404&gt;=0,0,P404+K404))))</f>
        <v>34.423950308958</v>
      </c>
      <c r="AA404" s="18" t="n">
        <f aca="false">IF(D404="","",IF(H404&lt;=$B$16,1,IF(H404&gt;=$B$17,$B$21,MATCH(H404,Aux_CAV!$A$2:$A$121,1))))</f>
        <v>13</v>
      </c>
      <c r="AB404" s="18" t="n">
        <f aca="false">IF(D404="","",IF(L404&lt;=$B$16,1,IF(L404&gt;=$B$17,$B$21,MATCH(L404,Aux_CAV!$A$2:$A$121,1))))</f>
        <v>12</v>
      </c>
      <c r="AC404" s="19" t="n">
        <f aca="false">IF(D404="","",COUNT($D$24:D404))</f>
        <v>369</v>
      </c>
    </row>
    <row r="405" customFormat="false" ht="12.75" hidden="false" customHeight="true" outlineLevel="0" collapsed="false">
      <c r="A405" s="14" t="n">
        <f aca="false">IF(D405="","",DATE(B405,C405,1))</f>
        <v>15250</v>
      </c>
      <c r="B405" s="15" t="n">
        <f aca="false" t="array" ref="B405:B405">IF(D405="","",IFERROR(VALUE(INDEX(Vazoes_COLAR!$A$2:$A$200,INT((ROW()-24)/12)+1)),""))</f>
        <v>1941</v>
      </c>
      <c r="C405" s="15" t="n">
        <f aca="false">IF(D405="","",MOD(ROW()-24,12)+1)</f>
        <v>10</v>
      </c>
      <c r="D405" s="16" t="n">
        <f aca="false" t="array" ref="D405: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0.0173176903519274</v>
      </c>
      <c r="E405" s="16" t="n">
        <f aca="false">IF(D405="","",D405*$B$15)</f>
        <v>0.0448874533921958</v>
      </c>
      <c r="F405" s="16" t="n">
        <f aca="false" t="array" ref="F405:F405">IF(D405="","",IFERROR(INDEX(Dados_Evap!$C$2:$N$15,MATCH($B$9,Dados_Evap!$A$2:$A$15,0),C405),0))</f>
        <v>262.9</v>
      </c>
      <c r="G405" s="16" t="n">
        <f aca="false">IF(F405="","",F405/1000)</f>
        <v>0.2629</v>
      </c>
      <c r="H405" s="16" t="n">
        <f aca="false">IF(D405="","",MAX(0,MIN($B$8,IFERROR(LOOKUP(2,1/($U$24:U404&lt;&gt;""),$U$24:U404),$B$11))))</f>
        <v>34.423950308958</v>
      </c>
      <c r="I405" s="16" t="n">
        <f aca="false" t="array" ref="I405: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>5.69209969228981</v>
      </c>
      <c r="J405" s="16" t="n">
        <f aca="false">IF(D405="","",$B$12)</f>
        <v>0.35</v>
      </c>
      <c r="K405" s="16" t="n">
        <f aca="false">IF(J405="","",J405*$B$15)</f>
        <v>0.9072</v>
      </c>
      <c r="L405" s="16" t="n">
        <f aca="false">IF(D405="","",H405+E405-K405-G405*I405)</f>
        <v>32.0651847532472</v>
      </c>
      <c r="M405" s="16" t="n">
        <f aca="false" t="array" ref="M405: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>5.44706288213344</v>
      </c>
      <c r="N405" s="16" t="n">
        <f aca="false">IF(D405="","",(I405+M405)/2)</f>
        <v>5.56958128721163</v>
      </c>
      <c r="O405" s="16" t="n">
        <f aca="false">IF(D405="","",G405*N405)</f>
        <v>1.46424292040794</v>
      </c>
      <c r="P405" s="16" t="n">
        <f aca="false">IF(D405="","",H405+E405-K405-O405)</f>
        <v>32.0973948419422</v>
      </c>
      <c r="Q405" s="16" t="n">
        <f aca="false">IF(D405="","",IF(P405&gt;=0,K405,MAX(0,K405+P405)))</f>
        <v>0.9072</v>
      </c>
      <c r="R405" s="16" t="n">
        <f aca="false">IF(D405="","",Q405/$B$15)</f>
        <v>0.35</v>
      </c>
      <c r="S405" s="16" t="n">
        <f aca="false">IF(D405="","",MAX(0,J405-R405))</f>
        <v>0</v>
      </c>
      <c r="T405" s="16" t="n">
        <f aca="false">IF(D405="","",MAX(0,Z405-$B$8))</f>
        <v>0</v>
      </c>
      <c r="U405" s="16" t="n">
        <f aca="false">IF(D405="","",MAX(0,MIN($B$8,Z405)))</f>
        <v>32.0973948419422</v>
      </c>
      <c r="V405" s="16" t="str">
        <f aca="false">IF(D405="","",IF(S405&gt;0.0000001,"Sim","Não"))</f>
        <v>Não</v>
      </c>
      <c r="W405" s="16" t="n">
        <f aca="false">IF(D405="","",U405-(H405+E405-Q405-O405-T405))</f>
        <v>0</v>
      </c>
      <c r="X405" s="16" t="n">
        <f aca="false">IF(W405="","",ABS(W405))</f>
        <v>0</v>
      </c>
      <c r="Y405" s="16" t="n">
        <f aca="false">IF(U405="","",IF($B$8=0,0,U405/$B$8*100))</f>
        <v>67.9741525665866</v>
      </c>
      <c r="Z405" s="18" t="n">
        <f aca="false">IF(D405="","",MAX(0,IF(P405&gt;=0,P405,IF(K405+P405&gt;=0,0,P405+K405))))</f>
        <v>32.0973948419422</v>
      </c>
      <c r="AA405" s="18" t="n">
        <f aca="false">IF(D405="","",IF(H405&lt;=$B$16,1,IF(H405&gt;=$B$17,$B$21,MATCH(H405,Aux_CAV!$A$2:$A$121,1))))</f>
        <v>12</v>
      </c>
      <c r="AB405" s="18" t="n">
        <f aca="false">IF(D405="","",IF(L405&lt;=$B$16,1,IF(L405&gt;=$B$17,$B$21,MATCH(L405,Aux_CAV!$A$2:$A$121,1))))</f>
        <v>12</v>
      </c>
      <c r="AC405" s="19" t="n">
        <f aca="false">IF(D405="","",COUNT($D$24:D405))</f>
        <v>370</v>
      </c>
    </row>
    <row r="406" customFormat="false" ht="12.75" hidden="false" customHeight="true" outlineLevel="0" collapsed="false">
      <c r="A406" s="14" t="n">
        <f aca="false">IF(D406="","",DATE(B406,C406,1))</f>
        <v>15281</v>
      </c>
      <c r="B406" s="15" t="n">
        <f aca="false" t="array" ref="B406:B406">IF(D406="","",IFERROR(VALUE(INDEX(Vazoes_COLAR!$A$2:$A$200,INT((ROW()-24)/12)+1)),""))</f>
        <v>1941</v>
      </c>
      <c r="C406" s="15" t="n">
        <f aca="false">IF(D406="","",MOD(ROW()-24,12)+1)</f>
        <v>11</v>
      </c>
      <c r="D406" s="16" t="n">
        <f aca="false" t="array" ref="D406: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0.0296815396268672</v>
      </c>
      <c r="E406" s="16" t="n">
        <f aca="false">IF(D406="","",D406*$B$15)</f>
        <v>0.0769345507128398</v>
      </c>
      <c r="F406" s="16" t="n">
        <f aca="false" t="array" ref="F406:F406">IF(D406="","",IFERROR(INDEX(Dados_Evap!$C$2:$N$15,MATCH($B$9,Dados_Evap!$A$2:$A$15,0),C406),0))</f>
        <v>223.7</v>
      </c>
      <c r="G406" s="16" t="n">
        <f aca="false">IF(F406="","",F406/1000)</f>
        <v>0.2237</v>
      </c>
      <c r="H406" s="16" t="n">
        <f aca="false">IF(D406="","",MAX(0,MIN($B$8,IFERROR(LOOKUP(2,1/($U$24:U405&lt;&gt;""),$U$24:U405),$B$11))))</f>
        <v>32.0973948419422</v>
      </c>
      <c r="I406" s="16" t="n">
        <f aca="false" t="array" ref="I406: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>5.45040897872604</v>
      </c>
      <c r="J406" s="16" t="n">
        <f aca="false">IF(D406="","",$B$12)</f>
        <v>0.35</v>
      </c>
      <c r="K406" s="16" t="n">
        <f aca="false">IF(J406="","",J406*$B$15)</f>
        <v>0.9072</v>
      </c>
      <c r="L406" s="16" t="n">
        <f aca="false">IF(D406="","",H406+E406-K406-G406*I406)</f>
        <v>30.047872904114</v>
      </c>
      <c r="M406" s="16" t="n">
        <f aca="false" t="array" ref="M406: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>5.2374974764468</v>
      </c>
      <c r="N406" s="16" t="n">
        <f aca="false">IF(D406="","",(I406+M406)/2)</f>
        <v>5.34395322758642</v>
      </c>
      <c r="O406" s="16" t="n">
        <f aca="false">IF(D406="","",G406*N406)</f>
        <v>1.19544233701108</v>
      </c>
      <c r="P406" s="16" t="n">
        <f aca="false">IF(D406="","",H406+E406-K406-O406)</f>
        <v>30.071687055644</v>
      </c>
      <c r="Q406" s="16" t="n">
        <f aca="false">IF(D406="","",IF(P406&gt;=0,K406,MAX(0,K406+P406)))</f>
        <v>0.9072</v>
      </c>
      <c r="R406" s="16" t="n">
        <f aca="false">IF(D406="","",Q406/$B$15)</f>
        <v>0.35</v>
      </c>
      <c r="S406" s="16" t="n">
        <f aca="false">IF(D406="","",MAX(0,J406-R406))</f>
        <v>0</v>
      </c>
      <c r="T406" s="16" t="n">
        <f aca="false">IF(D406="","",MAX(0,Z406-$B$8))</f>
        <v>0</v>
      </c>
      <c r="U406" s="16" t="n">
        <f aca="false">IF(D406="","",MAX(0,MIN($B$8,Z406)))</f>
        <v>30.071687055644</v>
      </c>
      <c r="V406" s="16" t="str">
        <f aca="false">IF(D406="","",IF(S406&gt;0.0000001,"Sim","Não"))</f>
        <v>Não</v>
      </c>
      <c r="W406" s="16" t="n">
        <f aca="false">IF(D406="","",U406-(H406+E406-Q406-O406-T406))</f>
        <v>0</v>
      </c>
      <c r="X406" s="16" t="n">
        <f aca="false">IF(W406="","",ABS(W406))</f>
        <v>0</v>
      </c>
      <c r="Y406" s="16" t="n">
        <f aca="false">IF(U406="","",IF($B$8=0,0,U406/$B$8*100))</f>
        <v>63.6842165515544</v>
      </c>
      <c r="Z406" s="18" t="n">
        <f aca="false">IF(D406="","",MAX(0,IF(P406&gt;=0,P406,IF(K406+P406&gt;=0,0,P406+K406))))</f>
        <v>30.071687055644</v>
      </c>
      <c r="AA406" s="18" t="n">
        <f aca="false">IF(D406="","",IF(H406&lt;=$B$16,1,IF(H406&gt;=$B$17,$B$21,MATCH(H406,Aux_CAV!$A$2:$A$121,1))))</f>
        <v>12</v>
      </c>
      <c r="AB406" s="18" t="n">
        <f aca="false">IF(D406="","",IF(L406&lt;=$B$16,1,IF(L406&gt;=$B$17,$B$21,MATCH(L406,Aux_CAV!$A$2:$A$121,1))))</f>
        <v>12</v>
      </c>
      <c r="AC406" s="19" t="n">
        <f aca="false">IF(D406="","",COUNT($D$24:D406))</f>
        <v>371</v>
      </c>
    </row>
    <row r="407" customFormat="false" ht="12.75" hidden="false" customHeight="true" outlineLevel="0" collapsed="false">
      <c r="A407" s="14" t="n">
        <f aca="false">IF(D407="","",DATE(B407,C407,1))</f>
        <v>15311</v>
      </c>
      <c r="B407" s="15" t="n">
        <f aca="false" t="array" ref="B407:B407">IF(D407="","",IFERROR(VALUE(INDEX(Vazoes_COLAR!$A$2:$A$200,INT((ROW()-24)/12)+1)),""))</f>
        <v>1941</v>
      </c>
      <c r="C407" s="15" t="n">
        <f aca="false">IF(D407="","",MOD(ROW()-24,12)+1)</f>
        <v>12</v>
      </c>
      <c r="D407" s="16" t="n">
        <f aca="false" t="array" ref="D407: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0.0165553767375439</v>
      </c>
      <c r="E407" s="16" t="n">
        <f aca="false">IF(D407="","",D407*$B$15)</f>
        <v>0.0429115365037138</v>
      </c>
      <c r="F407" s="16" t="n">
        <f aca="false" t="array" ref="F407:F407">IF(D407="","",IFERROR(INDEX(Dados_Evap!$C$2:$N$15,MATCH($B$9,Dados_Evap!$A$2:$A$15,0),C407),0))</f>
        <v>216.1</v>
      </c>
      <c r="G407" s="16" t="n">
        <f aca="false">IF(F407="","",F407/1000)</f>
        <v>0.2161</v>
      </c>
      <c r="H407" s="16" t="n">
        <f aca="false">IF(D407="","",MAX(0,MIN($B$8,IFERROR(LOOKUP(2,1/($U$24:U406&lt;&gt;""),$U$24:U406),$B$11))))</f>
        <v>30.071687055644</v>
      </c>
      <c r="I407" s="16" t="n">
        <f aca="false" t="array" ref="I407: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>5.23997137374166</v>
      </c>
      <c r="J407" s="16" t="n">
        <f aca="false">IF(D407="","",$B$12)</f>
        <v>0.35</v>
      </c>
      <c r="K407" s="16" t="n">
        <f aca="false">IF(J407="","",J407*$B$15)</f>
        <v>0.9072</v>
      </c>
      <c r="L407" s="16" t="n">
        <f aca="false">IF(D407="","",H407+E407-K407-G407*I407)</f>
        <v>28.0750407782821</v>
      </c>
      <c r="M407" s="16" t="n">
        <f aca="false" t="array" ref="M407: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>5.03255277987979</v>
      </c>
      <c r="N407" s="16" t="n">
        <f aca="false">IF(D407="","",(I407+M407)/2)</f>
        <v>5.13626207681072</v>
      </c>
      <c r="O407" s="16" t="n">
        <f aca="false">IF(D407="","",G407*N407)</f>
        <v>1.1099462347988</v>
      </c>
      <c r="P407" s="16" t="n">
        <f aca="false">IF(D407="","",H407+E407-K407-O407)</f>
        <v>28.0974523573489</v>
      </c>
      <c r="Q407" s="16" t="n">
        <f aca="false">IF(D407="","",IF(P407&gt;=0,K407,MAX(0,K407+P407)))</f>
        <v>0.9072</v>
      </c>
      <c r="R407" s="16" t="n">
        <f aca="false">IF(D407="","",Q407/$B$15)</f>
        <v>0.35</v>
      </c>
      <c r="S407" s="16" t="n">
        <f aca="false">IF(D407="","",MAX(0,J407-R407))</f>
        <v>0</v>
      </c>
      <c r="T407" s="16" t="n">
        <f aca="false">IF(D407="","",MAX(0,Z407-$B$8))</f>
        <v>0</v>
      </c>
      <c r="U407" s="16" t="n">
        <f aca="false">IF(D407="","",MAX(0,MIN($B$8,Z407)))</f>
        <v>28.0974523573489</v>
      </c>
      <c r="V407" s="16" t="str">
        <f aca="false">IF(D407="","",IF(S407&gt;0.0000001,"Sim","Não"))</f>
        <v>Não</v>
      </c>
      <c r="W407" s="16" t="n">
        <f aca="false">IF(D407="","",U407-(H407+E407-Q407-O407-T407))</f>
        <v>0</v>
      </c>
      <c r="X407" s="16" t="n">
        <f aca="false">IF(W407="","",ABS(W407))</f>
        <v>0</v>
      </c>
      <c r="Y407" s="16" t="n">
        <f aca="false">IF(U407="","",IF($B$8=0,0,U407/$B$8*100))</f>
        <v>59.50328749968</v>
      </c>
      <c r="Z407" s="18" t="n">
        <f aca="false">IF(D407="","",MAX(0,IF(P407&gt;=0,P407,IF(K407+P407&gt;=0,0,P407+K407))))</f>
        <v>28.0974523573489</v>
      </c>
      <c r="AA407" s="18" t="n">
        <f aca="false">IF(D407="","",IF(H407&lt;=$B$16,1,IF(H407&gt;=$B$17,$B$21,MATCH(H407,Aux_CAV!$A$2:$A$121,1))))</f>
        <v>12</v>
      </c>
      <c r="AB407" s="18" t="n">
        <f aca="false">IF(D407="","",IF(L407&lt;=$B$16,1,IF(L407&gt;=$B$17,$B$21,MATCH(L407,Aux_CAV!$A$2:$A$121,1))))</f>
        <v>12</v>
      </c>
      <c r="AC407" s="19" t="n">
        <f aca="false">IF(D407="","",COUNT($D$24:D407))</f>
        <v>372</v>
      </c>
    </row>
    <row r="408" customFormat="false" ht="12.75" hidden="false" customHeight="true" outlineLevel="0" collapsed="false">
      <c r="A408" s="14" t="n">
        <f aca="false">IF(D408="","",DATE(B408,C408,1))</f>
        <v>15342</v>
      </c>
      <c r="B408" s="15" t="n">
        <f aca="false" t="array" ref="B408:B408">IF(D408="","",IFERROR(VALUE(INDEX(Vazoes_COLAR!$A$2:$A$200,INT((ROW()-24)/12)+1)),""))</f>
        <v>1942</v>
      </c>
      <c r="C408" s="15" t="n">
        <f aca="false">IF(D408="","",MOD(ROW()-24,12)+1)</f>
        <v>1</v>
      </c>
      <c r="D408" s="16" t="n">
        <f aca="false" t="array" ref="D408: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0.0257670029464671</v>
      </c>
      <c r="E408" s="16" t="n">
        <f aca="false">IF(D408="","",D408*$B$15)</f>
        <v>0.0667880716372427</v>
      </c>
      <c r="F408" s="16" t="n">
        <f aca="false" t="array" ref="F408:F408">IF(D408="","",IFERROR(INDEX(Dados_Evap!$C$2:$N$15,MATCH($B$9,Dados_Evap!$A$2:$A$15,0),C408),0))</f>
        <v>160</v>
      </c>
      <c r="G408" s="16" t="n">
        <f aca="false">IF(F408="","",F408/1000)</f>
        <v>0.16</v>
      </c>
      <c r="H408" s="16" t="n">
        <f aca="false">IF(D408="","",MAX(0,MIN($B$8,IFERROR(LOOKUP(2,1/($U$24:U407&lt;&gt;""),$U$24:U407),$B$11))))</f>
        <v>28.0974523573489</v>
      </c>
      <c r="I408" s="16" t="n">
        <f aca="false" t="array" ref="I408: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>5.03488097304498</v>
      </c>
      <c r="J408" s="16" t="n">
        <f aca="false">IF(D408="","",$B$12)</f>
        <v>0.35</v>
      </c>
      <c r="K408" s="16" t="n">
        <f aca="false">IF(J408="","",J408*$B$15)</f>
        <v>0.9072</v>
      </c>
      <c r="L408" s="16" t="n">
        <f aca="false">IF(D408="","",H408+E408-K408-G408*I408)</f>
        <v>26.4514594732989</v>
      </c>
      <c r="M408" s="16" t="n">
        <f aca="false" t="array" ref="M408: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>4.86388947926504</v>
      </c>
      <c r="N408" s="16" t="n">
        <f aca="false">IF(D408="","",(I408+M408)/2)</f>
        <v>4.94938522615501</v>
      </c>
      <c r="O408" s="16" t="n">
        <f aca="false">IF(D408="","",G408*N408)</f>
        <v>0.791901636184802</v>
      </c>
      <c r="P408" s="16" t="n">
        <f aca="false">IF(D408="","",H408+E408-K408-O408)</f>
        <v>26.4651387928013</v>
      </c>
      <c r="Q408" s="16" t="n">
        <f aca="false">IF(D408="","",IF(P408&gt;=0,K408,MAX(0,K408+P408)))</f>
        <v>0.9072</v>
      </c>
      <c r="R408" s="16" t="n">
        <f aca="false">IF(D408="","",Q408/$B$15)</f>
        <v>0.35</v>
      </c>
      <c r="S408" s="16" t="n">
        <f aca="false">IF(D408="","",MAX(0,J408-R408))</f>
        <v>0</v>
      </c>
      <c r="T408" s="16" t="n">
        <f aca="false">IF(D408="","",MAX(0,Z408-$B$8))</f>
        <v>0</v>
      </c>
      <c r="U408" s="16" t="n">
        <f aca="false">IF(D408="","",MAX(0,MIN($B$8,Z408)))</f>
        <v>26.4651387928013</v>
      </c>
      <c r="V408" s="16" t="str">
        <f aca="false">IF(D408="","",IF(S408&gt;0.0000001,"Sim","Não"))</f>
        <v>Não</v>
      </c>
      <c r="W408" s="16" t="n">
        <f aca="false">IF(D408="","",U408-(H408+E408-Q408-O408-T408))</f>
        <v>0</v>
      </c>
      <c r="X408" s="16" t="n">
        <f aca="false">IF(W408="","",ABS(W408))</f>
        <v>0</v>
      </c>
      <c r="Y408" s="16" t="n">
        <f aca="false">IF(U408="","",IF($B$8=0,0,U408/$B$8*100))</f>
        <v>56.0464608064408</v>
      </c>
      <c r="Z408" s="18" t="n">
        <f aca="false">IF(D408="","",MAX(0,IF(P408&gt;=0,P408,IF(K408+P408&gt;=0,0,P408+K408))))</f>
        <v>26.4651387928013</v>
      </c>
      <c r="AA408" s="18" t="n">
        <f aca="false">IF(D408="","",IF(H408&lt;=$B$16,1,IF(H408&gt;=$B$17,$B$21,MATCH(H408,Aux_CAV!$A$2:$A$121,1))))</f>
        <v>12</v>
      </c>
      <c r="AB408" s="18" t="n">
        <f aca="false">IF(D408="","",IF(L408&lt;=$B$16,1,IF(L408&gt;=$B$17,$B$21,MATCH(L408,Aux_CAV!$A$2:$A$121,1))))</f>
        <v>12</v>
      </c>
      <c r="AC408" s="19" t="n">
        <f aca="false">IF(D408="","",COUNT($D$24:D408))</f>
        <v>373</v>
      </c>
    </row>
    <row r="409" customFormat="false" ht="12.75" hidden="false" customHeight="true" outlineLevel="0" collapsed="false">
      <c r="A409" s="14" t="n">
        <f aca="false">IF(D409="","",DATE(B409,C409,1))</f>
        <v>15373</v>
      </c>
      <c r="B409" s="15" t="n">
        <f aca="false" t="array" ref="B409:B409">IF(D409="","",IFERROR(VALUE(INDEX(Vazoes_COLAR!$A$2:$A$200,INT((ROW()-24)/12)+1)),""))</f>
        <v>1942</v>
      </c>
      <c r="C409" s="15" t="n">
        <f aca="false">IF(D409="","",MOD(ROW()-24,12)+1)</f>
        <v>2</v>
      </c>
      <c r="D409" s="16" t="n">
        <f aca="false" t="array" ref="D409: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0.104745256870361</v>
      </c>
      <c r="E409" s="16" t="n">
        <f aca="false">IF(D409="","",D409*$B$15)</f>
        <v>0.271499705807976</v>
      </c>
      <c r="F409" s="16" t="n">
        <f aca="false" t="array" ref="F409:F409">IF(D409="","",IFERROR(INDEX(Dados_Evap!$C$2:$N$15,MATCH($B$9,Dados_Evap!$A$2:$A$15,0),C409),0))</f>
        <v>124.3</v>
      </c>
      <c r="G409" s="16" t="n">
        <f aca="false">IF(F409="","",F409/1000)</f>
        <v>0.1243</v>
      </c>
      <c r="H409" s="16" t="n">
        <f aca="false">IF(D409="","",MAX(0,MIN($B$8,IFERROR(LOOKUP(2,1/($U$24:U408&lt;&gt;""),$U$24:U408),$B$11))))</f>
        <v>26.4651387928013</v>
      </c>
      <c r="I409" s="16" t="n">
        <f aca="false" t="array" ref="I409: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>4.86531053478616</v>
      </c>
      <c r="J409" s="16" t="n">
        <f aca="false">IF(D409="","",$B$12)</f>
        <v>0.35</v>
      </c>
      <c r="K409" s="16" t="n">
        <f aca="false">IF(J409="","",J409*$B$15)</f>
        <v>0.9072</v>
      </c>
      <c r="L409" s="16" t="n">
        <f aca="false">IF(D409="","",H409+E409-K409-G409*I409)</f>
        <v>25.2246803991354</v>
      </c>
      <c r="M409" s="16" t="n">
        <f aca="false" t="array" ref="M409: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>4.73644738126941</v>
      </c>
      <c r="N409" s="16" t="n">
        <f aca="false">IF(D409="","",(I409+M409)/2)</f>
        <v>4.80087895802778</v>
      </c>
      <c r="O409" s="16" t="n">
        <f aca="false">IF(D409="","",G409*N409)</f>
        <v>0.596749254482853</v>
      </c>
      <c r="P409" s="16" t="n">
        <f aca="false">IF(D409="","",H409+E409-K409-O409)</f>
        <v>25.2326892441265</v>
      </c>
      <c r="Q409" s="16" t="n">
        <f aca="false">IF(D409="","",IF(P409&gt;=0,K409,MAX(0,K409+P409)))</f>
        <v>0.9072</v>
      </c>
      <c r="R409" s="16" t="n">
        <f aca="false">IF(D409="","",Q409/$B$15)</f>
        <v>0.35</v>
      </c>
      <c r="S409" s="16" t="n">
        <f aca="false">IF(D409="","",MAX(0,J409-R409))</f>
        <v>0</v>
      </c>
      <c r="T409" s="16" t="n">
        <f aca="false">IF(D409="","",MAX(0,Z409-$B$8))</f>
        <v>0</v>
      </c>
      <c r="U409" s="16" t="n">
        <f aca="false">IF(D409="","",MAX(0,MIN($B$8,Z409)))</f>
        <v>25.2326892441265</v>
      </c>
      <c r="V409" s="16" t="str">
        <f aca="false">IF(D409="","",IF(S409&gt;0.0000001,"Sim","Não"))</f>
        <v>Não</v>
      </c>
      <c r="W409" s="16" t="n">
        <f aca="false">IF(D409="","",U409-(H409+E409-Q409-O409-T409))</f>
        <v>0</v>
      </c>
      <c r="X409" s="16" t="n">
        <f aca="false">IF(W409="","",ABS(W409))</f>
        <v>0</v>
      </c>
      <c r="Y409" s="16" t="n">
        <f aca="false">IF(U409="","",IF($B$8=0,0,U409/$B$8*100))</f>
        <v>53.4364448202593</v>
      </c>
      <c r="Z409" s="18" t="n">
        <f aca="false">IF(D409="","",MAX(0,IF(P409&gt;=0,P409,IF(K409+P409&gt;=0,0,P409+K409))))</f>
        <v>25.2326892441265</v>
      </c>
      <c r="AA409" s="18" t="n">
        <f aca="false">IF(D409="","",IF(H409&lt;=$B$16,1,IF(H409&gt;=$B$17,$B$21,MATCH(H409,Aux_CAV!$A$2:$A$121,1))))</f>
        <v>12</v>
      </c>
      <c r="AB409" s="18" t="n">
        <f aca="false">IF(D409="","",IF(L409&lt;=$B$16,1,IF(L409&gt;=$B$17,$B$21,MATCH(L409,Aux_CAV!$A$2:$A$121,1))))</f>
        <v>12</v>
      </c>
      <c r="AC409" s="19" t="n">
        <f aca="false">IF(D409="","",COUNT($D$24:D409))</f>
        <v>374</v>
      </c>
    </row>
    <row r="410" customFormat="false" ht="12.75" hidden="false" customHeight="true" outlineLevel="0" collapsed="false">
      <c r="A410" s="14" t="n">
        <f aca="false">IF(D410="","",DATE(B410,C410,1))</f>
        <v>15401</v>
      </c>
      <c r="B410" s="15" t="n">
        <f aca="false" t="array" ref="B410:B410">IF(D410="","",IFERROR(VALUE(INDEX(Vazoes_COLAR!$A$2:$A$200,INT((ROW()-24)/12)+1)),""))</f>
        <v>1942</v>
      </c>
      <c r="C410" s="15" t="n">
        <f aca="false">IF(D410="","",MOD(ROW()-24,12)+1)</f>
        <v>3</v>
      </c>
      <c r="D410" s="16" t="n">
        <f aca="false" t="array" ref="D410: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0.208698036580867</v>
      </c>
      <c r="E410" s="16" t="n">
        <f aca="false">IF(D410="","",D410*$B$15)</f>
        <v>0.540945310817607</v>
      </c>
      <c r="F410" s="16" t="n">
        <f aca="false" t="array" ref="F410:F410">IF(D410="","",IFERROR(INDEX(Dados_Evap!$C$2:$N$15,MATCH($B$9,Dados_Evap!$A$2:$A$15,0),C410),0))</f>
        <v>107.7</v>
      </c>
      <c r="G410" s="16" t="n">
        <f aca="false">IF(F410="","",F410/1000)</f>
        <v>0.1077</v>
      </c>
      <c r="H410" s="16" t="n">
        <f aca="false">IF(D410="","",MAX(0,MIN($B$8,IFERROR(LOOKUP(2,1/($U$24:U409&lt;&gt;""),$U$24:U409),$B$11))))</f>
        <v>25.2326892441265</v>
      </c>
      <c r="I410" s="16" t="n">
        <f aca="false" t="array" ref="I410: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>4.73727936807916</v>
      </c>
      <c r="J410" s="16" t="n">
        <f aca="false">IF(D410="","",$B$12)</f>
        <v>0.35</v>
      </c>
      <c r="K410" s="16" t="n">
        <f aca="false">IF(J410="","",J410*$B$15)</f>
        <v>0.9072</v>
      </c>
      <c r="L410" s="16" t="n">
        <f aca="false">IF(D410="","",H410+E410-K410-G410*I410)</f>
        <v>24.3562295670019</v>
      </c>
      <c r="M410" s="16" t="n">
        <f aca="false" t="array" ref="M410: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>4.64622967346525</v>
      </c>
      <c r="N410" s="16" t="n">
        <f aca="false">IF(D410="","",(I410+M410)/2)</f>
        <v>4.6917545207722</v>
      </c>
      <c r="O410" s="16" t="n">
        <f aca="false">IF(D410="","",G410*N410)</f>
        <v>0.505301961887166</v>
      </c>
      <c r="P410" s="16" t="n">
        <f aca="false">IF(D410="","",H410+E410-K410-O410)</f>
        <v>24.3611325930569</v>
      </c>
      <c r="Q410" s="16" t="n">
        <f aca="false">IF(D410="","",IF(P410&gt;=0,K410,MAX(0,K410+P410)))</f>
        <v>0.9072</v>
      </c>
      <c r="R410" s="16" t="n">
        <f aca="false">IF(D410="","",Q410/$B$15)</f>
        <v>0.35</v>
      </c>
      <c r="S410" s="16" t="n">
        <f aca="false">IF(D410="","",MAX(0,J410-R410))</f>
        <v>0</v>
      </c>
      <c r="T410" s="16" t="n">
        <f aca="false">IF(D410="","",MAX(0,Z410-$B$8))</f>
        <v>0</v>
      </c>
      <c r="U410" s="16" t="n">
        <f aca="false">IF(D410="","",MAX(0,MIN($B$8,Z410)))</f>
        <v>24.3611325930569</v>
      </c>
      <c r="V410" s="16" t="str">
        <f aca="false">IF(D410="","",IF(S410&gt;0.0000001,"Sim","Não"))</f>
        <v>Não</v>
      </c>
      <c r="W410" s="16" t="n">
        <f aca="false">IF(D410="","",U410-(H410+E410-Q410-O410-T410))</f>
        <v>0</v>
      </c>
      <c r="X410" s="16" t="n">
        <f aca="false">IF(W410="","",ABS(W410))</f>
        <v>0</v>
      </c>
      <c r="Y410" s="16" t="n">
        <f aca="false">IF(U410="","",IF($B$8=0,0,U410/$B$8*100))</f>
        <v>51.590708583348</v>
      </c>
      <c r="Z410" s="18" t="n">
        <f aca="false">IF(D410="","",MAX(0,IF(P410&gt;=0,P410,IF(K410+P410&gt;=0,0,P410+K410))))</f>
        <v>24.3611325930569</v>
      </c>
      <c r="AA410" s="18" t="n">
        <f aca="false">IF(D410="","",IF(H410&lt;=$B$16,1,IF(H410&gt;=$B$17,$B$21,MATCH(H410,Aux_CAV!$A$2:$A$121,1))))</f>
        <v>12</v>
      </c>
      <c r="AB410" s="18" t="n">
        <f aca="false">IF(D410="","",IF(L410&lt;=$B$16,1,IF(L410&gt;=$B$17,$B$21,MATCH(L410,Aux_CAV!$A$2:$A$121,1))))</f>
        <v>12</v>
      </c>
      <c r="AC410" s="19" t="n">
        <f aca="false">IF(D410="","",COUNT($D$24:D410))</f>
        <v>375</v>
      </c>
    </row>
    <row r="411" customFormat="false" ht="12.75" hidden="false" customHeight="true" outlineLevel="0" collapsed="false">
      <c r="A411" s="14" t="n">
        <f aca="false">IF(D411="","",DATE(B411,C411,1))</f>
        <v>15432</v>
      </c>
      <c r="B411" s="15" t="n">
        <f aca="false" t="array" ref="B411:B411">IF(D411="","",IFERROR(VALUE(INDEX(Vazoes_COLAR!$A$2:$A$200,INT((ROW()-24)/12)+1)),""))</f>
        <v>1942</v>
      </c>
      <c r="C411" s="15" t="n">
        <f aca="false">IF(D411="","",MOD(ROW()-24,12)+1)</f>
        <v>4</v>
      </c>
      <c r="D411" s="16" t="n">
        <f aca="false" t="array" ref="D411: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0.229228693560809</v>
      </c>
      <c r="E411" s="16" t="n">
        <f aca="false">IF(D411="","",D411*$B$15)</f>
        <v>0.594160773709617</v>
      </c>
      <c r="F411" s="16" t="n">
        <f aca="false" t="array" ref="F411:F411">IF(D411="","",IFERROR(INDEX(Dados_Evap!$C$2:$N$15,MATCH($B$9,Dados_Evap!$A$2:$A$15,0),C411),0))</f>
        <v>100.5</v>
      </c>
      <c r="G411" s="16" t="n">
        <f aca="false">IF(F411="","",F411/1000)</f>
        <v>0.1005</v>
      </c>
      <c r="H411" s="16" t="n">
        <f aca="false">IF(D411="","",MAX(0,MIN($B$8,IFERROR(LOOKUP(2,1/($U$24:U410&lt;&gt;""),$U$24:U410),$B$11))))</f>
        <v>24.3611325930569</v>
      </c>
      <c r="I411" s="16" t="n">
        <f aca="false" t="array" ref="I411: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>4.64673901694863</v>
      </c>
      <c r="J411" s="16" t="n">
        <f aca="false">IF(D411="","",$B$12)</f>
        <v>0.35</v>
      </c>
      <c r="K411" s="16" t="n">
        <f aca="false">IF(J411="","",J411*$B$15)</f>
        <v>0.9072</v>
      </c>
      <c r="L411" s="16" t="n">
        <f aca="false">IF(D411="","",H411+E411-K411-G411*I411)</f>
        <v>23.5810960955632</v>
      </c>
      <c r="M411" s="16" t="n">
        <f aca="false" t="array" ref="M411: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>4.55603343581121</v>
      </c>
      <c r="N411" s="16" t="n">
        <f aca="false">IF(D411="","",(I411+M411)/2)</f>
        <v>4.60138622637992</v>
      </c>
      <c r="O411" s="16" t="n">
        <f aca="false">IF(D411="","",G411*N411)</f>
        <v>0.462439315751182</v>
      </c>
      <c r="P411" s="16" t="n">
        <f aca="false">IF(D411="","",H411+E411-K411-O411)</f>
        <v>23.5856540510153</v>
      </c>
      <c r="Q411" s="16" t="n">
        <f aca="false">IF(D411="","",IF(P411&gt;=0,K411,MAX(0,K411+P411)))</f>
        <v>0.9072</v>
      </c>
      <c r="R411" s="16" t="n">
        <f aca="false">IF(D411="","",Q411/$B$15)</f>
        <v>0.35</v>
      </c>
      <c r="S411" s="16" t="n">
        <f aca="false">IF(D411="","",MAX(0,J411-R411))</f>
        <v>0</v>
      </c>
      <c r="T411" s="16" t="n">
        <f aca="false">IF(D411="","",MAX(0,Z411-$B$8))</f>
        <v>0</v>
      </c>
      <c r="U411" s="16" t="n">
        <f aca="false">IF(D411="","",MAX(0,MIN($B$8,Z411)))</f>
        <v>23.5856540510153</v>
      </c>
      <c r="V411" s="16" t="str">
        <f aca="false">IF(D411="","",IF(S411&gt;0.0000001,"Sim","Não"))</f>
        <v>Não</v>
      </c>
      <c r="W411" s="16" t="n">
        <f aca="false">IF(D411="","",U411-(H411+E411-Q411-O411-T411))</f>
        <v>0</v>
      </c>
      <c r="X411" s="16" t="n">
        <f aca="false">IF(W411="","",ABS(W411))</f>
        <v>0</v>
      </c>
      <c r="Y411" s="16" t="n">
        <f aca="false">IF(U411="","",IF($B$8=0,0,U411/$B$8*100))</f>
        <v>49.9484414464535</v>
      </c>
      <c r="Z411" s="18" t="n">
        <f aca="false">IF(D411="","",MAX(0,IF(P411&gt;=0,P411,IF(K411+P411&gt;=0,0,P411+K411))))</f>
        <v>23.5856540510153</v>
      </c>
      <c r="AA411" s="18" t="n">
        <f aca="false">IF(D411="","",IF(H411&lt;=$B$16,1,IF(H411&gt;=$B$17,$B$21,MATCH(H411,Aux_CAV!$A$2:$A$121,1))))</f>
        <v>12</v>
      </c>
      <c r="AB411" s="18" t="n">
        <f aca="false">IF(D411="","",IF(L411&lt;=$B$16,1,IF(L411&gt;=$B$17,$B$21,MATCH(L411,Aux_CAV!$A$2:$A$121,1))))</f>
        <v>11</v>
      </c>
      <c r="AC411" s="19" t="n">
        <f aca="false">IF(D411="","",COUNT($D$24:D411))</f>
        <v>376</v>
      </c>
    </row>
    <row r="412" customFormat="false" ht="12.75" hidden="false" customHeight="true" outlineLevel="0" collapsed="false">
      <c r="A412" s="14" t="n">
        <f aca="false">IF(D412="","",DATE(B412,C412,1))</f>
        <v>15462</v>
      </c>
      <c r="B412" s="15" t="n">
        <f aca="false" t="array" ref="B412:B412">IF(D412="","",IFERROR(VALUE(INDEX(Vazoes_COLAR!$A$2:$A$200,INT((ROW()-24)/12)+1)),""))</f>
        <v>1942</v>
      </c>
      <c r="C412" s="15" t="n">
        <f aca="false">IF(D412="","",MOD(ROW()-24,12)+1)</f>
        <v>5</v>
      </c>
      <c r="D412" s="16" t="n">
        <f aca="false" t="array" ref="D412: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0.125152778843549</v>
      </c>
      <c r="E412" s="16" t="n">
        <f aca="false">IF(D412="","",D412*$B$15)</f>
        <v>0.324396002762479</v>
      </c>
      <c r="F412" s="16" t="n">
        <f aca="false" t="array" ref="F412:F412">IF(D412="","",IFERROR(INDEX(Dados_Evap!$C$2:$N$15,MATCH($B$9,Dados_Evap!$A$2:$A$15,0),C412),0))</f>
        <v>145.8</v>
      </c>
      <c r="G412" s="16" t="n">
        <f aca="false">IF(F412="","",F412/1000)</f>
        <v>0.1458</v>
      </c>
      <c r="H412" s="16" t="n">
        <f aca="false">IF(D412="","",MAX(0,MIN($B$8,IFERROR(LOOKUP(2,1/($U$24:U411&lt;&gt;""),$U$24:U411),$B$11))))</f>
        <v>23.5856540510153</v>
      </c>
      <c r="I412" s="16" t="n">
        <f aca="false" t="array" ref="I412: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>4.55657816707257</v>
      </c>
      <c r="J412" s="16" t="n">
        <f aca="false">IF(D412="","",$B$12)</f>
        <v>0.35</v>
      </c>
      <c r="K412" s="16" t="n">
        <f aca="false">IF(J412="","",J412*$B$15)</f>
        <v>0.9072</v>
      </c>
      <c r="L412" s="16" t="n">
        <f aca="false">IF(D412="","",H412+E412-K412-G412*I412)</f>
        <v>22.3385009570186</v>
      </c>
      <c r="M412" s="16" t="n">
        <f aca="false" t="array" ref="M412: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>4.40752816315589</v>
      </c>
      <c r="N412" s="16" t="n">
        <f aca="false">IF(D412="","",(I412+M412)/2)</f>
        <v>4.48205316511423</v>
      </c>
      <c r="O412" s="16" t="n">
        <f aca="false">IF(D412="","",G412*N412)</f>
        <v>0.653483351473654</v>
      </c>
      <c r="P412" s="16" t="n">
        <f aca="false">IF(D412="","",H412+E412-K412-O412)</f>
        <v>22.3493667023042</v>
      </c>
      <c r="Q412" s="16" t="n">
        <f aca="false">IF(D412="","",IF(P412&gt;=0,K412,MAX(0,K412+P412)))</f>
        <v>0.9072</v>
      </c>
      <c r="R412" s="16" t="n">
        <f aca="false">IF(D412="","",Q412/$B$15)</f>
        <v>0.35</v>
      </c>
      <c r="S412" s="16" t="n">
        <f aca="false">IF(D412="","",MAX(0,J412-R412))</f>
        <v>0</v>
      </c>
      <c r="T412" s="16" t="n">
        <f aca="false">IF(D412="","",MAX(0,Z412-$B$8))</f>
        <v>0</v>
      </c>
      <c r="U412" s="16" t="n">
        <f aca="false">IF(D412="","",MAX(0,MIN($B$8,Z412)))</f>
        <v>22.3493667023042</v>
      </c>
      <c r="V412" s="16" t="str">
        <f aca="false">IF(D412="","",IF(S412&gt;0.0000001,"Sim","Não"))</f>
        <v>Não</v>
      </c>
      <c r="W412" s="16" t="n">
        <f aca="false">IF(D412="","",U412-(H412+E412-Q412-O412-T412))</f>
        <v>0</v>
      </c>
      <c r="X412" s="16" t="n">
        <f aca="false">IF(W412="","",ABS(W412))</f>
        <v>0</v>
      </c>
      <c r="Y412" s="16" t="n">
        <f aca="false">IF(U412="","",IF($B$8=0,0,U412/$B$8*100))</f>
        <v>47.3302979718428</v>
      </c>
      <c r="Z412" s="18" t="n">
        <f aca="false">IF(D412="","",MAX(0,IF(P412&gt;=0,P412,IF(K412+P412&gt;=0,0,P412+K412))))</f>
        <v>22.3493667023042</v>
      </c>
      <c r="AA412" s="18" t="n">
        <f aca="false">IF(D412="","",IF(H412&lt;=$B$16,1,IF(H412&gt;=$B$17,$B$21,MATCH(H412,Aux_CAV!$A$2:$A$121,1))))</f>
        <v>11</v>
      </c>
      <c r="AB412" s="18" t="n">
        <f aca="false">IF(D412="","",IF(L412&lt;=$B$16,1,IF(L412&gt;=$B$17,$B$21,MATCH(L412,Aux_CAV!$A$2:$A$121,1))))</f>
        <v>11</v>
      </c>
      <c r="AC412" s="19" t="n">
        <f aca="false">IF(D412="","",COUNT($D$24:D412))</f>
        <v>377</v>
      </c>
    </row>
    <row r="413" customFormat="false" ht="12.75" hidden="false" customHeight="true" outlineLevel="0" collapsed="false">
      <c r="A413" s="14" t="n">
        <f aca="false">IF(D413="","",DATE(B413,C413,1))</f>
        <v>15493</v>
      </c>
      <c r="B413" s="15" t="n">
        <f aca="false" t="array" ref="B413:B413">IF(D413="","",IFERROR(VALUE(INDEX(Vazoes_COLAR!$A$2:$A$200,INT((ROW()-24)/12)+1)),""))</f>
        <v>1942</v>
      </c>
      <c r="C413" s="15" t="n">
        <f aca="false">IF(D413="","",MOD(ROW()-24,12)+1)</f>
        <v>6</v>
      </c>
      <c r="D413" s="16" t="n">
        <f aca="false" t="array" ref="D413: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0.00859541235328824</v>
      </c>
      <c r="E413" s="16" t="n">
        <f aca="false">IF(D413="","",D413*$B$15)</f>
        <v>0.0222793088197231</v>
      </c>
      <c r="F413" s="16" t="n">
        <f aca="false" t="array" ref="F413:F413">IF(D413="","",IFERROR(INDEX(Dados_Evap!$C$2:$N$15,MATCH($B$9,Dados_Evap!$A$2:$A$15,0),C413),0))</f>
        <v>161.3</v>
      </c>
      <c r="G413" s="16" t="n">
        <f aca="false">IF(F413="","",F413/1000)</f>
        <v>0.1613</v>
      </c>
      <c r="H413" s="16" t="n">
        <f aca="false">IF(D413="","",MAX(0,MIN($B$8,IFERROR(LOOKUP(2,1/($U$24:U412&lt;&gt;""),$U$24:U412),$B$11))))</f>
        <v>22.3493667023042</v>
      </c>
      <c r="I413" s="16" t="n">
        <f aca="false" t="array" ref="I413: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>4.4088267522266</v>
      </c>
      <c r="J413" s="16" t="n">
        <f aca="false">IF(D413="","",$B$12)</f>
        <v>0.35</v>
      </c>
      <c r="K413" s="16" t="n">
        <f aca="false">IF(J413="","",J413*$B$15)</f>
        <v>0.9072</v>
      </c>
      <c r="L413" s="16" t="n">
        <f aca="false">IF(D413="","",H413+E413-K413-G413*I413)</f>
        <v>20.7533022559897</v>
      </c>
      <c r="M413" s="16" t="n">
        <f aca="false" t="array" ref="M413: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>4.21807758669146</v>
      </c>
      <c r="N413" s="16" t="n">
        <f aca="false">IF(D413="","",(I413+M413)/2)</f>
        <v>4.31345216945903</v>
      </c>
      <c r="O413" s="16" t="n">
        <f aca="false">IF(D413="","",G413*N413)</f>
        <v>0.695759834933741</v>
      </c>
      <c r="P413" s="16" t="n">
        <f aca="false">IF(D413="","",H413+E413-K413-O413)</f>
        <v>20.7686861761901</v>
      </c>
      <c r="Q413" s="16" t="n">
        <f aca="false">IF(D413="","",IF(P413&gt;=0,K413,MAX(0,K413+P413)))</f>
        <v>0.9072</v>
      </c>
      <c r="R413" s="16" t="n">
        <f aca="false">IF(D413="","",Q413/$B$15)</f>
        <v>0.35</v>
      </c>
      <c r="S413" s="16" t="n">
        <f aca="false">IF(D413="","",MAX(0,J413-R413))</f>
        <v>0</v>
      </c>
      <c r="T413" s="16" t="n">
        <f aca="false">IF(D413="","",MAX(0,Z413-$B$8))</f>
        <v>0</v>
      </c>
      <c r="U413" s="16" t="n">
        <f aca="false">IF(D413="","",MAX(0,MIN($B$8,Z413)))</f>
        <v>20.7686861761901</v>
      </c>
      <c r="V413" s="16" t="str">
        <f aca="false">IF(D413="","",IF(S413&gt;0.0000001,"Sim","Não"))</f>
        <v>Não</v>
      </c>
      <c r="W413" s="16" t="n">
        <f aca="false">IF(D413="","",U413-(H413+E413-Q413-O413-T413))</f>
        <v>0</v>
      </c>
      <c r="X413" s="16" t="n">
        <f aca="false">IF(W413="","",ABS(W413))</f>
        <v>0</v>
      </c>
      <c r="Y413" s="16" t="n">
        <f aca="false">IF(U413="","",IF($B$8=0,0,U413/$B$8*100))</f>
        <v>43.9828169762604</v>
      </c>
      <c r="Z413" s="18" t="n">
        <f aca="false">IF(D413="","",MAX(0,IF(P413&gt;=0,P413,IF(K413+P413&gt;=0,0,P413+K413))))</f>
        <v>20.7686861761901</v>
      </c>
      <c r="AA413" s="18" t="n">
        <f aca="false">IF(D413="","",IF(H413&lt;=$B$16,1,IF(H413&gt;=$B$17,$B$21,MATCH(H413,Aux_CAV!$A$2:$A$121,1))))</f>
        <v>11</v>
      </c>
      <c r="AB413" s="18" t="n">
        <f aca="false">IF(D413="","",IF(L413&lt;=$B$16,1,IF(L413&gt;=$B$17,$B$21,MATCH(L413,Aux_CAV!$A$2:$A$121,1))))</f>
        <v>11</v>
      </c>
      <c r="AC413" s="19" t="n">
        <f aca="false">IF(D413="","",COUNT($D$24:D413))</f>
        <v>378</v>
      </c>
    </row>
    <row r="414" customFormat="false" ht="12.75" hidden="false" customHeight="true" outlineLevel="0" collapsed="false">
      <c r="A414" s="14" t="n">
        <f aca="false">IF(D414="","",DATE(B414,C414,1))</f>
        <v>15523</v>
      </c>
      <c r="B414" s="15" t="n">
        <f aca="false" t="array" ref="B414:B414">IF(D414="","",IFERROR(VALUE(INDEX(Vazoes_COLAR!$A$2:$A$200,INT((ROW()-24)/12)+1)),""))</f>
        <v>1942</v>
      </c>
      <c r="C414" s="15" t="n">
        <f aca="false">IF(D414="","",MOD(ROW()-24,12)+1)</f>
        <v>7</v>
      </c>
      <c r="D414" s="16" t="n">
        <f aca="false" t="array" ref="D414: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0.00467455495604889</v>
      </c>
      <c r="E414" s="16" t="n">
        <f aca="false">IF(D414="","",D414*$B$15)</f>
        <v>0.0121164464460787</v>
      </c>
      <c r="F414" s="16" t="n">
        <f aca="false" t="array" ref="F414:F414">IF(D414="","",IFERROR(INDEX(Dados_Evap!$C$2:$N$15,MATCH($B$9,Dados_Evap!$A$2:$A$15,0),C414),0))</f>
        <v>224.8</v>
      </c>
      <c r="G414" s="16" t="n">
        <f aca="false">IF(F414="","",F414/1000)</f>
        <v>0.2248</v>
      </c>
      <c r="H414" s="16" t="n">
        <f aca="false">IF(D414="","",MAX(0,MIN($B$8,IFERROR(LOOKUP(2,1/($U$24:U413&lt;&gt;""),$U$24:U413),$B$11))))</f>
        <v>20.7686861761901</v>
      </c>
      <c r="I414" s="16" t="n">
        <f aca="false" t="array" ref="I414: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>4.21991615276419</v>
      </c>
      <c r="J414" s="16" t="n">
        <f aca="false">IF(D414="","",$B$12)</f>
        <v>0.35</v>
      </c>
      <c r="K414" s="16" t="n">
        <f aca="false">IF(J414="","",J414*$B$15)</f>
        <v>0.9072</v>
      </c>
      <c r="L414" s="16" t="n">
        <f aca="false">IF(D414="","",H414+E414-K414-G414*I414)</f>
        <v>18.9249654714948</v>
      </c>
      <c r="M414" s="16" t="n">
        <f aca="false" t="array" ref="M414: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>3.99956904415426</v>
      </c>
      <c r="N414" s="16" t="n">
        <f aca="false">IF(D414="","",(I414+M414)/2)</f>
        <v>4.10974259845922</v>
      </c>
      <c r="O414" s="16" t="n">
        <f aca="false">IF(D414="","",G414*N414)</f>
        <v>0.923870136133634</v>
      </c>
      <c r="P414" s="16" t="n">
        <f aca="false">IF(D414="","",H414+E414-K414-O414)</f>
        <v>18.9497324865026</v>
      </c>
      <c r="Q414" s="16" t="n">
        <f aca="false">IF(D414="","",IF(P414&gt;=0,K414,MAX(0,K414+P414)))</f>
        <v>0.9072</v>
      </c>
      <c r="R414" s="16" t="n">
        <f aca="false">IF(D414="","",Q414/$B$15)</f>
        <v>0.35</v>
      </c>
      <c r="S414" s="16" t="n">
        <f aca="false">IF(D414="","",MAX(0,J414-R414))</f>
        <v>0</v>
      </c>
      <c r="T414" s="16" t="n">
        <f aca="false">IF(D414="","",MAX(0,Z414-$B$8))</f>
        <v>0</v>
      </c>
      <c r="U414" s="16" t="n">
        <f aca="false">IF(D414="","",MAX(0,MIN($B$8,Z414)))</f>
        <v>18.9497324865026</v>
      </c>
      <c r="V414" s="16" t="str">
        <f aca="false">IF(D414="","",IF(S414&gt;0.0000001,"Sim","Não"))</f>
        <v>Não</v>
      </c>
      <c r="W414" s="16" t="n">
        <f aca="false">IF(D414="","",U414-(H414+E414-Q414-O414-T414))</f>
        <v>0</v>
      </c>
      <c r="X414" s="16" t="n">
        <f aca="false">IF(W414="","",ABS(W414))</f>
        <v>0</v>
      </c>
      <c r="Y414" s="16" t="n">
        <f aca="false">IF(U414="","",IF($B$8=0,0,U414/$B$8*100))</f>
        <v>40.1307337706535</v>
      </c>
      <c r="Z414" s="18" t="n">
        <f aca="false">IF(D414="","",MAX(0,IF(P414&gt;=0,P414,IF(K414+P414&gt;=0,0,P414+K414))))</f>
        <v>18.9497324865026</v>
      </c>
      <c r="AA414" s="18" t="n">
        <f aca="false">IF(D414="","",IF(H414&lt;=$B$16,1,IF(H414&gt;=$B$17,$B$21,MATCH(H414,Aux_CAV!$A$2:$A$121,1))))</f>
        <v>11</v>
      </c>
      <c r="AB414" s="18" t="n">
        <f aca="false">IF(D414="","",IF(L414&lt;=$B$16,1,IF(L414&gt;=$B$17,$B$21,MATCH(L414,Aux_CAV!$A$2:$A$121,1))))</f>
        <v>11</v>
      </c>
      <c r="AC414" s="19" t="n">
        <f aca="false">IF(D414="","",COUNT($D$24:D414))</f>
        <v>379</v>
      </c>
    </row>
    <row r="415" customFormat="false" ht="12.75" hidden="false" customHeight="true" outlineLevel="0" collapsed="false">
      <c r="A415" s="14" t="n">
        <f aca="false">IF(D415="","",DATE(B415,C415,1))</f>
        <v>15554</v>
      </c>
      <c r="B415" s="15" t="n">
        <f aca="false" t="array" ref="B415:B415">IF(D415="","",IFERROR(VALUE(INDEX(Vazoes_COLAR!$A$2:$A$200,INT((ROW()-24)/12)+1)),""))</f>
        <v>1942</v>
      </c>
      <c r="C415" s="15" t="n">
        <f aca="false">IF(D415="","",MOD(ROW()-24,12)+1)</f>
        <v>8</v>
      </c>
      <c r="D415" s="16" t="n">
        <f aca="false" t="array" ref="D415: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0.00487222030486888</v>
      </c>
      <c r="E415" s="16" t="n">
        <f aca="false">IF(D415="","",D415*$B$15)</f>
        <v>0.0126287950302201</v>
      </c>
      <c r="F415" s="16" t="n">
        <f aca="false" t="array" ref="F415:F415">IF(D415="","",IFERROR(INDEX(Dados_Evap!$C$2:$N$15,MATCH($B$9,Dados_Evap!$A$2:$A$15,0),C415),0))</f>
        <v>268.7</v>
      </c>
      <c r="G415" s="16" t="n">
        <f aca="false">IF(F415="","",F415/1000)</f>
        <v>0.2687</v>
      </c>
      <c r="H415" s="16" t="n">
        <f aca="false">IF(D415="","",MAX(0,MIN($B$8,IFERROR(LOOKUP(2,1/($U$24:U414&lt;&gt;""),$U$24:U414),$B$11))))</f>
        <v>18.9497324865026</v>
      </c>
      <c r="I415" s="16" t="n">
        <f aca="false" t="array" ref="I415: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>4.00252900448446</v>
      </c>
      <c r="J415" s="16" t="n">
        <f aca="false">IF(D415="","",$B$12)</f>
        <v>0.35</v>
      </c>
      <c r="K415" s="16" t="n">
        <f aca="false">IF(J415="","",J415*$B$15)</f>
        <v>0.9072</v>
      </c>
      <c r="L415" s="16" t="n">
        <f aca="false">IF(D415="","",H415+E415-K415-G415*I415)</f>
        <v>16.9796817380278</v>
      </c>
      <c r="M415" s="16" t="n">
        <f aca="false" t="array" ref="M415: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>3.7670839150326</v>
      </c>
      <c r="N415" s="16" t="n">
        <f aca="false">IF(D415="","",(I415+M415)/2)</f>
        <v>3.88480645975853</v>
      </c>
      <c r="O415" s="16" t="n">
        <f aca="false">IF(D415="","",G415*N415)</f>
        <v>1.04384749573712</v>
      </c>
      <c r="P415" s="16" t="n">
        <f aca="false">IF(D415="","",H415+E415-K415-O415)</f>
        <v>17.0113137857957</v>
      </c>
      <c r="Q415" s="16" t="n">
        <f aca="false">IF(D415="","",IF(P415&gt;=0,K415,MAX(0,K415+P415)))</f>
        <v>0.9072</v>
      </c>
      <c r="R415" s="16" t="n">
        <f aca="false">IF(D415="","",Q415/$B$15)</f>
        <v>0.35</v>
      </c>
      <c r="S415" s="16" t="n">
        <f aca="false">IF(D415="","",MAX(0,J415-R415))</f>
        <v>0</v>
      </c>
      <c r="T415" s="16" t="n">
        <f aca="false">IF(D415="","",MAX(0,Z415-$B$8))</f>
        <v>0</v>
      </c>
      <c r="U415" s="16" t="n">
        <f aca="false">IF(D415="","",MAX(0,MIN($B$8,Z415)))</f>
        <v>17.0113137857957</v>
      </c>
      <c r="V415" s="16" t="str">
        <f aca="false">IF(D415="","",IF(S415&gt;0.0000001,"Sim","Não"))</f>
        <v>Não</v>
      </c>
      <c r="W415" s="16" t="n">
        <f aca="false">IF(D415="","",U415-(H415+E415-Q415-O415-T415))</f>
        <v>0</v>
      </c>
      <c r="X415" s="16" t="n">
        <f aca="false">IF(W415="","",ABS(W415))</f>
        <v>0</v>
      </c>
      <c r="Y415" s="16" t="n">
        <f aca="false">IF(U415="","",IF($B$8=0,0,U415/$B$8*100))</f>
        <v>36.0256539301052</v>
      </c>
      <c r="Z415" s="18" t="n">
        <f aca="false">IF(D415="","",MAX(0,IF(P415&gt;=0,P415,IF(K415+P415&gt;=0,0,P415+K415))))</f>
        <v>17.0113137857957</v>
      </c>
      <c r="AA415" s="18" t="n">
        <f aca="false">IF(D415="","",IF(H415&lt;=$B$16,1,IF(H415&gt;=$B$17,$B$21,MATCH(H415,Aux_CAV!$A$2:$A$121,1))))</f>
        <v>11</v>
      </c>
      <c r="AB415" s="18" t="n">
        <f aca="false">IF(D415="","",IF(L415&lt;=$B$16,1,IF(L415&gt;=$B$17,$B$21,MATCH(L415,Aux_CAV!$A$2:$A$121,1))))</f>
        <v>11</v>
      </c>
      <c r="AC415" s="19" t="n">
        <f aca="false">IF(D415="","",COUNT($D$24:D415))</f>
        <v>380</v>
      </c>
    </row>
    <row r="416" customFormat="false" ht="12.75" hidden="false" customHeight="true" outlineLevel="0" collapsed="false">
      <c r="A416" s="14" t="n">
        <f aca="false">IF(D416="","",DATE(B416,C416,1))</f>
        <v>15585</v>
      </c>
      <c r="B416" s="15" t="n">
        <f aca="false" t="array" ref="B416:B416">IF(D416="","",IFERROR(VALUE(INDEX(Vazoes_COLAR!$A$2:$A$200,INT((ROW()-24)/12)+1)),""))</f>
        <v>1942</v>
      </c>
      <c r="C416" s="15" t="n">
        <f aca="false">IF(D416="","",MOD(ROW()-24,12)+1)</f>
        <v>9</v>
      </c>
      <c r="D416" s="16" t="n">
        <f aca="false" t="array" ref="D416: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0.00349466450183133</v>
      </c>
      <c r="E416" s="16" t="n">
        <f aca="false">IF(D416="","",D416*$B$15)</f>
        <v>0.00905817038874681</v>
      </c>
      <c r="F416" s="16" t="n">
        <f aca="false" t="array" ref="F416:F416">IF(D416="","",IFERROR(INDEX(Dados_Evap!$C$2:$N$15,MATCH($B$9,Dados_Evap!$A$2:$A$15,0),C416),0))</f>
        <v>292.8</v>
      </c>
      <c r="G416" s="16" t="n">
        <f aca="false">IF(F416="","",F416/1000)</f>
        <v>0.2928</v>
      </c>
      <c r="H416" s="16" t="n">
        <f aca="false">IF(D416="","",MAX(0,MIN($B$8,IFERROR(LOOKUP(2,1/($U$24:U415&lt;&gt;""),$U$24:U415),$B$11))))</f>
        <v>17.0113137857957</v>
      </c>
      <c r="I416" s="16" t="n">
        <f aca="false" t="array" ref="I416: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>3.77086433049753</v>
      </c>
      <c r="J416" s="16" t="n">
        <f aca="false">IF(D416="","",$B$12)</f>
        <v>0.35</v>
      </c>
      <c r="K416" s="16" t="n">
        <f aca="false">IF(J416="","",J416*$B$15)</f>
        <v>0.9072</v>
      </c>
      <c r="L416" s="16" t="n">
        <f aca="false">IF(D416="","",H416+E416-K416-G416*I416)</f>
        <v>15.0090628802148</v>
      </c>
      <c r="M416" s="16" t="n">
        <f aca="false" t="array" ref="M416: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>3.5654788927242</v>
      </c>
      <c r="N416" s="16" t="n">
        <f aca="false">IF(D416="","",(I416+M416)/2)</f>
        <v>3.66817161161087</v>
      </c>
      <c r="O416" s="16" t="n">
        <f aca="false">IF(D416="","",G416*N416)</f>
        <v>1.07404064787966</v>
      </c>
      <c r="P416" s="16" t="n">
        <f aca="false">IF(D416="","",H416+E416-K416-O416)</f>
        <v>15.0391313083048</v>
      </c>
      <c r="Q416" s="16" t="n">
        <f aca="false">IF(D416="","",IF(P416&gt;=0,K416,MAX(0,K416+P416)))</f>
        <v>0.9072</v>
      </c>
      <c r="R416" s="16" t="n">
        <f aca="false">IF(D416="","",Q416/$B$15)</f>
        <v>0.35</v>
      </c>
      <c r="S416" s="16" t="n">
        <f aca="false">IF(D416="","",MAX(0,J416-R416))</f>
        <v>0</v>
      </c>
      <c r="T416" s="16" t="n">
        <f aca="false">IF(D416="","",MAX(0,Z416-$B$8))</f>
        <v>0</v>
      </c>
      <c r="U416" s="16" t="n">
        <f aca="false">IF(D416="","",MAX(0,MIN($B$8,Z416)))</f>
        <v>15.0391313083048</v>
      </c>
      <c r="V416" s="16" t="str">
        <f aca="false">IF(D416="","",IF(S416&gt;0.0000001,"Sim","Não"))</f>
        <v>Não</v>
      </c>
      <c r="W416" s="16" t="n">
        <f aca="false">IF(D416="","",U416-(H416+E416-Q416-O416-T416))</f>
        <v>0</v>
      </c>
      <c r="X416" s="16" t="n">
        <f aca="false">IF(W416="","",ABS(W416))</f>
        <v>0</v>
      </c>
      <c r="Y416" s="16" t="n">
        <f aca="false">IF(U416="","",IF($B$8=0,0,U416/$B$8*100))</f>
        <v>31.8490709621025</v>
      </c>
      <c r="Z416" s="18" t="n">
        <f aca="false">IF(D416="","",MAX(0,IF(P416&gt;=0,P416,IF(K416+P416&gt;=0,0,P416+K416))))</f>
        <v>15.0391313083048</v>
      </c>
      <c r="AA416" s="18" t="n">
        <f aca="false">IF(D416="","",IF(H416&lt;=$B$16,1,IF(H416&gt;=$B$17,$B$21,MATCH(H416,Aux_CAV!$A$2:$A$121,1))))</f>
        <v>11</v>
      </c>
      <c r="AB416" s="18" t="n">
        <f aca="false">IF(D416="","",IF(L416&lt;=$B$16,1,IF(L416&gt;=$B$17,$B$21,MATCH(L416,Aux_CAV!$A$2:$A$121,1))))</f>
        <v>10</v>
      </c>
      <c r="AC416" s="19" t="n">
        <f aca="false">IF(D416="","",COUNT($D$24:D416))</f>
        <v>381</v>
      </c>
    </row>
    <row r="417" customFormat="false" ht="12.75" hidden="false" customHeight="true" outlineLevel="0" collapsed="false">
      <c r="A417" s="14" t="n">
        <f aca="false">IF(D417="","",DATE(B417,C417,1))</f>
        <v>15615</v>
      </c>
      <c r="B417" s="15" t="n">
        <f aca="false" t="array" ref="B417:B417">IF(D417="","",IFERROR(VALUE(INDEX(Vazoes_COLAR!$A$2:$A$200,INT((ROW()-24)/12)+1)),""))</f>
        <v>1942</v>
      </c>
      <c r="C417" s="15" t="n">
        <f aca="false">IF(D417="","",MOD(ROW()-24,12)+1)</f>
        <v>10</v>
      </c>
      <c r="D417" s="16" t="n">
        <f aca="false" t="array" ref="D417: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0.0252772428312418</v>
      </c>
      <c r="E417" s="16" t="n">
        <f aca="false">IF(D417="","",D417*$B$15)</f>
        <v>0.0655186134185787</v>
      </c>
      <c r="F417" s="16" t="n">
        <f aca="false" t="array" ref="F417:F417">IF(D417="","",IFERROR(INDEX(Dados_Evap!$C$2:$N$15,MATCH($B$9,Dados_Evap!$A$2:$A$15,0),C417),0))</f>
        <v>262.9</v>
      </c>
      <c r="G417" s="16" t="n">
        <f aca="false">IF(F417="","",F417/1000)</f>
        <v>0.2629</v>
      </c>
      <c r="H417" s="16" t="n">
        <f aca="false">IF(D417="","",MAX(0,MIN($B$8,IFERROR(LOOKUP(2,1/($U$24:U416&lt;&gt;""),$U$24:U416),$B$11))))</f>
        <v>15.0391313083048</v>
      </c>
      <c r="I417" s="16" t="n">
        <f aca="false" t="array" ref="I417: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>3.56804355276717</v>
      </c>
      <c r="J417" s="16" t="n">
        <f aca="false">IF(D417="","",$B$12)</f>
        <v>0.35</v>
      </c>
      <c r="K417" s="16" t="n">
        <f aca="false">IF(J417="","",J417*$B$15)</f>
        <v>0.9072</v>
      </c>
      <c r="L417" s="16" t="n">
        <f aca="false">IF(D417="","",H417+E417-K417-G417*I417)</f>
        <v>13.2594112717009</v>
      </c>
      <c r="M417" s="16" t="n">
        <f aca="false" t="array" ref="M417: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>3.41624390258625</v>
      </c>
      <c r="N417" s="16" t="n">
        <f aca="false">IF(D417="","",(I417+M417)/2)</f>
        <v>3.49214372767671</v>
      </c>
      <c r="O417" s="16" t="n">
        <f aca="false">IF(D417="","",G417*N417)</f>
        <v>0.918084586006207</v>
      </c>
      <c r="P417" s="16" t="n">
        <f aca="false">IF(D417="","",H417+E417-K417-O417)</f>
        <v>13.2793653357172</v>
      </c>
      <c r="Q417" s="16" t="n">
        <f aca="false">IF(D417="","",IF(P417&gt;=0,K417,MAX(0,K417+P417)))</f>
        <v>0.9072</v>
      </c>
      <c r="R417" s="16" t="n">
        <f aca="false">IF(D417="","",Q417/$B$15)</f>
        <v>0.35</v>
      </c>
      <c r="S417" s="16" t="n">
        <f aca="false">IF(D417="","",MAX(0,J417-R417))</f>
        <v>0</v>
      </c>
      <c r="T417" s="16" t="n">
        <f aca="false">IF(D417="","",MAX(0,Z417-$B$8))</f>
        <v>0</v>
      </c>
      <c r="U417" s="16" t="n">
        <f aca="false">IF(D417="","",MAX(0,MIN($B$8,Z417)))</f>
        <v>13.2793653357172</v>
      </c>
      <c r="V417" s="16" t="str">
        <f aca="false">IF(D417="","",IF(S417&gt;0.0000001,"Sim","Não"))</f>
        <v>Não</v>
      </c>
      <c r="W417" s="16" t="n">
        <f aca="false">IF(D417="","",U417-(H417+E417-Q417-O417-T417))</f>
        <v>0</v>
      </c>
      <c r="X417" s="16" t="n">
        <f aca="false">IF(W417="","",ABS(W417))</f>
        <v>0</v>
      </c>
      <c r="Y417" s="16" t="n">
        <f aca="false">IF(U417="","",IF($B$8=0,0,U417/$B$8*100))</f>
        <v>28.1223323500999</v>
      </c>
      <c r="Z417" s="18" t="n">
        <f aca="false">IF(D417="","",MAX(0,IF(P417&gt;=0,P417,IF(K417+P417&gt;=0,0,P417+K417))))</f>
        <v>13.2793653357172</v>
      </c>
      <c r="AA417" s="18" t="n">
        <f aca="false">IF(D417="","",IF(H417&lt;=$B$16,1,IF(H417&gt;=$B$17,$B$21,MATCH(H417,Aux_CAV!$A$2:$A$121,1))))</f>
        <v>10</v>
      </c>
      <c r="AB417" s="18" t="n">
        <f aca="false">IF(D417="","",IF(L417&lt;=$B$16,1,IF(L417&gt;=$B$17,$B$21,MATCH(L417,Aux_CAV!$A$2:$A$121,1))))</f>
        <v>10</v>
      </c>
      <c r="AC417" s="19" t="n">
        <f aca="false">IF(D417="","",COUNT($D$24:D417))</f>
        <v>382</v>
      </c>
    </row>
    <row r="418" customFormat="false" ht="12.75" hidden="false" customHeight="true" outlineLevel="0" collapsed="false">
      <c r="A418" s="14" t="n">
        <f aca="false">IF(D418="","",DATE(B418,C418,1))</f>
        <v>15646</v>
      </c>
      <c r="B418" s="15" t="n">
        <f aca="false" t="array" ref="B418:B418">IF(D418="","",IFERROR(VALUE(INDEX(Vazoes_COLAR!$A$2:$A$200,INT((ROW()-24)/12)+1)),""))</f>
        <v>1942</v>
      </c>
      <c r="C418" s="15" t="n">
        <f aca="false">IF(D418="","",MOD(ROW()-24,12)+1)</f>
        <v>11</v>
      </c>
      <c r="D418" s="16" t="n">
        <f aca="false" t="array" ref="D418: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0.00641059090838063</v>
      </c>
      <c r="E418" s="16" t="n">
        <f aca="false">IF(D418="","",D418*$B$15)</f>
        <v>0.0166162516345226</v>
      </c>
      <c r="F418" s="16" t="n">
        <f aca="false" t="array" ref="F418:F418">IF(D418="","",IFERROR(INDEX(Dados_Evap!$C$2:$N$15,MATCH($B$9,Dados_Evap!$A$2:$A$15,0),C418),0))</f>
        <v>223.7</v>
      </c>
      <c r="G418" s="16" t="n">
        <f aca="false">IF(F418="","",F418/1000)</f>
        <v>0.2237</v>
      </c>
      <c r="H418" s="16" t="n">
        <f aca="false">IF(D418="","",MAX(0,MIN($B$8,IFERROR(LOOKUP(2,1/($U$24:U417&lt;&gt;""),$U$24:U417),$B$11))))</f>
        <v>13.2793653357172</v>
      </c>
      <c r="I418" s="16" t="n">
        <f aca="false" t="array" ref="I418: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>3.41794586686999</v>
      </c>
      <c r="J418" s="16" t="n">
        <f aca="false">IF(D418="","",$B$12)</f>
        <v>0.35</v>
      </c>
      <c r="K418" s="16" t="n">
        <f aca="false">IF(J418="","",J418*$B$15)</f>
        <v>0.9072</v>
      </c>
      <c r="L418" s="16" t="n">
        <f aca="false">IF(D418="","",H418+E418-K418-G418*I418)</f>
        <v>11.6241870969329</v>
      </c>
      <c r="M418" s="16" t="n">
        <f aca="false" t="array" ref="M418: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>3.27676889944427</v>
      </c>
      <c r="N418" s="16" t="n">
        <f aca="false">IF(D418="","",(I418+M418)/2)</f>
        <v>3.34735738315713</v>
      </c>
      <c r="O418" s="16" t="n">
        <f aca="false">IF(D418="","",G418*N418)</f>
        <v>0.748803846612251</v>
      </c>
      <c r="P418" s="16" t="n">
        <f aca="false">IF(D418="","",H418+E418-K418-O418)</f>
        <v>11.6399777407394</v>
      </c>
      <c r="Q418" s="16" t="n">
        <f aca="false">IF(D418="","",IF(P418&gt;=0,K418,MAX(0,K418+P418)))</f>
        <v>0.9072</v>
      </c>
      <c r="R418" s="16" t="n">
        <f aca="false">IF(D418="","",Q418/$B$15)</f>
        <v>0.35</v>
      </c>
      <c r="S418" s="16" t="n">
        <f aca="false">IF(D418="","",MAX(0,J418-R418))</f>
        <v>0</v>
      </c>
      <c r="T418" s="16" t="n">
        <f aca="false">IF(D418="","",MAX(0,Z418-$B$8))</f>
        <v>0</v>
      </c>
      <c r="U418" s="16" t="n">
        <f aca="false">IF(D418="","",MAX(0,MIN($B$8,Z418)))</f>
        <v>11.6399777407394</v>
      </c>
      <c r="V418" s="16" t="str">
        <f aca="false">IF(D418="","",IF(S418&gt;0.0000001,"Sim","Não"))</f>
        <v>Não</v>
      </c>
      <c r="W418" s="16" t="n">
        <f aca="false">IF(D418="","",U418-(H418+E418-Q418-O418-T418))</f>
        <v>0</v>
      </c>
      <c r="X418" s="16" t="n">
        <f aca="false">IF(W418="","",ABS(W418))</f>
        <v>0</v>
      </c>
      <c r="Y418" s="16" t="n">
        <f aca="false">IF(U418="","",IF($B$8=0,0,U418/$B$8*100))</f>
        <v>24.6505246521377</v>
      </c>
      <c r="Z418" s="18" t="n">
        <f aca="false">IF(D418="","",MAX(0,IF(P418&gt;=0,P418,IF(K418+P418&gt;=0,0,P418+K418))))</f>
        <v>11.6399777407394</v>
      </c>
      <c r="AA418" s="18" t="n">
        <f aca="false">IF(D418="","",IF(H418&lt;=$B$16,1,IF(H418&gt;=$B$17,$B$21,MATCH(H418,Aux_CAV!$A$2:$A$121,1))))</f>
        <v>10</v>
      </c>
      <c r="AB418" s="18" t="n">
        <f aca="false">IF(D418="","",IF(L418&lt;=$B$16,1,IF(L418&gt;=$B$17,$B$21,MATCH(L418,Aux_CAV!$A$2:$A$121,1))))</f>
        <v>10</v>
      </c>
      <c r="AC418" s="19" t="n">
        <f aca="false">IF(D418="","",COUNT($D$24:D418))</f>
        <v>383</v>
      </c>
    </row>
    <row r="419" customFormat="false" ht="12.75" hidden="false" customHeight="true" outlineLevel="0" collapsed="false">
      <c r="A419" s="14" t="n">
        <f aca="false">IF(D419="","",DATE(B419,C419,1))</f>
        <v>15676</v>
      </c>
      <c r="B419" s="15" t="n">
        <f aca="false" t="array" ref="B419:B419">IF(D419="","",IFERROR(VALUE(INDEX(Vazoes_COLAR!$A$2:$A$200,INT((ROW()-24)/12)+1)),""))</f>
        <v>1942</v>
      </c>
      <c r="C419" s="15" t="n">
        <f aca="false">IF(D419="","",MOD(ROW()-24,12)+1)</f>
        <v>12</v>
      </c>
      <c r="D419" s="16" t="n">
        <f aca="false" t="array" ref="D419: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0.0672181165367843</v>
      </c>
      <c r="E419" s="16" t="n">
        <f aca="false">IF(D419="","",D419*$B$15)</f>
        <v>0.174229358063345</v>
      </c>
      <c r="F419" s="16" t="n">
        <f aca="false" t="array" ref="F419:F419">IF(D419="","",IFERROR(INDEX(Dados_Evap!$C$2:$N$15,MATCH($B$9,Dados_Evap!$A$2:$A$15,0),C419),0))</f>
        <v>216.1</v>
      </c>
      <c r="G419" s="16" t="n">
        <f aca="false">IF(F419="","",F419/1000)</f>
        <v>0.2161</v>
      </c>
      <c r="H419" s="16" t="n">
        <f aca="false">IF(D419="","",MAX(0,MIN($B$8,IFERROR(LOOKUP(2,1/($U$24:U418&lt;&gt;""),$U$24:U418),$B$11))))</f>
        <v>11.6399777407394</v>
      </c>
      <c r="I419" s="16" t="n">
        <f aca="false" t="array" ref="I419: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>3.27811574847483</v>
      </c>
      <c r="J419" s="16" t="n">
        <f aca="false">IF(D419="","",$B$12)</f>
        <v>0.35</v>
      </c>
      <c r="K419" s="16" t="n">
        <f aca="false">IF(J419="","",J419*$B$15)</f>
        <v>0.9072</v>
      </c>
      <c r="L419" s="16" t="n">
        <f aca="false">IF(D419="","",H419+E419-K419-G419*I419)</f>
        <v>10.1986062855574</v>
      </c>
      <c r="M419" s="16" t="n">
        <f aca="false" t="array" ref="M419: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>3.15517524200342</v>
      </c>
      <c r="N419" s="16" t="n">
        <f aca="false">IF(D419="","",(I419+M419)/2)</f>
        <v>3.21664549523913</v>
      </c>
      <c r="O419" s="16" t="n">
        <f aca="false">IF(D419="","",G419*N419)</f>
        <v>0.695117091521175</v>
      </c>
      <c r="P419" s="16" t="n">
        <f aca="false">IF(D419="","",H419+E419-K419-O419)</f>
        <v>10.2118900072816</v>
      </c>
      <c r="Q419" s="16" t="n">
        <f aca="false">IF(D419="","",IF(P419&gt;=0,K419,MAX(0,K419+P419)))</f>
        <v>0.9072</v>
      </c>
      <c r="R419" s="16" t="n">
        <f aca="false">IF(D419="","",Q419/$B$15)</f>
        <v>0.35</v>
      </c>
      <c r="S419" s="16" t="n">
        <f aca="false">IF(D419="","",MAX(0,J419-R419))</f>
        <v>0</v>
      </c>
      <c r="T419" s="16" t="n">
        <f aca="false">IF(D419="","",MAX(0,Z419-$B$8))</f>
        <v>0</v>
      </c>
      <c r="U419" s="16" t="n">
        <f aca="false">IF(D419="","",MAX(0,MIN($B$8,Z419)))</f>
        <v>10.2118900072816</v>
      </c>
      <c r="V419" s="16" t="str">
        <f aca="false">IF(D419="","",IF(S419&gt;0.0000001,"Sim","Não"))</f>
        <v>Não</v>
      </c>
      <c r="W419" s="16" t="n">
        <f aca="false">IF(D419="","",U419-(H419+E419-Q419-O419-T419))</f>
        <v>0</v>
      </c>
      <c r="X419" s="16" t="n">
        <f aca="false">IF(W419="","",ABS(W419))</f>
        <v>0</v>
      </c>
      <c r="Y419" s="16" t="n">
        <f aca="false">IF(U419="","",IF($B$8=0,0,U419/$B$8*100))</f>
        <v>21.626196542316</v>
      </c>
      <c r="Z419" s="18" t="n">
        <f aca="false">IF(D419="","",MAX(0,IF(P419&gt;=0,P419,IF(K419+P419&gt;=0,0,P419+K419))))</f>
        <v>10.2118900072816</v>
      </c>
      <c r="AA419" s="18" t="n">
        <f aca="false">IF(D419="","",IF(H419&lt;=$B$16,1,IF(H419&gt;=$B$17,$B$21,MATCH(H419,Aux_CAV!$A$2:$A$121,1))))</f>
        <v>10</v>
      </c>
      <c r="AB419" s="18" t="n">
        <f aca="false">IF(D419="","",IF(L419&lt;=$B$16,1,IF(L419&gt;=$B$17,$B$21,MATCH(L419,Aux_CAV!$A$2:$A$121,1))))</f>
        <v>10</v>
      </c>
      <c r="AC419" s="19" t="n">
        <f aca="false">IF(D419="","",COUNT($D$24:D419))</f>
        <v>384</v>
      </c>
    </row>
    <row r="420" customFormat="false" ht="12.75" hidden="false" customHeight="true" outlineLevel="0" collapsed="false">
      <c r="A420" s="14" t="n">
        <f aca="false">IF(D420="","",DATE(B420,C420,1))</f>
        <v>15707</v>
      </c>
      <c r="B420" s="15" t="n">
        <f aca="false" t="array" ref="B420:B420">IF(D420="","",IFERROR(VALUE(INDEX(Vazoes_COLAR!$A$2:$A$200,INT((ROW()-24)/12)+1)),""))</f>
        <v>1943</v>
      </c>
      <c r="C420" s="15" t="n">
        <f aca="false">IF(D420="","",MOD(ROW()-24,12)+1)</f>
        <v>1</v>
      </c>
      <c r="D420" s="16" t="n">
        <f aca="false" t="array" ref="D420: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0.173878118848599</v>
      </c>
      <c r="E420" s="16" t="n">
        <f aca="false">IF(D420="","",D420*$B$15)</f>
        <v>0.450692084055569</v>
      </c>
      <c r="F420" s="16" t="n">
        <f aca="false" t="array" ref="F420:F420">IF(D420="","",IFERROR(INDEX(Dados_Evap!$C$2:$N$15,MATCH($B$9,Dados_Evap!$A$2:$A$15,0),C420),0))</f>
        <v>160</v>
      </c>
      <c r="G420" s="16" t="n">
        <f aca="false">IF(F420="","",F420/1000)</f>
        <v>0.16</v>
      </c>
      <c r="H420" s="16" t="n">
        <f aca="false">IF(D420="","",MAX(0,MIN($B$8,IFERROR(LOOKUP(2,1/($U$24:U419&lt;&gt;""),$U$24:U419),$B$11))))</f>
        <v>10.2118900072816</v>
      </c>
      <c r="I420" s="16" t="n">
        <f aca="false" t="array" ref="I420: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>3.15630826532696</v>
      </c>
      <c r="J420" s="16" t="n">
        <f aca="false">IF(D420="","",$B$12)</f>
        <v>0.35</v>
      </c>
      <c r="K420" s="16" t="n">
        <f aca="false">IF(J420="","",J420*$B$15)</f>
        <v>0.9072</v>
      </c>
      <c r="L420" s="16" t="n">
        <f aca="false">IF(D420="","",H420+E420-K420-G420*I420)</f>
        <v>9.25037276888485</v>
      </c>
      <c r="M420" s="16" t="n">
        <f aca="false" t="array" ref="M420: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>3.07429650087547</v>
      </c>
      <c r="N420" s="16" t="n">
        <f aca="false">IF(D420="","",(I420+M420)/2)</f>
        <v>3.11530238310122</v>
      </c>
      <c r="O420" s="16" t="n">
        <f aca="false">IF(D420="","",G420*N420)</f>
        <v>0.498448381296195</v>
      </c>
      <c r="P420" s="16" t="n">
        <f aca="false">IF(D420="","",H420+E420-K420-O420)</f>
        <v>9.25693371004097</v>
      </c>
      <c r="Q420" s="16" t="n">
        <f aca="false">IF(D420="","",IF(P420&gt;=0,K420,MAX(0,K420+P420)))</f>
        <v>0.9072</v>
      </c>
      <c r="R420" s="16" t="n">
        <f aca="false">IF(D420="","",Q420/$B$15)</f>
        <v>0.35</v>
      </c>
      <c r="S420" s="16" t="n">
        <f aca="false">IF(D420="","",MAX(0,J420-R420))</f>
        <v>0</v>
      </c>
      <c r="T420" s="16" t="n">
        <f aca="false">IF(D420="","",MAX(0,Z420-$B$8))</f>
        <v>0</v>
      </c>
      <c r="U420" s="16" t="n">
        <f aca="false">IF(D420="","",MAX(0,MIN($B$8,Z420)))</f>
        <v>9.25693371004097</v>
      </c>
      <c r="V420" s="16" t="str">
        <f aca="false">IF(D420="","",IF(S420&gt;0.0000001,"Sim","Não"))</f>
        <v>Não</v>
      </c>
      <c r="W420" s="16" t="n">
        <f aca="false">IF(D420="","",U420-(H420+E420-Q420-O420-T420))</f>
        <v>0</v>
      </c>
      <c r="X420" s="16" t="n">
        <f aca="false">IF(W420="","",ABS(W420))</f>
        <v>0</v>
      </c>
      <c r="Y420" s="16" t="n">
        <f aca="false">IF(U420="","",IF($B$8=0,0,U420/$B$8*100))</f>
        <v>19.6038409784857</v>
      </c>
      <c r="Z420" s="18" t="n">
        <f aca="false">IF(D420="","",MAX(0,IF(P420&gt;=0,P420,IF(K420+P420&gt;=0,0,P420+K420))))</f>
        <v>9.25693371004097</v>
      </c>
      <c r="AA420" s="18" t="n">
        <f aca="false">IF(D420="","",IF(H420&lt;=$B$16,1,IF(H420&gt;=$B$17,$B$21,MATCH(H420,Aux_CAV!$A$2:$A$121,1))))</f>
        <v>10</v>
      </c>
      <c r="AB420" s="18" t="n">
        <f aca="false">IF(D420="","",IF(L420&lt;=$B$16,1,IF(L420&gt;=$B$17,$B$21,MATCH(L420,Aux_CAV!$A$2:$A$121,1))))</f>
        <v>10</v>
      </c>
      <c r="AC420" s="19" t="n">
        <f aca="false">IF(D420="","",COUNT($D$24:D420))</f>
        <v>385</v>
      </c>
    </row>
    <row r="421" customFormat="false" ht="12.75" hidden="false" customHeight="true" outlineLevel="0" collapsed="false">
      <c r="A421" s="14" t="n">
        <f aca="false">IF(D421="","",DATE(B421,C421,1))</f>
        <v>15738</v>
      </c>
      <c r="B421" s="15" t="n">
        <f aca="false" t="array" ref="B421:B421">IF(D421="","",IFERROR(VALUE(INDEX(Vazoes_COLAR!$A$2:$A$200,INT((ROW()-24)/12)+1)),""))</f>
        <v>1943</v>
      </c>
      <c r="C421" s="15" t="n">
        <f aca="false">IF(D421="","",MOD(ROW()-24,12)+1)</f>
        <v>2</v>
      </c>
      <c r="D421" s="16" t="n">
        <f aca="false" t="array" ref="D421: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0.36032660874104</v>
      </c>
      <c r="E421" s="16" t="n">
        <f aca="false">IF(D421="","",D421*$B$15)</f>
        <v>0.933966569856776</v>
      </c>
      <c r="F421" s="16" t="n">
        <f aca="false" t="array" ref="F421:F421">IF(D421="","",IFERROR(INDEX(Dados_Evap!$C$2:$N$15,MATCH($B$9,Dados_Evap!$A$2:$A$15,0),C421),0))</f>
        <v>124.3</v>
      </c>
      <c r="G421" s="16" t="n">
        <f aca="false">IF(F421="","",F421/1000)</f>
        <v>0.1243</v>
      </c>
      <c r="H421" s="16" t="n">
        <f aca="false">IF(D421="","",MAX(0,MIN($B$8,IFERROR(LOOKUP(2,1/($U$24:U420&lt;&gt;""),$U$24:U420),$B$11))))</f>
        <v>9.25693371004097</v>
      </c>
      <c r="I421" s="16" t="n">
        <f aca="false" t="array" ref="I421: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>3.07485611056232</v>
      </c>
      <c r="J421" s="16" t="n">
        <f aca="false">IF(D421="","",$B$12)</f>
        <v>0.35</v>
      </c>
      <c r="K421" s="16" t="n">
        <f aca="false">IF(J421="","",J421*$B$15)</f>
        <v>0.9072</v>
      </c>
      <c r="L421" s="16" t="n">
        <f aca="false">IF(D421="","",H421+E421-K421-G421*I421)</f>
        <v>8.90149566535485</v>
      </c>
      <c r="M421" s="16" t="n">
        <f aca="false" t="array" ref="M421: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>2.9791784683952</v>
      </c>
      <c r="N421" s="16" t="n">
        <f aca="false">IF(D421="","",(I421+M421)/2)</f>
        <v>3.02701728947876</v>
      </c>
      <c r="O421" s="16" t="n">
        <f aca="false">IF(D421="","",G421*N421)</f>
        <v>0.37625824908221</v>
      </c>
      <c r="P421" s="16" t="n">
        <f aca="false">IF(D421="","",H421+E421-K421-O421)</f>
        <v>8.90744203081554</v>
      </c>
      <c r="Q421" s="16" t="n">
        <f aca="false">IF(D421="","",IF(P421&gt;=0,K421,MAX(0,K421+P421)))</f>
        <v>0.9072</v>
      </c>
      <c r="R421" s="16" t="n">
        <f aca="false">IF(D421="","",Q421/$B$15)</f>
        <v>0.35</v>
      </c>
      <c r="S421" s="16" t="n">
        <f aca="false">IF(D421="","",MAX(0,J421-R421))</f>
        <v>0</v>
      </c>
      <c r="T421" s="16" t="n">
        <f aca="false">IF(D421="","",MAX(0,Z421-$B$8))</f>
        <v>0</v>
      </c>
      <c r="U421" s="16" t="n">
        <f aca="false">IF(D421="","",MAX(0,MIN($B$8,Z421)))</f>
        <v>8.90744203081554</v>
      </c>
      <c r="V421" s="16" t="str">
        <f aca="false">IF(D421="","",IF(S421&gt;0.0000001,"Sim","Não"))</f>
        <v>Não</v>
      </c>
      <c r="W421" s="16" t="n">
        <f aca="false">IF(D421="","",U421-(H421+E421-Q421-O421-T421))</f>
        <v>0</v>
      </c>
      <c r="X421" s="16" t="n">
        <f aca="false">IF(W421="","",ABS(W421))</f>
        <v>0</v>
      </c>
      <c r="Y421" s="16" t="n">
        <f aca="false">IF(U421="","",IF($B$8=0,0,U421/$B$8*100))</f>
        <v>18.8637061220151</v>
      </c>
      <c r="Z421" s="18" t="n">
        <f aca="false">IF(D421="","",MAX(0,IF(P421&gt;=0,P421,IF(K421+P421&gt;=0,0,P421+K421))))</f>
        <v>8.90744203081554</v>
      </c>
      <c r="AA421" s="18" t="n">
        <f aca="false">IF(D421="","",IF(H421&lt;=$B$16,1,IF(H421&gt;=$B$17,$B$21,MATCH(H421,Aux_CAV!$A$2:$A$121,1))))</f>
        <v>10</v>
      </c>
      <c r="AB421" s="18" t="n">
        <f aca="false">IF(D421="","",IF(L421&lt;=$B$16,1,IF(L421&gt;=$B$17,$B$21,MATCH(L421,Aux_CAV!$A$2:$A$121,1))))</f>
        <v>9</v>
      </c>
      <c r="AC421" s="19" t="n">
        <f aca="false">IF(D421="","",COUNT($D$24:D421))</f>
        <v>386</v>
      </c>
    </row>
    <row r="422" customFormat="false" ht="12.75" hidden="false" customHeight="true" outlineLevel="0" collapsed="false">
      <c r="A422" s="14" t="n">
        <f aca="false">IF(D422="","",DATE(B422,C422,1))</f>
        <v>15766</v>
      </c>
      <c r="B422" s="15" t="n">
        <f aca="false" t="array" ref="B422:B422">IF(D422="","",IFERROR(VALUE(INDEX(Vazoes_COLAR!$A$2:$A$200,INT((ROW()-24)/12)+1)),""))</f>
        <v>1943</v>
      </c>
      <c r="C422" s="15" t="n">
        <f aca="false">IF(D422="","",MOD(ROW()-24,12)+1)</f>
        <v>3</v>
      </c>
      <c r="D422" s="16" t="n">
        <f aca="false" t="array" ref="D422: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3.13050748356129</v>
      </c>
      <c r="E422" s="16" t="n">
        <f aca="false">IF(D422="","",D422*$B$15)</f>
        <v>8.11427539739086</v>
      </c>
      <c r="F422" s="16" t="n">
        <f aca="false" t="array" ref="F422:F422">IF(D422="","",IFERROR(INDEX(Dados_Evap!$C$2:$N$15,MATCH($B$9,Dados_Evap!$A$2:$A$15,0),C422),0))</f>
        <v>107.7</v>
      </c>
      <c r="G422" s="16" t="n">
        <f aca="false">IF(F422="","",F422/1000)</f>
        <v>0.1077</v>
      </c>
      <c r="H422" s="16" t="n">
        <f aca="false">IF(D422="","",MAX(0,MIN($B$8,IFERROR(LOOKUP(2,1/($U$24:U421&lt;&gt;""),$U$24:U421),$B$11))))</f>
        <v>8.90744203081554</v>
      </c>
      <c r="I422" s="16" t="n">
        <f aca="false" t="array" ref="I422: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>2.98098768171622</v>
      </c>
      <c r="J422" s="16" t="n">
        <f aca="false">IF(D422="","",$B$12)</f>
        <v>0.35</v>
      </c>
      <c r="K422" s="16" t="n">
        <f aca="false">IF(J422="","",J422*$B$15)</f>
        <v>0.9072</v>
      </c>
      <c r="L422" s="16" t="n">
        <f aca="false">IF(D422="","",H422+E422-K422-G422*I422)</f>
        <v>15.7934650548856</v>
      </c>
      <c r="M422" s="16" t="n">
        <f aca="false" t="array" ref="M422: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>3.63238378409318</v>
      </c>
      <c r="N422" s="16" t="n">
        <f aca="false">IF(D422="","",(I422+M422)/2)</f>
        <v>3.3066857329047</v>
      </c>
      <c r="O422" s="16" t="n">
        <f aca="false">IF(D422="","",G422*N422)</f>
        <v>0.356130053433836</v>
      </c>
      <c r="P422" s="16" t="n">
        <f aca="false">IF(D422="","",H422+E422-K422-O422)</f>
        <v>15.7583873747726</v>
      </c>
      <c r="Q422" s="16" t="n">
        <f aca="false">IF(D422="","",IF(P422&gt;=0,K422,MAX(0,K422+P422)))</f>
        <v>0.9072</v>
      </c>
      <c r="R422" s="16" t="n">
        <f aca="false">IF(D422="","",Q422/$B$15)</f>
        <v>0.35</v>
      </c>
      <c r="S422" s="16" t="n">
        <f aca="false">IF(D422="","",MAX(0,J422-R422))</f>
        <v>0</v>
      </c>
      <c r="T422" s="16" t="n">
        <f aca="false">IF(D422="","",MAX(0,Z422-$B$8))</f>
        <v>0</v>
      </c>
      <c r="U422" s="16" t="n">
        <f aca="false">IF(D422="","",MAX(0,MIN($B$8,Z422)))</f>
        <v>15.7583873747726</v>
      </c>
      <c r="V422" s="16" t="str">
        <f aca="false">IF(D422="","",IF(S422&gt;0.0000001,"Sim","Não"))</f>
        <v>Não</v>
      </c>
      <c r="W422" s="16" t="n">
        <f aca="false">IF(D422="","",U422-(H422+E422-Q422-O422-T422))</f>
        <v>0</v>
      </c>
      <c r="X422" s="16" t="n">
        <f aca="false">IF(W422="","",ABS(W422))</f>
        <v>0</v>
      </c>
      <c r="Y422" s="16" t="n">
        <f aca="false">IF(U422="","",IF($B$8=0,0,U422/$B$8*100))</f>
        <v>33.3722731359012</v>
      </c>
      <c r="Z422" s="18" t="n">
        <f aca="false">IF(D422="","",MAX(0,IF(P422&gt;=0,P422,IF(K422+P422&gt;=0,0,P422+K422))))</f>
        <v>15.7583873747726</v>
      </c>
      <c r="AA422" s="18" t="n">
        <f aca="false">IF(D422="","",IF(H422&lt;=$B$16,1,IF(H422&gt;=$B$17,$B$21,MATCH(H422,Aux_CAV!$A$2:$A$121,1))))</f>
        <v>9</v>
      </c>
      <c r="AB422" s="18" t="n">
        <f aca="false">IF(D422="","",IF(L422&lt;=$B$16,1,IF(L422&gt;=$B$17,$B$21,MATCH(L422,Aux_CAV!$A$2:$A$121,1))))</f>
        <v>10</v>
      </c>
      <c r="AC422" s="19" t="n">
        <f aca="false">IF(D422="","",COUNT($D$24:D422))</f>
        <v>387</v>
      </c>
    </row>
    <row r="423" customFormat="false" ht="12.75" hidden="false" customHeight="true" outlineLevel="0" collapsed="false">
      <c r="A423" s="14" t="n">
        <f aca="false">IF(D423="","",DATE(B423,C423,1))</f>
        <v>15797</v>
      </c>
      <c r="B423" s="15" t="n">
        <f aca="false" t="array" ref="B423:B423">IF(D423="","",IFERROR(VALUE(INDEX(Vazoes_COLAR!$A$2:$A$200,INT((ROW()-24)/12)+1)),""))</f>
        <v>1943</v>
      </c>
      <c r="C423" s="15" t="n">
        <f aca="false">IF(D423="","",MOD(ROW()-24,12)+1)</f>
        <v>4</v>
      </c>
      <c r="D423" s="16" t="n">
        <f aca="false" t="array" ref="D423: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2.822302514928</v>
      </c>
      <c r="E423" s="16" t="n">
        <f aca="false">IF(D423="","",D423*$B$15)</f>
        <v>7.31540811869338</v>
      </c>
      <c r="F423" s="16" t="n">
        <f aca="false" t="array" ref="F423:F423">IF(D423="","",IFERROR(INDEX(Dados_Evap!$C$2:$N$15,MATCH($B$9,Dados_Evap!$A$2:$A$15,0),C423),0))</f>
        <v>100.5</v>
      </c>
      <c r="G423" s="16" t="n">
        <f aca="false">IF(F423="","",F423/1000)</f>
        <v>0.1005</v>
      </c>
      <c r="H423" s="16" t="n">
        <f aca="false">IF(D423="","",MAX(0,MIN($B$8,IFERROR(LOOKUP(2,1/($U$24:U422&lt;&gt;""),$U$24:U422),$B$11))))</f>
        <v>15.7583873747726</v>
      </c>
      <c r="I423" s="16" t="n">
        <f aca="false" t="array" ref="I423: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>3.62939186431884</v>
      </c>
      <c r="J423" s="16" t="n">
        <f aca="false">IF(D423="","",$B$12)</f>
        <v>0.35</v>
      </c>
      <c r="K423" s="16" t="n">
        <f aca="false">IF(J423="","",J423*$B$15)</f>
        <v>0.9072</v>
      </c>
      <c r="L423" s="16" t="n">
        <f aca="false">IF(D423="","",H423+E423-K423-G423*I423)</f>
        <v>21.8018416111019</v>
      </c>
      <c r="M423" s="16" t="n">
        <f aca="false" t="array" ref="M423: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>4.34339082669267</v>
      </c>
      <c r="N423" s="16" t="n">
        <f aca="false">IF(D423="","",(I423+M423)/2)</f>
        <v>3.98639134550575</v>
      </c>
      <c r="O423" s="16" t="n">
        <f aca="false">IF(D423="","",G423*N423)</f>
        <v>0.400632330223328</v>
      </c>
      <c r="P423" s="16" t="n">
        <f aca="false">IF(D423="","",H423+E423-K423-O423)</f>
        <v>21.7659631632426</v>
      </c>
      <c r="Q423" s="16" t="n">
        <f aca="false">IF(D423="","",IF(P423&gt;=0,K423,MAX(0,K423+P423)))</f>
        <v>0.9072</v>
      </c>
      <c r="R423" s="16" t="n">
        <f aca="false">IF(D423="","",Q423/$B$15)</f>
        <v>0.35</v>
      </c>
      <c r="S423" s="16" t="n">
        <f aca="false">IF(D423="","",MAX(0,J423-R423))</f>
        <v>0</v>
      </c>
      <c r="T423" s="16" t="n">
        <f aca="false">IF(D423="","",MAX(0,Z423-$B$8))</f>
        <v>0</v>
      </c>
      <c r="U423" s="16" t="n">
        <f aca="false">IF(D423="","",MAX(0,MIN($B$8,Z423)))</f>
        <v>21.7659631632426</v>
      </c>
      <c r="V423" s="16" t="str">
        <f aca="false">IF(D423="","",IF(S423&gt;0.0000001,"Sim","Não"))</f>
        <v>Não</v>
      </c>
      <c r="W423" s="16" t="n">
        <f aca="false">IF(D423="","",U423-(H423+E423-Q423-O423-T423))</f>
        <v>0</v>
      </c>
      <c r="X423" s="16" t="n">
        <f aca="false">IF(W423="","",ABS(W423))</f>
        <v>0</v>
      </c>
      <c r="Y423" s="16" t="n">
        <f aca="false">IF(U423="","",IF($B$8=0,0,U423/$B$8*100))</f>
        <v>46.0947970420216</v>
      </c>
      <c r="Z423" s="18" t="n">
        <f aca="false">IF(D423="","",MAX(0,IF(P423&gt;=0,P423,IF(K423+P423&gt;=0,0,P423+K423))))</f>
        <v>21.7659631632426</v>
      </c>
      <c r="AA423" s="18" t="n">
        <f aca="false">IF(D423="","",IF(H423&lt;=$B$16,1,IF(H423&gt;=$B$17,$B$21,MATCH(H423,Aux_CAV!$A$2:$A$121,1))))</f>
        <v>10</v>
      </c>
      <c r="AB423" s="18" t="n">
        <f aca="false">IF(D423="","",IF(L423&lt;=$B$16,1,IF(L423&gt;=$B$17,$B$21,MATCH(L423,Aux_CAV!$A$2:$A$121,1))))</f>
        <v>11</v>
      </c>
      <c r="AC423" s="19" t="n">
        <f aca="false">IF(D423="","",COUNT($D$24:D423))</f>
        <v>388</v>
      </c>
    </row>
    <row r="424" customFormat="false" ht="12.75" hidden="false" customHeight="true" outlineLevel="0" collapsed="false">
      <c r="A424" s="14" t="n">
        <f aca="false">IF(D424="","",DATE(B424,C424,1))</f>
        <v>15827</v>
      </c>
      <c r="B424" s="15" t="n">
        <f aca="false" t="array" ref="B424:B424">IF(D424="","",IFERROR(VALUE(INDEX(Vazoes_COLAR!$A$2:$A$200,INT((ROW()-24)/12)+1)),""))</f>
        <v>1943</v>
      </c>
      <c r="C424" s="15" t="n">
        <f aca="false">IF(D424="","",MOD(ROW()-24,12)+1)</f>
        <v>5</v>
      </c>
      <c r="D424" s="16" t="n">
        <f aca="false" t="array" ref="D424: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0.667893945595586</v>
      </c>
      <c r="E424" s="16" t="n">
        <f aca="false">IF(D424="","",D424*$B$15)</f>
        <v>1.73118110698376</v>
      </c>
      <c r="F424" s="16" t="n">
        <f aca="false" t="array" ref="F424:F424">IF(D424="","",IFERROR(INDEX(Dados_Evap!$C$2:$N$15,MATCH($B$9,Dados_Evap!$A$2:$A$15,0),C424),0))</f>
        <v>145.8</v>
      </c>
      <c r="G424" s="16" t="n">
        <f aca="false">IF(F424="","",F424/1000)</f>
        <v>0.1458</v>
      </c>
      <c r="H424" s="16" t="n">
        <f aca="false">IF(D424="","",MAX(0,MIN($B$8,IFERROR(LOOKUP(2,1/($U$24:U423&lt;&gt;""),$U$24:U423),$B$11))))</f>
        <v>21.7659631632426</v>
      </c>
      <c r="I424" s="16" t="n">
        <f aca="false" t="array" ref="I424: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>4.33910291463143</v>
      </c>
      <c r="J424" s="16" t="n">
        <f aca="false">IF(D424="","",$B$12)</f>
        <v>0.35</v>
      </c>
      <c r="K424" s="16" t="n">
        <f aca="false">IF(J424="","",J424*$B$15)</f>
        <v>0.9072</v>
      </c>
      <c r="L424" s="16" t="n">
        <f aca="false">IF(D424="","",H424+E424-K424-G424*I424)</f>
        <v>21.9573030652731</v>
      </c>
      <c r="M424" s="16" t="n">
        <f aca="false" t="array" ref="M424: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>4.36197036633752</v>
      </c>
      <c r="N424" s="16" t="n">
        <f aca="false">IF(D424="","",(I424+M424)/2)</f>
        <v>4.35053664048448</v>
      </c>
      <c r="O424" s="16" t="n">
        <f aca="false">IF(D424="","",G424*N424)</f>
        <v>0.634308242182637</v>
      </c>
      <c r="P424" s="16" t="n">
        <f aca="false">IF(D424="","",H424+E424-K424-O424)</f>
        <v>21.9556360280437</v>
      </c>
      <c r="Q424" s="16" t="n">
        <f aca="false">IF(D424="","",IF(P424&gt;=0,K424,MAX(0,K424+P424)))</f>
        <v>0.9072</v>
      </c>
      <c r="R424" s="16" t="n">
        <f aca="false">IF(D424="","",Q424/$B$15)</f>
        <v>0.35</v>
      </c>
      <c r="S424" s="16" t="n">
        <f aca="false">IF(D424="","",MAX(0,J424-R424))</f>
        <v>0</v>
      </c>
      <c r="T424" s="16" t="n">
        <f aca="false">IF(D424="","",MAX(0,Z424-$B$8))</f>
        <v>0</v>
      </c>
      <c r="U424" s="16" t="n">
        <f aca="false">IF(D424="","",MAX(0,MIN($B$8,Z424)))</f>
        <v>21.9556360280437</v>
      </c>
      <c r="V424" s="16" t="str">
        <f aca="false">IF(D424="","",IF(S424&gt;0.0000001,"Sim","Não"))</f>
        <v>Não</v>
      </c>
      <c r="W424" s="16" t="n">
        <f aca="false">IF(D424="","",U424-(H424+E424-Q424-O424-T424))</f>
        <v>0</v>
      </c>
      <c r="X424" s="16" t="n">
        <f aca="false">IF(W424="","",ABS(W424))</f>
        <v>0</v>
      </c>
      <c r="Y424" s="16" t="n">
        <f aca="false">IF(U424="","",IF($B$8=0,0,U424/$B$8*100))</f>
        <v>46.4964761288516</v>
      </c>
      <c r="Z424" s="18" t="n">
        <f aca="false">IF(D424="","",MAX(0,IF(P424&gt;=0,P424,IF(K424+P424&gt;=0,0,P424+K424))))</f>
        <v>21.9556360280437</v>
      </c>
      <c r="AA424" s="18" t="n">
        <f aca="false">IF(D424="","",IF(H424&lt;=$B$16,1,IF(H424&gt;=$B$17,$B$21,MATCH(H424,Aux_CAV!$A$2:$A$121,1))))</f>
        <v>11</v>
      </c>
      <c r="AB424" s="18" t="n">
        <f aca="false">IF(D424="","",IF(L424&lt;=$B$16,1,IF(L424&gt;=$B$17,$B$21,MATCH(L424,Aux_CAV!$A$2:$A$121,1))))</f>
        <v>11</v>
      </c>
      <c r="AC424" s="19" t="n">
        <f aca="false">IF(D424="","",COUNT($D$24:D424))</f>
        <v>389</v>
      </c>
    </row>
    <row r="425" customFormat="false" ht="12.75" hidden="false" customHeight="true" outlineLevel="0" collapsed="false">
      <c r="A425" s="14" t="n">
        <f aca="false">IF(D425="","",DATE(B425,C425,1))</f>
        <v>15858</v>
      </c>
      <c r="B425" s="15" t="n">
        <f aca="false" t="array" ref="B425:B425">IF(D425="","",IFERROR(VALUE(INDEX(Vazoes_COLAR!$A$2:$A$200,INT((ROW()-24)/12)+1)),""))</f>
        <v>1943</v>
      </c>
      <c r="C425" s="15" t="n">
        <f aca="false">IF(D425="","",MOD(ROW()-24,12)+1)</f>
        <v>6</v>
      </c>
      <c r="D425" s="16" t="n">
        <f aca="false" t="array" ref="D425: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0.111367640762498</v>
      </c>
      <c r="E425" s="16" t="n">
        <f aca="false">IF(D425="","",D425*$B$15)</f>
        <v>0.288664924856395</v>
      </c>
      <c r="F425" s="16" t="n">
        <f aca="false" t="array" ref="F425:F425">IF(D425="","",IFERROR(INDEX(Dados_Evap!$C$2:$N$15,MATCH($B$9,Dados_Evap!$A$2:$A$15,0),C425),0))</f>
        <v>161.3</v>
      </c>
      <c r="G425" s="16" t="n">
        <f aca="false">IF(F425="","",F425/1000)</f>
        <v>0.1613</v>
      </c>
      <c r="H425" s="16" t="n">
        <f aca="false">IF(D425="","",MAX(0,MIN($B$8,IFERROR(LOOKUP(2,1/($U$24:U424&lt;&gt;""),$U$24:U424),$B$11))))</f>
        <v>21.9556360280437</v>
      </c>
      <c r="I425" s="16" t="n">
        <f aca="false" t="array" ref="I425: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>4.36177113505889</v>
      </c>
      <c r="J425" s="16" t="n">
        <f aca="false">IF(D425="","",$B$12)</f>
        <v>0.35</v>
      </c>
      <c r="K425" s="16" t="n">
        <f aca="false">IF(J425="","",J425*$B$15)</f>
        <v>0.9072</v>
      </c>
      <c r="L425" s="16" t="n">
        <f aca="false">IF(D425="","",H425+E425-K425-G425*I425)</f>
        <v>20.6335472688151</v>
      </c>
      <c r="M425" s="16" t="n">
        <f aca="false" t="array" ref="M425: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>4.20376540529742</v>
      </c>
      <c r="N425" s="16" t="n">
        <f aca="false">IF(D425="","",(I425+M425)/2)</f>
        <v>4.28276827017815</v>
      </c>
      <c r="O425" s="16" t="n">
        <f aca="false">IF(D425="","",G425*N425)</f>
        <v>0.690810521979736</v>
      </c>
      <c r="P425" s="16" t="n">
        <f aca="false">IF(D425="","",H425+E425-K425-O425)</f>
        <v>20.6462904309204</v>
      </c>
      <c r="Q425" s="16" t="n">
        <f aca="false">IF(D425="","",IF(P425&gt;=0,K425,MAX(0,K425+P425)))</f>
        <v>0.9072</v>
      </c>
      <c r="R425" s="16" t="n">
        <f aca="false">IF(D425="","",Q425/$B$15)</f>
        <v>0.35</v>
      </c>
      <c r="S425" s="16" t="n">
        <f aca="false">IF(D425="","",MAX(0,J425-R425))</f>
        <v>0</v>
      </c>
      <c r="T425" s="16" t="n">
        <f aca="false">IF(D425="","",MAX(0,Z425-$B$8))</f>
        <v>0</v>
      </c>
      <c r="U425" s="16" t="n">
        <f aca="false">IF(D425="","",MAX(0,MIN($B$8,Z425)))</f>
        <v>20.6462904309204</v>
      </c>
      <c r="V425" s="16" t="str">
        <f aca="false">IF(D425="","",IF(S425&gt;0.0000001,"Sim","Não"))</f>
        <v>Não</v>
      </c>
      <c r="W425" s="16" t="n">
        <f aca="false">IF(D425="","",U425-(H425+E425-Q425-O425-T425))</f>
        <v>0</v>
      </c>
      <c r="X425" s="16" t="n">
        <f aca="false">IF(W425="","",ABS(W425))</f>
        <v>0</v>
      </c>
      <c r="Y425" s="16" t="n">
        <f aca="false">IF(U425="","",IF($B$8=0,0,U425/$B$8*100))</f>
        <v>43.7236137884803</v>
      </c>
      <c r="Z425" s="18" t="n">
        <f aca="false">IF(D425="","",MAX(0,IF(P425&gt;=0,P425,IF(K425+P425&gt;=0,0,P425+K425))))</f>
        <v>20.6462904309204</v>
      </c>
      <c r="AA425" s="18" t="n">
        <f aca="false">IF(D425="","",IF(H425&lt;=$B$16,1,IF(H425&gt;=$B$17,$B$21,MATCH(H425,Aux_CAV!$A$2:$A$121,1))))</f>
        <v>11</v>
      </c>
      <c r="AB425" s="18" t="n">
        <f aca="false">IF(D425="","",IF(L425&lt;=$B$16,1,IF(L425&gt;=$B$17,$B$21,MATCH(L425,Aux_CAV!$A$2:$A$121,1))))</f>
        <v>11</v>
      </c>
      <c r="AC425" s="19" t="n">
        <f aca="false">IF(D425="","",COUNT($D$24:D425))</f>
        <v>390</v>
      </c>
    </row>
    <row r="426" customFormat="false" ht="12.75" hidden="false" customHeight="true" outlineLevel="0" collapsed="false">
      <c r="A426" s="14" t="n">
        <f aca="false">IF(D426="","",DATE(B426,C426,1))</f>
        <v>15888</v>
      </c>
      <c r="B426" s="15" t="n">
        <f aca="false" t="array" ref="B426:B426">IF(D426="","",IFERROR(VALUE(INDEX(Vazoes_COLAR!$A$2:$A$200,INT((ROW()-24)/12)+1)),""))</f>
        <v>1943</v>
      </c>
      <c r="C426" s="15" t="n">
        <f aca="false">IF(D426="","",MOD(ROW()-24,12)+1)</f>
        <v>7</v>
      </c>
      <c r="D426" s="16" t="n">
        <f aca="false" t="array" ref="D426: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0.0827041977754981</v>
      </c>
      <c r="E426" s="16" t="n">
        <f aca="false">IF(D426="","",D426*$B$15)</f>
        <v>0.214369280634091</v>
      </c>
      <c r="F426" s="16" t="n">
        <f aca="false" t="array" ref="F426:F426">IF(D426="","",IFERROR(INDEX(Dados_Evap!$C$2:$N$15,MATCH($B$9,Dados_Evap!$A$2:$A$15,0),C426),0))</f>
        <v>224.8</v>
      </c>
      <c r="G426" s="16" t="n">
        <f aca="false">IF(F426="","",F426/1000)</f>
        <v>0.2248</v>
      </c>
      <c r="H426" s="16" t="n">
        <f aca="false">IF(D426="","",MAX(0,MIN($B$8,IFERROR(LOOKUP(2,1/($U$24:U425&lt;&gt;""),$U$24:U425),$B$11))))</f>
        <v>20.6462904309204</v>
      </c>
      <c r="I426" s="16" t="n">
        <f aca="false" t="array" ref="I426: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>4.20528836857341</v>
      </c>
      <c r="J426" s="16" t="n">
        <f aca="false">IF(D426="","",$B$12)</f>
        <v>0.35</v>
      </c>
      <c r="K426" s="16" t="n">
        <f aca="false">IF(J426="","",J426*$B$15)</f>
        <v>0.9072</v>
      </c>
      <c r="L426" s="16" t="n">
        <f aca="false">IF(D426="","",H426+E426-K426-G426*I426)</f>
        <v>19.0081108862992</v>
      </c>
      <c r="M426" s="16" t="n">
        <f aca="false" t="array" ref="M426: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>4.00950593519185</v>
      </c>
      <c r="N426" s="16" t="n">
        <f aca="false">IF(D426="","",(I426+M426)/2)</f>
        <v>4.10739715188263</v>
      </c>
      <c r="O426" s="16" t="n">
        <f aca="false">IF(D426="","",G426*N426)</f>
        <v>0.923342879743216</v>
      </c>
      <c r="P426" s="16" t="n">
        <f aca="false">IF(D426="","",H426+E426-K426-O426)</f>
        <v>19.0301168318113</v>
      </c>
      <c r="Q426" s="16" t="n">
        <f aca="false">IF(D426="","",IF(P426&gt;=0,K426,MAX(0,K426+P426)))</f>
        <v>0.9072</v>
      </c>
      <c r="R426" s="16" t="n">
        <f aca="false">IF(D426="","",Q426/$B$15)</f>
        <v>0.35</v>
      </c>
      <c r="S426" s="16" t="n">
        <f aca="false">IF(D426="","",MAX(0,J426-R426))</f>
        <v>0</v>
      </c>
      <c r="T426" s="16" t="n">
        <f aca="false">IF(D426="","",MAX(0,Z426-$B$8))</f>
        <v>0</v>
      </c>
      <c r="U426" s="16" t="n">
        <f aca="false">IF(D426="","",MAX(0,MIN($B$8,Z426)))</f>
        <v>19.0301168318113</v>
      </c>
      <c r="V426" s="16" t="str">
        <f aca="false">IF(D426="","",IF(S426&gt;0.0000001,"Sim","Não"))</f>
        <v>Não</v>
      </c>
      <c r="W426" s="16" t="n">
        <f aca="false">IF(D426="","",U426-(H426+E426-Q426-O426-T426))</f>
        <v>0</v>
      </c>
      <c r="X426" s="16" t="n">
        <f aca="false">IF(W426="","",ABS(W426))</f>
        <v>0</v>
      </c>
      <c r="Y426" s="16" t="n">
        <f aca="false">IF(U426="","",IF($B$8=0,0,U426/$B$8*100))</f>
        <v>40.3009674540688</v>
      </c>
      <c r="Z426" s="18" t="n">
        <f aca="false">IF(D426="","",MAX(0,IF(P426&gt;=0,P426,IF(K426+P426&gt;=0,0,P426+K426))))</f>
        <v>19.0301168318113</v>
      </c>
      <c r="AA426" s="18" t="n">
        <f aca="false">IF(D426="","",IF(H426&lt;=$B$16,1,IF(H426&gt;=$B$17,$B$21,MATCH(H426,Aux_CAV!$A$2:$A$121,1))))</f>
        <v>11</v>
      </c>
      <c r="AB426" s="18" t="n">
        <f aca="false">IF(D426="","",IF(L426&lt;=$B$16,1,IF(L426&gt;=$B$17,$B$21,MATCH(L426,Aux_CAV!$A$2:$A$121,1))))</f>
        <v>11</v>
      </c>
      <c r="AC426" s="19" t="n">
        <f aca="false">IF(D426="","",COUNT($D$24:D426))</f>
        <v>391</v>
      </c>
    </row>
    <row r="427" customFormat="false" ht="12.75" hidden="false" customHeight="true" outlineLevel="0" collapsed="false">
      <c r="A427" s="14" t="n">
        <f aca="false">IF(D427="","",DATE(B427,C427,1))</f>
        <v>15919</v>
      </c>
      <c r="B427" s="15" t="n">
        <f aca="false" t="array" ref="B427:B427">IF(D427="","",IFERROR(VALUE(INDEX(Vazoes_COLAR!$A$2:$A$200,INT((ROW()-24)/12)+1)),""))</f>
        <v>1943</v>
      </c>
      <c r="C427" s="15" t="n">
        <f aca="false">IF(D427="","",MOD(ROW()-24,12)+1)</f>
        <v>8</v>
      </c>
      <c r="D427" s="16" t="n">
        <f aca="false" t="array" ref="D427: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0.0205637407478289</v>
      </c>
      <c r="E427" s="16" t="n">
        <f aca="false">IF(D427="","",D427*$B$15)</f>
        <v>0.0533012160183725</v>
      </c>
      <c r="F427" s="16" t="n">
        <f aca="false" t="array" ref="F427:F427">IF(D427="","",IFERROR(INDEX(Dados_Evap!$C$2:$N$15,MATCH($B$9,Dados_Evap!$A$2:$A$15,0),C427),0))</f>
        <v>268.7</v>
      </c>
      <c r="G427" s="16" t="n">
        <f aca="false">IF(F427="","",F427/1000)</f>
        <v>0.2687</v>
      </c>
      <c r="H427" s="16" t="n">
        <f aca="false">IF(D427="","",MAX(0,MIN($B$8,IFERROR(LOOKUP(2,1/($U$24:U426&lt;&gt;""),$U$24:U426),$B$11))))</f>
        <v>19.0301168318113</v>
      </c>
      <c r="I427" s="16" t="n">
        <f aca="false" t="array" ref="I427: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>4.01213591404574</v>
      </c>
      <c r="J427" s="16" t="n">
        <f aca="false">IF(D427="","",$B$12)</f>
        <v>0.35</v>
      </c>
      <c r="K427" s="16" t="n">
        <f aca="false">IF(J427="","",J427*$B$15)</f>
        <v>0.9072</v>
      </c>
      <c r="L427" s="16" t="n">
        <f aca="false">IF(D427="","",H427+E427-K427-G427*I427)</f>
        <v>17.0981571277256</v>
      </c>
      <c r="M427" s="16" t="n">
        <f aca="false" t="array" ref="M427: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>3.7812431689233</v>
      </c>
      <c r="N427" s="16" t="n">
        <f aca="false">IF(D427="","",(I427+M427)/2)</f>
        <v>3.89668954148452</v>
      </c>
      <c r="O427" s="16" t="n">
        <f aca="false">IF(D427="","",G427*N427)</f>
        <v>1.04704047979689</v>
      </c>
      <c r="P427" s="16" t="n">
        <f aca="false">IF(D427="","",H427+E427-K427-O427)</f>
        <v>17.1291775680328</v>
      </c>
      <c r="Q427" s="16" t="n">
        <f aca="false">IF(D427="","",IF(P427&gt;=0,K427,MAX(0,K427+P427)))</f>
        <v>0.9072</v>
      </c>
      <c r="R427" s="16" t="n">
        <f aca="false">IF(D427="","",Q427/$B$15)</f>
        <v>0.35</v>
      </c>
      <c r="S427" s="16" t="n">
        <f aca="false">IF(D427="","",MAX(0,J427-R427))</f>
        <v>0</v>
      </c>
      <c r="T427" s="16" t="n">
        <f aca="false">IF(D427="","",MAX(0,Z427-$B$8))</f>
        <v>0</v>
      </c>
      <c r="U427" s="16" t="n">
        <f aca="false">IF(D427="","",MAX(0,MIN($B$8,Z427)))</f>
        <v>17.1291775680328</v>
      </c>
      <c r="V427" s="16" t="str">
        <f aca="false">IF(D427="","",IF(S427&gt;0.0000001,"Sim","Não"))</f>
        <v>Não</v>
      </c>
      <c r="W427" s="16" t="n">
        <f aca="false">IF(D427="","",U427-(H427+E427-Q427-O427-T427))</f>
        <v>0</v>
      </c>
      <c r="X427" s="16" t="n">
        <f aca="false">IF(W427="","",ABS(W427))</f>
        <v>0</v>
      </c>
      <c r="Y427" s="16" t="n">
        <f aca="false">IF(U427="","",IF($B$8=0,0,U427/$B$8*100))</f>
        <v>36.275259568049</v>
      </c>
      <c r="Z427" s="18" t="n">
        <f aca="false">IF(D427="","",MAX(0,IF(P427&gt;=0,P427,IF(K427+P427&gt;=0,0,P427+K427))))</f>
        <v>17.1291775680328</v>
      </c>
      <c r="AA427" s="18" t="n">
        <f aca="false">IF(D427="","",IF(H427&lt;=$B$16,1,IF(H427&gt;=$B$17,$B$21,MATCH(H427,Aux_CAV!$A$2:$A$121,1))))</f>
        <v>11</v>
      </c>
      <c r="AB427" s="18" t="n">
        <f aca="false">IF(D427="","",IF(L427&lt;=$B$16,1,IF(L427&gt;=$B$17,$B$21,MATCH(L427,Aux_CAV!$A$2:$A$121,1))))</f>
        <v>11</v>
      </c>
      <c r="AC427" s="19" t="n">
        <f aca="false">IF(D427="","",COUNT($D$24:D427))</f>
        <v>392</v>
      </c>
    </row>
    <row r="428" customFormat="false" ht="12.75" hidden="false" customHeight="true" outlineLevel="0" collapsed="false">
      <c r="A428" s="14" t="n">
        <f aca="false">IF(D428="","",DATE(B428,C428,1))</f>
        <v>15950</v>
      </c>
      <c r="B428" s="15" t="n">
        <f aca="false" t="array" ref="B428:B428">IF(D428="","",IFERROR(VALUE(INDEX(Vazoes_COLAR!$A$2:$A$200,INT((ROW()-24)/12)+1)),""))</f>
        <v>1943</v>
      </c>
      <c r="C428" s="15" t="n">
        <f aca="false">IF(D428="","",MOD(ROW()-24,12)+1)</f>
        <v>9</v>
      </c>
      <c r="D428" s="16" t="n">
        <f aca="false" t="array" ref="D428: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0.0117677707288185</v>
      </c>
      <c r="E428" s="16" t="n">
        <f aca="false">IF(D428="","",D428*$B$15)</f>
        <v>0.0305020617290976</v>
      </c>
      <c r="F428" s="16" t="n">
        <f aca="false" t="array" ref="F428:F428">IF(D428="","",IFERROR(INDEX(Dados_Evap!$C$2:$N$15,MATCH($B$9,Dados_Evap!$A$2:$A$15,0),C428),0))</f>
        <v>292.8</v>
      </c>
      <c r="G428" s="16" t="n">
        <f aca="false">IF(F428="","",F428/1000)</f>
        <v>0.2928</v>
      </c>
      <c r="H428" s="16" t="n">
        <f aca="false">IF(D428="","",MAX(0,MIN($B$8,IFERROR(LOOKUP(2,1/($U$24:U427&lt;&gt;""),$U$24:U427),$B$11))))</f>
        <v>17.1291775680328</v>
      </c>
      <c r="I428" s="16" t="n">
        <f aca="false" t="array" ref="I428: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>3.78495048983806</v>
      </c>
      <c r="J428" s="16" t="n">
        <f aca="false">IF(D428="","",$B$12)</f>
        <v>0.35</v>
      </c>
      <c r="K428" s="16" t="n">
        <f aca="false">IF(J428="","",J428*$B$15)</f>
        <v>0.9072</v>
      </c>
      <c r="L428" s="16" t="n">
        <f aca="false">IF(D428="","",H428+E428-K428-G428*I428)</f>
        <v>15.1442461263373</v>
      </c>
      <c r="M428" s="16" t="n">
        <f aca="false" t="array" ref="M428: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>3.57700922842288</v>
      </c>
      <c r="N428" s="16" t="n">
        <f aca="false">IF(D428="","",(I428+M428)/2)</f>
        <v>3.68097985913047</v>
      </c>
      <c r="O428" s="16" t="n">
        <f aca="false">IF(D428="","",G428*N428)</f>
        <v>1.0777909027534</v>
      </c>
      <c r="P428" s="16" t="n">
        <f aca="false">IF(D428="","",H428+E428-K428-O428)</f>
        <v>15.1746887270084</v>
      </c>
      <c r="Q428" s="16" t="n">
        <f aca="false">IF(D428="","",IF(P428&gt;=0,K428,MAX(0,K428+P428)))</f>
        <v>0.9072</v>
      </c>
      <c r="R428" s="16" t="n">
        <f aca="false">IF(D428="","",Q428/$B$15)</f>
        <v>0.35</v>
      </c>
      <c r="S428" s="16" t="n">
        <f aca="false">IF(D428="","",MAX(0,J428-R428))</f>
        <v>0</v>
      </c>
      <c r="T428" s="16" t="n">
        <f aca="false">IF(D428="","",MAX(0,Z428-$B$8))</f>
        <v>0</v>
      </c>
      <c r="U428" s="16" t="n">
        <f aca="false">IF(D428="","",MAX(0,MIN($B$8,Z428)))</f>
        <v>15.1746887270084</v>
      </c>
      <c r="V428" s="16" t="str">
        <f aca="false">IF(D428="","",IF(S428&gt;0.0000001,"Sim","Não"))</f>
        <v>Não</v>
      </c>
      <c r="W428" s="16" t="n">
        <f aca="false">IF(D428="","",U428-(H428+E428-Q428-O428-T428))</f>
        <v>0</v>
      </c>
      <c r="X428" s="16" t="n">
        <f aca="false">IF(W428="","",ABS(W428))</f>
        <v>0</v>
      </c>
      <c r="Y428" s="16" t="n">
        <f aca="false">IF(U428="","",IF($B$8=0,0,U428/$B$8*100))</f>
        <v>32.1361472405939</v>
      </c>
      <c r="Z428" s="18" t="n">
        <f aca="false">IF(D428="","",MAX(0,IF(P428&gt;=0,P428,IF(K428+P428&gt;=0,0,P428+K428))))</f>
        <v>15.1746887270084</v>
      </c>
      <c r="AA428" s="18" t="n">
        <f aca="false">IF(D428="","",IF(H428&lt;=$B$16,1,IF(H428&gt;=$B$17,$B$21,MATCH(H428,Aux_CAV!$A$2:$A$121,1))))</f>
        <v>11</v>
      </c>
      <c r="AB428" s="18" t="n">
        <f aca="false">IF(D428="","",IF(L428&lt;=$B$16,1,IF(L428&gt;=$B$17,$B$21,MATCH(L428,Aux_CAV!$A$2:$A$121,1))))</f>
        <v>10</v>
      </c>
      <c r="AC428" s="19" t="n">
        <f aca="false">IF(D428="","",COUNT($D$24:D428))</f>
        <v>393</v>
      </c>
    </row>
    <row r="429" customFormat="false" ht="12.75" hidden="false" customHeight="true" outlineLevel="0" collapsed="false">
      <c r="A429" s="14" t="n">
        <f aca="false">IF(D429="","",DATE(B429,C429,1))</f>
        <v>15980</v>
      </c>
      <c r="B429" s="15" t="n">
        <f aca="false" t="array" ref="B429:B429">IF(D429="","",IFERROR(VALUE(INDEX(Vazoes_COLAR!$A$2:$A$200,INT((ROW()-24)/12)+1)),""))</f>
        <v>1943</v>
      </c>
      <c r="C429" s="15" t="n">
        <f aca="false">IF(D429="","",MOD(ROW()-24,12)+1)</f>
        <v>10</v>
      </c>
      <c r="D429" s="16" t="n">
        <f aca="false" t="array" ref="D429: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0.00985841071992989</v>
      </c>
      <c r="E429" s="16" t="n">
        <f aca="false">IF(D429="","",D429*$B$15)</f>
        <v>0.0255530005860583</v>
      </c>
      <c r="F429" s="16" t="n">
        <f aca="false" t="array" ref="F429:F429">IF(D429="","",IFERROR(INDEX(Dados_Evap!$C$2:$N$15,MATCH($B$9,Dados_Evap!$A$2:$A$15,0),C429),0))</f>
        <v>262.9</v>
      </c>
      <c r="G429" s="16" t="n">
        <f aca="false">IF(F429="","",F429/1000)</f>
        <v>0.2629</v>
      </c>
      <c r="H429" s="16" t="n">
        <f aca="false">IF(D429="","",MAX(0,MIN($B$8,IFERROR(LOOKUP(2,1/($U$24:U428&lt;&gt;""),$U$24:U428),$B$11))))</f>
        <v>15.1746887270084</v>
      </c>
      <c r="I429" s="16" t="n">
        <f aca="false" t="array" ref="I429: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>3.57960580318601</v>
      </c>
      <c r="J429" s="16" t="n">
        <f aca="false">IF(D429="","",$B$12)</f>
        <v>0.35</v>
      </c>
      <c r="K429" s="16" t="n">
        <f aca="false">IF(J429="","",J429*$B$15)</f>
        <v>0.9072</v>
      </c>
      <c r="L429" s="16" t="n">
        <f aca="false">IF(D429="","",H429+E429-K429-G429*I429)</f>
        <v>13.3519633619369</v>
      </c>
      <c r="M429" s="16" t="n">
        <f aca="false" t="array" ref="M429: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>3.42413805145932</v>
      </c>
      <c r="N429" s="16" t="n">
        <f aca="false">IF(D429="","",(I429+M429)/2)</f>
        <v>3.50187192732267</v>
      </c>
      <c r="O429" s="16" t="n">
        <f aca="false">IF(D429="","",G429*N429)</f>
        <v>0.92064212969313</v>
      </c>
      <c r="P429" s="16" t="n">
        <f aca="false">IF(D429="","",H429+E429-K429-O429)</f>
        <v>13.3723995979014</v>
      </c>
      <c r="Q429" s="16" t="n">
        <f aca="false">IF(D429="","",IF(P429&gt;=0,K429,MAX(0,K429+P429)))</f>
        <v>0.9072</v>
      </c>
      <c r="R429" s="16" t="n">
        <f aca="false">IF(D429="","",Q429/$B$15)</f>
        <v>0.35</v>
      </c>
      <c r="S429" s="16" t="n">
        <f aca="false">IF(D429="","",MAX(0,J429-R429))</f>
        <v>0</v>
      </c>
      <c r="T429" s="16" t="n">
        <f aca="false">IF(D429="","",MAX(0,Z429-$B$8))</f>
        <v>0</v>
      </c>
      <c r="U429" s="16" t="n">
        <f aca="false">IF(D429="","",MAX(0,MIN($B$8,Z429)))</f>
        <v>13.3723995979014</v>
      </c>
      <c r="V429" s="16" t="str">
        <f aca="false">IF(D429="","",IF(S429&gt;0.0000001,"Sim","Não"))</f>
        <v>Não</v>
      </c>
      <c r="W429" s="16" t="n">
        <f aca="false">IF(D429="","",U429-(H429+E429-Q429-O429-T429))</f>
        <v>0</v>
      </c>
      <c r="X429" s="16" t="n">
        <f aca="false">IF(W429="","",ABS(W429))</f>
        <v>0</v>
      </c>
      <c r="Y429" s="16" t="n">
        <f aca="false">IF(U429="","",IF($B$8=0,0,U429/$B$8*100))</f>
        <v>28.3193553534548</v>
      </c>
      <c r="Z429" s="18" t="n">
        <f aca="false">IF(D429="","",MAX(0,IF(P429&gt;=0,P429,IF(K429+P429&gt;=0,0,P429+K429))))</f>
        <v>13.3723995979014</v>
      </c>
      <c r="AA429" s="18" t="n">
        <f aca="false">IF(D429="","",IF(H429&lt;=$B$16,1,IF(H429&gt;=$B$17,$B$21,MATCH(H429,Aux_CAV!$A$2:$A$121,1))))</f>
        <v>10</v>
      </c>
      <c r="AB429" s="18" t="n">
        <f aca="false">IF(D429="","",IF(L429&lt;=$B$16,1,IF(L429&gt;=$B$17,$B$21,MATCH(L429,Aux_CAV!$A$2:$A$121,1))))</f>
        <v>10</v>
      </c>
      <c r="AC429" s="19" t="n">
        <f aca="false">IF(D429="","",COUNT($D$24:D429))</f>
        <v>394</v>
      </c>
    </row>
    <row r="430" customFormat="false" ht="12.75" hidden="false" customHeight="true" outlineLevel="0" collapsed="false">
      <c r="A430" s="14" t="n">
        <f aca="false">IF(D430="","",DATE(B430,C430,1))</f>
        <v>16011</v>
      </c>
      <c r="B430" s="15" t="n">
        <f aca="false" t="array" ref="B430:B430">IF(D430="","",IFERROR(VALUE(INDEX(Vazoes_COLAR!$A$2:$A$200,INT((ROW()-24)/12)+1)),""))</f>
        <v>1943</v>
      </c>
      <c r="C430" s="15" t="n">
        <f aca="false">IF(D430="","",MOD(ROW()-24,12)+1)</f>
        <v>11</v>
      </c>
      <c r="D430" s="16" t="n">
        <f aca="false" t="array" ref="D430: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0.0471829371010328</v>
      </c>
      <c r="E430" s="16" t="n">
        <f aca="false">IF(D430="","",D430*$B$15)</f>
        <v>0.122298172965877</v>
      </c>
      <c r="F430" s="16" t="n">
        <f aca="false" t="array" ref="F430:F430">IF(D430="","",IFERROR(INDEX(Dados_Evap!$C$2:$N$15,MATCH($B$9,Dados_Evap!$A$2:$A$15,0),C430),0))</f>
        <v>223.7</v>
      </c>
      <c r="G430" s="16" t="n">
        <f aca="false">IF(F430="","",F430/1000)</f>
        <v>0.2237</v>
      </c>
      <c r="H430" s="16" t="n">
        <f aca="false">IF(D430="","",MAX(0,MIN($B$8,IFERROR(LOOKUP(2,1/($U$24:U429&lt;&gt;""),$U$24:U429),$B$11))))</f>
        <v>13.3723995979014</v>
      </c>
      <c r="I430" s="16" t="n">
        <f aca="false" t="array" ref="I430: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>3.42588114217394</v>
      </c>
      <c r="J430" s="16" t="n">
        <f aca="false">IF(D430="","",$B$12)</f>
        <v>0.35</v>
      </c>
      <c r="K430" s="16" t="n">
        <f aca="false">IF(J430="","",J430*$B$15)</f>
        <v>0.9072</v>
      </c>
      <c r="L430" s="16" t="n">
        <f aca="false">IF(D430="","",H430+E430-K430-G430*I430)</f>
        <v>11.8211281593629</v>
      </c>
      <c r="M430" s="16" t="n">
        <f aca="false" t="array" ref="M430: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>3.29356681359272</v>
      </c>
      <c r="N430" s="16" t="n">
        <f aca="false">IF(D430="","",(I430+M430)/2)</f>
        <v>3.35972397788333</v>
      </c>
      <c r="O430" s="16" t="n">
        <f aca="false">IF(D430="","",G430*N430)</f>
        <v>0.751570253852501</v>
      </c>
      <c r="P430" s="16" t="n">
        <f aca="false">IF(D430="","",H430+E430-K430-O430)</f>
        <v>11.8359275170148</v>
      </c>
      <c r="Q430" s="16" t="n">
        <f aca="false">IF(D430="","",IF(P430&gt;=0,K430,MAX(0,K430+P430)))</f>
        <v>0.9072</v>
      </c>
      <c r="R430" s="16" t="n">
        <f aca="false">IF(D430="","",Q430/$B$15)</f>
        <v>0.35</v>
      </c>
      <c r="S430" s="16" t="n">
        <f aca="false">IF(D430="","",MAX(0,J430-R430))</f>
        <v>0</v>
      </c>
      <c r="T430" s="16" t="n">
        <f aca="false">IF(D430="","",MAX(0,Z430-$B$8))</f>
        <v>0</v>
      </c>
      <c r="U430" s="16" t="n">
        <f aca="false">IF(D430="","",MAX(0,MIN($B$8,Z430)))</f>
        <v>11.8359275170148</v>
      </c>
      <c r="V430" s="16" t="str">
        <f aca="false">IF(D430="","",IF(S430&gt;0.0000001,"Sim","Não"))</f>
        <v>Não</v>
      </c>
      <c r="W430" s="16" t="n">
        <f aca="false">IF(D430="","",U430-(H430+E430-Q430-O430-T430))</f>
        <v>0</v>
      </c>
      <c r="X430" s="16" t="n">
        <f aca="false">IF(W430="","",ABS(W430))</f>
        <v>0</v>
      </c>
      <c r="Y430" s="16" t="n">
        <f aca="false">IF(U430="","",IF($B$8=0,0,U430/$B$8*100))</f>
        <v>25.0654966476382</v>
      </c>
      <c r="Z430" s="18" t="n">
        <f aca="false">IF(D430="","",MAX(0,IF(P430&gt;=0,P430,IF(K430+P430&gt;=0,0,P430+K430))))</f>
        <v>11.8359275170148</v>
      </c>
      <c r="AA430" s="18" t="n">
        <f aca="false">IF(D430="","",IF(H430&lt;=$B$16,1,IF(H430&gt;=$B$17,$B$21,MATCH(H430,Aux_CAV!$A$2:$A$121,1))))</f>
        <v>10</v>
      </c>
      <c r="AB430" s="18" t="n">
        <f aca="false">IF(D430="","",IF(L430&lt;=$B$16,1,IF(L430&gt;=$B$17,$B$21,MATCH(L430,Aux_CAV!$A$2:$A$121,1))))</f>
        <v>10</v>
      </c>
      <c r="AC430" s="19" t="n">
        <f aca="false">IF(D430="","",COUNT($D$24:D430))</f>
        <v>395</v>
      </c>
    </row>
    <row r="431" customFormat="false" ht="12.75" hidden="false" customHeight="true" outlineLevel="0" collapsed="false">
      <c r="A431" s="14" t="n">
        <f aca="false">IF(D431="","",DATE(B431,C431,1))</f>
        <v>16041</v>
      </c>
      <c r="B431" s="15" t="n">
        <f aca="false" t="array" ref="B431:B431">IF(D431="","",IFERROR(VALUE(INDEX(Vazoes_COLAR!$A$2:$A$200,INT((ROW()-24)/12)+1)),""))</f>
        <v>1943</v>
      </c>
      <c r="C431" s="15" t="n">
        <f aca="false">IF(D431="","",MOD(ROW()-24,12)+1)</f>
        <v>12</v>
      </c>
      <c r="D431" s="16" t="n">
        <f aca="false" t="array" ref="D431: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0.0372167574547457</v>
      </c>
      <c r="E431" s="16" t="n">
        <f aca="false">IF(D431="","",D431*$B$15)</f>
        <v>0.0964658353227009</v>
      </c>
      <c r="F431" s="16" t="n">
        <f aca="false" t="array" ref="F431:F431">IF(D431="","",IFERROR(INDEX(Dados_Evap!$C$2:$N$15,MATCH($B$9,Dados_Evap!$A$2:$A$15,0),C431),0))</f>
        <v>216.1</v>
      </c>
      <c r="G431" s="16" t="n">
        <f aca="false">IF(F431="","",F431/1000)</f>
        <v>0.2161</v>
      </c>
      <c r="H431" s="16" t="n">
        <f aca="false">IF(D431="","",MAX(0,MIN($B$8,IFERROR(LOOKUP(2,1/($U$24:U430&lt;&gt;""),$U$24:U430),$B$11))))</f>
        <v>11.8359275170148</v>
      </c>
      <c r="I431" s="16" t="n">
        <f aca="false" t="array" ref="I431: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>3.29482911174538</v>
      </c>
      <c r="J431" s="16" t="n">
        <f aca="false">IF(D431="","",$B$12)</f>
        <v>0.35</v>
      </c>
      <c r="K431" s="16" t="n">
        <f aca="false">IF(J431="","",J431*$B$15)</f>
        <v>0.9072</v>
      </c>
      <c r="L431" s="16" t="n">
        <f aca="false">IF(D431="","",H431+E431-K431-G431*I431)</f>
        <v>10.3131807812893</v>
      </c>
      <c r="M431" s="16" t="n">
        <f aca="false" t="array" ref="M431: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>3.16494777252173</v>
      </c>
      <c r="N431" s="16" t="n">
        <f aca="false">IF(D431="","",(I431+M431)/2)</f>
        <v>3.22988844213355</v>
      </c>
      <c r="O431" s="16" t="n">
        <f aca="false">IF(D431="","",G431*N431)</f>
        <v>0.697978892345061</v>
      </c>
      <c r="P431" s="16" t="n">
        <f aca="false">IF(D431="","",H431+E431-K431-O431)</f>
        <v>10.3272144599924</v>
      </c>
      <c r="Q431" s="16" t="n">
        <f aca="false">IF(D431="","",IF(P431&gt;=0,K431,MAX(0,K431+P431)))</f>
        <v>0.9072</v>
      </c>
      <c r="R431" s="16" t="n">
        <f aca="false">IF(D431="","",Q431/$B$15)</f>
        <v>0.35</v>
      </c>
      <c r="S431" s="16" t="n">
        <f aca="false">IF(D431="","",MAX(0,J431-R431))</f>
        <v>0</v>
      </c>
      <c r="T431" s="16" t="n">
        <f aca="false">IF(D431="","",MAX(0,Z431-$B$8))</f>
        <v>0</v>
      </c>
      <c r="U431" s="16" t="n">
        <f aca="false">IF(D431="","",MAX(0,MIN($B$8,Z431)))</f>
        <v>10.3272144599924</v>
      </c>
      <c r="V431" s="16" t="str">
        <f aca="false">IF(D431="","",IF(S431&gt;0.0000001,"Sim","Não"))</f>
        <v>Não</v>
      </c>
      <c r="W431" s="16" t="n">
        <f aca="false">IF(D431="","",U431-(H431+E431-Q431-O431-T431))</f>
        <v>0</v>
      </c>
      <c r="X431" s="16" t="n">
        <f aca="false">IF(W431="","",ABS(W431))</f>
        <v>0</v>
      </c>
      <c r="Y431" s="16" t="n">
        <f aca="false">IF(U431="","",IF($B$8=0,0,U431/$B$8*100))</f>
        <v>21.8704245234909</v>
      </c>
      <c r="Z431" s="18" t="n">
        <f aca="false">IF(D431="","",MAX(0,IF(P431&gt;=0,P431,IF(K431+P431&gt;=0,0,P431+K431))))</f>
        <v>10.3272144599924</v>
      </c>
      <c r="AA431" s="18" t="n">
        <f aca="false">IF(D431="","",IF(H431&lt;=$B$16,1,IF(H431&gt;=$B$17,$B$21,MATCH(H431,Aux_CAV!$A$2:$A$121,1))))</f>
        <v>10</v>
      </c>
      <c r="AB431" s="18" t="n">
        <f aca="false">IF(D431="","",IF(L431&lt;=$B$16,1,IF(L431&gt;=$B$17,$B$21,MATCH(L431,Aux_CAV!$A$2:$A$121,1))))</f>
        <v>10</v>
      </c>
      <c r="AC431" s="19" t="n">
        <f aca="false">IF(D431="","",COUNT($D$24:D431))</f>
        <v>396</v>
      </c>
    </row>
    <row r="432" customFormat="false" ht="12.75" hidden="false" customHeight="true" outlineLevel="0" collapsed="false">
      <c r="A432" s="14" t="n">
        <f aca="false">IF(D432="","",DATE(B432,C432,1))</f>
        <v>16072</v>
      </c>
      <c r="B432" s="15" t="n">
        <f aca="false" t="array" ref="B432:B432">IF(D432="","",IFERROR(VALUE(INDEX(Vazoes_COLAR!$A$2:$A$200,INT((ROW()-24)/12)+1)),""))</f>
        <v>1944</v>
      </c>
      <c r="C432" s="15" t="n">
        <f aca="false">IF(D432="","",MOD(ROW()-24,12)+1)</f>
        <v>1</v>
      </c>
      <c r="D432" s="16" t="n">
        <f aca="false" t="array" ref="D432: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0.0644200749772234</v>
      </c>
      <c r="E432" s="16" t="n">
        <f aca="false">IF(D432="","",D432*$B$15)</f>
        <v>0.166976834340963</v>
      </c>
      <c r="F432" s="16" t="n">
        <f aca="false" t="array" ref="F432:F432">IF(D432="","",IFERROR(INDEX(Dados_Evap!$C$2:$N$15,MATCH($B$9,Dados_Evap!$A$2:$A$15,0),C432),0))</f>
        <v>160</v>
      </c>
      <c r="G432" s="16" t="n">
        <f aca="false">IF(F432="","",F432/1000)</f>
        <v>0.16</v>
      </c>
      <c r="H432" s="16" t="n">
        <f aca="false">IF(D432="","",MAX(0,MIN($B$8,IFERROR(LOOKUP(2,1/($U$24:U431&lt;&gt;""),$U$24:U431),$B$11))))</f>
        <v>10.3272144599924</v>
      </c>
      <c r="I432" s="16" t="n">
        <f aca="false" t="array" ref="I432: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>3.16614476276406</v>
      </c>
      <c r="J432" s="16" t="n">
        <f aca="false">IF(D432="","",$B$12)</f>
        <v>0.35</v>
      </c>
      <c r="K432" s="16" t="n">
        <f aca="false">IF(J432="","",J432*$B$15)</f>
        <v>0.9072</v>
      </c>
      <c r="L432" s="16" t="n">
        <f aca="false">IF(D432="","",H432+E432-K432-G432*I432)</f>
        <v>9.08040813229111</v>
      </c>
      <c r="M432" s="16" t="n">
        <f aca="false" t="array" ref="M432: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>3.03361353812261</v>
      </c>
      <c r="N432" s="16" t="n">
        <f aca="false">IF(D432="","",(I432+M432)/2)</f>
        <v>3.09987915044333</v>
      </c>
      <c r="O432" s="16" t="n">
        <f aca="false">IF(D432="","",G432*N432)</f>
        <v>0.495980664070934</v>
      </c>
      <c r="P432" s="16" t="n">
        <f aca="false">IF(D432="","",H432+E432-K432-O432)</f>
        <v>9.09101063026242</v>
      </c>
      <c r="Q432" s="16" t="n">
        <f aca="false">IF(D432="","",IF(P432&gt;=0,K432,MAX(0,K432+P432)))</f>
        <v>0.9072</v>
      </c>
      <c r="R432" s="16" t="n">
        <f aca="false">IF(D432="","",Q432/$B$15)</f>
        <v>0.35</v>
      </c>
      <c r="S432" s="16" t="n">
        <f aca="false">IF(D432="","",MAX(0,J432-R432))</f>
        <v>0</v>
      </c>
      <c r="T432" s="16" t="n">
        <f aca="false">IF(D432="","",MAX(0,Z432-$B$8))</f>
        <v>0</v>
      </c>
      <c r="U432" s="16" t="n">
        <f aca="false">IF(D432="","",MAX(0,MIN($B$8,Z432)))</f>
        <v>9.09101063026242</v>
      </c>
      <c r="V432" s="16" t="str">
        <f aca="false">IF(D432="","",IF(S432&gt;0.0000001,"Sim","Não"))</f>
        <v>Não</v>
      </c>
      <c r="W432" s="16" t="n">
        <f aca="false">IF(D432="","",U432-(H432+E432-Q432-O432-T432))</f>
        <v>0</v>
      </c>
      <c r="X432" s="16" t="n">
        <f aca="false">IF(W432="","",ABS(W432))</f>
        <v>0</v>
      </c>
      <c r="Y432" s="16" t="n">
        <f aca="false">IF(U432="","",IF($B$8=0,0,U432/$B$8*100))</f>
        <v>19.2524579209285</v>
      </c>
      <c r="Z432" s="18" t="n">
        <f aca="false">IF(D432="","",MAX(0,IF(P432&gt;=0,P432,IF(K432+P432&gt;=0,0,P432+K432))))</f>
        <v>9.09101063026242</v>
      </c>
      <c r="AA432" s="18" t="n">
        <f aca="false">IF(D432="","",IF(H432&lt;=$B$16,1,IF(H432&gt;=$B$17,$B$21,MATCH(H432,Aux_CAV!$A$2:$A$121,1))))</f>
        <v>10</v>
      </c>
      <c r="AB432" s="18" t="n">
        <f aca="false">IF(D432="","",IF(L432&lt;=$B$16,1,IF(L432&gt;=$B$17,$B$21,MATCH(L432,Aux_CAV!$A$2:$A$121,1))))</f>
        <v>9</v>
      </c>
      <c r="AC432" s="19" t="n">
        <f aca="false">IF(D432="","",COUNT($D$24:D432))</f>
        <v>397</v>
      </c>
    </row>
    <row r="433" customFormat="false" ht="12.75" hidden="false" customHeight="true" outlineLevel="0" collapsed="false">
      <c r="A433" s="14" t="n">
        <f aca="false">IF(D433="","",DATE(B433,C433,1))</f>
        <v>16103</v>
      </c>
      <c r="B433" s="15" t="n">
        <f aca="false" t="array" ref="B433:B433">IF(D433="","",IFERROR(VALUE(INDEX(Vazoes_COLAR!$A$2:$A$200,INT((ROW()-24)/12)+1)),""))</f>
        <v>1944</v>
      </c>
      <c r="C433" s="15" t="n">
        <f aca="false">IF(D433="","",MOD(ROW()-24,12)+1)</f>
        <v>2</v>
      </c>
      <c r="D433" s="16" t="n">
        <f aca="false" t="array" ref="D433: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0.0895427076658396</v>
      </c>
      <c r="E433" s="16" t="n">
        <f aca="false">IF(D433="","",D433*$B$15)</f>
        <v>0.232094698269856</v>
      </c>
      <c r="F433" s="16" t="n">
        <f aca="false" t="array" ref="F433:F433">IF(D433="","",IFERROR(INDEX(Dados_Evap!$C$2:$N$15,MATCH($B$9,Dados_Evap!$A$2:$A$15,0),C433),0))</f>
        <v>124.3</v>
      </c>
      <c r="G433" s="16" t="n">
        <f aca="false">IF(F433="","",F433/1000)</f>
        <v>0.1243</v>
      </c>
      <c r="H433" s="16" t="n">
        <f aca="false">IF(D433="","",MAX(0,MIN($B$8,IFERROR(LOOKUP(2,1/($U$24:U432&lt;&gt;""),$U$24:U432),$B$11))))</f>
        <v>9.09101063026242</v>
      </c>
      <c r="I433" s="16" t="n">
        <f aca="false" t="array" ref="I433: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>3.03683940452665</v>
      </c>
      <c r="J433" s="16" t="n">
        <f aca="false">IF(D433="","",$B$12)</f>
        <v>0.35</v>
      </c>
      <c r="K433" s="16" t="n">
        <f aca="false">IF(J433="","",J433*$B$15)</f>
        <v>0.9072</v>
      </c>
      <c r="L433" s="16" t="n">
        <f aca="false">IF(D433="","",H433+E433-K433-G433*I433)</f>
        <v>8.03842619054962</v>
      </c>
      <c r="M433" s="16" t="n">
        <f aca="false" t="array" ref="M433: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>2.71658498989063</v>
      </c>
      <c r="N433" s="16" t="n">
        <f aca="false">IF(D433="","",(I433+M433)/2)</f>
        <v>2.87671219720864</v>
      </c>
      <c r="O433" s="16" t="n">
        <f aca="false">IF(D433="","",G433*N433)</f>
        <v>0.357575326113034</v>
      </c>
      <c r="P433" s="16" t="n">
        <f aca="false">IF(D433="","",H433+E433-K433-O433)</f>
        <v>8.05833000241925</v>
      </c>
      <c r="Q433" s="16" t="n">
        <f aca="false">IF(D433="","",IF(P433&gt;=0,K433,MAX(0,K433+P433)))</f>
        <v>0.9072</v>
      </c>
      <c r="R433" s="16" t="n">
        <f aca="false">IF(D433="","",Q433/$B$15)</f>
        <v>0.35</v>
      </c>
      <c r="S433" s="16" t="n">
        <f aca="false">IF(D433="","",MAX(0,J433-R433))</f>
        <v>0</v>
      </c>
      <c r="T433" s="16" t="n">
        <f aca="false">IF(D433="","",MAX(0,Z433-$B$8))</f>
        <v>0</v>
      </c>
      <c r="U433" s="16" t="n">
        <f aca="false">IF(D433="","",MAX(0,MIN($B$8,Z433)))</f>
        <v>8.05833000241925</v>
      </c>
      <c r="V433" s="16" t="str">
        <f aca="false">IF(D433="","",IF(S433&gt;0.0000001,"Sim","Não"))</f>
        <v>Não</v>
      </c>
      <c r="W433" s="16" t="n">
        <f aca="false">IF(D433="","",U433-(H433+E433-Q433-O433-T433))</f>
        <v>0</v>
      </c>
      <c r="X433" s="16" t="n">
        <f aca="false">IF(W433="","",ABS(W433))</f>
        <v>0</v>
      </c>
      <c r="Y433" s="16" t="n">
        <f aca="false">IF(U433="","",IF($B$8=0,0,U433/$B$8*100))</f>
        <v>17.0655019110954</v>
      </c>
      <c r="Z433" s="18" t="n">
        <f aca="false">IF(D433="","",MAX(0,IF(P433&gt;=0,P433,IF(K433+P433&gt;=0,0,P433+K433))))</f>
        <v>8.05833000241925</v>
      </c>
      <c r="AA433" s="18" t="n">
        <f aca="false">IF(D433="","",IF(H433&lt;=$B$16,1,IF(H433&gt;=$B$17,$B$21,MATCH(H433,Aux_CAV!$A$2:$A$121,1))))</f>
        <v>9</v>
      </c>
      <c r="AB433" s="18" t="n">
        <f aca="false">IF(D433="","",IF(L433&lt;=$B$16,1,IF(L433&gt;=$B$17,$B$21,MATCH(L433,Aux_CAV!$A$2:$A$121,1))))</f>
        <v>9</v>
      </c>
      <c r="AC433" s="19" t="n">
        <f aca="false">IF(D433="","",COUNT($D$24:D433))</f>
        <v>398</v>
      </c>
    </row>
    <row r="434" customFormat="false" ht="12.75" hidden="false" customHeight="true" outlineLevel="0" collapsed="false">
      <c r="A434" s="14" t="n">
        <f aca="false">IF(D434="","",DATE(B434,C434,1))</f>
        <v>16132</v>
      </c>
      <c r="B434" s="15" t="n">
        <f aca="false" t="array" ref="B434:B434">IF(D434="","",IFERROR(VALUE(INDEX(Vazoes_COLAR!$A$2:$A$200,INT((ROW()-24)/12)+1)),""))</f>
        <v>1944</v>
      </c>
      <c r="C434" s="15" t="n">
        <f aca="false">IF(D434="","",MOD(ROW()-24,12)+1)</f>
        <v>3</v>
      </c>
      <c r="D434" s="16" t="n">
        <f aca="false" t="array" ref="D434: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0.531929236801301</v>
      </c>
      <c r="E434" s="16" t="n">
        <f aca="false">IF(D434="","",D434*$B$15)</f>
        <v>1.37876058178897</v>
      </c>
      <c r="F434" s="16" t="n">
        <f aca="false" t="array" ref="F434:F434">IF(D434="","",IFERROR(INDEX(Dados_Evap!$C$2:$N$15,MATCH($B$9,Dados_Evap!$A$2:$A$15,0),C434),0))</f>
        <v>107.7</v>
      </c>
      <c r="G434" s="16" t="n">
        <f aca="false">IF(F434="","",F434/1000)</f>
        <v>0.1077</v>
      </c>
      <c r="H434" s="16" t="n">
        <f aca="false">IF(D434="","",MAX(0,MIN($B$8,IFERROR(LOOKUP(2,1/($U$24:U433&lt;&gt;""),$U$24:U433),$B$11))))</f>
        <v>8.05833000241925</v>
      </c>
      <c r="I434" s="16" t="n">
        <f aca="false" t="array" ref="I434: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>2.7226408305233</v>
      </c>
      <c r="J434" s="16" t="n">
        <f aca="false">IF(D434="","",$B$12)</f>
        <v>0.35</v>
      </c>
      <c r="K434" s="16" t="n">
        <f aca="false">IF(J434="","",J434*$B$15)</f>
        <v>0.9072</v>
      </c>
      <c r="L434" s="16" t="n">
        <f aca="false">IF(D434="","",H434+E434-K434-G434*I434)</f>
        <v>8.23666216676086</v>
      </c>
      <c r="M434" s="16" t="n">
        <f aca="false" t="array" ref="M434: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>2.77689934009958</v>
      </c>
      <c r="N434" s="16" t="n">
        <f aca="false">IF(D434="","",(I434+M434)/2)</f>
        <v>2.74977008531144</v>
      </c>
      <c r="O434" s="16" t="n">
        <f aca="false">IF(D434="","",G434*N434)</f>
        <v>0.296150238188042</v>
      </c>
      <c r="P434" s="16" t="n">
        <f aca="false">IF(D434="","",H434+E434-K434-O434)</f>
        <v>8.23374034602018</v>
      </c>
      <c r="Q434" s="16" t="n">
        <f aca="false">IF(D434="","",IF(P434&gt;=0,K434,MAX(0,K434+P434)))</f>
        <v>0.9072</v>
      </c>
      <c r="R434" s="16" t="n">
        <f aca="false">IF(D434="","",Q434/$B$15)</f>
        <v>0.35</v>
      </c>
      <c r="S434" s="16" t="n">
        <f aca="false">IF(D434="","",MAX(0,J434-R434))</f>
        <v>0</v>
      </c>
      <c r="T434" s="16" t="n">
        <f aca="false">IF(D434="","",MAX(0,Z434-$B$8))</f>
        <v>0</v>
      </c>
      <c r="U434" s="16" t="n">
        <f aca="false">IF(D434="","",MAX(0,MIN($B$8,Z434)))</f>
        <v>8.23374034602018</v>
      </c>
      <c r="V434" s="16" t="str">
        <f aca="false">IF(D434="","",IF(S434&gt;0.0000001,"Sim","Não"))</f>
        <v>Não</v>
      </c>
      <c r="W434" s="16" t="n">
        <f aca="false">IF(D434="","",U434-(H434+E434-Q434-O434-T434))</f>
        <v>0</v>
      </c>
      <c r="X434" s="16" t="n">
        <f aca="false">IF(W434="","",ABS(W434))</f>
        <v>0</v>
      </c>
      <c r="Y434" s="16" t="n">
        <f aca="false">IF(U434="","",IF($B$8=0,0,U434/$B$8*100))</f>
        <v>17.4369765904705</v>
      </c>
      <c r="Z434" s="18" t="n">
        <f aca="false">IF(D434="","",MAX(0,IF(P434&gt;=0,P434,IF(K434+P434&gt;=0,0,P434+K434))))</f>
        <v>8.23374034602018</v>
      </c>
      <c r="AA434" s="18" t="n">
        <f aca="false">IF(D434="","",IF(H434&lt;=$B$16,1,IF(H434&gt;=$B$17,$B$21,MATCH(H434,Aux_CAV!$A$2:$A$121,1))))</f>
        <v>9</v>
      </c>
      <c r="AB434" s="18" t="n">
        <f aca="false">IF(D434="","",IF(L434&lt;=$B$16,1,IF(L434&gt;=$B$17,$B$21,MATCH(L434,Aux_CAV!$A$2:$A$121,1))))</f>
        <v>9</v>
      </c>
      <c r="AC434" s="19" t="n">
        <f aca="false">IF(D434="","",COUNT($D$24:D434))</f>
        <v>399</v>
      </c>
    </row>
    <row r="435" customFormat="false" ht="12.75" hidden="false" customHeight="true" outlineLevel="0" collapsed="false">
      <c r="A435" s="14" t="n">
        <f aca="false">IF(D435="","",DATE(B435,C435,1))</f>
        <v>16163</v>
      </c>
      <c r="B435" s="15" t="n">
        <f aca="false" t="array" ref="B435:B435">IF(D435="","",IFERROR(VALUE(INDEX(Vazoes_COLAR!$A$2:$A$200,INT((ROW()-24)/12)+1)),""))</f>
        <v>1944</v>
      </c>
      <c r="C435" s="15" t="n">
        <f aca="false">IF(D435="","",MOD(ROW()-24,12)+1)</f>
        <v>4</v>
      </c>
      <c r="D435" s="16" t="n">
        <f aca="false" t="array" ref="D435: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1.37596229826905</v>
      </c>
      <c r="E435" s="16" t="n">
        <f aca="false">IF(D435="","",D435*$B$15)</f>
        <v>3.56649427711338</v>
      </c>
      <c r="F435" s="16" t="n">
        <f aca="false" t="array" ref="F435:F435">IF(D435="","",IFERROR(INDEX(Dados_Evap!$C$2:$N$15,MATCH($B$9,Dados_Evap!$A$2:$A$15,0),C435),0))</f>
        <v>100.5</v>
      </c>
      <c r="G435" s="16" t="n">
        <f aca="false">IF(F435="","",F435/1000)</f>
        <v>0.1005</v>
      </c>
      <c r="H435" s="16" t="n">
        <f aca="false">IF(D435="","",MAX(0,MIN($B$8,IFERROR(LOOKUP(2,1/($U$24:U434&lt;&gt;""),$U$24:U434),$B$11))))</f>
        <v>8.23374034602018</v>
      </c>
      <c r="I435" s="16" t="n">
        <f aca="false" t="array" ref="I435: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>2.77601036059763</v>
      </c>
      <c r="J435" s="16" t="n">
        <f aca="false">IF(D435="","",$B$12)</f>
        <v>0.35</v>
      </c>
      <c r="K435" s="16" t="n">
        <f aca="false">IF(J435="","",J435*$B$15)</f>
        <v>0.9072</v>
      </c>
      <c r="L435" s="16" t="n">
        <f aca="false">IF(D435="","",H435+E435-K435-G435*I435)</f>
        <v>10.6140455818935</v>
      </c>
      <c r="M435" s="16" t="n">
        <f aca="false" t="array" ref="M435: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>3.19060977022033</v>
      </c>
      <c r="N435" s="16" t="n">
        <f aca="false">IF(D435="","",(I435+M435)/2)</f>
        <v>2.98331006540898</v>
      </c>
      <c r="O435" s="16" t="n">
        <f aca="false">IF(D435="","",G435*N435)</f>
        <v>0.299822661573602</v>
      </c>
      <c r="P435" s="16" t="n">
        <f aca="false">IF(D435="","",H435+E435-K435-O435)</f>
        <v>10.59321196156</v>
      </c>
      <c r="Q435" s="16" t="n">
        <f aca="false">IF(D435="","",IF(P435&gt;=0,K435,MAX(0,K435+P435)))</f>
        <v>0.9072</v>
      </c>
      <c r="R435" s="16" t="n">
        <f aca="false">IF(D435="","",Q435/$B$15)</f>
        <v>0.35</v>
      </c>
      <c r="S435" s="16" t="n">
        <f aca="false">IF(D435="","",MAX(0,J435-R435))</f>
        <v>0</v>
      </c>
      <c r="T435" s="16" t="n">
        <f aca="false">IF(D435="","",MAX(0,Z435-$B$8))</f>
        <v>0</v>
      </c>
      <c r="U435" s="16" t="n">
        <f aca="false">IF(D435="","",MAX(0,MIN($B$8,Z435)))</f>
        <v>10.59321196156</v>
      </c>
      <c r="V435" s="16" t="str">
        <f aca="false">IF(D435="","",IF(S435&gt;0.0000001,"Sim","Não"))</f>
        <v>Não</v>
      </c>
      <c r="W435" s="16" t="n">
        <f aca="false">IF(D435="","",U435-(H435+E435-Q435-O435-T435))</f>
        <v>0</v>
      </c>
      <c r="X435" s="16" t="n">
        <f aca="false">IF(W435="","",ABS(W435))</f>
        <v>0</v>
      </c>
      <c r="Y435" s="16" t="n">
        <f aca="false">IF(U435="","",IF($B$8=0,0,U435/$B$8*100))</f>
        <v>22.4337398592968</v>
      </c>
      <c r="Z435" s="18" t="n">
        <f aca="false">IF(D435="","",MAX(0,IF(P435&gt;=0,P435,IF(K435+P435&gt;=0,0,P435+K435))))</f>
        <v>10.59321196156</v>
      </c>
      <c r="AA435" s="18" t="n">
        <f aca="false">IF(D435="","",IF(H435&lt;=$B$16,1,IF(H435&gt;=$B$17,$B$21,MATCH(H435,Aux_CAV!$A$2:$A$121,1))))</f>
        <v>9</v>
      </c>
      <c r="AB435" s="18" t="n">
        <f aca="false">IF(D435="","",IF(L435&lt;=$B$16,1,IF(L435&gt;=$B$17,$B$21,MATCH(L435,Aux_CAV!$A$2:$A$121,1))))</f>
        <v>10</v>
      </c>
      <c r="AC435" s="19" t="n">
        <f aca="false">IF(D435="","",COUNT($D$24:D435))</f>
        <v>400</v>
      </c>
    </row>
    <row r="436" customFormat="false" ht="12.75" hidden="false" customHeight="true" outlineLevel="0" collapsed="false">
      <c r="A436" s="14" t="n">
        <f aca="false">IF(D436="","",DATE(B436,C436,1))</f>
        <v>16193</v>
      </c>
      <c r="B436" s="15" t="n">
        <f aca="false" t="array" ref="B436:B436">IF(D436="","",IFERROR(VALUE(INDEX(Vazoes_COLAR!$A$2:$A$200,INT((ROW()-24)/12)+1)),""))</f>
        <v>1944</v>
      </c>
      <c r="C436" s="15" t="n">
        <f aca="false">IF(D436="","",MOD(ROW()-24,12)+1)</f>
        <v>5</v>
      </c>
      <c r="D436" s="16" t="n">
        <f aca="false" t="array" ref="D436: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0.561642310443132</v>
      </c>
      <c r="E436" s="16" t="n">
        <f aca="false">IF(D436="","",D436*$B$15)</f>
        <v>1.4557768686686</v>
      </c>
      <c r="F436" s="16" t="n">
        <f aca="false" t="array" ref="F436:F436">IF(D436="","",IFERROR(INDEX(Dados_Evap!$C$2:$N$15,MATCH($B$9,Dados_Evap!$A$2:$A$15,0),C436),0))</f>
        <v>145.8</v>
      </c>
      <c r="G436" s="16" t="n">
        <f aca="false">IF(F436="","",F436/1000)</f>
        <v>0.1458</v>
      </c>
      <c r="H436" s="16" t="n">
        <f aca="false">IF(D436="","",MAX(0,MIN($B$8,IFERROR(LOOKUP(2,1/($U$24:U435&lt;&gt;""),$U$24:U435),$B$11))))</f>
        <v>10.59321196156</v>
      </c>
      <c r="I436" s="16" t="n">
        <f aca="false" t="array" ref="I436: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>3.18883278495658</v>
      </c>
      <c r="J436" s="16" t="n">
        <f aca="false">IF(D436="","",$B$12)</f>
        <v>0.35</v>
      </c>
      <c r="K436" s="16" t="n">
        <f aca="false">IF(J436="","",J436*$B$15)</f>
        <v>0.9072</v>
      </c>
      <c r="L436" s="16" t="n">
        <f aca="false">IF(D436="","",H436+E436-K436-G436*I436)</f>
        <v>10.6768570101819</v>
      </c>
      <c r="M436" s="16" t="n">
        <f aca="false" t="array" ref="M436: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>3.19596721557434</v>
      </c>
      <c r="N436" s="16" t="n">
        <f aca="false">IF(D436="","",(I436+M436)/2)</f>
        <v>3.19240000026546</v>
      </c>
      <c r="O436" s="16" t="n">
        <f aca="false">IF(D436="","",G436*N436)</f>
        <v>0.465451920038704</v>
      </c>
      <c r="P436" s="16" t="n">
        <f aca="false">IF(D436="","",H436+E436-K436-O436)</f>
        <v>10.6763369101898</v>
      </c>
      <c r="Q436" s="16" t="n">
        <f aca="false">IF(D436="","",IF(P436&gt;=0,K436,MAX(0,K436+P436)))</f>
        <v>0.9072</v>
      </c>
      <c r="R436" s="16" t="n">
        <f aca="false">IF(D436="","",Q436/$B$15)</f>
        <v>0.35</v>
      </c>
      <c r="S436" s="16" t="n">
        <f aca="false">IF(D436="","",MAX(0,J436-R436))</f>
        <v>0</v>
      </c>
      <c r="T436" s="16" t="n">
        <f aca="false">IF(D436="","",MAX(0,Z436-$B$8))</f>
        <v>0</v>
      </c>
      <c r="U436" s="16" t="n">
        <f aca="false">IF(D436="","",MAX(0,MIN($B$8,Z436)))</f>
        <v>10.6763369101898</v>
      </c>
      <c r="V436" s="16" t="str">
        <f aca="false">IF(D436="","",IF(S436&gt;0.0000001,"Sim","Não"))</f>
        <v>Não</v>
      </c>
      <c r="W436" s="16" t="n">
        <f aca="false">IF(D436="","",U436-(H436+E436-Q436-O436-T436))</f>
        <v>0</v>
      </c>
      <c r="X436" s="16" t="n">
        <f aca="false">IF(W436="","",ABS(W436))</f>
        <v>0</v>
      </c>
      <c r="Y436" s="16" t="n">
        <f aca="false">IF(U436="","",IF($B$8=0,0,U436/$B$8*100))</f>
        <v>22.6097774463995</v>
      </c>
      <c r="Z436" s="18" t="n">
        <f aca="false">IF(D436="","",MAX(0,IF(P436&gt;=0,P436,IF(K436+P436&gt;=0,0,P436+K436))))</f>
        <v>10.6763369101898</v>
      </c>
      <c r="AA436" s="18" t="n">
        <f aca="false">IF(D436="","",IF(H436&lt;=$B$16,1,IF(H436&gt;=$B$17,$B$21,MATCH(H436,Aux_CAV!$A$2:$A$121,1))))</f>
        <v>10</v>
      </c>
      <c r="AB436" s="18" t="n">
        <f aca="false">IF(D436="","",IF(L436&lt;=$B$16,1,IF(L436&gt;=$B$17,$B$21,MATCH(L436,Aux_CAV!$A$2:$A$121,1))))</f>
        <v>10</v>
      </c>
      <c r="AC436" s="19" t="n">
        <f aca="false">IF(D436="","",COUNT($D$24:D436))</f>
        <v>401</v>
      </c>
    </row>
    <row r="437" customFormat="false" ht="12.75" hidden="false" customHeight="true" outlineLevel="0" collapsed="false">
      <c r="A437" s="14" t="n">
        <f aca="false">IF(D437="","",DATE(B437,C437,1))</f>
        <v>16224</v>
      </c>
      <c r="B437" s="15" t="n">
        <f aca="false" t="array" ref="B437:B437">IF(D437="","",IFERROR(VALUE(INDEX(Vazoes_COLAR!$A$2:$A$200,INT((ROW()-24)/12)+1)),""))</f>
        <v>1944</v>
      </c>
      <c r="C437" s="15" t="n">
        <f aca="false">IF(D437="","",MOD(ROW()-24,12)+1)</f>
        <v>6</v>
      </c>
      <c r="D437" s="16" t="n">
        <f aca="false" t="array" ref="D437: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0.0924719046745777</v>
      </c>
      <c r="E437" s="16" t="n">
        <f aca="false">IF(D437="","",D437*$B$15)</f>
        <v>0.239687176916505</v>
      </c>
      <c r="F437" s="16" t="n">
        <f aca="false" t="array" ref="F437:F437">IF(D437="","",IFERROR(INDEX(Dados_Evap!$C$2:$N$15,MATCH($B$9,Dados_Evap!$A$2:$A$15,0),C437),0))</f>
        <v>161.3</v>
      </c>
      <c r="G437" s="16" t="n">
        <f aca="false">IF(F437="","",F437/1000)</f>
        <v>0.1613</v>
      </c>
      <c r="H437" s="16" t="n">
        <f aca="false">IF(D437="","",MAX(0,MIN($B$8,IFERROR(LOOKUP(2,1/($U$24:U436&lt;&gt;""),$U$24:U436),$B$11))))</f>
        <v>10.6763369101898</v>
      </c>
      <c r="I437" s="16" t="n">
        <f aca="false" t="array" ref="I437: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>3.19592285410443</v>
      </c>
      <c r="J437" s="16" t="n">
        <f aca="false">IF(D437="","",$B$12)</f>
        <v>0.35</v>
      </c>
      <c r="K437" s="16" t="n">
        <f aca="false">IF(J437="","",J437*$B$15)</f>
        <v>0.9072</v>
      </c>
      <c r="L437" s="16" t="n">
        <f aca="false">IF(D437="","",H437+E437-K437-G437*I437)</f>
        <v>9.49332173073931</v>
      </c>
      <c r="M437" s="16" t="n">
        <f aca="false" t="array" ref="M437: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>3.09501861821012</v>
      </c>
      <c r="N437" s="16" t="n">
        <f aca="false">IF(D437="","",(I437+M437)/2)</f>
        <v>3.14547073615727</v>
      </c>
      <c r="O437" s="16" t="n">
        <f aca="false">IF(D437="","",G437*N437)</f>
        <v>0.507364429742168</v>
      </c>
      <c r="P437" s="16" t="n">
        <f aca="false">IF(D437="","",H437+E437-K437-O437)</f>
        <v>9.50145965736418</v>
      </c>
      <c r="Q437" s="16" t="n">
        <f aca="false">IF(D437="","",IF(P437&gt;=0,K437,MAX(0,K437+P437)))</f>
        <v>0.9072</v>
      </c>
      <c r="R437" s="16" t="n">
        <f aca="false">IF(D437="","",Q437/$B$15)</f>
        <v>0.35</v>
      </c>
      <c r="S437" s="16" t="n">
        <f aca="false">IF(D437="","",MAX(0,J437-R437))</f>
        <v>0</v>
      </c>
      <c r="T437" s="16" t="n">
        <f aca="false">IF(D437="","",MAX(0,Z437-$B$8))</f>
        <v>0</v>
      </c>
      <c r="U437" s="16" t="n">
        <f aca="false">IF(D437="","",MAX(0,MIN($B$8,Z437)))</f>
        <v>9.50145965736418</v>
      </c>
      <c r="V437" s="16" t="str">
        <f aca="false">IF(D437="","",IF(S437&gt;0.0000001,"Sim","Não"))</f>
        <v>Não</v>
      </c>
      <c r="W437" s="16" t="n">
        <f aca="false">IF(D437="","",U437-(H437+E437-Q437-O437-T437))</f>
        <v>0</v>
      </c>
      <c r="X437" s="16" t="n">
        <f aca="false">IF(W437="","",ABS(W437))</f>
        <v>0</v>
      </c>
      <c r="Y437" s="16" t="n">
        <f aca="false">IF(U437="","",IF($B$8=0,0,U437/$B$8*100))</f>
        <v>20.1216850007712</v>
      </c>
      <c r="Z437" s="18" t="n">
        <f aca="false">IF(D437="","",MAX(0,IF(P437&gt;=0,P437,IF(K437+P437&gt;=0,0,P437+K437))))</f>
        <v>9.50145965736418</v>
      </c>
      <c r="AA437" s="18" t="n">
        <f aca="false">IF(D437="","",IF(H437&lt;=$B$16,1,IF(H437&gt;=$B$17,$B$21,MATCH(H437,Aux_CAV!$A$2:$A$121,1))))</f>
        <v>10</v>
      </c>
      <c r="AB437" s="18" t="n">
        <f aca="false">IF(D437="","",IF(L437&lt;=$B$16,1,IF(L437&gt;=$B$17,$B$21,MATCH(L437,Aux_CAV!$A$2:$A$121,1))))</f>
        <v>10</v>
      </c>
      <c r="AC437" s="19" t="n">
        <f aca="false">IF(D437="","",COUNT($D$24:D437))</f>
        <v>402</v>
      </c>
    </row>
    <row r="438" customFormat="false" ht="12.75" hidden="false" customHeight="true" outlineLevel="0" collapsed="false">
      <c r="A438" s="14" t="n">
        <f aca="false">IF(D438="","",DATE(B438,C438,1))</f>
        <v>16254</v>
      </c>
      <c r="B438" s="15" t="n">
        <f aca="false" t="array" ref="B438:B438">IF(D438="","",IFERROR(VALUE(INDEX(Vazoes_COLAR!$A$2:$A$200,INT((ROW()-24)/12)+1)),""))</f>
        <v>1944</v>
      </c>
      <c r="C438" s="15" t="n">
        <f aca="false">IF(D438="","",MOD(ROW()-24,12)+1)</f>
        <v>7</v>
      </c>
      <c r="D438" s="16" t="n">
        <f aca="false" t="array" ref="D438: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0.0576419002617277</v>
      </c>
      <c r="E438" s="16" t="n">
        <f aca="false">IF(D438="","",D438*$B$15)</f>
        <v>0.149407805478398</v>
      </c>
      <c r="F438" s="16" t="n">
        <f aca="false" t="array" ref="F438:F438">IF(D438="","",IFERROR(INDEX(Dados_Evap!$C$2:$N$15,MATCH($B$9,Dados_Evap!$A$2:$A$15,0),C438),0))</f>
        <v>224.8</v>
      </c>
      <c r="G438" s="16" t="n">
        <f aca="false">IF(F438="","",F438/1000)</f>
        <v>0.2248</v>
      </c>
      <c r="H438" s="16" t="n">
        <f aca="false">IF(D438="","",MAX(0,MIN($B$8,IFERROR(LOOKUP(2,1/($U$24:U437&lt;&gt;""),$U$24:U437),$B$11))))</f>
        <v>9.50145965736418</v>
      </c>
      <c r="I438" s="16" t="n">
        <f aca="false" t="array" ref="I438: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>3.09571273548106</v>
      </c>
      <c r="J438" s="16" t="n">
        <f aca="false">IF(D438="","",$B$12)</f>
        <v>0.35</v>
      </c>
      <c r="K438" s="16" t="n">
        <f aca="false">IF(J438="","",J438*$B$15)</f>
        <v>0.9072</v>
      </c>
      <c r="L438" s="16" t="n">
        <f aca="false">IF(D438="","",H438+E438-K438-G438*I438)</f>
        <v>8.04775123990644</v>
      </c>
      <c r="M438" s="16" t="n">
        <f aca="false" t="array" ref="M438: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>2.71942218575877</v>
      </c>
      <c r="N438" s="16" t="n">
        <f aca="false">IF(D438="","",(I438+M438)/2)</f>
        <v>2.90756746061992</v>
      </c>
      <c r="O438" s="16" t="n">
        <f aca="false">IF(D438="","",G438*N438)</f>
        <v>0.653621165147357</v>
      </c>
      <c r="P438" s="16" t="n">
        <f aca="false">IF(D438="","",H438+E438-K438-O438)</f>
        <v>8.09004629769523</v>
      </c>
      <c r="Q438" s="16" t="n">
        <f aca="false">IF(D438="","",IF(P438&gt;=0,K438,MAX(0,K438+P438)))</f>
        <v>0.9072</v>
      </c>
      <c r="R438" s="16" t="n">
        <f aca="false">IF(D438="","",Q438/$B$15)</f>
        <v>0.35</v>
      </c>
      <c r="S438" s="16" t="n">
        <f aca="false">IF(D438="","",MAX(0,J438-R438))</f>
        <v>0</v>
      </c>
      <c r="T438" s="16" t="n">
        <f aca="false">IF(D438="","",MAX(0,Z438-$B$8))</f>
        <v>0</v>
      </c>
      <c r="U438" s="16" t="n">
        <f aca="false">IF(D438="","",MAX(0,MIN($B$8,Z438)))</f>
        <v>8.09004629769523</v>
      </c>
      <c r="V438" s="16" t="str">
        <f aca="false">IF(D438="","",IF(S438&gt;0.0000001,"Sim","Não"))</f>
        <v>Não</v>
      </c>
      <c r="W438" s="16" t="n">
        <f aca="false">IF(D438="","",U438-(H438+E438-Q438-O438-T438))</f>
        <v>0</v>
      </c>
      <c r="X438" s="16" t="n">
        <f aca="false">IF(W438="","",ABS(W438))</f>
        <v>0</v>
      </c>
      <c r="Y438" s="16" t="n">
        <f aca="false">IF(U438="","",IF($B$8=0,0,U438/$B$8*100))</f>
        <v>17.1326689913071</v>
      </c>
      <c r="Z438" s="18" t="n">
        <f aca="false">IF(D438="","",MAX(0,IF(P438&gt;=0,P438,IF(K438+P438&gt;=0,0,P438+K438))))</f>
        <v>8.09004629769523</v>
      </c>
      <c r="AA438" s="18" t="n">
        <f aca="false">IF(D438="","",IF(H438&lt;=$B$16,1,IF(H438&gt;=$B$17,$B$21,MATCH(H438,Aux_CAV!$A$2:$A$121,1))))</f>
        <v>10</v>
      </c>
      <c r="AB438" s="18" t="n">
        <f aca="false">IF(D438="","",IF(L438&lt;=$B$16,1,IF(L438&gt;=$B$17,$B$21,MATCH(L438,Aux_CAV!$A$2:$A$121,1))))</f>
        <v>9</v>
      </c>
      <c r="AC438" s="19" t="n">
        <f aca="false">IF(D438="","",COUNT($D$24:D438))</f>
        <v>403</v>
      </c>
    </row>
    <row r="439" customFormat="false" ht="12.75" hidden="false" customHeight="true" outlineLevel="0" collapsed="false">
      <c r="A439" s="14" t="n">
        <f aca="false">IF(D439="","",DATE(B439,C439,1))</f>
        <v>16285</v>
      </c>
      <c r="B439" s="15" t="n">
        <f aca="false" t="array" ref="B439:B439">IF(D439="","",IFERROR(VALUE(INDEX(Vazoes_COLAR!$A$2:$A$200,INT((ROW()-24)/12)+1)),""))</f>
        <v>1944</v>
      </c>
      <c r="C439" s="15" t="n">
        <f aca="false">IF(D439="","",MOD(ROW()-24,12)+1)</f>
        <v>8</v>
      </c>
      <c r="D439" s="16" t="n">
        <f aca="false" t="array" ref="D439: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0.00825300075412394</v>
      </c>
      <c r="E439" s="16" t="n">
        <f aca="false">IF(D439="","",D439*$B$15)</f>
        <v>0.0213917779546893</v>
      </c>
      <c r="F439" s="16" t="n">
        <f aca="false" t="array" ref="F439:F439">IF(D439="","",IFERROR(INDEX(Dados_Evap!$C$2:$N$15,MATCH($B$9,Dados_Evap!$A$2:$A$15,0),C439),0))</f>
        <v>268.7</v>
      </c>
      <c r="G439" s="16" t="n">
        <f aca="false">IF(F439="","",F439/1000)</f>
        <v>0.2687</v>
      </c>
      <c r="H439" s="16" t="n">
        <f aca="false">IF(D439="","",MAX(0,MIN($B$8,IFERROR(LOOKUP(2,1/($U$24:U438&lt;&gt;""),$U$24:U438),$B$11))))</f>
        <v>8.09004629769523</v>
      </c>
      <c r="I439" s="16" t="n">
        <f aca="false" t="array" ref="I439: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>2.73229068206472</v>
      </c>
      <c r="J439" s="16" t="n">
        <f aca="false">IF(D439="","",$B$12)</f>
        <v>0.35</v>
      </c>
      <c r="K439" s="16" t="n">
        <f aca="false">IF(J439="","",J439*$B$15)</f>
        <v>0.9072</v>
      </c>
      <c r="L439" s="16" t="n">
        <f aca="false">IF(D439="","",H439+E439-K439-G439*I439)</f>
        <v>6.47007156937913</v>
      </c>
      <c r="M439" s="16" t="n">
        <f aca="false" t="array" ref="M439: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>2.23940475408769</v>
      </c>
      <c r="N439" s="16" t="n">
        <f aca="false">IF(D439="","",(I439+M439)/2)</f>
        <v>2.4858477180762</v>
      </c>
      <c r="O439" s="16" t="n">
        <f aca="false">IF(D439="","",G439*N439)</f>
        <v>0.667947281847076</v>
      </c>
      <c r="P439" s="16" t="n">
        <f aca="false">IF(D439="","",H439+E439-K439-O439)</f>
        <v>6.53629079380284</v>
      </c>
      <c r="Q439" s="16" t="n">
        <f aca="false">IF(D439="","",IF(P439&gt;=0,K439,MAX(0,K439+P439)))</f>
        <v>0.9072</v>
      </c>
      <c r="R439" s="16" t="n">
        <f aca="false">IF(D439="","",Q439/$B$15)</f>
        <v>0.35</v>
      </c>
      <c r="S439" s="16" t="n">
        <f aca="false">IF(D439="","",MAX(0,J439-R439))</f>
        <v>0</v>
      </c>
      <c r="T439" s="16" t="n">
        <f aca="false">IF(D439="","",MAX(0,Z439-$B$8))</f>
        <v>0</v>
      </c>
      <c r="U439" s="16" t="n">
        <f aca="false">IF(D439="","",MAX(0,MIN($B$8,Z439)))</f>
        <v>6.53629079380284</v>
      </c>
      <c r="V439" s="16" t="str">
        <f aca="false">IF(D439="","",IF(S439&gt;0.0000001,"Sim","Não"))</f>
        <v>Não</v>
      </c>
      <c r="W439" s="16" t="n">
        <f aca="false">IF(D439="","",U439-(H439+E439-Q439-O439-T439))</f>
        <v>0</v>
      </c>
      <c r="X439" s="16" t="n">
        <f aca="false">IF(W439="","",ABS(W439))</f>
        <v>0</v>
      </c>
      <c r="Y439" s="16" t="n">
        <f aca="false">IF(U439="","",IF($B$8=0,0,U439/$B$8*100))</f>
        <v>13.842208373153</v>
      </c>
      <c r="Z439" s="18" t="n">
        <f aca="false">IF(D439="","",MAX(0,IF(P439&gt;=0,P439,IF(K439+P439&gt;=0,0,P439+K439))))</f>
        <v>6.53629079380284</v>
      </c>
      <c r="AA439" s="18" t="n">
        <f aca="false">IF(D439="","",IF(H439&lt;=$B$16,1,IF(H439&gt;=$B$17,$B$21,MATCH(H439,Aux_CAV!$A$2:$A$121,1))))</f>
        <v>9</v>
      </c>
      <c r="AB439" s="18" t="n">
        <f aca="false">IF(D439="","",IF(L439&lt;=$B$16,1,IF(L439&gt;=$B$17,$B$21,MATCH(L439,Aux_CAV!$A$2:$A$121,1))))</f>
        <v>9</v>
      </c>
      <c r="AC439" s="19" t="n">
        <f aca="false">IF(D439="","",COUNT($D$24:D439))</f>
        <v>404</v>
      </c>
    </row>
    <row r="440" customFormat="false" ht="12.75" hidden="false" customHeight="true" outlineLevel="0" collapsed="false">
      <c r="A440" s="14" t="n">
        <f aca="false">IF(D440="","",DATE(B440,C440,1))</f>
        <v>16316</v>
      </c>
      <c r="B440" s="15" t="n">
        <f aca="false" t="array" ref="B440:B440">IF(D440="","",IFERROR(VALUE(INDEX(Vazoes_COLAR!$A$2:$A$200,INT((ROW()-24)/12)+1)),""))</f>
        <v>1944</v>
      </c>
      <c r="C440" s="15" t="n">
        <f aca="false">IF(D440="","",MOD(ROW()-24,12)+1)</f>
        <v>9</v>
      </c>
      <c r="D440" s="16" t="n">
        <f aca="false" t="array" ref="D440: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0.027455952047894</v>
      </c>
      <c r="E440" s="16" t="n">
        <f aca="false">IF(D440="","",D440*$B$15)</f>
        <v>0.0711658277081413</v>
      </c>
      <c r="F440" s="16" t="n">
        <f aca="false" t="array" ref="F440:F440">IF(D440="","",IFERROR(INDEX(Dados_Evap!$C$2:$N$15,MATCH($B$9,Dados_Evap!$A$2:$A$15,0),C440),0))</f>
        <v>292.8</v>
      </c>
      <c r="G440" s="16" t="n">
        <f aca="false">IF(F440="","",F440/1000)</f>
        <v>0.2928</v>
      </c>
      <c r="H440" s="16" t="n">
        <f aca="false">IF(D440="","",MAX(0,MIN($B$8,IFERROR(LOOKUP(2,1/($U$24:U439&lt;&gt;""),$U$24:U439),$B$11))))</f>
        <v>6.53629079380284</v>
      </c>
      <c r="I440" s="16" t="n">
        <f aca="false" t="array" ref="I440: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>2.25955230534852</v>
      </c>
      <c r="J440" s="16" t="n">
        <f aca="false">IF(D440="","",$B$12)</f>
        <v>0.35</v>
      </c>
      <c r="K440" s="16" t="n">
        <f aca="false">IF(J440="","",J440*$B$15)</f>
        <v>0.9072</v>
      </c>
      <c r="L440" s="16" t="n">
        <f aca="false">IF(D440="","",H440+E440-K440-G440*I440)</f>
        <v>5.03865970650493</v>
      </c>
      <c r="M440" s="16" t="n">
        <f aca="false" t="array" ref="M440: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>1.80389008091533</v>
      </c>
      <c r="N440" s="16" t="n">
        <f aca="false">IF(D440="","",(I440+M440)/2)</f>
        <v>2.03172119313193</v>
      </c>
      <c r="O440" s="16" t="n">
        <f aca="false">IF(D440="","",G440*N440)</f>
        <v>0.594887965349028</v>
      </c>
      <c r="P440" s="16" t="n">
        <f aca="false">IF(D440="","",H440+E440-K440-O440)</f>
        <v>5.10536865616195</v>
      </c>
      <c r="Q440" s="16" t="n">
        <f aca="false">IF(D440="","",IF(P440&gt;=0,K440,MAX(0,K440+P440)))</f>
        <v>0.9072</v>
      </c>
      <c r="R440" s="16" t="n">
        <f aca="false">IF(D440="","",Q440/$B$15)</f>
        <v>0.35</v>
      </c>
      <c r="S440" s="16" t="n">
        <f aca="false">IF(D440="","",MAX(0,J440-R440))</f>
        <v>0</v>
      </c>
      <c r="T440" s="16" t="n">
        <f aca="false">IF(D440="","",MAX(0,Z440-$B$8))</f>
        <v>0</v>
      </c>
      <c r="U440" s="16" t="n">
        <f aca="false">IF(D440="","",MAX(0,MIN($B$8,Z440)))</f>
        <v>5.10536865616195</v>
      </c>
      <c r="V440" s="16" t="str">
        <f aca="false">IF(D440="","",IF(S440&gt;0.0000001,"Sim","Não"))</f>
        <v>Não</v>
      </c>
      <c r="W440" s="16" t="n">
        <f aca="false">IF(D440="","",U440-(H440+E440-Q440-O440-T440))</f>
        <v>0</v>
      </c>
      <c r="X440" s="16" t="n">
        <f aca="false">IF(W440="","",ABS(W440))</f>
        <v>0</v>
      </c>
      <c r="Y440" s="16" t="n">
        <f aca="false">IF(U440="","",IF($B$8=0,0,U440/$B$8*100))</f>
        <v>10.8118777131765</v>
      </c>
      <c r="Z440" s="18" t="n">
        <f aca="false">IF(D440="","",MAX(0,IF(P440&gt;=0,P440,IF(K440+P440&gt;=0,0,P440+K440))))</f>
        <v>5.10536865616195</v>
      </c>
      <c r="AA440" s="18" t="n">
        <f aca="false">IF(D440="","",IF(H440&lt;=$B$16,1,IF(H440&gt;=$B$17,$B$21,MATCH(H440,Aux_CAV!$A$2:$A$121,1))))</f>
        <v>9</v>
      </c>
      <c r="AB440" s="18" t="n">
        <f aca="false">IF(D440="","",IF(L440&lt;=$B$16,1,IF(L440&gt;=$B$17,$B$21,MATCH(L440,Aux_CAV!$A$2:$A$121,1))))</f>
        <v>9</v>
      </c>
      <c r="AC440" s="19" t="n">
        <f aca="false">IF(D440="","",COUNT($D$24:D440))</f>
        <v>405</v>
      </c>
    </row>
    <row r="441" customFormat="false" ht="12.75" hidden="false" customHeight="true" outlineLevel="0" collapsed="false">
      <c r="A441" s="14" t="n">
        <f aca="false">IF(D441="","",DATE(B441,C441,1))</f>
        <v>16346</v>
      </c>
      <c r="B441" s="15" t="n">
        <f aca="false" t="array" ref="B441:B441">IF(D441="","",IFERROR(VALUE(INDEX(Vazoes_COLAR!$A$2:$A$200,INT((ROW()-24)/12)+1)),""))</f>
        <v>1944</v>
      </c>
      <c r="C441" s="15" t="n">
        <f aca="false">IF(D441="","",MOD(ROW()-24,12)+1)</f>
        <v>10</v>
      </c>
      <c r="D441" s="16" t="n">
        <f aca="false" t="array" ref="D441: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0.00641618180063097</v>
      </c>
      <c r="E441" s="16" t="n">
        <f aca="false">IF(D441="","",D441*$B$15)</f>
        <v>0.0166307432272355</v>
      </c>
      <c r="F441" s="16" t="n">
        <f aca="false" t="array" ref="F441:F441">IF(D441="","",IFERROR(INDEX(Dados_Evap!$C$2:$N$15,MATCH($B$9,Dados_Evap!$A$2:$A$15,0),C441),0))</f>
        <v>262.9</v>
      </c>
      <c r="G441" s="16" t="n">
        <f aca="false">IF(F441="","",F441/1000)</f>
        <v>0.2629</v>
      </c>
      <c r="H441" s="16" t="n">
        <f aca="false">IF(D441="","",MAX(0,MIN($B$8,IFERROR(LOOKUP(2,1/($U$24:U440&lt;&gt;""),$U$24:U440),$B$11))))</f>
        <v>5.10536865616195</v>
      </c>
      <c r="I441" s="16" t="n">
        <f aca="false" t="array" ref="I441: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>1.82418663368332</v>
      </c>
      <c r="J441" s="16" t="n">
        <f aca="false">IF(D441="","",$B$12)</f>
        <v>0.35</v>
      </c>
      <c r="K441" s="16" t="n">
        <f aca="false">IF(J441="","",J441*$B$15)</f>
        <v>0.9072</v>
      </c>
      <c r="L441" s="16" t="n">
        <f aca="false">IF(D441="","",H441+E441-K441-G441*I441)</f>
        <v>3.73522073339384</v>
      </c>
      <c r="M441" s="16" t="n">
        <f aca="false" t="array" ref="M441: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>1.43198003948313</v>
      </c>
      <c r="N441" s="16" t="n">
        <f aca="false">IF(D441="","",(I441+M441)/2)</f>
        <v>1.62808333658322</v>
      </c>
      <c r="O441" s="16" t="n">
        <f aca="false">IF(D441="","",G441*N441)</f>
        <v>0.428023109187729</v>
      </c>
      <c r="P441" s="16" t="n">
        <f aca="false">IF(D441="","",H441+E441-K441-O441)</f>
        <v>3.78677629020146</v>
      </c>
      <c r="Q441" s="16" t="n">
        <f aca="false">IF(D441="","",IF(P441&gt;=0,K441,MAX(0,K441+P441)))</f>
        <v>0.9072</v>
      </c>
      <c r="R441" s="16" t="n">
        <f aca="false">IF(D441="","",Q441/$B$15)</f>
        <v>0.35</v>
      </c>
      <c r="S441" s="16" t="n">
        <f aca="false">IF(D441="","",MAX(0,J441-R441))</f>
        <v>0</v>
      </c>
      <c r="T441" s="16" t="n">
        <f aca="false">IF(D441="","",MAX(0,Z441-$B$8))</f>
        <v>0</v>
      </c>
      <c r="U441" s="16" t="n">
        <f aca="false">IF(D441="","",MAX(0,MIN($B$8,Z441)))</f>
        <v>3.78677629020146</v>
      </c>
      <c r="V441" s="16" t="str">
        <f aca="false">IF(D441="","",IF(S441&gt;0.0000001,"Sim","Não"))</f>
        <v>Não</v>
      </c>
      <c r="W441" s="16" t="n">
        <f aca="false">IF(D441="","",U441-(H441+E441-Q441-O441-T441))</f>
        <v>0</v>
      </c>
      <c r="X441" s="16" t="n">
        <f aca="false">IF(W441="","",ABS(W441))</f>
        <v>0</v>
      </c>
      <c r="Y441" s="16" t="n">
        <f aca="false">IF(U441="","",IF($B$8=0,0,U441/$B$8*100))</f>
        <v>8.0194330584529</v>
      </c>
      <c r="Z441" s="18" t="n">
        <f aca="false">IF(D441="","",MAX(0,IF(P441&gt;=0,P441,IF(K441+P441&gt;=0,0,P441+K441))))</f>
        <v>3.78677629020146</v>
      </c>
      <c r="AA441" s="18" t="n">
        <f aca="false">IF(D441="","",IF(H441&lt;=$B$16,1,IF(H441&gt;=$B$17,$B$21,MATCH(H441,Aux_CAV!$A$2:$A$121,1))))</f>
        <v>9</v>
      </c>
      <c r="AB441" s="18" t="n">
        <f aca="false">IF(D441="","",IF(L441&lt;=$B$16,1,IF(L441&gt;=$B$17,$B$21,MATCH(L441,Aux_CAV!$A$2:$A$121,1))))</f>
        <v>8</v>
      </c>
      <c r="AC441" s="19" t="n">
        <f aca="false">IF(D441="","",COUNT($D$24:D441))</f>
        <v>406</v>
      </c>
    </row>
    <row r="442" customFormat="false" ht="12.75" hidden="false" customHeight="true" outlineLevel="0" collapsed="false">
      <c r="A442" s="14" t="n">
        <f aca="false">IF(D442="","",DATE(B442,C442,1))</f>
        <v>16377</v>
      </c>
      <c r="B442" s="15" t="n">
        <f aca="false" t="array" ref="B442:B442">IF(D442="","",IFERROR(VALUE(INDEX(Vazoes_COLAR!$A$2:$A$200,INT((ROW()-24)/12)+1)),""))</f>
        <v>1944</v>
      </c>
      <c r="C442" s="15" t="n">
        <f aca="false">IF(D442="","",MOD(ROW()-24,12)+1)</f>
        <v>11</v>
      </c>
      <c r="D442" s="16" t="n">
        <f aca="false" t="array" ref="D442: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0.00588584920688435</v>
      </c>
      <c r="E442" s="16" t="n">
        <f aca="false">IF(D442="","",D442*$B$15)</f>
        <v>0.0152561211442442</v>
      </c>
      <c r="F442" s="16" t="n">
        <f aca="false" t="array" ref="F442:F442">IF(D442="","",IFERROR(INDEX(Dados_Evap!$C$2:$N$15,MATCH($B$9,Dados_Evap!$A$2:$A$15,0),C442),0))</f>
        <v>223.7</v>
      </c>
      <c r="G442" s="16" t="n">
        <f aca="false">IF(F442="","",F442/1000)</f>
        <v>0.2237</v>
      </c>
      <c r="H442" s="16" t="n">
        <f aca="false">IF(D442="","",MAX(0,MIN($B$8,IFERROR(LOOKUP(2,1/($U$24:U441&lt;&gt;""),$U$24:U441),$B$11))))</f>
        <v>3.78677629020146</v>
      </c>
      <c r="I442" s="16" t="n">
        <f aca="false" t="array" ref="I442: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>1.4460031509348</v>
      </c>
      <c r="J442" s="16" t="n">
        <f aca="false">IF(D442="","",$B$12)</f>
        <v>0.35</v>
      </c>
      <c r="K442" s="16" t="n">
        <f aca="false">IF(J442="","",J442*$B$15)</f>
        <v>0.9072</v>
      </c>
      <c r="L442" s="16" t="n">
        <f aca="false">IF(D442="","",H442+E442-K442-G442*I442)</f>
        <v>2.57136150648159</v>
      </c>
      <c r="M442" s="16" t="n">
        <f aca="false" t="array" ref="M442: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>1.11541032976299</v>
      </c>
      <c r="N442" s="16" t="n">
        <f aca="false">IF(D442="","",(I442+M442)/2)</f>
        <v>1.28070674034889</v>
      </c>
      <c r="O442" s="16" t="n">
        <f aca="false">IF(D442="","",G442*N442)</f>
        <v>0.286494097816048</v>
      </c>
      <c r="P442" s="16" t="n">
        <f aca="false">IF(D442="","",H442+E442-K442-O442)</f>
        <v>2.60833831352965</v>
      </c>
      <c r="Q442" s="16" t="n">
        <f aca="false">IF(D442="","",IF(P442&gt;=0,K442,MAX(0,K442+P442)))</f>
        <v>0.9072</v>
      </c>
      <c r="R442" s="16" t="n">
        <f aca="false">IF(D442="","",Q442/$B$15)</f>
        <v>0.35</v>
      </c>
      <c r="S442" s="16" t="n">
        <f aca="false">IF(D442="","",MAX(0,J442-R442))</f>
        <v>0</v>
      </c>
      <c r="T442" s="16" t="n">
        <f aca="false">IF(D442="","",MAX(0,Z442-$B$8))</f>
        <v>0</v>
      </c>
      <c r="U442" s="16" t="n">
        <f aca="false">IF(D442="","",MAX(0,MIN($B$8,Z442)))</f>
        <v>2.60833831352965</v>
      </c>
      <c r="V442" s="16" t="str">
        <f aca="false">IF(D442="","",IF(S442&gt;0.0000001,"Sim","Não"))</f>
        <v>Não</v>
      </c>
      <c r="W442" s="16" t="n">
        <f aca="false">IF(D442="","",U442-(H442+E442-Q442-O442-T442))</f>
        <v>0</v>
      </c>
      <c r="X442" s="16" t="n">
        <f aca="false">IF(W442="","",ABS(W442))</f>
        <v>0</v>
      </c>
      <c r="Y442" s="16" t="n">
        <f aca="false">IF(U442="","",IF($B$8=0,0,U442/$B$8*100))</f>
        <v>5.52379990158758</v>
      </c>
      <c r="Z442" s="18" t="n">
        <f aca="false">IF(D442="","",MAX(0,IF(P442&gt;=0,P442,IF(K442+P442&gt;=0,0,P442+K442))))</f>
        <v>2.60833831352965</v>
      </c>
      <c r="AA442" s="18" t="n">
        <f aca="false">IF(D442="","",IF(H442&lt;=$B$16,1,IF(H442&gt;=$B$17,$B$21,MATCH(H442,Aux_CAV!$A$2:$A$121,1))))</f>
        <v>8</v>
      </c>
      <c r="AB442" s="18" t="n">
        <f aca="false">IF(D442="","",IF(L442&lt;=$B$16,1,IF(L442&gt;=$B$17,$B$21,MATCH(L442,Aux_CAV!$A$2:$A$121,1))))</f>
        <v>8</v>
      </c>
      <c r="AC442" s="19" t="n">
        <f aca="false">IF(D442="","",COUNT($D$24:D442))</f>
        <v>407</v>
      </c>
    </row>
    <row r="443" customFormat="false" ht="12.75" hidden="false" customHeight="true" outlineLevel="0" collapsed="false">
      <c r="A443" s="14" t="n">
        <f aca="false">IF(D443="","",DATE(B443,C443,1))</f>
        <v>16407</v>
      </c>
      <c r="B443" s="15" t="n">
        <f aca="false" t="array" ref="B443:B443">IF(D443="","",IFERROR(VALUE(INDEX(Vazoes_COLAR!$A$2:$A$200,INT((ROW()-24)/12)+1)),""))</f>
        <v>1944</v>
      </c>
      <c r="C443" s="15" t="n">
        <f aca="false">IF(D443="","",MOD(ROW()-24,12)+1)</f>
        <v>12</v>
      </c>
      <c r="D443" s="16" t="n">
        <f aca="false" t="array" ref="D443: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0.163836000004533</v>
      </c>
      <c r="E443" s="16" t="n">
        <f aca="false">IF(D443="","",D443*$B$15)</f>
        <v>0.42466291201175</v>
      </c>
      <c r="F443" s="16" t="n">
        <f aca="false" t="array" ref="F443:F443">IF(D443="","",IFERROR(INDEX(Dados_Evap!$C$2:$N$15,MATCH($B$9,Dados_Evap!$A$2:$A$15,0),C443),0))</f>
        <v>216.1</v>
      </c>
      <c r="G443" s="16" t="n">
        <f aca="false">IF(F443="","",F443/1000)</f>
        <v>0.2161</v>
      </c>
      <c r="H443" s="16" t="n">
        <f aca="false">IF(D443="","",MAX(0,MIN($B$8,IFERROR(LOOKUP(2,1/($U$24:U442&lt;&gt;""),$U$24:U442),$B$11))))</f>
        <v>2.60833831352965</v>
      </c>
      <c r="I443" s="16" t="n">
        <f aca="false" t="array" ref="I443: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>1.12546802128007</v>
      </c>
      <c r="J443" s="16" t="n">
        <f aca="false">IF(D443="","",$B$12)</f>
        <v>0.35</v>
      </c>
      <c r="K443" s="16" t="n">
        <f aca="false">IF(J443="","",J443*$B$15)</f>
        <v>0.9072</v>
      </c>
      <c r="L443" s="16" t="n">
        <f aca="false">IF(D443="","",H443+E443-K443-G443*I443)</f>
        <v>1.88258758614278</v>
      </c>
      <c r="M443" s="16" t="n">
        <f aca="false" t="array" ref="M443: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>0.929101996353364</v>
      </c>
      <c r="N443" s="16" t="n">
        <f aca="false">IF(D443="","",(I443+M443)/2)</f>
        <v>1.02728500881671</v>
      </c>
      <c r="O443" s="16" t="n">
        <f aca="false">IF(D443="","",G443*N443)</f>
        <v>0.221996290405292</v>
      </c>
      <c r="P443" s="16" t="n">
        <f aca="false">IF(D443="","",H443+E443-K443-O443)</f>
        <v>1.90380493513611</v>
      </c>
      <c r="Q443" s="16" t="n">
        <f aca="false">IF(D443="","",IF(P443&gt;=0,K443,MAX(0,K443+P443)))</f>
        <v>0.9072</v>
      </c>
      <c r="R443" s="16" t="n">
        <f aca="false">IF(D443="","",Q443/$B$15)</f>
        <v>0.35</v>
      </c>
      <c r="S443" s="16" t="n">
        <f aca="false">IF(D443="","",MAX(0,J443-R443))</f>
        <v>0</v>
      </c>
      <c r="T443" s="16" t="n">
        <f aca="false">IF(D443="","",MAX(0,Z443-$B$8))</f>
        <v>0</v>
      </c>
      <c r="U443" s="16" t="n">
        <f aca="false">IF(D443="","",MAX(0,MIN($B$8,Z443)))</f>
        <v>1.90380493513611</v>
      </c>
      <c r="V443" s="16" t="str">
        <f aca="false">IF(D443="","",IF(S443&gt;0.0000001,"Sim","Não"))</f>
        <v>Não</v>
      </c>
      <c r="W443" s="16" t="n">
        <f aca="false">IF(D443="","",U443-(H443+E443-Q443-O443-T443))</f>
        <v>0</v>
      </c>
      <c r="X443" s="16" t="n">
        <f aca="false">IF(W443="","",ABS(W443))</f>
        <v>0</v>
      </c>
      <c r="Y443" s="16" t="n">
        <f aca="false">IF(U443="","",IF($B$8=0,0,U443/$B$8*100))</f>
        <v>4.03177665213069</v>
      </c>
      <c r="Z443" s="18" t="n">
        <f aca="false">IF(D443="","",MAX(0,IF(P443&gt;=0,P443,IF(K443+P443&gt;=0,0,P443+K443))))</f>
        <v>1.90380493513611</v>
      </c>
      <c r="AA443" s="18" t="n">
        <f aca="false">IF(D443="","",IF(H443&lt;=$B$16,1,IF(H443&gt;=$B$17,$B$21,MATCH(H443,Aux_CAV!$A$2:$A$121,1))))</f>
        <v>8</v>
      </c>
      <c r="AB443" s="18" t="n">
        <f aca="false">IF(D443="","",IF(L443&lt;=$B$16,1,IF(L443&gt;=$B$17,$B$21,MATCH(L443,Aux_CAV!$A$2:$A$121,1))))</f>
        <v>7</v>
      </c>
      <c r="AC443" s="19" t="n">
        <f aca="false">IF(D443="","",COUNT($D$24:D443))</f>
        <v>408</v>
      </c>
    </row>
    <row r="444" customFormat="false" ht="12.75" hidden="false" customHeight="true" outlineLevel="0" collapsed="false">
      <c r="A444" s="14" t="n">
        <f aca="false">IF(D444="","",DATE(B444,C444,1))</f>
        <v>16438</v>
      </c>
      <c r="B444" s="15" t="n">
        <f aca="false" t="array" ref="B444:B444">IF(D444="","",IFERROR(VALUE(INDEX(Vazoes_COLAR!$A$2:$A$200,INT((ROW()-24)/12)+1)),""))</f>
        <v>1945</v>
      </c>
      <c r="C444" s="15" t="n">
        <f aca="false">IF(D444="","",MOD(ROW()-24,12)+1)</f>
        <v>1</v>
      </c>
      <c r="D444" s="16" t="n">
        <f aca="false" t="array" ref="D444: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0.228074702660575</v>
      </c>
      <c r="E444" s="16" t="n">
        <f aca="false">IF(D444="","",D444*$B$15)</f>
        <v>0.59116962929621</v>
      </c>
      <c r="F444" s="16" t="n">
        <f aca="false" t="array" ref="F444:F444">IF(D444="","",IFERROR(INDEX(Dados_Evap!$C$2:$N$15,MATCH($B$9,Dados_Evap!$A$2:$A$15,0),C444),0))</f>
        <v>160</v>
      </c>
      <c r="G444" s="16" t="n">
        <f aca="false">IF(F444="","",F444/1000)</f>
        <v>0.16</v>
      </c>
      <c r="H444" s="16" t="n">
        <f aca="false">IF(D444="","",MAX(0,MIN($B$8,IFERROR(LOOKUP(2,1/($U$24:U443&lt;&gt;""),$U$24:U443),$B$11))))</f>
        <v>1.90380493513611</v>
      </c>
      <c r="I444" s="16" t="n">
        <f aca="false" t="array" ref="I444: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>0.934685509246345</v>
      </c>
      <c r="J444" s="16" t="n">
        <f aca="false">IF(D444="","",$B$12)</f>
        <v>0.35</v>
      </c>
      <c r="K444" s="16" t="n">
        <f aca="false">IF(J444="","",J444*$B$15)</f>
        <v>0.9072</v>
      </c>
      <c r="L444" s="16" t="n">
        <f aca="false">IF(D444="","",H444+E444-K444-G444*I444)</f>
        <v>1.43822488295291</v>
      </c>
      <c r="M444" s="16" t="n">
        <f aca="false" t="array" ref="M444: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>0.812164442882344</v>
      </c>
      <c r="N444" s="16" t="n">
        <f aca="false">IF(D444="","",(I444+M444)/2)</f>
        <v>0.873424976064344</v>
      </c>
      <c r="O444" s="16" t="n">
        <f aca="false">IF(D444="","",G444*N444)</f>
        <v>0.139747996170295</v>
      </c>
      <c r="P444" s="16" t="n">
        <f aca="false">IF(D444="","",H444+E444-K444-O444)</f>
        <v>1.44802656826203</v>
      </c>
      <c r="Q444" s="16" t="n">
        <f aca="false">IF(D444="","",IF(P444&gt;=0,K444,MAX(0,K444+P444)))</f>
        <v>0.9072</v>
      </c>
      <c r="R444" s="16" t="n">
        <f aca="false">IF(D444="","",Q444/$B$15)</f>
        <v>0.35</v>
      </c>
      <c r="S444" s="16" t="n">
        <f aca="false">IF(D444="","",MAX(0,J444-R444))</f>
        <v>0</v>
      </c>
      <c r="T444" s="16" t="n">
        <f aca="false">IF(D444="","",MAX(0,Z444-$B$8))</f>
        <v>0</v>
      </c>
      <c r="U444" s="16" t="n">
        <f aca="false">IF(D444="","",MAX(0,MIN($B$8,Z444)))</f>
        <v>1.44802656826203</v>
      </c>
      <c r="V444" s="16" t="str">
        <f aca="false">IF(D444="","",IF(S444&gt;0.0000001,"Sim","Não"))</f>
        <v>Não</v>
      </c>
      <c r="W444" s="16" t="n">
        <f aca="false">IF(D444="","",U444-(H444+E444-Q444-O444-T444))</f>
        <v>0</v>
      </c>
      <c r="X444" s="16" t="n">
        <f aca="false">IF(W444="","",ABS(W444))</f>
        <v>0</v>
      </c>
      <c r="Y444" s="16" t="n">
        <f aca="false">IF(U444="","",IF($B$8=0,0,U444/$B$8*100))</f>
        <v>3.06655351177897</v>
      </c>
      <c r="Z444" s="18" t="n">
        <f aca="false">IF(D444="","",MAX(0,IF(P444&gt;=0,P444,IF(K444+P444&gt;=0,0,P444+K444))))</f>
        <v>1.44802656826203</v>
      </c>
      <c r="AA444" s="18" t="n">
        <f aca="false">IF(D444="","",IF(H444&lt;=$B$16,1,IF(H444&gt;=$B$17,$B$21,MATCH(H444,Aux_CAV!$A$2:$A$121,1))))</f>
        <v>7</v>
      </c>
      <c r="AB444" s="18" t="n">
        <f aca="false">IF(D444="","",IF(L444&lt;=$B$16,1,IF(L444&gt;=$B$17,$B$21,MATCH(L444,Aux_CAV!$A$2:$A$121,1))))</f>
        <v>7</v>
      </c>
      <c r="AC444" s="19" t="n">
        <f aca="false">IF(D444="","",COUNT($D$24:D444))</f>
        <v>409</v>
      </c>
    </row>
    <row r="445" customFormat="false" ht="12.75" hidden="false" customHeight="true" outlineLevel="0" collapsed="false">
      <c r="A445" s="14" t="n">
        <f aca="false">IF(D445="","",DATE(B445,C445,1))</f>
        <v>16469</v>
      </c>
      <c r="B445" s="15" t="n">
        <f aca="false" t="array" ref="B445:B445">IF(D445="","",IFERROR(VALUE(INDEX(Vazoes_COLAR!$A$2:$A$200,INT((ROW()-24)/12)+1)),""))</f>
        <v>1945</v>
      </c>
      <c r="C445" s="15" t="n">
        <f aca="false">IF(D445="","",MOD(ROW()-24,12)+1)</f>
        <v>2</v>
      </c>
      <c r="D445" s="16" t="n">
        <f aca="false" t="array" ref="D445: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0.735661782412555</v>
      </c>
      <c r="E445" s="16" t="n">
        <f aca="false">IF(D445="","",D445*$B$15)</f>
        <v>1.90683534001334</v>
      </c>
      <c r="F445" s="16" t="n">
        <f aca="false" t="array" ref="F445:F445">IF(D445="","",IFERROR(INDEX(Dados_Evap!$C$2:$N$15,MATCH($B$9,Dados_Evap!$A$2:$A$15,0),C445),0))</f>
        <v>124.3</v>
      </c>
      <c r="G445" s="16" t="n">
        <f aca="false">IF(F445="","",F445/1000)</f>
        <v>0.1243</v>
      </c>
      <c r="H445" s="16" t="n">
        <f aca="false">IF(D445="","",MAX(0,MIN($B$8,IFERROR(LOOKUP(2,1/($U$24:U444&lt;&gt;""),$U$24:U444),$B$11))))</f>
        <v>1.44802656826203</v>
      </c>
      <c r="I445" s="16" t="n">
        <f aca="false" t="array" ref="I445: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>0.814743833753165</v>
      </c>
      <c r="J445" s="16" t="n">
        <f aca="false">IF(D445="","",$B$12)</f>
        <v>0.35</v>
      </c>
      <c r="K445" s="16" t="n">
        <f aca="false">IF(J445="","",J445*$B$15)</f>
        <v>0.9072</v>
      </c>
      <c r="L445" s="16" t="n">
        <f aca="false">IF(D445="","",H445+E445-K445-G445*I445)</f>
        <v>2.34638924973985</v>
      </c>
      <c r="M445" s="16" t="n">
        <f aca="false" t="array" ref="M445: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>1.05421787592924</v>
      </c>
      <c r="N445" s="16" t="n">
        <f aca="false">IF(D445="","",(I445+M445)/2)</f>
        <v>0.934480854841202</v>
      </c>
      <c r="O445" s="16" t="n">
        <f aca="false">IF(D445="","",G445*N445)</f>
        <v>0.116155970256761</v>
      </c>
      <c r="P445" s="16" t="n">
        <f aca="false">IF(D445="","",H445+E445-K445-O445)</f>
        <v>2.33150593801861</v>
      </c>
      <c r="Q445" s="16" t="n">
        <f aca="false">IF(D445="","",IF(P445&gt;=0,K445,MAX(0,K445+P445)))</f>
        <v>0.9072</v>
      </c>
      <c r="R445" s="16" t="n">
        <f aca="false">IF(D445="","",Q445/$B$15)</f>
        <v>0.35</v>
      </c>
      <c r="S445" s="16" t="n">
        <f aca="false">IF(D445="","",MAX(0,J445-R445))</f>
        <v>0</v>
      </c>
      <c r="T445" s="16" t="n">
        <f aca="false">IF(D445="","",MAX(0,Z445-$B$8))</f>
        <v>0</v>
      </c>
      <c r="U445" s="16" t="n">
        <f aca="false">IF(D445="","",MAX(0,MIN($B$8,Z445)))</f>
        <v>2.33150593801861</v>
      </c>
      <c r="V445" s="16" t="str">
        <f aca="false">IF(D445="","",IF(S445&gt;0.0000001,"Sim","Não"))</f>
        <v>Não</v>
      </c>
      <c r="W445" s="16" t="n">
        <f aca="false">IF(D445="","",U445-(H445+E445-Q445-O445-T445))</f>
        <v>0</v>
      </c>
      <c r="X445" s="16" t="n">
        <f aca="false">IF(W445="","",ABS(W445))</f>
        <v>0</v>
      </c>
      <c r="Y445" s="16" t="n">
        <f aca="false">IF(U445="","",IF($B$8=0,0,U445/$B$8*100))</f>
        <v>4.93753904705338</v>
      </c>
      <c r="Z445" s="18" t="n">
        <f aca="false">IF(D445="","",MAX(0,IF(P445&gt;=0,P445,IF(K445+P445&gt;=0,0,P445+K445))))</f>
        <v>2.33150593801861</v>
      </c>
      <c r="AA445" s="18" t="n">
        <f aca="false">IF(D445="","",IF(H445&lt;=$B$16,1,IF(H445&gt;=$B$17,$B$21,MATCH(H445,Aux_CAV!$A$2:$A$121,1))))</f>
        <v>7</v>
      </c>
      <c r="AB445" s="18" t="n">
        <f aca="false">IF(D445="","",IF(L445&lt;=$B$16,1,IF(L445&gt;=$B$17,$B$21,MATCH(L445,Aux_CAV!$A$2:$A$121,1))))</f>
        <v>8</v>
      </c>
      <c r="AC445" s="19" t="n">
        <f aca="false">IF(D445="","",COUNT($D$24:D445))</f>
        <v>410</v>
      </c>
    </row>
    <row r="446" customFormat="false" ht="12.75" hidden="false" customHeight="true" outlineLevel="0" collapsed="false">
      <c r="A446" s="14" t="n">
        <f aca="false">IF(D446="","",DATE(B446,C446,1))</f>
        <v>16497</v>
      </c>
      <c r="B446" s="15" t="n">
        <f aca="false" t="array" ref="B446:B446">IF(D446="","",IFERROR(VALUE(INDEX(Vazoes_COLAR!$A$2:$A$200,INT((ROW()-24)/12)+1)),""))</f>
        <v>1945</v>
      </c>
      <c r="C446" s="15" t="n">
        <f aca="false">IF(D446="","",MOD(ROW()-24,12)+1)</f>
        <v>3</v>
      </c>
      <c r="D446" s="16" t="n">
        <f aca="false" t="array" ref="D446: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1.74303805687833</v>
      </c>
      <c r="E446" s="16" t="n">
        <f aca="false">IF(D446="","",D446*$B$15)</f>
        <v>4.51795464342863</v>
      </c>
      <c r="F446" s="16" t="n">
        <f aca="false" t="array" ref="F446:F446">IF(D446="","",IFERROR(INDEX(Dados_Evap!$C$2:$N$15,MATCH($B$9,Dados_Evap!$A$2:$A$15,0),C446),0))</f>
        <v>107.7</v>
      </c>
      <c r="G446" s="16" t="n">
        <f aca="false">IF(F446="","",F446/1000)</f>
        <v>0.1077</v>
      </c>
      <c r="H446" s="16" t="n">
        <f aca="false">IF(D446="","",MAX(0,MIN($B$8,IFERROR(LOOKUP(2,1/($U$24:U445&lt;&gt;""),$U$24:U445),$B$11))))</f>
        <v>2.33150593801861</v>
      </c>
      <c r="I446" s="16" t="n">
        <f aca="false" t="array" ref="I446: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>1.05016961514106</v>
      </c>
      <c r="J446" s="16" t="n">
        <f aca="false">IF(D446="","",$B$12)</f>
        <v>0.35</v>
      </c>
      <c r="K446" s="16" t="n">
        <f aca="false">IF(J446="","",J446*$B$15)</f>
        <v>0.9072</v>
      </c>
      <c r="L446" s="16" t="n">
        <f aca="false">IF(D446="","",H446+E446-K446-G446*I446)</f>
        <v>5.82915731389655</v>
      </c>
      <c r="M446" s="16" t="n">
        <f aca="false" t="array" ref="M446: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>2.04440318273874</v>
      </c>
      <c r="N446" s="16" t="n">
        <f aca="false">IF(D446="","",(I446+M446)/2)</f>
        <v>1.5472863989399</v>
      </c>
      <c r="O446" s="16" t="n">
        <f aca="false">IF(D446="","",G446*N446)</f>
        <v>0.166642745165827</v>
      </c>
      <c r="P446" s="16" t="n">
        <f aca="false">IF(D446="","",H446+E446-K446-O446)</f>
        <v>5.77561783628141</v>
      </c>
      <c r="Q446" s="16" t="n">
        <f aca="false">IF(D446="","",IF(P446&gt;=0,K446,MAX(0,K446+P446)))</f>
        <v>0.9072</v>
      </c>
      <c r="R446" s="16" t="n">
        <f aca="false">IF(D446="","",Q446/$B$15)</f>
        <v>0.35</v>
      </c>
      <c r="S446" s="16" t="n">
        <f aca="false">IF(D446="","",MAX(0,J446-R446))</f>
        <v>0</v>
      </c>
      <c r="T446" s="16" t="n">
        <f aca="false">IF(D446="","",MAX(0,Z446-$B$8))</f>
        <v>0</v>
      </c>
      <c r="U446" s="16" t="n">
        <f aca="false">IF(D446="","",MAX(0,MIN($B$8,Z446)))</f>
        <v>5.77561783628141</v>
      </c>
      <c r="V446" s="16" t="str">
        <f aca="false">IF(D446="","",IF(S446&gt;0.0000001,"Sim","Não"))</f>
        <v>Não</v>
      </c>
      <c r="W446" s="16" t="n">
        <f aca="false">IF(D446="","",U446-(H446+E446-Q446-O446-T446))</f>
        <v>0</v>
      </c>
      <c r="X446" s="16" t="n">
        <f aca="false">IF(W446="","",ABS(W446))</f>
        <v>0</v>
      </c>
      <c r="Y446" s="16" t="n">
        <f aca="false">IF(U446="","",IF($B$8=0,0,U446/$B$8*100))</f>
        <v>12.2312957142766</v>
      </c>
      <c r="Z446" s="18" t="n">
        <f aca="false">IF(D446="","",MAX(0,IF(P446&gt;=0,P446,IF(K446+P446&gt;=0,0,P446+K446))))</f>
        <v>5.77561783628141</v>
      </c>
      <c r="AA446" s="18" t="n">
        <f aca="false">IF(D446="","",IF(H446&lt;=$B$16,1,IF(H446&gt;=$B$17,$B$21,MATCH(H446,Aux_CAV!$A$2:$A$121,1))))</f>
        <v>8</v>
      </c>
      <c r="AB446" s="18" t="n">
        <f aca="false">IF(D446="","",IF(L446&lt;=$B$16,1,IF(L446&gt;=$B$17,$B$21,MATCH(L446,Aux_CAV!$A$2:$A$121,1))))</f>
        <v>9</v>
      </c>
      <c r="AC446" s="19" t="n">
        <f aca="false">IF(D446="","",COUNT($D$24:D446))</f>
        <v>411</v>
      </c>
    </row>
    <row r="447" customFormat="false" ht="12.75" hidden="false" customHeight="true" outlineLevel="0" collapsed="false">
      <c r="A447" s="14" t="n">
        <f aca="false">IF(D447="","",DATE(B447,C447,1))</f>
        <v>16528</v>
      </c>
      <c r="B447" s="15" t="n">
        <f aca="false" t="array" ref="B447:B447">IF(D447="","",IFERROR(VALUE(INDEX(Vazoes_COLAR!$A$2:$A$200,INT((ROW()-24)/12)+1)),""))</f>
        <v>1945</v>
      </c>
      <c r="C447" s="15" t="n">
        <f aca="false">IF(D447="","",MOD(ROW()-24,12)+1)</f>
        <v>4</v>
      </c>
      <c r="D447" s="16" t="n">
        <f aca="false" t="array" ref="D447: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1.65209265410343</v>
      </c>
      <c r="E447" s="16" t="n">
        <f aca="false">IF(D447="","",D447*$B$15)</f>
        <v>4.28222415943609</v>
      </c>
      <c r="F447" s="16" t="n">
        <f aca="false" t="array" ref="F447:F447">IF(D447="","",IFERROR(INDEX(Dados_Evap!$C$2:$N$15,MATCH($B$9,Dados_Evap!$A$2:$A$15,0),C447),0))</f>
        <v>100.5</v>
      </c>
      <c r="G447" s="16" t="n">
        <f aca="false">IF(F447="","",F447/1000)</f>
        <v>0.1005</v>
      </c>
      <c r="H447" s="16" t="n">
        <f aca="false">IF(D447="","",MAX(0,MIN($B$8,IFERROR(LOOKUP(2,1/($U$24:U446&lt;&gt;""),$U$24:U446),$B$11))))</f>
        <v>5.77561783628141</v>
      </c>
      <c r="I447" s="16" t="n">
        <f aca="false" t="array" ref="I447: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>2.02811351188988</v>
      </c>
      <c r="J447" s="16" t="n">
        <f aca="false">IF(D447="","",$B$12)</f>
        <v>0.35</v>
      </c>
      <c r="K447" s="16" t="n">
        <f aca="false">IF(J447="","",J447*$B$15)</f>
        <v>0.9072</v>
      </c>
      <c r="L447" s="16" t="n">
        <f aca="false">IF(D447="","",H447+E447-K447-G447*I447)</f>
        <v>8.94681658777257</v>
      </c>
      <c r="M447" s="16" t="n">
        <f aca="false" t="array" ref="M447: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>2.99296760010953</v>
      </c>
      <c r="N447" s="16" t="n">
        <f aca="false">IF(D447="","",(I447+M447)/2)</f>
        <v>2.5105405559997</v>
      </c>
      <c r="O447" s="16" t="n">
        <f aca="false">IF(D447="","",G447*N447)</f>
        <v>0.25230932587797</v>
      </c>
      <c r="P447" s="16" t="n">
        <f aca="false">IF(D447="","",H447+E447-K447-O447)</f>
        <v>8.89833266983953</v>
      </c>
      <c r="Q447" s="16" t="n">
        <f aca="false">IF(D447="","",IF(P447&gt;=0,K447,MAX(0,K447+P447)))</f>
        <v>0.9072</v>
      </c>
      <c r="R447" s="16" t="n">
        <f aca="false">IF(D447="","",Q447/$B$15)</f>
        <v>0.35</v>
      </c>
      <c r="S447" s="16" t="n">
        <f aca="false">IF(D447="","",MAX(0,J447-R447))</f>
        <v>0</v>
      </c>
      <c r="T447" s="16" t="n">
        <f aca="false">IF(D447="","",MAX(0,Z447-$B$8))</f>
        <v>0</v>
      </c>
      <c r="U447" s="16" t="n">
        <f aca="false">IF(D447="","",MAX(0,MIN($B$8,Z447)))</f>
        <v>8.89833266983953</v>
      </c>
      <c r="V447" s="16" t="str">
        <f aca="false">IF(D447="","",IF(S447&gt;0.0000001,"Sim","Não"))</f>
        <v>Não</v>
      </c>
      <c r="W447" s="16" t="n">
        <f aca="false">IF(D447="","",U447-(H447+E447-Q447-O447-T447))</f>
        <v>0</v>
      </c>
      <c r="X447" s="16" t="n">
        <f aca="false">IF(W447="","",ABS(W447))</f>
        <v>0</v>
      </c>
      <c r="Y447" s="16" t="n">
        <f aca="false">IF(U447="","",IF($B$8=0,0,U447/$B$8*100))</f>
        <v>18.8444148027097</v>
      </c>
      <c r="Z447" s="18" t="n">
        <f aca="false">IF(D447="","",MAX(0,IF(P447&gt;=0,P447,IF(K447+P447&gt;=0,0,P447+K447))))</f>
        <v>8.89833266983953</v>
      </c>
      <c r="AA447" s="18" t="n">
        <f aca="false">IF(D447="","",IF(H447&lt;=$B$16,1,IF(H447&gt;=$B$17,$B$21,MATCH(H447,Aux_CAV!$A$2:$A$121,1))))</f>
        <v>9</v>
      </c>
      <c r="AB447" s="18" t="n">
        <f aca="false">IF(D447="","",IF(L447&lt;=$B$16,1,IF(L447&gt;=$B$17,$B$21,MATCH(L447,Aux_CAV!$A$2:$A$121,1))))</f>
        <v>9</v>
      </c>
      <c r="AC447" s="19" t="n">
        <f aca="false">IF(D447="","",COUNT($D$24:D447))</f>
        <v>412</v>
      </c>
    </row>
    <row r="448" customFormat="false" ht="12.75" hidden="false" customHeight="true" outlineLevel="0" collapsed="false">
      <c r="A448" s="14" t="n">
        <f aca="false">IF(D448="","",DATE(B448,C448,1))</f>
        <v>16558</v>
      </c>
      <c r="B448" s="15" t="n">
        <f aca="false" t="array" ref="B448:B448">IF(D448="","",IFERROR(VALUE(INDEX(Vazoes_COLAR!$A$2:$A$200,INT((ROW()-24)/12)+1)),""))</f>
        <v>1945</v>
      </c>
      <c r="C448" s="15" t="n">
        <f aca="false">IF(D448="","",MOD(ROW()-24,12)+1)</f>
        <v>5</v>
      </c>
      <c r="D448" s="16" t="n">
        <f aca="false" t="array" ref="D448: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2.77270118724662</v>
      </c>
      <c r="E448" s="16" t="n">
        <f aca="false">IF(D448="","",D448*$B$15)</f>
        <v>7.18684147734324</v>
      </c>
      <c r="F448" s="16" t="n">
        <f aca="false" t="array" ref="F448:F448">IF(D448="","",IFERROR(INDEX(Dados_Evap!$C$2:$N$15,MATCH($B$9,Dados_Evap!$A$2:$A$15,0),C448),0))</f>
        <v>145.8</v>
      </c>
      <c r="G448" s="16" t="n">
        <f aca="false">IF(F448="","",F448/1000)</f>
        <v>0.1458</v>
      </c>
      <c r="H448" s="16" t="n">
        <f aca="false">IF(D448="","",MAX(0,MIN($B$8,IFERROR(LOOKUP(2,1/($U$24:U447&lt;&gt;""),$U$24:U447),$B$11))))</f>
        <v>8.89833266983953</v>
      </c>
      <c r="I448" s="16" t="n">
        <f aca="false" t="array" ref="I448: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>2.97821611018522</v>
      </c>
      <c r="J448" s="16" t="n">
        <f aca="false">IF(D448="","",$B$12)</f>
        <v>0.35</v>
      </c>
      <c r="K448" s="16" t="n">
        <f aca="false">IF(J448="","",J448*$B$15)</f>
        <v>0.9072</v>
      </c>
      <c r="L448" s="16" t="n">
        <f aca="false">IF(D448="","",H448+E448-K448-G448*I448)</f>
        <v>14.7437502383178</v>
      </c>
      <c r="M448" s="16" t="n">
        <f aca="false" t="array" ref="M448: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>3.54284928503299</v>
      </c>
      <c r="N448" s="16" t="n">
        <f aca="false">IF(D448="","",(I448+M448)/2)</f>
        <v>3.2605326976091</v>
      </c>
      <c r="O448" s="16" t="n">
        <f aca="false">IF(D448="","",G448*N448)</f>
        <v>0.475385667311407</v>
      </c>
      <c r="P448" s="16" t="n">
        <f aca="false">IF(D448="","",H448+E448-K448-O448)</f>
        <v>14.7025884798714</v>
      </c>
      <c r="Q448" s="16" t="n">
        <f aca="false">IF(D448="","",IF(P448&gt;=0,K448,MAX(0,K448+P448)))</f>
        <v>0.9072</v>
      </c>
      <c r="R448" s="16" t="n">
        <f aca="false">IF(D448="","",Q448/$B$15)</f>
        <v>0.35</v>
      </c>
      <c r="S448" s="16" t="n">
        <f aca="false">IF(D448="","",MAX(0,J448-R448))</f>
        <v>0</v>
      </c>
      <c r="T448" s="16" t="n">
        <f aca="false">IF(D448="","",MAX(0,Z448-$B$8))</f>
        <v>0</v>
      </c>
      <c r="U448" s="16" t="n">
        <f aca="false">IF(D448="","",MAX(0,MIN($B$8,Z448)))</f>
        <v>14.7025884798714</v>
      </c>
      <c r="V448" s="16" t="str">
        <f aca="false">IF(D448="","",IF(S448&gt;0.0000001,"Sim","Não"))</f>
        <v>Não</v>
      </c>
      <c r="W448" s="16" t="n">
        <f aca="false">IF(D448="","",U448-(H448+E448-Q448-O448-T448))</f>
        <v>0</v>
      </c>
      <c r="X448" s="16" t="n">
        <f aca="false">IF(W448="","",ABS(W448))</f>
        <v>0</v>
      </c>
      <c r="Y448" s="16" t="n">
        <f aca="false">IF(U448="","",IF($B$8=0,0,U448/$B$8*100))</f>
        <v>31.1363584918919</v>
      </c>
      <c r="Z448" s="18" t="n">
        <f aca="false">IF(D448="","",MAX(0,IF(P448&gt;=0,P448,IF(K448+P448&gt;=0,0,P448+K448))))</f>
        <v>14.7025884798714</v>
      </c>
      <c r="AA448" s="18" t="n">
        <f aca="false">IF(D448="","",IF(H448&lt;=$B$16,1,IF(H448&gt;=$B$17,$B$21,MATCH(H448,Aux_CAV!$A$2:$A$121,1))))</f>
        <v>9</v>
      </c>
      <c r="AB448" s="18" t="n">
        <f aca="false">IF(D448="","",IF(L448&lt;=$B$16,1,IF(L448&gt;=$B$17,$B$21,MATCH(L448,Aux_CAV!$A$2:$A$121,1))))</f>
        <v>10</v>
      </c>
      <c r="AC448" s="19" t="n">
        <f aca="false">IF(D448="","",COUNT($D$24:D448))</f>
        <v>413</v>
      </c>
    </row>
    <row r="449" customFormat="false" ht="12.75" hidden="false" customHeight="true" outlineLevel="0" collapsed="false">
      <c r="A449" s="14" t="n">
        <f aca="false">IF(D449="","",DATE(B449,C449,1))</f>
        <v>16589</v>
      </c>
      <c r="B449" s="15" t="n">
        <f aca="false" t="array" ref="B449:B449">IF(D449="","",IFERROR(VALUE(INDEX(Vazoes_COLAR!$A$2:$A$200,INT((ROW()-24)/12)+1)),""))</f>
        <v>1945</v>
      </c>
      <c r="C449" s="15" t="n">
        <f aca="false">IF(D449="","",MOD(ROW()-24,12)+1)</f>
        <v>6</v>
      </c>
      <c r="D449" s="16" t="n">
        <f aca="false" t="array" ref="D449: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0.720495575825663</v>
      </c>
      <c r="E449" s="16" t="n">
        <f aca="false">IF(D449="","",D449*$B$15)</f>
        <v>1.86752453254012</v>
      </c>
      <c r="F449" s="16" t="n">
        <f aca="false" t="array" ref="F449:F449">IF(D449="","",IFERROR(INDEX(Dados_Evap!$C$2:$N$15,MATCH($B$9,Dados_Evap!$A$2:$A$15,0),C449),0))</f>
        <v>161.3</v>
      </c>
      <c r="G449" s="16" t="n">
        <f aca="false">IF(F449="","",F449/1000)</f>
        <v>0.1613</v>
      </c>
      <c r="H449" s="16" t="n">
        <f aca="false">IF(D449="","",MAX(0,MIN($B$8,IFERROR(LOOKUP(2,1/($U$24:U448&lt;&gt;""),$U$24:U448),$B$11))))</f>
        <v>14.7025884798714</v>
      </c>
      <c r="I449" s="16" t="n">
        <f aca="false" t="array" ref="I449: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>3.5393384291655</v>
      </c>
      <c r="J449" s="16" t="n">
        <f aca="false">IF(D449="","",$B$12)</f>
        <v>0.35</v>
      </c>
      <c r="K449" s="16" t="n">
        <f aca="false">IF(J449="","",J449*$B$15)</f>
        <v>0.9072</v>
      </c>
      <c r="L449" s="16" t="n">
        <f aca="false">IF(D449="","",H449+E449-K449-G449*I449)</f>
        <v>15.0920177237871</v>
      </c>
      <c r="M449" s="16" t="n">
        <f aca="false" t="array" ref="M449: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>3.57255445291125</v>
      </c>
      <c r="N449" s="16" t="n">
        <f aca="false">IF(D449="","",(I449+M449)/2)</f>
        <v>3.55594644103838</v>
      </c>
      <c r="O449" s="16" t="n">
        <f aca="false">IF(D449="","",G449*N449)</f>
        <v>0.57357416093949</v>
      </c>
      <c r="P449" s="16" t="n">
        <f aca="false">IF(D449="","",H449+E449-K449-O449)</f>
        <v>15.089338851472</v>
      </c>
      <c r="Q449" s="16" t="n">
        <f aca="false">IF(D449="","",IF(P449&gt;=0,K449,MAX(0,K449+P449)))</f>
        <v>0.9072</v>
      </c>
      <c r="R449" s="16" t="n">
        <f aca="false">IF(D449="","",Q449/$B$15)</f>
        <v>0.35</v>
      </c>
      <c r="S449" s="16" t="n">
        <f aca="false">IF(D449="","",MAX(0,J449-R449))</f>
        <v>0</v>
      </c>
      <c r="T449" s="16" t="n">
        <f aca="false">IF(D449="","",MAX(0,Z449-$B$8))</f>
        <v>0</v>
      </c>
      <c r="U449" s="16" t="n">
        <f aca="false">IF(D449="","",MAX(0,MIN($B$8,Z449)))</f>
        <v>15.089338851472</v>
      </c>
      <c r="V449" s="16" t="str">
        <f aca="false">IF(D449="","",IF(S449&gt;0.0000001,"Sim","Não"))</f>
        <v>Não</v>
      </c>
      <c r="W449" s="16" t="n">
        <f aca="false">IF(D449="","",U449-(H449+E449-Q449-O449-T449))</f>
        <v>0</v>
      </c>
      <c r="X449" s="16" t="n">
        <f aca="false">IF(W449="","",ABS(W449))</f>
        <v>0</v>
      </c>
      <c r="Y449" s="16" t="n">
        <f aca="false">IF(U449="","",IF($B$8=0,0,U449/$B$8*100))</f>
        <v>31.9553978218382</v>
      </c>
      <c r="Z449" s="18" t="n">
        <f aca="false">IF(D449="","",MAX(0,IF(P449&gt;=0,P449,IF(K449+P449&gt;=0,0,P449+K449))))</f>
        <v>15.089338851472</v>
      </c>
      <c r="AA449" s="18" t="n">
        <f aca="false">IF(D449="","",IF(H449&lt;=$B$16,1,IF(H449&gt;=$B$17,$B$21,MATCH(H449,Aux_CAV!$A$2:$A$121,1))))</f>
        <v>10</v>
      </c>
      <c r="AB449" s="18" t="n">
        <f aca="false">IF(D449="","",IF(L449&lt;=$B$16,1,IF(L449&gt;=$B$17,$B$21,MATCH(L449,Aux_CAV!$A$2:$A$121,1))))</f>
        <v>10</v>
      </c>
      <c r="AC449" s="19" t="n">
        <f aca="false">IF(D449="","",COUNT($D$24:D449))</f>
        <v>414</v>
      </c>
    </row>
    <row r="450" customFormat="false" ht="12.75" hidden="false" customHeight="true" outlineLevel="0" collapsed="false">
      <c r="A450" s="14" t="n">
        <f aca="false">IF(D450="","",DATE(B450,C450,1))</f>
        <v>16619</v>
      </c>
      <c r="B450" s="15" t="n">
        <f aca="false" t="array" ref="B450:B450">IF(D450="","",IFERROR(VALUE(INDEX(Vazoes_COLAR!$A$2:$A$200,INT((ROW()-24)/12)+1)),""))</f>
        <v>1945</v>
      </c>
      <c r="C450" s="15" t="n">
        <f aca="false">IF(D450="","",MOD(ROW()-24,12)+1)</f>
        <v>7</v>
      </c>
      <c r="D450" s="16" t="n">
        <f aca="false" t="array" ref="D450: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0.148987684938538</v>
      </c>
      <c r="E450" s="16" t="n">
        <f aca="false">IF(D450="","",D450*$B$15)</f>
        <v>0.386176079360691</v>
      </c>
      <c r="F450" s="16" t="n">
        <f aca="false" t="array" ref="F450:F450">IF(D450="","",IFERROR(INDEX(Dados_Evap!$C$2:$N$15,MATCH($B$9,Dados_Evap!$A$2:$A$15,0),C450),0))</f>
        <v>224.8</v>
      </c>
      <c r="G450" s="16" t="n">
        <f aca="false">IF(F450="","",F450/1000)</f>
        <v>0.2248</v>
      </c>
      <c r="H450" s="16" t="n">
        <f aca="false">IF(D450="","",MAX(0,MIN($B$8,IFERROR(LOOKUP(2,1/($U$24:U449&lt;&gt;""),$U$24:U449),$B$11))))</f>
        <v>15.089338851472</v>
      </c>
      <c r="I450" s="16" t="n">
        <f aca="false" t="array" ref="I450: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>3.57232596086085</v>
      </c>
      <c r="J450" s="16" t="n">
        <f aca="false">IF(D450="","",$B$12)</f>
        <v>0.35</v>
      </c>
      <c r="K450" s="16" t="n">
        <f aca="false">IF(J450="","",J450*$B$15)</f>
        <v>0.9072</v>
      </c>
      <c r="L450" s="16" t="n">
        <f aca="false">IF(D450="","",H450+E450-K450-G450*I450)</f>
        <v>13.7652560548312</v>
      </c>
      <c r="M450" s="16" t="n">
        <f aca="false" t="array" ref="M450: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>3.45938948702972</v>
      </c>
      <c r="N450" s="16" t="n">
        <f aca="false">IF(D450="","",(I450+M450)/2)</f>
        <v>3.51585772394528</v>
      </c>
      <c r="O450" s="16" t="n">
        <f aca="false">IF(D450="","",G450*N450)</f>
        <v>0.790364816342899</v>
      </c>
      <c r="P450" s="16" t="n">
        <f aca="false">IF(D450="","",H450+E450-K450-O450)</f>
        <v>13.7779501144898</v>
      </c>
      <c r="Q450" s="16" t="n">
        <f aca="false">IF(D450="","",IF(P450&gt;=0,K450,MAX(0,K450+P450)))</f>
        <v>0.9072</v>
      </c>
      <c r="R450" s="16" t="n">
        <f aca="false">IF(D450="","",Q450/$B$15)</f>
        <v>0.35</v>
      </c>
      <c r="S450" s="16" t="n">
        <f aca="false">IF(D450="","",MAX(0,J450-R450))</f>
        <v>0</v>
      </c>
      <c r="T450" s="16" t="n">
        <f aca="false">IF(D450="","",MAX(0,Z450-$B$8))</f>
        <v>0</v>
      </c>
      <c r="U450" s="16" t="n">
        <f aca="false">IF(D450="","",MAX(0,MIN($B$8,Z450)))</f>
        <v>13.7779501144898</v>
      </c>
      <c r="V450" s="16" t="str">
        <f aca="false">IF(D450="","",IF(S450&gt;0.0000001,"Sim","Não"))</f>
        <v>Não</v>
      </c>
      <c r="W450" s="16" t="n">
        <f aca="false">IF(D450="","",U450-(H450+E450-Q450-O450-T450))</f>
        <v>0</v>
      </c>
      <c r="X450" s="16" t="n">
        <f aca="false">IF(W450="","",ABS(W450))</f>
        <v>0</v>
      </c>
      <c r="Y450" s="16" t="n">
        <f aca="false">IF(U450="","",IF($B$8=0,0,U450/$B$8*100))</f>
        <v>29.1782086287374</v>
      </c>
      <c r="Z450" s="18" t="n">
        <f aca="false">IF(D450="","",MAX(0,IF(P450&gt;=0,P450,IF(K450+P450&gt;=0,0,P450+K450))))</f>
        <v>13.7779501144898</v>
      </c>
      <c r="AA450" s="18" t="n">
        <f aca="false">IF(D450="","",IF(H450&lt;=$B$16,1,IF(H450&gt;=$B$17,$B$21,MATCH(H450,Aux_CAV!$A$2:$A$121,1))))</f>
        <v>10</v>
      </c>
      <c r="AB450" s="18" t="n">
        <f aca="false">IF(D450="","",IF(L450&lt;=$B$16,1,IF(L450&gt;=$B$17,$B$21,MATCH(L450,Aux_CAV!$A$2:$A$121,1))))</f>
        <v>10</v>
      </c>
      <c r="AC450" s="19" t="n">
        <f aca="false">IF(D450="","",COUNT($D$24:D450))</f>
        <v>415</v>
      </c>
    </row>
    <row r="451" customFormat="false" ht="12.75" hidden="false" customHeight="true" outlineLevel="0" collapsed="false">
      <c r="A451" s="14" t="n">
        <f aca="false">IF(D451="","",DATE(B451,C451,1))</f>
        <v>16650</v>
      </c>
      <c r="B451" s="15" t="n">
        <f aca="false" t="array" ref="B451:B451">IF(D451="","",IFERROR(VALUE(INDEX(Vazoes_COLAR!$A$2:$A$200,INT((ROW()-24)/12)+1)),""))</f>
        <v>1945</v>
      </c>
      <c r="C451" s="15" t="n">
        <f aca="false">IF(D451="","",MOD(ROW()-24,12)+1)</f>
        <v>8</v>
      </c>
      <c r="D451" s="16" t="n">
        <f aca="false" t="array" ref="D451: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0.0154865564320495</v>
      </c>
      <c r="E451" s="16" t="n">
        <f aca="false">IF(D451="","",D451*$B$15)</f>
        <v>0.0401411542718723</v>
      </c>
      <c r="F451" s="16" t="n">
        <f aca="false" t="array" ref="F451:F451">IF(D451="","",IFERROR(INDEX(Dados_Evap!$C$2:$N$15,MATCH($B$9,Dados_Evap!$A$2:$A$15,0),C451),0))</f>
        <v>268.7</v>
      </c>
      <c r="G451" s="16" t="n">
        <f aca="false">IF(F451="","",F451/1000)</f>
        <v>0.2687</v>
      </c>
      <c r="H451" s="16" t="n">
        <f aca="false">IF(D451="","",MAX(0,MIN($B$8,IFERROR(LOOKUP(2,1/($U$24:U450&lt;&gt;""),$U$24:U450),$B$11))))</f>
        <v>13.7779501144898</v>
      </c>
      <c r="I451" s="16" t="n">
        <f aca="false" t="array" ref="I451: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>3.46047221564766</v>
      </c>
      <c r="J451" s="16" t="n">
        <f aca="false">IF(D451="","",$B$12)</f>
        <v>0.35</v>
      </c>
      <c r="K451" s="16" t="n">
        <f aca="false">IF(J451="","",J451*$B$15)</f>
        <v>0.9072</v>
      </c>
      <c r="L451" s="16" t="n">
        <f aca="false">IF(D451="","",H451+E451-K451-G451*I451)</f>
        <v>11.9810623844171</v>
      </c>
      <c r="M451" s="16" t="n">
        <f aca="false" t="array" ref="M451: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>3.30720826220029</v>
      </c>
      <c r="N451" s="16" t="n">
        <f aca="false">IF(D451="","",(I451+M451)/2)</f>
        <v>3.38384023892397</v>
      </c>
      <c r="O451" s="16" t="n">
        <f aca="false">IF(D451="","",G451*N451)</f>
        <v>0.909237872198871</v>
      </c>
      <c r="P451" s="16" t="n">
        <f aca="false">IF(D451="","",H451+E451-K451-O451)</f>
        <v>12.0016533965628</v>
      </c>
      <c r="Q451" s="16" t="n">
        <f aca="false">IF(D451="","",IF(P451&gt;=0,K451,MAX(0,K451+P451)))</f>
        <v>0.9072</v>
      </c>
      <c r="R451" s="16" t="n">
        <f aca="false">IF(D451="","",Q451/$B$15)</f>
        <v>0.35</v>
      </c>
      <c r="S451" s="16" t="n">
        <f aca="false">IF(D451="","",MAX(0,J451-R451))</f>
        <v>0</v>
      </c>
      <c r="T451" s="16" t="n">
        <f aca="false">IF(D451="","",MAX(0,Z451-$B$8))</f>
        <v>0</v>
      </c>
      <c r="U451" s="16" t="n">
        <f aca="false">IF(D451="","",MAX(0,MIN($B$8,Z451)))</f>
        <v>12.0016533965628</v>
      </c>
      <c r="V451" s="16" t="str">
        <f aca="false">IF(D451="","",IF(S451&gt;0.0000001,"Sim","Não"))</f>
        <v>Não</v>
      </c>
      <c r="W451" s="16" t="n">
        <f aca="false">IF(D451="","",U451-(H451+E451-Q451-O451-T451))</f>
        <v>0</v>
      </c>
      <c r="X451" s="16" t="n">
        <f aca="false">IF(W451="","",ABS(W451))</f>
        <v>0</v>
      </c>
      <c r="Y451" s="16" t="n">
        <f aca="false">IF(U451="","",IF($B$8=0,0,U451/$B$8*100))</f>
        <v>25.4164620850546</v>
      </c>
      <c r="Z451" s="18" t="n">
        <f aca="false">IF(D451="","",MAX(0,IF(P451&gt;=0,P451,IF(K451+P451&gt;=0,0,P451+K451))))</f>
        <v>12.0016533965628</v>
      </c>
      <c r="AA451" s="18" t="n">
        <f aca="false">IF(D451="","",IF(H451&lt;=$B$16,1,IF(H451&gt;=$B$17,$B$21,MATCH(H451,Aux_CAV!$A$2:$A$121,1))))</f>
        <v>10</v>
      </c>
      <c r="AB451" s="18" t="n">
        <f aca="false">IF(D451="","",IF(L451&lt;=$B$16,1,IF(L451&gt;=$B$17,$B$21,MATCH(L451,Aux_CAV!$A$2:$A$121,1))))</f>
        <v>10</v>
      </c>
      <c r="AC451" s="19" t="n">
        <f aca="false">IF(D451="","",COUNT($D$24:D451))</f>
        <v>416</v>
      </c>
    </row>
    <row r="452" customFormat="false" ht="12.75" hidden="false" customHeight="true" outlineLevel="0" collapsed="false">
      <c r="A452" s="14" t="n">
        <f aca="false">IF(D452="","",DATE(B452,C452,1))</f>
        <v>16681</v>
      </c>
      <c r="B452" s="15" t="n">
        <f aca="false" t="array" ref="B452:B452">IF(D452="","",IFERROR(VALUE(INDEX(Vazoes_COLAR!$A$2:$A$200,INT((ROW()-24)/12)+1)),""))</f>
        <v>1945</v>
      </c>
      <c r="C452" s="15" t="n">
        <f aca="false">IF(D452="","",MOD(ROW()-24,12)+1)</f>
        <v>9</v>
      </c>
      <c r="D452" s="16" t="n">
        <f aca="false" t="array" ref="D452: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0.0158557109853232</v>
      </c>
      <c r="E452" s="16" t="n">
        <f aca="false">IF(D452="","",D452*$B$15)</f>
        <v>0.0410980028739577</v>
      </c>
      <c r="F452" s="16" t="n">
        <f aca="false" t="array" ref="F452:F452">IF(D452="","",IFERROR(INDEX(Dados_Evap!$C$2:$N$15,MATCH($B$9,Dados_Evap!$A$2:$A$15,0),C452),0))</f>
        <v>292.8</v>
      </c>
      <c r="G452" s="16" t="n">
        <f aca="false">IF(F452="","",F452/1000)</f>
        <v>0.2928</v>
      </c>
      <c r="H452" s="16" t="n">
        <f aca="false">IF(D452="","",MAX(0,MIN($B$8,IFERROR(LOOKUP(2,1/($U$24:U451&lt;&gt;""),$U$24:U451),$B$11))))</f>
        <v>12.0016533965628</v>
      </c>
      <c r="I452" s="16" t="n">
        <f aca="false" t="array" ref="I452: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>3.30896455441271</v>
      </c>
      <c r="J452" s="16" t="n">
        <f aca="false">IF(D452="","",$B$12)</f>
        <v>0.35</v>
      </c>
      <c r="K452" s="16" t="n">
        <f aca="false">IF(J452="","",J452*$B$15)</f>
        <v>0.9072</v>
      </c>
      <c r="L452" s="16" t="n">
        <f aca="false">IF(D452="","",H452+E452-K452-G452*I452)</f>
        <v>10.1666865779047</v>
      </c>
      <c r="M452" s="16" t="n">
        <f aca="false" t="array" ref="M452: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>3.15245267870364</v>
      </c>
      <c r="N452" s="16" t="n">
        <f aca="false">IF(D452="","",(I452+M452)/2)</f>
        <v>3.23070861655817</v>
      </c>
      <c r="O452" s="16" t="n">
        <f aca="false">IF(D452="","",G452*N452)</f>
        <v>0.945951482928233</v>
      </c>
      <c r="P452" s="16" t="n">
        <f aca="false">IF(D452="","",H452+E452-K452-O452)</f>
        <v>10.1895999165085</v>
      </c>
      <c r="Q452" s="16" t="n">
        <f aca="false">IF(D452="","",IF(P452&gt;=0,K452,MAX(0,K452+P452)))</f>
        <v>0.9072</v>
      </c>
      <c r="R452" s="16" t="n">
        <f aca="false">IF(D452="","",Q452/$B$15)</f>
        <v>0.35</v>
      </c>
      <c r="S452" s="16" t="n">
        <f aca="false">IF(D452="","",MAX(0,J452-R452))</f>
        <v>0</v>
      </c>
      <c r="T452" s="16" t="n">
        <f aca="false">IF(D452="","",MAX(0,Z452-$B$8))</f>
        <v>0</v>
      </c>
      <c r="U452" s="16" t="n">
        <f aca="false">IF(D452="","",MAX(0,MIN($B$8,Z452)))</f>
        <v>10.1895999165085</v>
      </c>
      <c r="V452" s="16" t="str">
        <f aca="false">IF(D452="","",IF(S452&gt;0.0000001,"Sim","Não"))</f>
        <v>Não</v>
      </c>
      <c r="W452" s="16" t="n">
        <f aca="false">IF(D452="","",U452-(H452+E452-Q452-O452-T452))</f>
        <v>0</v>
      </c>
      <c r="X452" s="16" t="n">
        <f aca="false">IF(W452="","",ABS(W452))</f>
        <v>0</v>
      </c>
      <c r="Y452" s="16" t="n">
        <f aca="false">IF(U452="","",IF($B$8=0,0,U452/$B$8*100))</f>
        <v>21.5789917757487</v>
      </c>
      <c r="Z452" s="18" t="n">
        <f aca="false">IF(D452="","",MAX(0,IF(P452&gt;=0,P452,IF(K452+P452&gt;=0,0,P452+K452))))</f>
        <v>10.1895999165085</v>
      </c>
      <c r="AA452" s="18" t="n">
        <f aca="false">IF(D452="","",IF(H452&lt;=$B$16,1,IF(H452&gt;=$B$17,$B$21,MATCH(H452,Aux_CAV!$A$2:$A$121,1))))</f>
        <v>10</v>
      </c>
      <c r="AB452" s="18" t="n">
        <f aca="false">IF(D452="","",IF(L452&lt;=$B$16,1,IF(L452&gt;=$B$17,$B$21,MATCH(L452,Aux_CAV!$A$2:$A$121,1))))</f>
        <v>10</v>
      </c>
      <c r="AC452" s="19" t="n">
        <f aca="false">IF(D452="","",COUNT($D$24:D452))</f>
        <v>417</v>
      </c>
    </row>
    <row r="453" customFormat="false" ht="12.75" hidden="false" customHeight="true" outlineLevel="0" collapsed="false">
      <c r="A453" s="14" t="n">
        <f aca="false">IF(D453="","",DATE(B453,C453,1))</f>
        <v>16711</v>
      </c>
      <c r="B453" s="15" t="n">
        <f aca="false" t="array" ref="B453:B453">IF(D453="","",IFERROR(VALUE(INDEX(Vazoes_COLAR!$A$2:$A$200,INT((ROW()-24)/12)+1)),""))</f>
        <v>1945</v>
      </c>
      <c r="C453" s="15" t="n">
        <f aca="false">IF(D453="","",MOD(ROW()-24,12)+1)</f>
        <v>10</v>
      </c>
      <c r="D453" s="16" t="n">
        <f aca="false" t="array" ref="D453: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0.113771325354679</v>
      </c>
      <c r="E453" s="16" t="n">
        <f aca="false">IF(D453="","",D453*$B$15)</f>
        <v>0.294895275319328</v>
      </c>
      <c r="F453" s="16" t="n">
        <f aca="false" t="array" ref="F453:F453">IF(D453="","",IFERROR(INDEX(Dados_Evap!$C$2:$N$15,MATCH($B$9,Dados_Evap!$A$2:$A$15,0),C453),0))</f>
        <v>262.9</v>
      </c>
      <c r="G453" s="16" t="n">
        <f aca="false">IF(F453="","",F453/1000)</f>
        <v>0.2629</v>
      </c>
      <c r="H453" s="16" t="n">
        <f aca="false">IF(D453="","",MAX(0,MIN($B$8,IFERROR(LOOKUP(2,1/($U$24:U452&lt;&gt;""),$U$24:U452),$B$11))))</f>
        <v>10.1895999165085</v>
      </c>
      <c r="I453" s="16" t="n">
        <f aca="false" t="array" ref="I453: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>3.1544070517022</v>
      </c>
      <c r="J453" s="16" t="n">
        <f aca="false">IF(D453="","",$B$12)</f>
        <v>0.35</v>
      </c>
      <c r="K453" s="16" t="n">
        <f aca="false">IF(J453="","",J453*$B$15)</f>
        <v>0.9072</v>
      </c>
      <c r="L453" s="16" t="n">
        <f aca="false">IF(D453="","",H453+E453-K453-G453*I453)</f>
        <v>8.74800157793534</v>
      </c>
      <c r="M453" s="16" t="n">
        <f aca="false" t="array" ref="M453: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>2.9324770758399</v>
      </c>
      <c r="N453" s="16" t="n">
        <f aca="false">IF(D453="","",(I453+M453)/2)</f>
        <v>3.04344206377105</v>
      </c>
      <c r="O453" s="16" t="n">
        <f aca="false">IF(D453="","",G453*N453)</f>
        <v>0.800120918565409</v>
      </c>
      <c r="P453" s="16" t="n">
        <f aca="false">IF(D453="","",H453+E453-K453-O453)</f>
        <v>8.77717427326244</v>
      </c>
      <c r="Q453" s="16" t="n">
        <f aca="false">IF(D453="","",IF(P453&gt;=0,K453,MAX(0,K453+P453)))</f>
        <v>0.9072</v>
      </c>
      <c r="R453" s="16" t="n">
        <f aca="false">IF(D453="","",Q453/$B$15)</f>
        <v>0.35</v>
      </c>
      <c r="S453" s="16" t="n">
        <f aca="false">IF(D453="","",MAX(0,J453-R453))</f>
        <v>0</v>
      </c>
      <c r="T453" s="16" t="n">
        <f aca="false">IF(D453="","",MAX(0,Z453-$B$8))</f>
        <v>0</v>
      </c>
      <c r="U453" s="16" t="n">
        <f aca="false">IF(D453="","",MAX(0,MIN($B$8,Z453)))</f>
        <v>8.77717427326244</v>
      </c>
      <c r="V453" s="16" t="str">
        <f aca="false">IF(D453="","",IF(S453&gt;0.0000001,"Sim","Não"))</f>
        <v>Não</v>
      </c>
      <c r="W453" s="16" t="n">
        <f aca="false">IF(D453="","",U453-(H453+E453-Q453-O453-T453))</f>
        <v>0</v>
      </c>
      <c r="X453" s="16" t="n">
        <f aca="false">IF(W453="","",ABS(W453))</f>
        <v>0</v>
      </c>
      <c r="Y453" s="16" t="n">
        <f aca="false">IF(U453="","",IF($B$8=0,0,U453/$B$8*100))</f>
        <v>18.5878320060619</v>
      </c>
      <c r="Z453" s="18" t="n">
        <f aca="false">IF(D453="","",MAX(0,IF(P453&gt;=0,P453,IF(K453+P453&gt;=0,0,P453+K453))))</f>
        <v>8.77717427326244</v>
      </c>
      <c r="AA453" s="18" t="n">
        <f aca="false">IF(D453="","",IF(H453&lt;=$B$16,1,IF(H453&gt;=$B$17,$B$21,MATCH(H453,Aux_CAV!$A$2:$A$121,1))))</f>
        <v>10</v>
      </c>
      <c r="AB453" s="18" t="n">
        <f aca="false">IF(D453="","",IF(L453&lt;=$B$16,1,IF(L453&gt;=$B$17,$B$21,MATCH(L453,Aux_CAV!$A$2:$A$121,1))))</f>
        <v>9</v>
      </c>
      <c r="AC453" s="19" t="n">
        <f aca="false">IF(D453="","",COUNT($D$24:D453))</f>
        <v>418</v>
      </c>
    </row>
    <row r="454" customFormat="false" ht="12.75" hidden="false" customHeight="true" outlineLevel="0" collapsed="false">
      <c r="A454" s="14" t="n">
        <f aca="false">IF(D454="","",DATE(B454,C454,1))</f>
        <v>16742</v>
      </c>
      <c r="B454" s="15" t="n">
        <f aca="false" t="array" ref="B454:B454">IF(D454="","",IFERROR(VALUE(INDEX(Vazoes_COLAR!$A$2:$A$200,INT((ROW()-24)/12)+1)),""))</f>
        <v>1945</v>
      </c>
      <c r="C454" s="15" t="n">
        <f aca="false">IF(D454="","",MOD(ROW()-24,12)+1)</f>
        <v>11</v>
      </c>
      <c r="D454" s="16" t="n">
        <f aca="false" t="array" ref="D454: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0.0193731413116228</v>
      </c>
      <c r="E454" s="16" t="n">
        <f aca="false">IF(D454="","",D454*$B$15)</f>
        <v>0.0502151822797263</v>
      </c>
      <c r="F454" s="16" t="n">
        <f aca="false" t="array" ref="F454:F454">IF(D454="","",IFERROR(INDEX(Dados_Evap!$C$2:$N$15,MATCH($B$9,Dados_Evap!$A$2:$A$15,0),C454),0))</f>
        <v>223.7</v>
      </c>
      <c r="G454" s="16" t="n">
        <f aca="false">IF(F454="","",F454/1000)</f>
        <v>0.2237</v>
      </c>
      <c r="H454" s="16" t="n">
        <f aca="false">IF(D454="","",MAX(0,MIN($B$8,IFERROR(LOOKUP(2,1/($U$24:U453&lt;&gt;""),$U$24:U453),$B$11))))</f>
        <v>8.77717427326244</v>
      </c>
      <c r="I454" s="16" t="n">
        <f aca="false" t="array" ref="I454: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>2.94135302356708</v>
      </c>
      <c r="J454" s="16" t="n">
        <f aca="false">IF(D454="","",$B$12)</f>
        <v>0.35</v>
      </c>
      <c r="K454" s="16" t="n">
        <f aca="false">IF(J454="","",J454*$B$15)</f>
        <v>0.9072</v>
      </c>
      <c r="L454" s="16" t="n">
        <f aca="false">IF(D454="","",H454+E454-K454-G454*I454)</f>
        <v>7.26220878417021</v>
      </c>
      <c r="M454" s="16" t="n">
        <f aca="false" t="array" ref="M454: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>2.4804167151837</v>
      </c>
      <c r="N454" s="16" t="n">
        <f aca="false">IF(D454="","",(I454+M454)/2)</f>
        <v>2.71088486937539</v>
      </c>
      <c r="O454" s="16" t="n">
        <f aca="false">IF(D454="","",G454*N454)</f>
        <v>0.606424945279275</v>
      </c>
      <c r="P454" s="16" t="n">
        <f aca="false">IF(D454="","",H454+E454-K454-O454)</f>
        <v>7.31376451026289</v>
      </c>
      <c r="Q454" s="16" t="n">
        <f aca="false">IF(D454="","",IF(P454&gt;=0,K454,MAX(0,K454+P454)))</f>
        <v>0.9072</v>
      </c>
      <c r="R454" s="16" t="n">
        <f aca="false">IF(D454="","",Q454/$B$15)</f>
        <v>0.35</v>
      </c>
      <c r="S454" s="16" t="n">
        <f aca="false">IF(D454="","",MAX(0,J454-R454))</f>
        <v>0</v>
      </c>
      <c r="T454" s="16" t="n">
        <f aca="false">IF(D454="","",MAX(0,Z454-$B$8))</f>
        <v>0</v>
      </c>
      <c r="U454" s="16" t="n">
        <f aca="false">IF(D454="","",MAX(0,MIN($B$8,Z454)))</f>
        <v>7.31376451026289</v>
      </c>
      <c r="V454" s="16" t="str">
        <f aca="false">IF(D454="","",IF(S454&gt;0.0000001,"Sim","Não"))</f>
        <v>Não</v>
      </c>
      <c r="W454" s="16" t="n">
        <f aca="false">IF(D454="","",U454-(H454+E454-Q454-O454-T454))</f>
        <v>0</v>
      </c>
      <c r="X454" s="16" t="n">
        <f aca="false">IF(W454="","",ABS(W454))</f>
        <v>0</v>
      </c>
      <c r="Y454" s="16" t="n">
        <f aca="false">IF(U454="","",IF($B$8=0,0,U454/$B$8*100))</f>
        <v>15.488700784123</v>
      </c>
      <c r="Z454" s="18" t="n">
        <f aca="false">IF(D454="","",MAX(0,IF(P454&gt;=0,P454,IF(K454+P454&gt;=0,0,P454+K454))))</f>
        <v>7.31376451026289</v>
      </c>
      <c r="AA454" s="18" t="n">
        <f aca="false">IF(D454="","",IF(H454&lt;=$B$16,1,IF(H454&gt;=$B$17,$B$21,MATCH(H454,Aux_CAV!$A$2:$A$121,1))))</f>
        <v>9</v>
      </c>
      <c r="AB454" s="18" t="n">
        <f aca="false">IF(D454="","",IF(L454&lt;=$B$16,1,IF(L454&gt;=$B$17,$B$21,MATCH(L454,Aux_CAV!$A$2:$A$121,1))))</f>
        <v>9</v>
      </c>
      <c r="AC454" s="19" t="n">
        <f aca="false">IF(D454="","",COUNT($D$24:D454))</f>
        <v>419</v>
      </c>
    </row>
    <row r="455" customFormat="false" ht="12.75" hidden="false" customHeight="true" outlineLevel="0" collapsed="false">
      <c r="A455" s="14" t="n">
        <f aca="false">IF(D455="","",DATE(B455,C455,1))</f>
        <v>16772</v>
      </c>
      <c r="B455" s="15" t="n">
        <f aca="false" t="array" ref="B455:B455">IF(D455="","",IFERROR(VALUE(INDEX(Vazoes_COLAR!$A$2:$A$200,INT((ROW()-24)/12)+1)),""))</f>
        <v>1945</v>
      </c>
      <c r="C455" s="15" t="n">
        <f aca="false">IF(D455="","",MOD(ROW()-24,12)+1)</f>
        <v>12</v>
      </c>
      <c r="D455" s="16" t="n">
        <f aca="false" t="array" ref="D455: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0.0947318400595085</v>
      </c>
      <c r="E455" s="16" t="n">
        <f aca="false">IF(D455="","",D455*$B$15)</f>
        <v>0.245544929434246</v>
      </c>
      <c r="F455" s="16" t="n">
        <f aca="false" t="array" ref="F455:F455">IF(D455="","",IFERROR(INDEX(Dados_Evap!$C$2:$N$15,MATCH($B$9,Dados_Evap!$A$2:$A$15,0),C455),0))</f>
        <v>216.1</v>
      </c>
      <c r="G455" s="16" t="n">
        <f aca="false">IF(F455="","",F455/1000)</f>
        <v>0.2161</v>
      </c>
      <c r="H455" s="16" t="n">
        <f aca="false">IF(D455="","",MAX(0,MIN($B$8,IFERROR(LOOKUP(2,1/($U$24:U454&lt;&gt;""),$U$24:U454),$B$11))))</f>
        <v>7.31376451026289</v>
      </c>
      <c r="I455" s="16" t="n">
        <f aca="false" t="array" ref="I455: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>2.49610281907999</v>
      </c>
      <c r="J455" s="16" t="n">
        <f aca="false">IF(D455="","",$B$12)</f>
        <v>0.35</v>
      </c>
      <c r="K455" s="16" t="n">
        <f aca="false">IF(J455="","",J455*$B$15)</f>
        <v>0.9072</v>
      </c>
      <c r="L455" s="16" t="n">
        <f aca="false">IF(D455="","",H455+E455-K455-G455*I455)</f>
        <v>6.11270162049395</v>
      </c>
      <c r="M455" s="16" t="n">
        <f aca="false" t="array" ref="M455: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>2.13067304623539</v>
      </c>
      <c r="N455" s="16" t="n">
        <f aca="false">IF(D455="","",(I455+M455)/2)</f>
        <v>2.31338793265769</v>
      </c>
      <c r="O455" s="16" t="n">
        <f aca="false">IF(D455="","",G455*N455)</f>
        <v>0.499923132247327</v>
      </c>
      <c r="P455" s="16" t="n">
        <f aca="false">IF(D455="","",H455+E455-K455-O455)</f>
        <v>6.15218630744981</v>
      </c>
      <c r="Q455" s="16" t="n">
        <f aca="false">IF(D455="","",IF(P455&gt;=0,K455,MAX(0,K455+P455)))</f>
        <v>0.9072</v>
      </c>
      <c r="R455" s="16" t="n">
        <f aca="false">IF(D455="","",Q455/$B$15)</f>
        <v>0.35</v>
      </c>
      <c r="S455" s="16" t="n">
        <f aca="false">IF(D455="","",MAX(0,J455-R455))</f>
        <v>0</v>
      </c>
      <c r="T455" s="16" t="n">
        <f aca="false">IF(D455="","",MAX(0,Z455-$B$8))</f>
        <v>0</v>
      </c>
      <c r="U455" s="16" t="n">
        <f aca="false">IF(D455="","",MAX(0,MIN($B$8,Z455)))</f>
        <v>6.15218630744981</v>
      </c>
      <c r="V455" s="16" t="str">
        <f aca="false">IF(D455="","",IF(S455&gt;0.0000001,"Sim","Não"))</f>
        <v>Não</v>
      </c>
      <c r="W455" s="16" t="n">
        <f aca="false">IF(D455="","",U455-(H455+E455-Q455-O455-T455))</f>
        <v>0</v>
      </c>
      <c r="X455" s="16" t="n">
        <f aca="false">IF(W455="","",ABS(W455))</f>
        <v>0</v>
      </c>
      <c r="Y455" s="16" t="n">
        <f aca="false">IF(U455="","",IF($B$8=0,0,U455/$B$8*100))</f>
        <v>13.0287723580047</v>
      </c>
      <c r="Z455" s="18" t="n">
        <f aca="false">IF(D455="","",MAX(0,IF(P455&gt;=0,P455,IF(K455+P455&gt;=0,0,P455+K455))))</f>
        <v>6.15218630744981</v>
      </c>
      <c r="AA455" s="18" t="n">
        <f aca="false">IF(D455="","",IF(H455&lt;=$B$16,1,IF(H455&gt;=$B$17,$B$21,MATCH(H455,Aux_CAV!$A$2:$A$121,1))))</f>
        <v>9</v>
      </c>
      <c r="AB455" s="18" t="n">
        <f aca="false">IF(D455="","",IF(L455&lt;=$B$16,1,IF(L455&gt;=$B$17,$B$21,MATCH(L455,Aux_CAV!$A$2:$A$121,1))))</f>
        <v>9</v>
      </c>
      <c r="AC455" s="19" t="n">
        <f aca="false">IF(D455="","",COUNT($D$24:D455))</f>
        <v>420</v>
      </c>
    </row>
    <row r="456" customFormat="false" ht="12.75" hidden="false" customHeight="true" outlineLevel="0" collapsed="false">
      <c r="A456" s="14" t="n">
        <f aca="false">IF(D456="","",DATE(B456,C456,1))</f>
        <v>16803</v>
      </c>
      <c r="B456" s="15" t="n">
        <f aca="false" t="array" ref="B456:B456">IF(D456="","",IFERROR(VALUE(INDEX(Vazoes_COLAR!$A$2:$A$200,INT((ROW()-24)/12)+1)),""))</f>
        <v>1946</v>
      </c>
      <c r="C456" s="15" t="n">
        <f aca="false">IF(D456="","",MOD(ROW()-24,12)+1)</f>
        <v>1</v>
      </c>
      <c r="D456" s="16" t="n">
        <f aca="false" t="array" ref="D456: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0.462340800585852</v>
      </c>
      <c r="E456" s="16" t="n">
        <f aca="false">IF(D456="","",D456*$B$15)</f>
        <v>1.19838735511853</v>
      </c>
      <c r="F456" s="16" t="n">
        <f aca="false" t="array" ref="F456:F456">IF(D456="","",IFERROR(INDEX(Dados_Evap!$C$2:$N$15,MATCH($B$9,Dados_Evap!$A$2:$A$15,0),C456),0))</f>
        <v>160</v>
      </c>
      <c r="G456" s="16" t="n">
        <f aca="false">IF(F456="","",F456/1000)</f>
        <v>0.16</v>
      </c>
      <c r="H456" s="16" t="n">
        <f aca="false">IF(D456="","",MAX(0,MIN($B$8,IFERROR(LOOKUP(2,1/($U$24:U455&lt;&gt;""),$U$24:U455),$B$11))))</f>
        <v>6.15218630744981</v>
      </c>
      <c r="I456" s="16" t="n">
        <f aca="false" t="array" ref="I456: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>2.14268647226664</v>
      </c>
      <c r="J456" s="16" t="n">
        <f aca="false">IF(D456="","",$B$12)</f>
        <v>0.35</v>
      </c>
      <c r="K456" s="16" t="n">
        <f aca="false">IF(J456="","",J456*$B$15)</f>
        <v>0.9072</v>
      </c>
      <c r="L456" s="16" t="n">
        <f aca="false">IF(D456="","",H456+E456-K456-G456*I456)</f>
        <v>6.10054382700567</v>
      </c>
      <c r="M456" s="16" t="n">
        <f aca="false" t="array" ref="M456: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>2.12697397289747</v>
      </c>
      <c r="N456" s="16" t="n">
        <f aca="false">IF(D456="","",(I456+M456)/2)</f>
        <v>2.13483022258206</v>
      </c>
      <c r="O456" s="16" t="n">
        <f aca="false">IF(D456="","",G456*N456)</f>
        <v>0.341572835613129</v>
      </c>
      <c r="P456" s="16" t="n">
        <f aca="false">IF(D456="","",H456+E456-K456-O456)</f>
        <v>6.10180082695521</v>
      </c>
      <c r="Q456" s="16" t="n">
        <f aca="false">IF(D456="","",IF(P456&gt;=0,K456,MAX(0,K456+P456)))</f>
        <v>0.9072</v>
      </c>
      <c r="R456" s="16" t="n">
        <f aca="false">IF(D456="","",Q456/$B$15)</f>
        <v>0.35</v>
      </c>
      <c r="S456" s="16" t="n">
        <f aca="false">IF(D456="","",MAX(0,J456-R456))</f>
        <v>0</v>
      </c>
      <c r="T456" s="16" t="n">
        <f aca="false">IF(D456="","",MAX(0,Z456-$B$8))</f>
        <v>0</v>
      </c>
      <c r="U456" s="16" t="n">
        <f aca="false">IF(D456="","",MAX(0,MIN($B$8,Z456)))</f>
        <v>6.10180082695521</v>
      </c>
      <c r="V456" s="16" t="str">
        <f aca="false">IF(D456="","",IF(S456&gt;0.0000001,"Sim","Não"))</f>
        <v>Não</v>
      </c>
      <c r="W456" s="16" t="n">
        <f aca="false">IF(D456="","",U456-(H456+E456-Q456-O456-T456))</f>
        <v>0</v>
      </c>
      <c r="X456" s="16" t="n">
        <f aca="false">IF(W456="","",ABS(W456))</f>
        <v>0</v>
      </c>
      <c r="Y456" s="16" t="n">
        <f aca="false">IF(U456="","",IF($B$8=0,0,U456/$B$8*100))</f>
        <v>12.9220686720779</v>
      </c>
      <c r="Z456" s="18" t="n">
        <f aca="false">IF(D456="","",MAX(0,IF(P456&gt;=0,P456,IF(K456+P456&gt;=0,0,P456+K456))))</f>
        <v>6.10180082695521</v>
      </c>
      <c r="AA456" s="18" t="n">
        <f aca="false">IF(D456="","",IF(H456&lt;=$B$16,1,IF(H456&gt;=$B$17,$B$21,MATCH(H456,Aux_CAV!$A$2:$A$121,1))))</f>
        <v>9</v>
      </c>
      <c r="AB456" s="18" t="n">
        <f aca="false">IF(D456="","",IF(L456&lt;=$B$16,1,IF(L456&gt;=$B$17,$B$21,MATCH(L456,Aux_CAV!$A$2:$A$121,1))))</f>
        <v>9</v>
      </c>
      <c r="AC456" s="19" t="n">
        <f aca="false">IF(D456="","",COUNT($D$24:D456))</f>
        <v>421</v>
      </c>
    </row>
    <row r="457" customFormat="false" ht="12.75" hidden="false" customHeight="true" outlineLevel="0" collapsed="false">
      <c r="A457" s="14" t="n">
        <f aca="false">IF(D457="","",DATE(B457,C457,1))</f>
        <v>16834</v>
      </c>
      <c r="B457" s="15" t="n">
        <f aca="false" t="array" ref="B457:B457">IF(D457="","",IFERROR(VALUE(INDEX(Vazoes_COLAR!$A$2:$A$200,INT((ROW()-24)/12)+1)),""))</f>
        <v>1946</v>
      </c>
      <c r="C457" s="15" t="n">
        <f aca="false">IF(D457="","",MOD(ROW()-24,12)+1)</f>
        <v>2</v>
      </c>
      <c r="D457" s="16" t="n">
        <f aca="false" t="array" ref="D457: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0.898465393571245</v>
      </c>
      <c r="E457" s="16" t="n">
        <f aca="false">IF(D457="","",D457*$B$15)</f>
        <v>2.32882230013667</v>
      </c>
      <c r="F457" s="16" t="n">
        <f aca="false" t="array" ref="F457:F457">IF(D457="","",IFERROR(INDEX(Dados_Evap!$C$2:$N$15,MATCH($B$9,Dados_Evap!$A$2:$A$15,0),C457),0))</f>
        <v>124.3</v>
      </c>
      <c r="G457" s="16" t="n">
        <f aca="false">IF(F457="","",F457/1000)</f>
        <v>0.1243</v>
      </c>
      <c r="H457" s="16" t="n">
        <f aca="false">IF(D457="","",MAX(0,MIN($B$8,IFERROR(LOOKUP(2,1/($U$24:U456&lt;&gt;""),$U$24:U456),$B$11))))</f>
        <v>6.10180082695521</v>
      </c>
      <c r="I457" s="16" t="n">
        <f aca="false" t="array" ref="I457: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>2.12735642181829</v>
      </c>
      <c r="J457" s="16" t="n">
        <f aca="false">IF(D457="","",$B$12)</f>
        <v>0.35</v>
      </c>
      <c r="K457" s="16" t="n">
        <f aca="false">IF(J457="","",J457*$B$15)</f>
        <v>0.9072</v>
      </c>
      <c r="L457" s="16" t="n">
        <f aca="false">IF(D457="","",H457+E457-K457-G457*I457)</f>
        <v>7.25899272385986</v>
      </c>
      <c r="M457" s="16" t="n">
        <f aca="false" t="array" ref="M457: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>2.47943821172757</v>
      </c>
      <c r="N457" s="16" t="n">
        <f aca="false">IF(D457="","",(I457+M457)/2)</f>
        <v>2.30339731677293</v>
      </c>
      <c r="O457" s="16" t="n">
        <f aca="false">IF(D457="","",G457*N457)</f>
        <v>0.286312286474875</v>
      </c>
      <c r="P457" s="16" t="n">
        <f aca="false">IF(D457="","",H457+E457-K457-O457)</f>
        <v>7.237110840617</v>
      </c>
      <c r="Q457" s="16" t="n">
        <f aca="false">IF(D457="","",IF(P457&gt;=0,K457,MAX(0,K457+P457)))</f>
        <v>0.9072</v>
      </c>
      <c r="R457" s="16" t="n">
        <f aca="false">IF(D457="","",Q457/$B$15)</f>
        <v>0.35</v>
      </c>
      <c r="S457" s="16" t="n">
        <f aca="false">IF(D457="","",MAX(0,J457-R457))</f>
        <v>0</v>
      </c>
      <c r="T457" s="16" t="n">
        <f aca="false">IF(D457="","",MAX(0,Z457-$B$8))</f>
        <v>0</v>
      </c>
      <c r="U457" s="16" t="n">
        <f aca="false">IF(D457="","",MAX(0,MIN($B$8,Z457)))</f>
        <v>7.237110840617</v>
      </c>
      <c r="V457" s="16" t="str">
        <f aca="false">IF(D457="","",IF(S457&gt;0.0000001,"Sim","Não"))</f>
        <v>Não</v>
      </c>
      <c r="W457" s="16" t="n">
        <f aca="false">IF(D457="","",U457-(H457+E457-Q457-O457-T457))</f>
        <v>0</v>
      </c>
      <c r="X457" s="16" t="n">
        <f aca="false">IF(W457="","",ABS(W457))</f>
        <v>0</v>
      </c>
      <c r="Y457" s="16" t="n">
        <f aca="false">IF(U457="","",IF($B$8=0,0,U457/$B$8*100))</f>
        <v>15.3263677268467</v>
      </c>
      <c r="Z457" s="18" t="n">
        <f aca="false">IF(D457="","",MAX(0,IF(P457&gt;=0,P457,IF(K457+P457&gt;=0,0,P457+K457))))</f>
        <v>7.237110840617</v>
      </c>
      <c r="AA457" s="18" t="n">
        <f aca="false">IF(D457="","",IF(H457&lt;=$B$16,1,IF(H457&gt;=$B$17,$B$21,MATCH(H457,Aux_CAV!$A$2:$A$121,1))))</f>
        <v>9</v>
      </c>
      <c r="AB457" s="18" t="n">
        <f aca="false">IF(D457="","",IF(L457&lt;=$B$16,1,IF(L457&gt;=$B$17,$B$21,MATCH(L457,Aux_CAV!$A$2:$A$121,1))))</f>
        <v>9</v>
      </c>
      <c r="AC457" s="19" t="n">
        <f aca="false">IF(D457="","",COUNT($D$24:D457))</f>
        <v>422</v>
      </c>
    </row>
    <row r="458" customFormat="false" ht="12.75" hidden="false" customHeight="true" outlineLevel="0" collapsed="false">
      <c r="A458" s="14" t="n">
        <f aca="false">IF(D458="","",DATE(B458,C458,1))</f>
        <v>16862</v>
      </c>
      <c r="B458" s="15" t="n">
        <f aca="false" t="array" ref="B458:B458">IF(D458="","",IFERROR(VALUE(INDEX(Vazoes_COLAR!$A$2:$A$200,INT((ROW()-24)/12)+1)),""))</f>
        <v>1946</v>
      </c>
      <c r="C458" s="15" t="n">
        <f aca="false">IF(D458="","",MOD(ROW()-24,12)+1)</f>
        <v>3</v>
      </c>
      <c r="D458" s="16" t="n">
        <f aca="false" t="array" ref="D458: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2.2644036236287</v>
      </c>
      <c r="E458" s="16" t="n">
        <f aca="false">IF(D458="","",D458*$B$15)</f>
        <v>5.86933419244559</v>
      </c>
      <c r="F458" s="16" t="n">
        <f aca="false" t="array" ref="F458:F458">IF(D458="","",IFERROR(INDEX(Dados_Evap!$C$2:$N$15,MATCH($B$9,Dados_Evap!$A$2:$A$15,0),C458),0))</f>
        <v>107.7</v>
      </c>
      <c r="G458" s="16" t="n">
        <f aca="false">IF(F458="","",F458/1000)</f>
        <v>0.1077</v>
      </c>
      <c r="H458" s="16" t="n">
        <f aca="false">IF(D458="","",MAX(0,MIN($B$8,IFERROR(LOOKUP(2,1/($U$24:U457&lt;&gt;""),$U$24:U457),$B$11))))</f>
        <v>7.237110840617</v>
      </c>
      <c r="I458" s="16" t="n">
        <f aca="false" t="array" ref="I458: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>2.47278053235794</v>
      </c>
      <c r="J458" s="16" t="n">
        <f aca="false">IF(D458="","",$B$12)</f>
        <v>0.35</v>
      </c>
      <c r="K458" s="16" t="n">
        <f aca="false">IF(J458="","",J458*$B$15)</f>
        <v>0.9072</v>
      </c>
      <c r="L458" s="16" t="n">
        <f aca="false">IF(D458="","",H458+E458-K458-G458*I458)</f>
        <v>11.9329265697276</v>
      </c>
      <c r="M458" s="16" t="n">
        <f aca="false" t="array" ref="M458: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>3.30310256035912</v>
      </c>
      <c r="N458" s="16" t="n">
        <f aca="false">IF(D458="","",(I458+M458)/2)</f>
        <v>2.88794154635853</v>
      </c>
      <c r="O458" s="16" t="n">
        <f aca="false">IF(D458="","",G458*N458)</f>
        <v>0.311031304542814</v>
      </c>
      <c r="P458" s="16" t="n">
        <f aca="false">IF(D458="","",H458+E458-K458-O458)</f>
        <v>11.8882137285198</v>
      </c>
      <c r="Q458" s="16" t="n">
        <f aca="false">IF(D458="","",IF(P458&gt;=0,K458,MAX(0,K458+P458)))</f>
        <v>0.9072</v>
      </c>
      <c r="R458" s="16" t="n">
        <f aca="false">IF(D458="","",Q458/$B$15)</f>
        <v>0.35</v>
      </c>
      <c r="S458" s="16" t="n">
        <f aca="false">IF(D458="","",MAX(0,J458-R458))</f>
        <v>0</v>
      </c>
      <c r="T458" s="16" t="n">
        <f aca="false">IF(D458="","",MAX(0,Z458-$B$8))</f>
        <v>0</v>
      </c>
      <c r="U458" s="16" t="n">
        <f aca="false">IF(D458="","",MAX(0,MIN($B$8,Z458)))</f>
        <v>11.8882137285198</v>
      </c>
      <c r="V458" s="16" t="str">
        <f aca="false">IF(D458="","",IF(S458&gt;0.0000001,"Sim","Não"))</f>
        <v>Não</v>
      </c>
      <c r="W458" s="16" t="n">
        <f aca="false">IF(D458="","",U458-(H458+E458-Q458-O458-T458))</f>
        <v>0</v>
      </c>
      <c r="X458" s="16" t="n">
        <f aca="false">IF(W458="","",ABS(W458))</f>
        <v>0</v>
      </c>
      <c r="Y458" s="16" t="n">
        <f aca="false">IF(U458="","",IF($B$8=0,0,U458/$B$8*100))</f>
        <v>25.1762256004231</v>
      </c>
      <c r="Z458" s="18" t="n">
        <f aca="false">IF(D458="","",MAX(0,IF(P458&gt;=0,P458,IF(K458+P458&gt;=0,0,P458+K458))))</f>
        <v>11.8882137285198</v>
      </c>
      <c r="AA458" s="18" t="n">
        <f aca="false">IF(D458="","",IF(H458&lt;=$B$16,1,IF(H458&gt;=$B$17,$B$21,MATCH(H458,Aux_CAV!$A$2:$A$121,1))))</f>
        <v>9</v>
      </c>
      <c r="AB458" s="18" t="n">
        <f aca="false">IF(D458="","",IF(L458&lt;=$B$16,1,IF(L458&gt;=$B$17,$B$21,MATCH(L458,Aux_CAV!$A$2:$A$121,1))))</f>
        <v>10</v>
      </c>
      <c r="AC458" s="19" t="n">
        <f aca="false">IF(D458="","",COUNT($D$24:D458))</f>
        <v>423</v>
      </c>
    </row>
    <row r="459" customFormat="false" ht="12.75" hidden="false" customHeight="true" outlineLevel="0" collapsed="false">
      <c r="A459" s="14" t="n">
        <f aca="false">IF(D459="","",DATE(B459,C459,1))</f>
        <v>16893</v>
      </c>
      <c r="B459" s="15" t="n">
        <f aca="false" t="array" ref="B459:B459">IF(D459="","",IFERROR(VALUE(INDEX(Vazoes_COLAR!$A$2:$A$200,INT((ROW()-24)/12)+1)),""))</f>
        <v>1946</v>
      </c>
      <c r="C459" s="15" t="n">
        <f aca="false">IF(D459="","",MOD(ROW()-24,12)+1)</f>
        <v>4</v>
      </c>
      <c r="D459" s="16" t="n">
        <f aca="false" t="array" ref="D459: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3.10577926904828</v>
      </c>
      <c r="E459" s="16" t="n">
        <f aca="false">IF(D459="","",D459*$B$15)</f>
        <v>8.05017986537314</v>
      </c>
      <c r="F459" s="16" t="n">
        <f aca="false" t="array" ref="F459:F459">IF(D459="","",IFERROR(INDEX(Dados_Evap!$C$2:$N$15,MATCH($B$9,Dados_Evap!$A$2:$A$15,0),C459),0))</f>
        <v>100.5</v>
      </c>
      <c r="G459" s="16" t="n">
        <f aca="false">IF(F459="","",F459/1000)</f>
        <v>0.1005</v>
      </c>
      <c r="H459" s="16" t="n">
        <f aca="false">IF(D459="","",MAX(0,MIN($B$8,IFERROR(LOOKUP(2,1/($U$24:U458&lt;&gt;""),$U$24:U458),$B$11))))</f>
        <v>11.8882137285198</v>
      </c>
      <c r="I459" s="16" t="n">
        <f aca="false" t="array" ref="I459: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>3.2992888180208</v>
      </c>
      <c r="J459" s="16" t="n">
        <f aca="false">IF(D459="","",$B$12)</f>
        <v>0.35</v>
      </c>
      <c r="K459" s="16" t="n">
        <f aca="false">IF(J459="","",J459*$B$15)</f>
        <v>0.9072</v>
      </c>
      <c r="L459" s="16" t="n">
        <f aca="false">IF(D459="","",H459+E459-K459-G459*I459)</f>
        <v>18.6996150676818</v>
      </c>
      <c r="M459" s="16" t="n">
        <f aca="false" t="array" ref="M459: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>3.97263692272295</v>
      </c>
      <c r="N459" s="16" t="n">
        <f aca="false">IF(D459="","",(I459+M459)/2)</f>
        <v>3.63596287037188</v>
      </c>
      <c r="O459" s="16" t="n">
        <f aca="false">IF(D459="","",G459*N459)</f>
        <v>0.365414268472374</v>
      </c>
      <c r="P459" s="16" t="n">
        <f aca="false">IF(D459="","",H459+E459-K459-O459)</f>
        <v>18.6657793254205</v>
      </c>
      <c r="Q459" s="16" t="n">
        <f aca="false">IF(D459="","",IF(P459&gt;=0,K459,MAX(0,K459+P459)))</f>
        <v>0.9072</v>
      </c>
      <c r="R459" s="16" t="n">
        <f aca="false">IF(D459="","",Q459/$B$15)</f>
        <v>0.35</v>
      </c>
      <c r="S459" s="16" t="n">
        <f aca="false">IF(D459="","",MAX(0,J459-R459))</f>
        <v>0</v>
      </c>
      <c r="T459" s="16" t="n">
        <f aca="false">IF(D459="","",MAX(0,Z459-$B$8))</f>
        <v>0</v>
      </c>
      <c r="U459" s="16" t="n">
        <f aca="false">IF(D459="","",MAX(0,MIN($B$8,Z459)))</f>
        <v>18.6657793254205</v>
      </c>
      <c r="V459" s="16" t="str">
        <f aca="false">IF(D459="","",IF(S459&gt;0.0000001,"Sim","Não"))</f>
        <v>Não</v>
      </c>
      <c r="W459" s="16" t="n">
        <f aca="false">IF(D459="","",U459-(H459+E459-Q459-O459-T459))</f>
        <v>0</v>
      </c>
      <c r="X459" s="16" t="n">
        <f aca="false">IF(W459="","",ABS(W459))</f>
        <v>0</v>
      </c>
      <c r="Y459" s="16" t="n">
        <f aca="false">IF(U459="","",IF($B$8=0,0,U459/$B$8*100))</f>
        <v>39.5293928958504</v>
      </c>
      <c r="Z459" s="18" t="n">
        <f aca="false">IF(D459="","",MAX(0,IF(P459&gt;=0,P459,IF(K459+P459&gt;=0,0,P459+K459))))</f>
        <v>18.6657793254205</v>
      </c>
      <c r="AA459" s="18" t="n">
        <f aca="false">IF(D459="","",IF(H459&lt;=$B$16,1,IF(H459&gt;=$B$17,$B$21,MATCH(H459,Aux_CAV!$A$2:$A$121,1))))</f>
        <v>10</v>
      </c>
      <c r="AB459" s="18" t="n">
        <f aca="false">IF(D459="","",IF(L459&lt;=$B$16,1,IF(L459&gt;=$B$17,$B$21,MATCH(L459,Aux_CAV!$A$2:$A$121,1))))</f>
        <v>11</v>
      </c>
      <c r="AC459" s="19" t="n">
        <f aca="false">IF(D459="","",COUNT($D$24:D459))</f>
        <v>424</v>
      </c>
    </row>
    <row r="460" customFormat="false" ht="12.75" hidden="false" customHeight="true" outlineLevel="0" collapsed="false">
      <c r="A460" s="14" t="n">
        <f aca="false">IF(D460="","",DATE(B460,C460,1))</f>
        <v>16923</v>
      </c>
      <c r="B460" s="15" t="n">
        <f aca="false" t="array" ref="B460:B460">IF(D460="","",IFERROR(VALUE(INDEX(Vazoes_COLAR!$A$2:$A$200,INT((ROW()-24)/12)+1)),""))</f>
        <v>1946</v>
      </c>
      <c r="C460" s="15" t="n">
        <f aca="false">IF(D460="","",MOD(ROW()-24,12)+1)</f>
        <v>5</v>
      </c>
      <c r="D460" s="16" t="n">
        <f aca="false" t="array" ref="D460: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1.15038813010836</v>
      </c>
      <c r="E460" s="16" t="n">
        <f aca="false">IF(D460="","",D460*$B$15)</f>
        <v>2.98180603324087</v>
      </c>
      <c r="F460" s="16" t="n">
        <f aca="false" t="array" ref="F460:F460">IF(D460="","",IFERROR(INDEX(Dados_Evap!$C$2:$N$15,MATCH($B$9,Dados_Evap!$A$2:$A$15,0),C460),0))</f>
        <v>145.8</v>
      </c>
      <c r="G460" s="16" t="n">
        <f aca="false">IF(F460="","",F460/1000)</f>
        <v>0.1458</v>
      </c>
      <c r="H460" s="16" t="n">
        <f aca="false">IF(D460="","",MAX(0,MIN($B$8,IFERROR(LOOKUP(2,1/($U$24:U459&lt;&gt;""),$U$24:U459),$B$11))))</f>
        <v>18.6657793254205</v>
      </c>
      <c r="I460" s="16" t="n">
        <f aca="false" t="array" ref="I460: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>3.96859313889172</v>
      </c>
      <c r="J460" s="16" t="n">
        <f aca="false">IF(D460="","",$B$12)</f>
        <v>0.35</v>
      </c>
      <c r="K460" s="16" t="n">
        <f aca="false">IF(J460="","",J460*$B$15)</f>
        <v>0.9072</v>
      </c>
      <c r="L460" s="16" t="n">
        <f aca="false">IF(D460="","",H460+E460-K460-G460*I460)</f>
        <v>20.161764479011</v>
      </c>
      <c r="M460" s="16" t="n">
        <f aca="false" t="array" ref="M460: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>4.14738160846717</v>
      </c>
      <c r="N460" s="16" t="n">
        <f aca="false">IF(D460="","",(I460+M460)/2)</f>
        <v>4.05798737367945</v>
      </c>
      <c r="O460" s="16" t="n">
        <f aca="false">IF(D460="","",G460*N460)</f>
        <v>0.591654559082463</v>
      </c>
      <c r="P460" s="16" t="n">
        <f aca="false">IF(D460="","",H460+E460-K460-O460)</f>
        <v>20.148730799579</v>
      </c>
      <c r="Q460" s="16" t="n">
        <f aca="false">IF(D460="","",IF(P460&gt;=0,K460,MAX(0,K460+P460)))</f>
        <v>0.9072</v>
      </c>
      <c r="R460" s="16" t="n">
        <f aca="false">IF(D460="","",Q460/$B$15)</f>
        <v>0.35</v>
      </c>
      <c r="S460" s="16" t="n">
        <f aca="false">IF(D460="","",MAX(0,J460-R460))</f>
        <v>0</v>
      </c>
      <c r="T460" s="16" t="n">
        <f aca="false">IF(D460="","",MAX(0,Z460-$B$8))</f>
        <v>0</v>
      </c>
      <c r="U460" s="16" t="n">
        <f aca="false">IF(D460="","",MAX(0,MIN($B$8,Z460)))</f>
        <v>20.148730799579</v>
      </c>
      <c r="V460" s="16" t="str">
        <f aca="false">IF(D460="","",IF(S460&gt;0.0000001,"Sim","Não"))</f>
        <v>Não</v>
      </c>
      <c r="W460" s="16" t="n">
        <f aca="false">IF(D460="","",U460-(H460+E460-Q460-O460-T460))</f>
        <v>0</v>
      </c>
      <c r="X460" s="16" t="n">
        <f aca="false">IF(W460="","",ABS(W460))</f>
        <v>0</v>
      </c>
      <c r="Y460" s="16" t="n">
        <f aca="false">IF(U460="","",IF($B$8=0,0,U460/$B$8*100))</f>
        <v>42.6699085124501</v>
      </c>
      <c r="Z460" s="18" t="n">
        <f aca="false">IF(D460="","",MAX(0,IF(P460&gt;=0,P460,IF(K460+P460&gt;=0,0,P460+K460))))</f>
        <v>20.148730799579</v>
      </c>
      <c r="AA460" s="18" t="n">
        <f aca="false">IF(D460="","",IF(H460&lt;=$B$16,1,IF(H460&gt;=$B$17,$B$21,MATCH(H460,Aux_CAV!$A$2:$A$121,1))))</f>
        <v>11</v>
      </c>
      <c r="AB460" s="18" t="n">
        <f aca="false">IF(D460="","",IF(L460&lt;=$B$16,1,IF(L460&gt;=$B$17,$B$21,MATCH(L460,Aux_CAV!$A$2:$A$121,1))))</f>
        <v>11</v>
      </c>
      <c r="AC460" s="19" t="n">
        <f aca="false">IF(D460="","",COUNT($D$24:D460))</f>
        <v>425</v>
      </c>
    </row>
    <row r="461" customFormat="false" ht="12.75" hidden="false" customHeight="true" outlineLevel="0" collapsed="false">
      <c r="A461" s="14" t="n">
        <f aca="false">IF(D461="","",DATE(B461,C461,1))</f>
        <v>16954</v>
      </c>
      <c r="B461" s="15" t="n">
        <f aca="false" t="array" ref="B461:B461">IF(D461="","",IFERROR(VALUE(INDEX(Vazoes_COLAR!$A$2:$A$200,INT((ROW()-24)/12)+1)),""))</f>
        <v>1946</v>
      </c>
      <c r="C461" s="15" t="n">
        <f aca="false">IF(D461="","",MOD(ROW()-24,12)+1)</f>
        <v>6</v>
      </c>
      <c r="D461" s="16" t="n">
        <f aca="false" t="array" ref="D461: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1.04168244883656</v>
      </c>
      <c r="E461" s="16" t="n">
        <f aca="false">IF(D461="","",D461*$B$15)</f>
        <v>2.70004090738436</v>
      </c>
      <c r="F461" s="16" t="n">
        <f aca="false" t="array" ref="F461:F461">IF(D461="","",IFERROR(INDEX(Dados_Evap!$C$2:$N$15,MATCH($B$9,Dados_Evap!$A$2:$A$15,0),C461),0))</f>
        <v>161.3</v>
      </c>
      <c r="G461" s="16" t="n">
        <f aca="false">IF(F461="","",F461/1000)</f>
        <v>0.1613</v>
      </c>
      <c r="H461" s="16" t="n">
        <f aca="false">IF(D461="","",MAX(0,MIN($B$8,IFERROR(LOOKUP(2,1/($U$24:U460&lt;&gt;""),$U$24:U460),$B$11))))</f>
        <v>20.148730799579</v>
      </c>
      <c r="I461" s="16" t="n">
        <f aca="false" t="array" ref="I461: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>4.14582392482773</v>
      </c>
      <c r="J461" s="16" t="n">
        <f aca="false">IF(D461="","",$B$12)</f>
        <v>0.35</v>
      </c>
      <c r="K461" s="16" t="n">
        <f aca="false">IF(J461="","",J461*$B$15)</f>
        <v>0.9072</v>
      </c>
      <c r="L461" s="16" t="n">
        <f aca="false">IF(D461="","",H461+E461-K461-G461*I461)</f>
        <v>21.2728503078886</v>
      </c>
      <c r="M461" s="16" t="n">
        <f aca="false" t="array" ref="M461: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>4.28016991484522</v>
      </c>
      <c r="N461" s="16" t="n">
        <f aca="false">IF(D461="","",(I461+M461)/2)</f>
        <v>4.21299691983648</v>
      </c>
      <c r="O461" s="16" t="n">
        <f aca="false">IF(D461="","",G461*N461)</f>
        <v>0.679556403169624</v>
      </c>
      <c r="P461" s="16" t="n">
        <f aca="false">IF(D461="","",H461+E461-K461-O461)</f>
        <v>21.2620153037937</v>
      </c>
      <c r="Q461" s="16" t="n">
        <f aca="false">IF(D461="","",IF(P461&gt;=0,K461,MAX(0,K461+P461)))</f>
        <v>0.9072</v>
      </c>
      <c r="R461" s="16" t="n">
        <f aca="false">IF(D461="","",Q461/$B$15)</f>
        <v>0.35</v>
      </c>
      <c r="S461" s="16" t="n">
        <f aca="false">IF(D461="","",MAX(0,J461-R461))</f>
        <v>0</v>
      </c>
      <c r="T461" s="16" t="n">
        <f aca="false">IF(D461="","",MAX(0,Z461-$B$8))</f>
        <v>0</v>
      </c>
      <c r="U461" s="16" t="n">
        <f aca="false">IF(D461="","",MAX(0,MIN($B$8,Z461)))</f>
        <v>21.2620153037937</v>
      </c>
      <c r="V461" s="16" t="str">
        <f aca="false">IF(D461="","",IF(S461&gt;0.0000001,"Sim","Não"))</f>
        <v>Não</v>
      </c>
      <c r="W461" s="16" t="n">
        <f aca="false">IF(D461="","",U461-(H461+E461-Q461-O461-T461))</f>
        <v>0</v>
      </c>
      <c r="X461" s="16" t="n">
        <f aca="false">IF(W461="","",ABS(W461))</f>
        <v>0</v>
      </c>
      <c r="Y461" s="16" t="n">
        <f aca="false">IF(U461="","",IF($B$8=0,0,U461/$B$8*100))</f>
        <v>45.0275631168863</v>
      </c>
      <c r="Z461" s="18" t="n">
        <f aca="false">IF(D461="","",MAX(0,IF(P461&gt;=0,P461,IF(K461+P461&gt;=0,0,P461+K461))))</f>
        <v>21.2620153037937</v>
      </c>
      <c r="AA461" s="18" t="n">
        <f aca="false">IF(D461="","",IF(H461&lt;=$B$16,1,IF(H461&gt;=$B$17,$B$21,MATCH(H461,Aux_CAV!$A$2:$A$121,1))))</f>
        <v>11</v>
      </c>
      <c r="AB461" s="18" t="n">
        <f aca="false">IF(D461="","",IF(L461&lt;=$B$16,1,IF(L461&gt;=$B$17,$B$21,MATCH(L461,Aux_CAV!$A$2:$A$121,1))))</f>
        <v>11</v>
      </c>
      <c r="AC461" s="19" t="n">
        <f aca="false">IF(D461="","",COUNT($D$24:D461))</f>
        <v>426</v>
      </c>
    </row>
    <row r="462" customFormat="false" ht="12.75" hidden="false" customHeight="true" outlineLevel="0" collapsed="false">
      <c r="A462" s="14" t="n">
        <f aca="false">IF(D462="","",DATE(B462,C462,1))</f>
        <v>16984</v>
      </c>
      <c r="B462" s="15" t="n">
        <f aca="false" t="array" ref="B462:B462">IF(D462="","",IFERROR(VALUE(INDEX(Vazoes_COLAR!$A$2:$A$200,INT((ROW()-24)/12)+1)),""))</f>
        <v>1946</v>
      </c>
      <c r="C462" s="15" t="n">
        <f aca="false">IF(D462="","",MOD(ROW()-24,12)+1)</f>
        <v>7</v>
      </c>
      <c r="D462" s="16" t="n">
        <f aca="false" t="array" ref="D462: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0.0885233045241947</v>
      </c>
      <c r="E462" s="16" t="n">
        <f aca="false">IF(D462="","",D462*$B$15)</f>
        <v>0.229452405326713</v>
      </c>
      <c r="F462" s="16" t="n">
        <f aca="false" t="array" ref="F462:F462">IF(D462="","",IFERROR(INDEX(Dados_Evap!$C$2:$N$15,MATCH($B$9,Dados_Evap!$A$2:$A$15,0),C462),0))</f>
        <v>224.8</v>
      </c>
      <c r="G462" s="16" t="n">
        <f aca="false">IF(F462="","",F462/1000)</f>
        <v>0.2248</v>
      </c>
      <c r="H462" s="16" t="n">
        <f aca="false">IF(D462="","",MAX(0,MIN($B$8,IFERROR(LOOKUP(2,1/($U$24:U461&lt;&gt;""),$U$24:U461),$B$11))))</f>
        <v>21.2620153037937</v>
      </c>
      <c r="I462" s="16" t="n">
        <f aca="false" t="array" ref="I462: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>4.27887499972169</v>
      </c>
      <c r="J462" s="16" t="n">
        <f aca="false">IF(D462="","",$B$12)</f>
        <v>0.35</v>
      </c>
      <c r="K462" s="16" t="n">
        <f aca="false">IF(J462="","",J462*$B$15)</f>
        <v>0.9072</v>
      </c>
      <c r="L462" s="16" t="n">
        <f aca="false">IF(D462="","",H462+E462-K462-G462*I462)</f>
        <v>19.622376609183</v>
      </c>
      <c r="M462" s="16" t="n">
        <f aca="false" t="array" ref="M462: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>4.08291818012187</v>
      </c>
      <c r="N462" s="16" t="n">
        <f aca="false">IF(D462="","",(I462+M462)/2)</f>
        <v>4.18089658992178</v>
      </c>
      <c r="O462" s="16" t="n">
        <f aca="false">IF(D462="","",G462*N462)</f>
        <v>0.939865553414415</v>
      </c>
      <c r="P462" s="16" t="n">
        <f aca="false">IF(D462="","",H462+E462-K462-O462)</f>
        <v>19.644402155706</v>
      </c>
      <c r="Q462" s="16" t="n">
        <f aca="false">IF(D462="","",IF(P462&gt;=0,K462,MAX(0,K462+P462)))</f>
        <v>0.9072</v>
      </c>
      <c r="R462" s="16" t="n">
        <f aca="false">IF(D462="","",Q462/$B$15)</f>
        <v>0.35</v>
      </c>
      <c r="S462" s="16" t="n">
        <f aca="false">IF(D462="","",MAX(0,J462-R462))</f>
        <v>0</v>
      </c>
      <c r="T462" s="16" t="n">
        <f aca="false">IF(D462="","",MAX(0,Z462-$B$8))</f>
        <v>0</v>
      </c>
      <c r="U462" s="16" t="n">
        <f aca="false">IF(D462="","",MAX(0,MIN($B$8,Z462)))</f>
        <v>19.644402155706</v>
      </c>
      <c r="V462" s="16" t="str">
        <f aca="false">IF(D462="","",IF(S462&gt;0.0000001,"Sim","Não"))</f>
        <v>Não</v>
      </c>
      <c r="W462" s="16" t="n">
        <f aca="false">IF(D462="","",U462-(H462+E462-Q462-O462-T462))</f>
        <v>0</v>
      </c>
      <c r="X462" s="16" t="n">
        <f aca="false">IF(W462="","",ABS(W462))</f>
        <v>0</v>
      </c>
      <c r="Y462" s="16" t="n">
        <f aca="false">IF(U462="","",IF($B$8=0,0,U462/$B$8*100))</f>
        <v>41.6018681823507</v>
      </c>
      <c r="Z462" s="18" t="n">
        <f aca="false">IF(D462="","",MAX(0,IF(P462&gt;=0,P462,IF(K462+P462&gt;=0,0,P462+K462))))</f>
        <v>19.644402155706</v>
      </c>
      <c r="AA462" s="18" t="n">
        <f aca="false">IF(D462="","",IF(H462&lt;=$B$16,1,IF(H462&gt;=$B$17,$B$21,MATCH(H462,Aux_CAV!$A$2:$A$121,1))))</f>
        <v>11</v>
      </c>
      <c r="AB462" s="18" t="n">
        <f aca="false">IF(D462="","",IF(L462&lt;=$B$16,1,IF(L462&gt;=$B$17,$B$21,MATCH(L462,Aux_CAV!$A$2:$A$121,1))))</f>
        <v>11</v>
      </c>
      <c r="AC462" s="19" t="n">
        <f aca="false">IF(D462="","",COUNT($D$24:D462))</f>
        <v>427</v>
      </c>
    </row>
    <row r="463" customFormat="false" ht="12.75" hidden="false" customHeight="true" outlineLevel="0" collapsed="false">
      <c r="A463" s="14" t="n">
        <f aca="false">IF(D463="","",DATE(B463,C463,1))</f>
        <v>17015</v>
      </c>
      <c r="B463" s="15" t="n">
        <f aca="false" t="array" ref="B463:B463">IF(D463="","",IFERROR(VALUE(INDEX(Vazoes_COLAR!$A$2:$A$200,INT((ROW()-24)/12)+1)),""))</f>
        <v>1946</v>
      </c>
      <c r="C463" s="15" t="n">
        <f aca="false">IF(D463="","",MOD(ROW()-24,12)+1)</f>
        <v>8</v>
      </c>
      <c r="D463" s="16" t="n">
        <f aca="false" t="array" ref="D463: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0.0302159143423669</v>
      </c>
      <c r="E463" s="16" t="n">
        <f aca="false">IF(D463="","",D463*$B$15)</f>
        <v>0.078319649975415</v>
      </c>
      <c r="F463" s="16" t="n">
        <f aca="false" t="array" ref="F463:F463">IF(D463="","",IFERROR(INDEX(Dados_Evap!$C$2:$N$15,MATCH($B$9,Dados_Evap!$A$2:$A$15,0),C463),0))</f>
        <v>268.7</v>
      </c>
      <c r="G463" s="16" t="n">
        <f aca="false">IF(F463="","",F463/1000)</f>
        <v>0.2687</v>
      </c>
      <c r="H463" s="16" t="n">
        <f aca="false">IF(D463="","",MAX(0,MIN($B$8,IFERROR(LOOKUP(2,1/($U$24:U462&lt;&gt;""),$U$24:U462),$B$11))))</f>
        <v>19.644402155706</v>
      </c>
      <c r="I463" s="16" t="n">
        <f aca="false" t="array" ref="I463: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>4.08555050153559</v>
      </c>
      <c r="J463" s="16" t="n">
        <f aca="false">IF(D463="","",$B$12)</f>
        <v>0.35</v>
      </c>
      <c r="K463" s="16" t="n">
        <f aca="false">IF(J463="","",J463*$B$15)</f>
        <v>0.9072</v>
      </c>
      <c r="L463" s="16" t="n">
        <f aca="false">IF(D463="","",H463+E463-K463-G463*I463)</f>
        <v>17.7177343859188</v>
      </c>
      <c r="M463" s="16" t="n">
        <f aca="false" t="array" ref="M463: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>3.85529020709761</v>
      </c>
      <c r="N463" s="16" t="n">
        <f aca="false">IF(D463="","",(I463+M463)/2)</f>
        <v>3.9704203543166</v>
      </c>
      <c r="O463" s="16" t="n">
        <f aca="false">IF(D463="","",G463*N463)</f>
        <v>1.06685194920487</v>
      </c>
      <c r="P463" s="16" t="n">
        <f aca="false">IF(D463="","",H463+E463-K463-O463)</f>
        <v>17.7486698564765</v>
      </c>
      <c r="Q463" s="16" t="n">
        <f aca="false">IF(D463="","",IF(P463&gt;=0,K463,MAX(0,K463+P463)))</f>
        <v>0.9072</v>
      </c>
      <c r="R463" s="16" t="n">
        <f aca="false">IF(D463="","",Q463/$B$15)</f>
        <v>0.35</v>
      </c>
      <c r="S463" s="16" t="n">
        <f aca="false">IF(D463="","",MAX(0,J463-R463))</f>
        <v>0</v>
      </c>
      <c r="T463" s="16" t="n">
        <f aca="false">IF(D463="","",MAX(0,Z463-$B$8))</f>
        <v>0</v>
      </c>
      <c r="U463" s="16" t="n">
        <f aca="false">IF(D463="","",MAX(0,MIN($B$8,Z463)))</f>
        <v>17.7486698564765</v>
      </c>
      <c r="V463" s="16" t="str">
        <f aca="false">IF(D463="","",IF(S463&gt;0.0000001,"Sim","Não"))</f>
        <v>Não</v>
      </c>
      <c r="W463" s="16" t="n">
        <f aca="false">IF(D463="","",U463-(H463+E463-Q463-O463-T463))</f>
        <v>0</v>
      </c>
      <c r="X463" s="16" t="n">
        <f aca="false">IF(W463="","",ABS(W463))</f>
        <v>0</v>
      </c>
      <c r="Y463" s="16" t="n">
        <f aca="false">IF(U463="","",IF($B$8=0,0,U463/$B$8*100))</f>
        <v>37.5871873284128</v>
      </c>
      <c r="Z463" s="18" t="n">
        <f aca="false">IF(D463="","",MAX(0,IF(P463&gt;=0,P463,IF(K463+P463&gt;=0,0,P463+K463))))</f>
        <v>17.7486698564765</v>
      </c>
      <c r="AA463" s="18" t="n">
        <f aca="false">IF(D463="","",IF(H463&lt;=$B$16,1,IF(H463&gt;=$B$17,$B$21,MATCH(H463,Aux_CAV!$A$2:$A$121,1))))</f>
        <v>11</v>
      </c>
      <c r="AB463" s="18" t="n">
        <f aca="false">IF(D463="","",IF(L463&lt;=$B$16,1,IF(L463&gt;=$B$17,$B$21,MATCH(L463,Aux_CAV!$A$2:$A$121,1))))</f>
        <v>11</v>
      </c>
      <c r="AC463" s="19" t="n">
        <f aca="false">IF(D463="","",COUNT($D$24:D463))</f>
        <v>428</v>
      </c>
    </row>
    <row r="464" customFormat="false" ht="12.75" hidden="false" customHeight="true" outlineLevel="0" collapsed="false">
      <c r="A464" s="14" t="n">
        <f aca="false">IF(D464="","",DATE(B464,C464,1))</f>
        <v>17046</v>
      </c>
      <c r="B464" s="15" t="n">
        <f aca="false" t="array" ref="B464:B464">IF(D464="","",IFERROR(VALUE(INDEX(Vazoes_COLAR!$A$2:$A$200,INT((ROW()-24)/12)+1)),""))</f>
        <v>1946</v>
      </c>
      <c r="C464" s="15" t="n">
        <f aca="false">IF(D464="","",MOD(ROW()-24,12)+1)</f>
        <v>9</v>
      </c>
      <c r="D464" s="16" t="n">
        <f aca="false" t="array" ref="D464: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0.0330988939979986</v>
      </c>
      <c r="E464" s="16" t="n">
        <f aca="false">IF(D464="","",D464*$B$15)</f>
        <v>0.0857923332428124</v>
      </c>
      <c r="F464" s="16" t="n">
        <f aca="false" t="array" ref="F464:F464">IF(D464="","",IFERROR(INDEX(Dados_Evap!$C$2:$N$15,MATCH($B$9,Dados_Evap!$A$2:$A$15,0),C464),0))</f>
        <v>292.8</v>
      </c>
      <c r="G464" s="16" t="n">
        <f aca="false">IF(F464="","",F464/1000)</f>
        <v>0.2928</v>
      </c>
      <c r="H464" s="16" t="n">
        <f aca="false">IF(D464="","",MAX(0,MIN($B$8,IFERROR(LOOKUP(2,1/($U$24:U463&lt;&gt;""),$U$24:U463),$B$11))))</f>
        <v>17.7486698564765</v>
      </c>
      <c r="I464" s="16" t="n">
        <f aca="false" t="array" ref="I464: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>3.8589873730911</v>
      </c>
      <c r="J464" s="16" t="n">
        <f aca="false">IF(D464="","",$B$12)</f>
        <v>0.35</v>
      </c>
      <c r="K464" s="16" t="n">
        <f aca="false">IF(J464="","",J464*$B$15)</f>
        <v>0.9072</v>
      </c>
      <c r="L464" s="16" t="n">
        <f aca="false">IF(D464="","",H464+E464-K464-G464*I464)</f>
        <v>15.7973506868783</v>
      </c>
      <c r="M464" s="16" t="n">
        <f aca="false" t="array" ref="M464: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>3.6327152056455</v>
      </c>
      <c r="N464" s="16" t="n">
        <f aca="false">IF(D464="","",(I464+M464)/2)</f>
        <v>3.7458512893683</v>
      </c>
      <c r="O464" s="16" t="n">
        <f aca="false">IF(D464="","",G464*N464)</f>
        <v>1.09678525752704</v>
      </c>
      <c r="P464" s="16" t="n">
        <f aca="false">IF(D464="","",H464+E464-K464-O464)</f>
        <v>15.8304769321923</v>
      </c>
      <c r="Q464" s="16" t="n">
        <f aca="false">IF(D464="","",IF(P464&gt;=0,K464,MAX(0,K464+P464)))</f>
        <v>0.9072</v>
      </c>
      <c r="R464" s="16" t="n">
        <f aca="false">IF(D464="","",Q464/$B$15)</f>
        <v>0.35</v>
      </c>
      <c r="S464" s="16" t="n">
        <f aca="false">IF(D464="","",MAX(0,J464-R464))</f>
        <v>0</v>
      </c>
      <c r="T464" s="16" t="n">
        <f aca="false">IF(D464="","",MAX(0,Z464-$B$8))</f>
        <v>0</v>
      </c>
      <c r="U464" s="16" t="n">
        <f aca="false">IF(D464="","",MAX(0,MIN($B$8,Z464)))</f>
        <v>15.8304769321923</v>
      </c>
      <c r="V464" s="16" t="str">
        <f aca="false">IF(D464="","",IF(S464&gt;0.0000001,"Sim","Não"))</f>
        <v>Não</v>
      </c>
      <c r="W464" s="16" t="n">
        <f aca="false">IF(D464="","",U464-(H464+E464-Q464-O464-T464))</f>
        <v>0</v>
      </c>
      <c r="X464" s="16" t="n">
        <f aca="false">IF(W464="","",ABS(W464))</f>
        <v>0</v>
      </c>
      <c r="Y464" s="16" t="n">
        <f aca="false">IF(U464="","",IF($B$8=0,0,U464/$B$8*100))</f>
        <v>33.5249405594924</v>
      </c>
      <c r="Z464" s="18" t="n">
        <f aca="false">IF(D464="","",MAX(0,IF(P464&gt;=0,P464,IF(K464+P464&gt;=0,0,P464+K464))))</f>
        <v>15.8304769321923</v>
      </c>
      <c r="AA464" s="18" t="n">
        <f aca="false">IF(D464="","",IF(H464&lt;=$B$16,1,IF(H464&gt;=$B$17,$B$21,MATCH(H464,Aux_CAV!$A$2:$A$121,1))))</f>
        <v>11</v>
      </c>
      <c r="AB464" s="18" t="n">
        <f aca="false">IF(D464="","",IF(L464&lt;=$B$16,1,IF(L464&gt;=$B$17,$B$21,MATCH(L464,Aux_CAV!$A$2:$A$121,1))))</f>
        <v>10</v>
      </c>
      <c r="AC464" s="19" t="n">
        <f aca="false">IF(D464="","",COUNT($D$24:D464))</f>
        <v>429</v>
      </c>
    </row>
    <row r="465" customFormat="false" ht="12.75" hidden="false" customHeight="true" outlineLevel="0" collapsed="false">
      <c r="A465" s="14" t="n">
        <f aca="false">IF(D465="","",DATE(B465,C465,1))</f>
        <v>17076</v>
      </c>
      <c r="B465" s="15" t="n">
        <f aca="false" t="array" ref="B465:B465">IF(D465="","",IFERROR(VALUE(INDEX(Vazoes_COLAR!$A$2:$A$200,INT((ROW()-24)/12)+1)),""))</f>
        <v>1946</v>
      </c>
      <c r="C465" s="15" t="n">
        <f aca="false">IF(D465="","",MOD(ROW()-24,12)+1)</f>
        <v>10</v>
      </c>
      <c r="D465" s="16" t="n">
        <f aca="false" t="array" ref="D465: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0.0135954034769962</v>
      </c>
      <c r="E465" s="16" t="n">
        <f aca="false">IF(D465="","",D465*$B$15)</f>
        <v>0.0352392858123742</v>
      </c>
      <c r="F465" s="16" t="n">
        <f aca="false" t="array" ref="F465:F465">IF(D465="","",IFERROR(INDEX(Dados_Evap!$C$2:$N$15,MATCH($B$9,Dados_Evap!$A$2:$A$15,0),C465),0))</f>
        <v>262.9</v>
      </c>
      <c r="G465" s="16" t="n">
        <f aca="false">IF(F465="","",F465/1000)</f>
        <v>0.2629</v>
      </c>
      <c r="H465" s="16" t="n">
        <f aca="false">IF(D465="","",MAX(0,MIN($B$8,IFERROR(LOOKUP(2,1/($U$24:U464&lt;&gt;""),$U$24:U464),$B$11))))</f>
        <v>15.8304769321923</v>
      </c>
      <c r="I465" s="16" t="n">
        <f aca="false" t="array" ref="I465: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>3.63554067951052</v>
      </c>
      <c r="J465" s="16" t="n">
        <f aca="false">IF(D465="","",$B$12)</f>
        <v>0.35</v>
      </c>
      <c r="K465" s="16" t="n">
        <f aca="false">IF(J465="","",J465*$B$15)</f>
        <v>0.9072</v>
      </c>
      <c r="L465" s="16" t="n">
        <f aca="false">IF(D465="","",H465+E465-K465-G465*I465)</f>
        <v>14.0027325733614</v>
      </c>
      <c r="M465" s="16" t="n">
        <f aca="false" t="array" ref="M465: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>3.47964483713965</v>
      </c>
      <c r="N465" s="16" t="n">
        <f aca="false">IF(D465="","",(I465+M465)/2)</f>
        <v>3.55759275832508</v>
      </c>
      <c r="O465" s="16" t="n">
        <f aca="false">IF(D465="","",G465*N465)</f>
        <v>0.935291136163664</v>
      </c>
      <c r="P465" s="16" t="n">
        <f aca="false">IF(D465="","",H465+E465-K465-O465)</f>
        <v>14.023225081841</v>
      </c>
      <c r="Q465" s="16" t="n">
        <f aca="false">IF(D465="","",IF(P465&gt;=0,K465,MAX(0,K465+P465)))</f>
        <v>0.9072</v>
      </c>
      <c r="R465" s="16" t="n">
        <f aca="false">IF(D465="","",Q465/$B$15)</f>
        <v>0.35</v>
      </c>
      <c r="S465" s="16" t="n">
        <f aca="false">IF(D465="","",MAX(0,J465-R465))</f>
        <v>0</v>
      </c>
      <c r="T465" s="16" t="n">
        <f aca="false">IF(D465="","",MAX(0,Z465-$B$8))</f>
        <v>0</v>
      </c>
      <c r="U465" s="16" t="n">
        <f aca="false">IF(D465="","",MAX(0,MIN($B$8,Z465)))</f>
        <v>14.023225081841</v>
      </c>
      <c r="V465" s="16" t="str">
        <f aca="false">IF(D465="","",IF(S465&gt;0.0000001,"Sim","Não"))</f>
        <v>Não</v>
      </c>
      <c r="W465" s="16" t="n">
        <f aca="false">IF(D465="","",U465-(H465+E465-Q465-O465-T465))</f>
        <v>0</v>
      </c>
      <c r="X465" s="16" t="n">
        <f aca="false">IF(W465="","",ABS(W465))</f>
        <v>0</v>
      </c>
      <c r="Y465" s="16" t="n">
        <f aca="false">IF(U465="","",IF($B$8=0,0,U465/$B$8*100))</f>
        <v>29.6976388857285</v>
      </c>
      <c r="Z465" s="18" t="n">
        <f aca="false">IF(D465="","",MAX(0,IF(P465&gt;=0,P465,IF(K465+P465&gt;=0,0,P465+K465))))</f>
        <v>14.023225081841</v>
      </c>
      <c r="AA465" s="18" t="n">
        <f aca="false">IF(D465="","",IF(H465&lt;=$B$16,1,IF(H465&gt;=$B$17,$B$21,MATCH(H465,Aux_CAV!$A$2:$A$121,1))))</f>
        <v>10</v>
      </c>
      <c r="AB465" s="18" t="n">
        <f aca="false">IF(D465="","",IF(L465&lt;=$B$16,1,IF(L465&gt;=$B$17,$B$21,MATCH(L465,Aux_CAV!$A$2:$A$121,1))))</f>
        <v>10</v>
      </c>
      <c r="AC465" s="19" t="n">
        <f aca="false">IF(D465="","",COUNT($D$24:D465))</f>
        <v>430</v>
      </c>
    </row>
    <row r="466" customFormat="false" ht="12.75" hidden="false" customHeight="true" outlineLevel="0" collapsed="false">
      <c r="A466" s="14" t="n">
        <f aca="false">IF(D466="","",DATE(B466,C466,1))</f>
        <v>17107</v>
      </c>
      <c r="B466" s="15" t="n">
        <f aca="false" t="array" ref="B466:B466">IF(D466="","",IFERROR(VALUE(INDEX(Vazoes_COLAR!$A$2:$A$200,INT((ROW()-24)/12)+1)),""))</f>
        <v>1946</v>
      </c>
      <c r="C466" s="15" t="n">
        <f aca="false">IF(D466="","",MOD(ROW()-24,12)+1)</f>
        <v>11</v>
      </c>
      <c r="D466" s="16" t="n">
        <f aca="false" t="array" ref="D466: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0.0950354421103988</v>
      </c>
      <c r="E466" s="16" t="n">
        <f aca="false">IF(D466="","",D466*$B$15)</f>
        <v>0.246331865950154</v>
      </c>
      <c r="F466" s="16" t="n">
        <f aca="false" t="array" ref="F466:F466">IF(D466="","",IFERROR(INDEX(Dados_Evap!$C$2:$N$15,MATCH($B$9,Dados_Evap!$A$2:$A$15,0),C466),0))</f>
        <v>223.7</v>
      </c>
      <c r="G466" s="16" t="n">
        <f aca="false">IF(F466="","",F466/1000)</f>
        <v>0.2237</v>
      </c>
      <c r="H466" s="16" t="n">
        <f aca="false">IF(D466="","",MAX(0,MIN($B$8,IFERROR(LOOKUP(2,1/($U$24:U465&lt;&gt;""),$U$24:U465),$B$11))))</f>
        <v>14.023225081841</v>
      </c>
      <c r="I466" s="16" t="n">
        <f aca="false" t="array" ref="I466: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>3.48139272756879</v>
      </c>
      <c r="J466" s="16" t="n">
        <f aca="false">IF(D466="","",$B$12)</f>
        <v>0.35</v>
      </c>
      <c r="K466" s="16" t="n">
        <f aca="false">IF(J466="","",J466*$B$15)</f>
        <v>0.9072</v>
      </c>
      <c r="L466" s="16" t="n">
        <f aca="false">IF(D466="","",H466+E466-K466-G466*I466)</f>
        <v>12.583569394634</v>
      </c>
      <c r="M466" s="16" t="n">
        <f aca="false" t="array" ref="M466: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>3.3585985660129</v>
      </c>
      <c r="N466" s="16" t="n">
        <f aca="false">IF(D466="","",(I466+M466)/2)</f>
        <v>3.41999564679085</v>
      </c>
      <c r="O466" s="16" t="n">
        <f aca="false">IF(D466="","",G466*N466)</f>
        <v>0.765053026187113</v>
      </c>
      <c r="P466" s="16" t="n">
        <f aca="false">IF(D466="","",H466+E466-K466-O466)</f>
        <v>12.5973039216041</v>
      </c>
      <c r="Q466" s="16" t="n">
        <f aca="false">IF(D466="","",IF(P466&gt;=0,K466,MAX(0,K466+P466)))</f>
        <v>0.9072</v>
      </c>
      <c r="R466" s="16" t="n">
        <f aca="false">IF(D466="","",Q466/$B$15)</f>
        <v>0.35</v>
      </c>
      <c r="S466" s="16" t="n">
        <f aca="false">IF(D466="","",MAX(0,J466-R466))</f>
        <v>0</v>
      </c>
      <c r="T466" s="16" t="n">
        <f aca="false">IF(D466="","",MAX(0,Z466-$B$8))</f>
        <v>0</v>
      </c>
      <c r="U466" s="16" t="n">
        <f aca="false">IF(D466="","",MAX(0,MIN($B$8,Z466)))</f>
        <v>12.5973039216041</v>
      </c>
      <c r="V466" s="16" t="str">
        <f aca="false">IF(D466="","",IF(S466&gt;0.0000001,"Sim","Não"))</f>
        <v>Não</v>
      </c>
      <c r="W466" s="16" t="n">
        <f aca="false">IF(D466="","",U466-(H466+E466-Q466-O466-T466))</f>
        <v>0</v>
      </c>
      <c r="X466" s="16" t="n">
        <f aca="false">IF(W466="","",ABS(W466))</f>
        <v>0</v>
      </c>
      <c r="Y466" s="16" t="n">
        <f aca="false">IF(U466="","",IF($B$8=0,0,U466/$B$8*100))</f>
        <v>26.6778990292335</v>
      </c>
      <c r="Z466" s="18" t="n">
        <f aca="false">IF(D466="","",MAX(0,IF(P466&gt;=0,P466,IF(K466+P466&gt;=0,0,P466+K466))))</f>
        <v>12.5973039216041</v>
      </c>
      <c r="AA466" s="18" t="n">
        <f aca="false">IF(D466="","",IF(H466&lt;=$B$16,1,IF(H466&gt;=$B$17,$B$21,MATCH(H466,Aux_CAV!$A$2:$A$121,1))))</f>
        <v>10</v>
      </c>
      <c r="AB466" s="18" t="n">
        <f aca="false">IF(D466="","",IF(L466&lt;=$B$16,1,IF(L466&gt;=$B$17,$B$21,MATCH(L466,Aux_CAV!$A$2:$A$121,1))))</f>
        <v>10</v>
      </c>
      <c r="AC466" s="19" t="n">
        <f aca="false">IF(D466="","",COUNT($D$24:D466))</f>
        <v>431</v>
      </c>
    </row>
    <row r="467" customFormat="false" ht="12.75" hidden="false" customHeight="true" outlineLevel="0" collapsed="false">
      <c r="A467" s="14" t="n">
        <f aca="false">IF(D467="","",DATE(B467,C467,1))</f>
        <v>17137</v>
      </c>
      <c r="B467" s="15" t="n">
        <f aca="false" t="array" ref="B467:B467">IF(D467="","",IFERROR(VALUE(INDEX(Vazoes_COLAR!$A$2:$A$200,INT((ROW()-24)/12)+1)),""))</f>
        <v>1946</v>
      </c>
      <c r="C467" s="15" t="n">
        <f aca="false">IF(D467="","",MOD(ROW()-24,12)+1)</f>
        <v>12</v>
      </c>
      <c r="D467" s="16" t="n">
        <f aca="false" t="array" ref="D467: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0.228308686001932</v>
      </c>
      <c r="E467" s="16" t="n">
        <f aca="false">IF(D467="","",D467*$B$15)</f>
        <v>0.591776114117008</v>
      </c>
      <c r="F467" s="16" t="n">
        <f aca="false" t="array" ref="F467:F467">IF(D467="","",IFERROR(INDEX(Dados_Evap!$C$2:$N$15,MATCH($B$9,Dados_Evap!$A$2:$A$15,0),C467),0))</f>
        <v>216.1</v>
      </c>
      <c r="G467" s="16" t="n">
        <f aca="false">IF(F467="","",F467/1000)</f>
        <v>0.2161</v>
      </c>
      <c r="H467" s="16" t="n">
        <f aca="false">IF(D467="","",MAX(0,MIN($B$8,IFERROR(LOOKUP(2,1/($U$24:U466&lt;&gt;""),$U$24:U466),$B$11))))</f>
        <v>12.5973039216041</v>
      </c>
      <c r="I467" s="16" t="n">
        <f aca="false" t="array" ref="I467: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>3.35977004037211</v>
      </c>
      <c r="J467" s="16" t="n">
        <f aca="false">IF(D467="","",$B$12)</f>
        <v>0.35</v>
      </c>
      <c r="K467" s="16" t="n">
        <f aca="false">IF(J467="","",J467*$B$15)</f>
        <v>0.9072</v>
      </c>
      <c r="L467" s="16" t="n">
        <f aca="false">IF(D467="","",H467+E467-K467-G467*I467)</f>
        <v>11.5558337299967</v>
      </c>
      <c r="M467" s="16" t="n">
        <f aca="false" t="array" ref="M467: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>3.27093875932324</v>
      </c>
      <c r="N467" s="16" t="n">
        <f aca="false">IF(D467="","",(I467+M467)/2)</f>
        <v>3.31535439984768</v>
      </c>
      <c r="O467" s="16" t="n">
        <f aca="false">IF(D467="","",G467*N467)</f>
        <v>0.716448085807083</v>
      </c>
      <c r="P467" s="16" t="n">
        <f aca="false">IF(D467="","",H467+E467-K467-O467)</f>
        <v>11.565431949914</v>
      </c>
      <c r="Q467" s="16" t="n">
        <f aca="false">IF(D467="","",IF(P467&gt;=0,K467,MAX(0,K467+P467)))</f>
        <v>0.9072</v>
      </c>
      <c r="R467" s="16" t="n">
        <f aca="false">IF(D467="","",Q467/$B$15)</f>
        <v>0.35</v>
      </c>
      <c r="S467" s="16" t="n">
        <f aca="false">IF(D467="","",MAX(0,J467-R467))</f>
        <v>0</v>
      </c>
      <c r="T467" s="16" t="n">
        <f aca="false">IF(D467="","",MAX(0,Z467-$B$8))</f>
        <v>0</v>
      </c>
      <c r="U467" s="16" t="n">
        <f aca="false">IF(D467="","",MAX(0,MIN($B$8,Z467)))</f>
        <v>11.565431949914</v>
      </c>
      <c r="V467" s="16" t="str">
        <f aca="false">IF(D467="","",IF(S467&gt;0.0000001,"Sim","Não"))</f>
        <v>Não</v>
      </c>
      <c r="W467" s="16" t="n">
        <f aca="false">IF(D467="","",U467-(H467+E467-Q467-O467-T467))</f>
        <v>0</v>
      </c>
      <c r="X467" s="16" t="n">
        <f aca="false">IF(W467="","",ABS(W467))</f>
        <v>0</v>
      </c>
      <c r="Y467" s="16" t="n">
        <f aca="false">IF(U467="","",IF($B$8=0,0,U467/$B$8*100))</f>
        <v>24.4926555483142</v>
      </c>
      <c r="Z467" s="18" t="n">
        <f aca="false">IF(D467="","",MAX(0,IF(P467&gt;=0,P467,IF(K467+P467&gt;=0,0,P467+K467))))</f>
        <v>11.565431949914</v>
      </c>
      <c r="AA467" s="18" t="n">
        <f aca="false">IF(D467="","",IF(H467&lt;=$B$16,1,IF(H467&gt;=$B$17,$B$21,MATCH(H467,Aux_CAV!$A$2:$A$121,1))))</f>
        <v>10</v>
      </c>
      <c r="AB467" s="18" t="n">
        <f aca="false">IF(D467="","",IF(L467&lt;=$B$16,1,IF(L467&gt;=$B$17,$B$21,MATCH(L467,Aux_CAV!$A$2:$A$121,1))))</f>
        <v>10</v>
      </c>
      <c r="AC467" s="19" t="n">
        <f aca="false">IF(D467="","",COUNT($D$24:D467))</f>
        <v>432</v>
      </c>
    </row>
    <row r="468" customFormat="false" ht="12.75" hidden="false" customHeight="true" outlineLevel="0" collapsed="false">
      <c r="A468" s="14" t="n">
        <f aca="false">IF(D468="","",DATE(B468,C468,1))</f>
        <v>17168</v>
      </c>
      <c r="B468" s="15" t="n">
        <f aca="false" t="array" ref="B468:B468">IF(D468="","",IFERROR(VALUE(INDEX(Vazoes_COLAR!$A$2:$A$200,INT((ROW()-24)/12)+1)),""))</f>
        <v>1947</v>
      </c>
      <c r="C468" s="15" t="n">
        <f aca="false">IF(D468="","",MOD(ROW()-24,12)+1)</f>
        <v>1</v>
      </c>
      <c r="D468" s="16" t="n">
        <f aca="false" t="array" ref="D468: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0.334080007088908</v>
      </c>
      <c r="E468" s="16" t="n">
        <f aca="false">IF(D468="","",D468*$B$15)</f>
        <v>0.86593537837445</v>
      </c>
      <c r="F468" s="16" t="n">
        <f aca="false" t="array" ref="F468:F468">IF(D468="","",IFERROR(INDEX(Dados_Evap!$C$2:$N$15,MATCH($B$9,Dados_Evap!$A$2:$A$15,0),C468),0))</f>
        <v>160</v>
      </c>
      <c r="G468" s="16" t="n">
        <f aca="false">IF(F468="","",F468/1000)</f>
        <v>0.16</v>
      </c>
      <c r="H468" s="16" t="n">
        <f aca="false">IF(D468="","",MAX(0,MIN($B$8,IFERROR(LOOKUP(2,1/($U$24:U467&lt;&gt;""),$U$24:U467),$B$11))))</f>
        <v>11.565431949914</v>
      </c>
      <c r="I468" s="16" t="n">
        <f aca="false" t="array" ref="I468: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>3.27175743102207</v>
      </c>
      <c r="J468" s="16" t="n">
        <f aca="false">IF(D468="","",$B$12)</f>
        <v>0.35</v>
      </c>
      <c r="K468" s="16" t="n">
        <f aca="false">IF(J468="","",J468*$B$15)</f>
        <v>0.9072</v>
      </c>
      <c r="L468" s="16" t="n">
        <f aca="false">IF(D468="","",H468+E468-K468-G468*I468)</f>
        <v>11.0006861393249</v>
      </c>
      <c r="M468" s="16" t="n">
        <f aca="false" t="array" ref="M468: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>3.22358793541301</v>
      </c>
      <c r="N468" s="16" t="n">
        <f aca="false">IF(D468="","",(I468+M468)/2)</f>
        <v>3.24767268321754</v>
      </c>
      <c r="O468" s="16" t="n">
        <f aca="false">IF(D468="","",G468*N468)</f>
        <v>0.519627629314806</v>
      </c>
      <c r="P468" s="16" t="n">
        <f aca="false">IF(D468="","",H468+E468-K468-O468)</f>
        <v>11.0045396989736</v>
      </c>
      <c r="Q468" s="16" t="n">
        <f aca="false">IF(D468="","",IF(P468&gt;=0,K468,MAX(0,K468+P468)))</f>
        <v>0.9072</v>
      </c>
      <c r="R468" s="16" t="n">
        <f aca="false">IF(D468="","",Q468/$B$15)</f>
        <v>0.35</v>
      </c>
      <c r="S468" s="16" t="n">
        <f aca="false">IF(D468="","",MAX(0,J468-R468))</f>
        <v>0</v>
      </c>
      <c r="T468" s="16" t="n">
        <f aca="false">IF(D468="","",MAX(0,Z468-$B$8))</f>
        <v>0</v>
      </c>
      <c r="U468" s="16" t="n">
        <f aca="false">IF(D468="","",MAX(0,MIN($B$8,Z468)))</f>
        <v>11.0045396989736</v>
      </c>
      <c r="V468" s="16" t="str">
        <f aca="false">IF(D468="","",IF(S468&gt;0.0000001,"Sim","Não"))</f>
        <v>Não</v>
      </c>
      <c r="W468" s="16" t="n">
        <f aca="false">IF(D468="","",U468-(H468+E468-Q468-O468-T468))</f>
        <v>0</v>
      </c>
      <c r="X468" s="16" t="n">
        <f aca="false">IF(W468="","",ABS(W468))</f>
        <v>0</v>
      </c>
      <c r="Y468" s="16" t="n">
        <f aca="false">IF(U468="","",IF($B$8=0,0,U468/$B$8*100))</f>
        <v>23.3048278250183</v>
      </c>
      <c r="Z468" s="18" t="n">
        <f aca="false">IF(D468="","",MAX(0,IF(P468&gt;=0,P468,IF(K468+P468&gt;=0,0,P468+K468))))</f>
        <v>11.0045396989736</v>
      </c>
      <c r="AA468" s="18" t="n">
        <f aca="false">IF(D468="","",IF(H468&lt;=$B$16,1,IF(H468&gt;=$B$17,$B$21,MATCH(H468,Aux_CAV!$A$2:$A$121,1))))</f>
        <v>10</v>
      </c>
      <c r="AB468" s="18" t="n">
        <f aca="false">IF(D468="","",IF(L468&lt;=$B$16,1,IF(L468&gt;=$B$17,$B$21,MATCH(L468,Aux_CAV!$A$2:$A$121,1))))</f>
        <v>10</v>
      </c>
      <c r="AC468" s="19" t="n">
        <f aca="false">IF(D468="","",COUNT($D$24:D468))</f>
        <v>433</v>
      </c>
    </row>
    <row r="469" customFormat="false" ht="12.75" hidden="false" customHeight="true" outlineLevel="0" collapsed="false">
      <c r="A469" s="14" t="n">
        <f aca="false">IF(D469="","",DATE(B469,C469,1))</f>
        <v>17199</v>
      </c>
      <c r="B469" s="15" t="n">
        <f aca="false" t="array" ref="B469:B469">IF(D469="","",IFERROR(VALUE(INDEX(Vazoes_COLAR!$A$2:$A$200,INT((ROW()-24)/12)+1)),""))</f>
        <v>1947</v>
      </c>
      <c r="C469" s="15" t="n">
        <f aca="false">IF(D469="","",MOD(ROW()-24,12)+1)</f>
        <v>2</v>
      </c>
      <c r="D469" s="16" t="n">
        <f aca="false" t="array" ref="D469: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1.14220890778997</v>
      </c>
      <c r="E469" s="16" t="n">
        <f aca="false">IF(D469="","",D469*$B$15)</f>
        <v>2.9606054889916</v>
      </c>
      <c r="F469" s="16" t="n">
        <f aca="false" t="array" ref="F469:F469">IF(D469="","",IFERROR(INDEX(Dados_Evap!$C$2:$N$15,MATCH($B$9,Dados_Evap!$A$2:$A$15,0),C469),0))</f>
        <v>124.3</v>
      </c>
      <c r="G469" s="16" t="n">
        <f aca="false">IF(F469="","",F469/1000)</f>
        <v>0.1243</v>
      </c>
      <c r="H469" s="16" t="n">
        <f aca="false">IF(D469="","",MAX(0,MIN($B$8,IFERROR(LOOKUP(2,1/($U$24:U468&lt;&gt;""),$U$24:U468),$B$11))))</f>
        <v>11.0045396989736</v>
      </c>
      <c r="I469" s="16" t="n">
        <f aca="false" t="array" ref="I469: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>3.22391662138304</v>
      </c>
      <c r="J469" s="16" t="n">
        <f aca="false">IF(D469="","",$B$12)</f>
        <v>0.35</v>
      </c>
      <c r="K469" s="16" t="n">
        <f aca="false">IF(J469="","",J469*$B$15)</f>
        <v>0.9072</v>
      </c>
      <c r="L469" s="16" t="n">
        <f aca="false">IF(D469="","",H469+E469-K469-G469*I469)</f>
        <v>12.6572123519273</v>
      </c>
      <c r="M469" s="16" t="n">
        <f aca="false" t="array" ref="M469: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>3.36487987707615</v>
      </c>
      <c r="N469" s="16" t="n">
        <f aca="false">IF(D469="","",(I469+M469)/2)</f>
        <v>3.2943982492296</v>
      </c>
      <c r="O469" s="16" t="n">
        <f aca="false">IF(D469="","",G469*N469)</f>
        <v>0.409493702379239</v>
      </c>
      <c r="P469" s="16" t="n">
        <f aca="false">IF(D469="","",H469+E469-K469-O469)</f>
        <v>12.648451485586</v>
      </c>
      <c r="Q469" s="16" t="n">
        <f aca="false">IF(D469="","",IF(P469&gt;=0,K469,MAX(0,K469+P469)))</f>
        <v>0.9072</v>
      </c>
      <c r="R469" s="16" t="n">
        <f aca="false">IF(D469="","",Q469/$B$15)</f>
        <v>0.35</v>
      </c>
      <c r="S469" s="16" t="n">
        <f aca="false">IF(D469="","",MAX(0,J469-R469))</f>
        <v>0</v>
      </c>
      <c r="T469" s="16" t="n">
        <f aca="false">IF(D469="","",MAX(0,Z469-$B$8))</f>
        <v>0</v>
      </c>
      <c r="U469" s="16" t="n">
        <f aca="false">IF(D469="","",MAX(0,MIN($B$8,Z469)))</f>
        <v>12.648451485586</v>
      </c>
      <c r="V469" s="16" t="str">
        <f aca="false">IF(D469="","",IF(S469&gt;0.0000001,"Sim","Não"))</f>
        <v>Não</v>
      </c>
      <c r="W469" s="16" t="n">
        <f aca="false">IF(D469="","",U469-(H469+E469-Q469-O469-T469))</f>
        <v>0</v>
      </c>
      <c r="X469" s="16" t="n">
        <f aca="false">IF(W469="","",ABS(W469))</f>
        <v>0</v>
      </c>
      <c r="Y469" s="16" t="n">
        <f aca="false">IF(U469="","",IF($B$8=0,0,U469/$B$8*100))</f>
        <v>26.786216614964</v>
      </c>
      <c r="Z469" s="18" t="n">
        <f aca="false">IF(D469="","",MAX(0,IF(P469&gt;=0,P469,IF(K469+P469&gt;=0,0,P469+K469))))</f>
        <v>12.648451485586</v>
      </c>
      <c r="AA469" s="18" t="n">
        <f aca="false">IF(D469="","",IF(H469&lt;=$B$16,1,IF(H469&gt;=$B$17,$B$21,MATCH(H469,Aux_CAV!$A$2:$A$121,1))))</f>
        <v>10</v>
      </c>
      <c r="AB469" s="18" t="n">
        <f aca="false">IF(D469="","",IF(L469&lt;=$B$16,1,IF(L469&gt;=$B$17,$B$21,MATCH(L469,Aux_CAV!$A$2:$A$121,1))))</f>
        <v>10</v>
      </c>
      <c r="AC469" s="19" t="n">
        <f aca="false">IF(D469="","",COUNT($D$24:D469))</f>
        <v>434</v>
      </c>
    </row>
    <row r="470" customFormat="false" ht="12.75" hidden="false" customHeight="true" outlineLevel="0" collapsed="false">
      <c r="A470" s="14" t="n">
        <f aca="false">IF(D470="","",DATE(B470,C470,1))</f>
        <v>17227</v>
      </c>
      <c r="B470" s="15" t="n">
        <f aca="false" t="array" ref="B470:B470">IF(D470="","",IFERROR(VALUE(INDEX(Vazoes_COLAR!$A$2:$A$200,INT((ROW()-24)/12)+1)),""))</f>
        <v>1947</v>
      </c>
      <c r="C470" s="15" t="n">
        <f aca="false">IF(D470="","",MOD(ROW()-24,12)+1)</f>
        <v>3</v>
      </c>
      <c r="D470" s="16" t="n">
        <f aca="false" t="array" ref="D470: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7.75304335978216</v>
      </c>
      <c r="E470" s="16" t="n">
        <f aca="false">IF(D470="","",D470*$B$15)</f>
        <v>20.0958883885554</v>
      </c>
      <c r="F470" s="16" t="n">
        <f aca="false" t="array" ref="F470:F470">IF(D470="","",IFERROR(INDEX(Dados_Evap!$C$2:$N$15,MATCH($B$9,Dados_Evap!$A$2:$A$15,0),C470),0))</f>
        <v>107.7</v>
      </c>
      <c r="G470" s="16" t="n">
        <f aca="false">IF(F470="","",F470/1000)</f>
        <v>0.1077</v>
      </c>
      <c r="H470" s="16" t="n">
        <f aca="false">IF(D470="","",MAX(0,MIN($B$8,IFERROR(LOOKUP(2,1/($U$24:U469&lt;&gt;""),$U$24:U469),$B$11))))</f>
        <v>12.648451485586</v>
      </c>
      <c r="I470" s="16" t="n">
        <f aca="false" t="array" ref="I470: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>3.36413262671175</v>
      </c>
      <c r="J470" s="16" t="n">
        <f aca="false">IF(D470="","",$B$12)</f>
        <v>0.35</v>
      </c>
      <c r="K470" s="16" t="n">
        <f aca="false">IF(J470="","",J470*$B$15)</f>
        <v>0.9072</v>
      </c>
      <c r="L470" s="16" t="n">
        <f aca="false">IF(D470="","",H470+E470-K470-G470*I470)</f>
        <v>31.4748227902445</v>
      </c>
      <c r="M470" s="16" t="n">
        <f aca="false" t="array" ref="M470: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>5.38573401801569</v>
      </c>
      <c r="N470" s="16" t="n">
        <f aca="false">IF(D470="","",(I470+M470)/2)</f>
        <v>4.37493332236372</v>
      </c>
      <c r="O470" s="16" t="n">
        <f aca="false">IF(D470="","",G470*N470)</f>
        <v>0.471180318818572</v>
      </c>
      <c r="P470" s="16" t="n">
        <f aca="false">IF(D470="","",H470+E470-K470-O470)</f>
        <v>31.3659595553228</v>
      </c>
      <c r="Q470" s="16" t="n">
        <f aca="false">IF(D470="","",IF(P470&gt;=0,K470,MAX(0,K470+P470)))</f>
        <v>0.9072</v>
      </c>
      <c r="R470" s="16" t="n">
        <f aca="false">IF(D470="","",Q470/$B$15)</f>
        <v>0.35</v>
      </c>
      <c r="S470" s="16" t="n">
        <f aca="false">IF(D470="","",MAX(0,J470-R470))</f>
        <v>0</v>
      </c>
      <c r="T470" s="16" t="n">
        <f aca="false">IF(D470="","",MAX(0,Z470-$B$8))</f>
        <v>0</v>
      </c>
      <c r="U470" s="16" t="n">
        <f aca="false">IF(D470="","",MAX(0,MIN($B$8,Z470)))</f>
        <v>31.3659595553228</v>
      </c>
      <c r="V470" s="16" t="str">
        <f aca="false">IF(D470="","",IF(S470&gt;0.0000001,"Sim","Não"))</f>
        <v>Não</v>
      </c>
      <c r="W470" s="16" t="n">
        <f aca="false">IF(D470="","",U470-(H470+E470-Q470-O470-T470))</f>
        <v>0</v>
      </c>
      <c r="X470" s="16" t="n">
        <f aca="false">IF(W470="","",ABS(W470))</f>
        <v>0</v>
      </c>
      <c r="Y470" s="16" t="n">
        <f aca="false">IF(U470="","",IF($B$8=0,0,U470/$B$8*100))</f>
        <v>66.4251578892901</v>
      </c>
      <c r="Z470" s="18" t="n">
        <f aca="false">IF(D470="","",MAX(0,IF(P470&gt;=0,P470,IF(K470+P470&gt;=0,0,P470+K470))))</f>
        <v>31.3659595553228</v>
      </c>
      <c r="AA470" s="18" t="n">
        <f aca="false">IF(D470="","",IF(H470&lt;=$B$16,1,IF(H470&gt;=$B$17,$B$21,MATCH(H470,Aux_CAV!$A$2:$A$121,1))))</f>
        <v>10</v>
      </c>
      <c r="AB470" s="18" t="n">
        <f aca="false">IF(D470="","",IF(L470&lt;=$B$16,1,IF(L470&gt;=$B$17,$B$21,MATCH(L470,Aux_CAV!$A$2:$A$121,1))))</f>
        <v>12</v>
      </c>
      <c r="AC470" s="19" t="n">
        <f aca="false">IF(D470="","",COUNT($D$24:D470))</f>
        <v>435</v>
      </c>
    </row>
    <row r="471" customFormat="false" ht="12.75" hidden="false" customHeight="true" outlineLevel="0" collapsed="false">
      <c r="A471" s="14" t="n">
        <f aca="false">IF(D471="","",DATE(B471,C471,1))</f>
        <v>17258</v>
      </c>
      <c r="B471" s="15" t="n">
        <f aca="false" t="array" ref="B471:B471">IF(D471="","",IFERROR(VALUE(INDEX(Vazoes_COLAR!$A$2:$A$200,INT((ROW()-24)/12)+1)),""))</f>
        <v>1947</v>
      </c>
      <c r="C471" s="15" t="n">
        <f aca="false">IF(D471="","",MOD(ROW()-24,12)+1)</f>
        <v>4</v>
      </c>
      <c r="D471" s="16" t="n">
        <f aca="false" t="array" ref="D471: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13.3995354655725</v>
      </c>
      <c r="E471" s="16" t="n">
        <f aca="false">IF(D471="","",D471*$B$15)</f>
        <v>34.7315959267639</v>
      </c>
      <c r="F471" s="16" t="n">
        <f aca="false" t="array" ref="F471:F471">IF(D471="","",IFERROR(INDEX(Dados_Evap!$C$2:$N$15,MATCH($B$9,Dados_Evap!$A$2:$A$15,0),C471),0))</f>
        <v>100.5</v>
      </c>
      <c r="G471" s="16" t="n">
        <f aca="false">IF(F471="","",F471/1000)</f>
        <v>0.1005</v>
      </c>
      <c r="H471" s="16" t="n">
        <f aca="false">IF(D471="","",MAX(0,MIN($B$8,IFERROR(LOOKUP(2,1/($U$24:U470&lt;&gt;""),$U$24:U470),$B$11))))</f>
        <v>31.3659595553228</v>
      </c>
      <c r="I471" s="16" t="n">
        <f aca="false" t="array" ref="I471: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>5.37442492467916</v>
      </c>
      <c r="J471" s="16" t="n">
        <f aca="false">IF(D471="","",$B$12)</f>
        <v>0.35</v>
      </c>
      <c r="K471" s="16" t="n">
        <f aca="false">IF(J471="","",J471*$B$15)</f>
        <v>0.9072</v>
      </c>
      <c r="L471" s="16" t="n">
        <f aca="false">IF(D471="","",H471+E471-K471-G471*I471)</f>
        <v>64.6502257771565</v>
      </c>
      <c r="M471" s="16" t="n">
        <f aca="false" t="array" ref="M471: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>9.06296746356532</v>
      </c>
      <c r="N471" s="16" t="n">
        <f aca="false">IF(D471="","",(I471+M471)/2)</f>
        <v>7.21869619412224</v>
      </c>
      <c r="O471" s="16" t="n">
        <f aca="false">IF(D471="","",G471*N471)</f>
        <v>0.725478967509285</v>
      </c>
      <c r="P471" s="16" t="n">
        <f aca="false">IF(D471="","",H471+E471-K471-O471)</f>
        <v>64.4648765145774</v>
      </c>
      <c r="Q471" s="16" t="n">
        <f aca="false">IF(D471="","",IF(P471&gt;=0,K471,MAX(0,K471+P471)))</f>
        <v>0.9072</v>
      </c>
      <c r="R471" s="16" t="n">
        <f aca="false">IF(D471="","",Q471/$B$15)</f>
        <v>0.35</v>
      </c>
      <c r="S471" s="16" t="n">
        <f aca="false">IF(D471="","",MAX(0,J471-R471))</f>
        <v>0</v>
      </c>
      <c r="T471" s="16" t="n">
        <f aca="false">IF(D471="","",MAX(0,Z471-$B$8))</f>
        <v>17.2448765145774</v>
      </c>
      <c r="U471" s="16" t="n">
        <f aca="false">IF(D471="","",MAX(0,MIN($B$8,Z471)))</f>
        <v>47.22</v>
      </c>
      <c r="V471" s="16" t="str">
        <f aca="false">IF(D471="","",IF(S471&gt;0.0000001,"Sim","Não"))</f>
        <v>Não</v>
      </c>
      <c r="W471" s="16" t="n">
        <f aca="false">IF(D471="","",U471-(H471+E471-Q471-O471-T471))</f>
        <v>0</v>
      </c>
      <c r="X471" s="16" t="n">
        <f aca="false">IF(W471="","",ABS(W471))</f>
        <v>0</v>
      </c>
      <c r="Y471" s="16" t="n">
        <f aca="false">IF(U471="","",IF($B$8=0,0,U471/$B$8*100))</f>
        <v>100</v>
      </c>
      <c r="Z471" s="18" t="n">
        <f aca="false">IF(D471="","",MAX(0,IF(P471&gt;=0,P471,IF(K471+P471&gt;=0,0,P471+K471))))</f>
        <v>64.4648765145774</v>
      </c>
      <c r="AA471" s="18" t="n">
        <f aca="false">IF(D471="","",IF(H471&lt;=$B$16,1,IF(H471&gt;=$B$17,$B$21,MATCH(H471,Aux_CAV!$A$2:$A$121,1))))</f>
        <v>12</v>
      </c>
      <c r="AB471" s="18" t="n">
        <f aca="false">IF(D471="","",IF(L471&lt;=$B$16,1,IF(L471&gt;=$B$17,$B$21,MATCH(L471,Aux_CAV!$A$2:$A$121,1))))</f>
        <v>16</v>
      </c>
      <c r="AC471" s="19" t="n">
        <f aca="false">IF(D471="","",COUNT($D$24:D471))</f>
        <v>436</v>
      </c>
    </row>
    <row r="472" customFormat="false" ht="12.75" hidden="false" customHeight="true" outlineLevel="0" collapsed="false">
      <c r="A472" s="14" t="n">
        <f aca="false">IF(D472="","",DATE(B472,C472,1))</f>
        <v>17288</v>
      </c>
      <c r="B472" s="15" t="n">
        <f aca="false" t="array" ref="B472:B472">IF(D472="","",IFERROR(VALUE(INDEX(Vazoes_COLAR!$A$2:$A$200,INT((ROW()-24)/12)+1)),""))</f>
        <v>1947</v>
      </c>
      <c r="C472" s="15" t="n">
        <f aca="false">IF(D472="","",MOD(ROW()-24,12)+1)</f>
        <v>5</v>
      </c>
      <c r="D472" s="16" t="n">
        <f aca="false" t="array" ref="D472: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0.761721032620671</v>
      </c>
      <c r="E472" s="16" t="n">
        <f aca="false">IF(D472="","",D472*$B$15)</f>
        <v>1.97438091655278</v>
      </c>
      <c r="F472" s="16" t="n">
        <f aca="false" t="array" ref="F472:F472">IF(D472="","",IFERROR(INDEX(Dados_Evap!$C$2:$N$15,MATCH($B$9,Dados_Evap!$A$2:$A$15,0),C472),0))</f>
        <v>145.8</v>
      </c>
      <c r="G472" s="16" t="n">
        <f aca="false">IF(F472="","",F472/1000)</f>
        <v>0.1458</v>
      </c>
      <c r="H472" s="16" t="n">
        <f aca="false">IF(D472="","",MAX(0,MIN($B$8,IFERROR(LOOKUP(2,1/($U$24:U471&lt;&gt;""),$U$24:U471),$B$11))))</f>
        <v>47.22</v>
      </c>
      <c r="I472" s="16" t="n">
        <f aca="false" t="array" ref="I472: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>6.97</v>
      </c>
      <c r="J472" s="16" t="n">
        <f aca="false">IF(D472="","",$B$12)</f>
        <v>0.35</v>
      </c>
      <c r="K472" s="16" t="n">
        <f aca="false">IF(J472="","",J472*$B$15)</f>
        <v>0.9072</v>
      </c>
      <c r="L472" s="16" t="n">
        <f aca="false">IF(D472="","",H472+E472-K472-G472*I472)</f>
        <v>47.2709549165528</v>
      </c>
      <c r="M472" s="16" t="n">
        <f aca="false" t="array" ref="M472: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>6.97600688040663</v>
      </c>
      <c r="N472" s="16" t="n">
        <f aca="false">IF(D472="","",(I472+M472)/2)</f>
        <v>6.97300344020331</v>
      </c>
      <c r="O472" s="16" t="n">
        <f aca="false">IF(D472="","",G472*N472)</f>
        <v>1.01666390158164</v>
      </c>
      <c r="P472" s="16" t="n">
        <f aca="false">IF(D472="","",H472+E472-K472-O472)</f>
        <v>47.2705170149711</v>
      </c>
      <c r="Q472" s="16" t="n">
        <f aca="false">IF(D472="","",IF(P472&gt;=0,K472,MAX(0,K472+P472)))</f>
        <v>0.9072</v>
      </c>
      <c r="R472" s="16" t="n">
        <f aca="false">IF(D472="","",Q472/$B$15)</f>
        <v>0.35</v>
      </c>
      <c r="S472" s="16" t="n">
        <f aca="false">IF(D472="","",MAX(0,J472-R472))</f>
        <v>0</v>
      </c>
      <c r="T472" s="16" t="n">
        <f aca="false">IF(D472="","",MAX(0,Z472-$B$8))</f>
        <v>0.0505170149711347</v>
      </c>
      <c r="U472" s="16" t="n">
        <f aca="false">IF(D472="","",MAX(0,MIN($B$8,Z472)))</f>
        <v>47.22</v>
      </c>
      <c r="V472" s="16" t="str">
        <f aca="false">IF(D472="","",IF(S472&gt;0.0000001,"Sim","Não"))</f>
        <v>Não</v>
      </c>
      <c r="W472" s="16" t="n">
        <f aca="false">IF(D472="","",U472-(H472+E472-Q472-O472-T472))</f>
        <v>0</v>
      </c>
      <c r="X472" s="16" t="n">
        <f aca="false">IF(W472="","",ABS(W472))</f>
        <v>0</v>
      </c>
      <c r="Y472" s="16" t="n">
        <f aca="false">IF(U472="","",IF($B$8=0,0,U472/$B$8*100))</f>
        <v>100</v>
      </c>
      <c r="Z472" s="18" t="n">
        <f aca="false">IF(D472="","",MAX(0,IF(P472&gt;=0,P472,IF(K472+P472&gt;=0,0,P472+K472))))</f>
        <v>47.2705170149711</v>
      </c>
      <c r="AA472" s="18" t="n">
        <f aca="false">IF(D472="","",IF(H472&lt;=$B$16,1,IF(H472&gt;=$B$17,$B$21,MATCH(H472,Aux_CAV!$A$2:$A$121,1))))</f>
        <v>14</v>
      </c>
      <c r="AB472" s="18" t="n">
        <f aca="false">IF(D472="","",IF(L472&lt;=$B$16,1,IF(L472&gt;=$B$17,$B$21,MATCH(L472,Aux_CAV!$A$2:$A$121,1))))</f>
        <v>14</v>
      </c>
      <c r="AC472" s="19" t="n">
        <f aca="false">IF(D472="","",COUNT($D$24:D472))</f>
        <v>437</v>
      </c>
    </row>
    <row r="473" customFormat="false" ht="12.75" hidden="false" customHeight="true" outlineLevel="0" collapsed="false">
      <c r="A473" s="14" t="n">
        <f aca="false">IF(D473="","",DATE(B473,C473,1))</f>
        <v>17319</v>
      </c>
      <c r="B473" s="15" t="n">
        <f aca="false" t="array" ref="B473:B473">IF(D473="","",IFERROR(VALUE(INDEX(Vazoes_COLAR!$A$2:$A$200,INT((ROW()-24)/12)+1)),""))</f>
        <v>1947</v>
      </c>
      <c r="C473" s="15" t="n">
        <f aca="false">IF(D473="","",MOD(ROW()-24,12)+1)</f>
        <v>6</v>
      </c>
      <c r="D473" s="16" t="n">
        <f aca="false" t="array" ref="D473: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0.146914734024269</v>
      </c>
      <c r="E473" s="16" t="n">
        <f aca="false">IF(D473="","",D473*$B$15)</f>
        <v>0.380802990590905</v>
      </c>
      <c r="F473" s="16" t="n">
        <f aca="false" t="array" ref="F473:F473">IF(D473="","",IFERROR(INDEX(Dados_Evap!$C$2:$N$15,MATCH($B$9,Dados_Evap!$A$2:$A$15,0),C473),0))</f>
        <v>161.3</v>
      </c>
      <c r="G473" s="16" t="n">
        <f aca="false">IF(F473="","",F473/1000)</f>
        <v>0.1613</v>
      </c>
      <c r="H473" s="16" t="n">
        <f aca="false">IF(D473="","",MAX(0,MIN($B$8,IFERROR(LOOKUP(2,1/($U$24:U472&lt;&gt;""),$U$24:U472),$B$11))))</f>
        <v>47.22</v>
      </c>
      <c r="I473" s="16" t="n">
        <f aca="false" t="array" ref="I473: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>6.97</v>
      </c>
      <c r="J473" s="16" t="n">
        <f aca="false">IF(D473="","",$B$12)</f>
        <v>0.35</v>
      </c>
      <c r="K473" s="16" t="n">
        <f aca="false">IF(J473="","",J473*$B$15)</f>
        <v>0.9072</v>
      </c>
      <c r="L473" s="16" t="n">
        <f aca="false">IF(D473="","",H473+E473-K473-G473*I473)</f>
        <v>45.5693419905909</v>
      </c>
      <c r="M473" s="16" t="n">
        <f aca="false" t="array" ref="M473: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>6.80519373648195</v>
      </c>
      <c r="N473" s="16" t="n">
        <f aca="false">IF(D473="","",(I473+M473)/2)</f>
        <v>6.88759686824098</v>
      </c>
      <c r="O473" s="16" t="n">
        <f aca="false">IF(D473="","",G473*N473)</f>
        <v>1.11096937484727</v>
      </c>
      <c r="P473" s="16" t="n">
        <f aca="false">IF(D473="","",H473+E473-K473-O473)</f>
        <v>45.5826336157436</v>
      </c>
      <c r="Q473" s="16" t="n">
        <f aca="false">IF(D473="","",IF(P473&gt;=0,K473,MAX(0,K473+P473)))</f>
        <v>0.9072</v>
      </c>
      <c r="R473" s="16" t="n">
        <f aca="false">IF(D473="","",Q473/$B$15)</f>
        <v>0.35</v>
      </c>
      <c r="S473" s="16" t="n">
        <f aca="false">IF(D473="","",MAX(0,J473-R473))</f>
        <v>0</v>
      </c>
      <c r="T473" s="16" t="n">
        <f aca="false">IF(D473="","",MAX(0,Z473-$B$8))</f>
        <v>0</v>
      </c>
      <c r="U473" s="16" t="n">
        <f aca="false">IF(D473="","",MAX(0,MIN($B$8,Z473)))</f>
        <v>45.5826336157436</v>
      </c>
      <c r="V473" s="16" t="str">
        <f aca="false">IF(D473="","",IF(S473&gt;0.0000001,"Sim","Não"))</f>
        <v>Não</v>
      </c>
      <c r="W473" s="16" t="n">
        <f aca="false">IF(D473="","",U473-(H473+E473-Q473-O473-T473))</f>
        <v>0</v>
      </c>
      <c r="X473" s="16" t="n">
        <f aca="false">IF(W473="","",ABS(W473))</f>
        <v>0</v>
      </c>
      <c r="Y473" s="16" t="n">
        <f aca="false">IF(U473="","",IF($B$8=0,0,U473/$B$8*100))</f>
        <v>96.5324727144084</v>
      </c>
      <c r="Z473" s="18" t="n">
        <f aca="false">IF(D473="","",MAX(0,IF(P473&gt;=0,P473,IF(K473+P473&gt;=0,0,P473+K473))))</f>
        <v>45.5826336157436</v>
      </c>
      <c r="AA473" s="18" t="n">
        <f aca="false">IF(D473="","",IF(H473&lt;=$B$16,1,IF(H473&gt;=$B$17,$B$21,MATCH(H473,Aux_CAV!$A$2:$A$121,1))))</f>
        <v>14</v>
      </c>
      <c r="AB473" s="18" t="n">
        <f aca="false">IF(D473="","",IF(L473&lt;=$B$16,1,IF(L473&gt;=$B$17,$B$21,MATCH(L473,Aux_CAV!$A$2:$A$121,1))))</f>
        <v>13</v>
      </c>
      <c r="AC473" s="19" t="n">
        <f aca="false">IF(D473="","",COUNT($D$24:D473))</f>
        <v>438</v>
      </c>
    </row>
    <row r="474" customFormat="false" ht="12.75" hidden="false" customHeight="true" outlineLevel="0" collapsed="false">
      <c r="A474" s="14" t="n">
        <f aca="false">IF(D474="","",DATE(B474,C474,1))</f>
        <v>17349</v>
      </c>
      <c r="B474" s="15" t="n">
        <f aca="false" t="array" ref="B474:B474">IF(D474="","",IFERROR(VALUE(INDEX(Vazoes_COLAR!$A$2:$A$200,INT((ROW()-24)/12)+1)),""))</f>
        <v>1947</v>
      </c>
      <c r="C474" s="15" t="n">
        <f aca="false">IF(D474="","",MOD(ROW()-24,12)+1)</f>
        <v>7</v>
      </c>
      <c r="D474" s="16" t="n">
        <f aca="false" t="array" ref="D474: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0.0672687546004846</v>
      </c>
      <c r="E474" s="16" t="n">
        <f aca="false">IF(D474="","",D474*$B$15)</f>
        <v>0.174360611924456</v>
      </c>
      <c r="F474" s="16" t="n">
        <f aca="false" t="array" ref="F474:F474">IF(D474="","",IFERROR(INDEX(Dados_Evap!$C$2:$N$15,MATCH($B$9,Dados_Evap!$A$2:$A$15,0),C474),0))</f>
        <v>224.8</v>
      </c>
      <c r="G474" s="16" t="n">
        <f aca="false">IF(F474="","",F474/1000)</f>
        <v>0.2248</v>
      </c>
      <c r="H474" s="16" t="n">
        <f aca="false">IF(D474="","",MAX(0,MIN($B$8,IFERROR(LOOKUP(2,1/($U$24:U473&lt;&gt;""),$U$24:U473),$B$11))))</f>
        <v>45.5826336157436</v>
      </c>
      <c r="I474" s="16" t="n">
        <f aca="false" t="array" ref="I474: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>6.80652080911906</v>
      </c>
      <c r="J474" s="16" t="n">
        <f aca="false">IF(D474="","",$B$12)</f>
        <v>0.35</v>
      </c>
      <c r="K474" s="16" t="n">
        <f aca="false">IF(J474="","",J474*$B$15)</f>
        <v>0.9072</v>
      </c>
      <c r="L474" s="16" t="n">
        <f aca="false">IF(D474="","",H474+E474-K474-G474*I474)</f>
        <v>43.3196883497781</v>
      </c>
      <c r="M474" s="16" t="n">
        <f aca="false" t="array" ref="M474: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>6.58058209152659</v>
      </c>
      <c r="N474" s="16" t="n">
        <f aca="false">IF(D474="","",(I474+M474)/2)</f>
        <v>6.69355145032282</v>
      </c>
      <c r="O474" s="16" t="n">
        <f aca="false">IF(D474="","",G474*N474)</f>
        <v>1.50471036603257</v>
      </c>
      <c r="P474" s="16" t="n">
        <f aca="false">IF(D474="","",H474+E474-K474-O474)</f>
        <v>43.3450838616355</v>
      </c>
      <c r="Q474" s="16" t="n">
        <f aca="false">IF(D474="","",IF(P474&gt;=0,K474,MAX(0,K474+P474)))</f>
        <v>0.9072</v>
      </c>
      <c r="R474" s="16" t="n">
        <f aca="false">IF(D474="","",Q474/$B$15)</f>
        <v>0.35</v>
      </c>
      <c r="S474" s="16" t="n">
        <f aca="false">IF(D474="","",MAX(0,J474-R474))</f>
        <v>0</v>
      </c>
      <c r="T474" s="16" t="n">
        <f aca="false">IF(D474="","",MAX(0,Z474-$B$8))</f>
        <v>0</v>
      </c>
      <c r="U474" s="16" t="n">
        <f aca="false">IF(D474="","",MAX(0,MIN($B$8,Z474)))</f>
        <v>43.3450838616355</v>
      </c>
      <c r="V474" s="16" t="str">
        <f aca="false">IF(D474="","",IF(S474&gt;0.0000001,"Sim","Não"))</f>
        <v>Não</v>
      </c>
      <c r="W474" s="16" t="n">
        <f aca="false">IF(D474="","",U474-(H474+E474-Q474-O474-T474))</f>
        <v>0</v>
      </c>
      <c r="X474" s="16" t="n">
        <f aca="false">IF(W474="","",ABS(W474))</f>
        <v>0</v>
      </c>
      <c r="Y474" s="16" t="n">
        <f aca="false">IF(U474="","",IF($B$8=0,0,U474/$B$8*100))</f>
        <v>91.7939090674196</v>
      </c>
      <c r="Z474" s="18" t="n">
        <f aca="false">IF(D474="","",MAX(0,IF(P474&gt;=0,P474,IF(K474+P474&gt;=0,0,P474+K474))))</f>
        <v>43.3450838616355</v>
      </c>
      <c r="AA474" s="18" t="n">
        <f aca="false">IF(D474="","",IF(H474&lt;=$B$16,1,IF(H474&gt;=$B$17,$B$21,MATCH(H474,Aux_CAV!$A$2:$A$121,1))))</f>
        <v>13</v>
      </c>
      <c r="AB474" s="18" t="n">
        <f aca="false">IF(D474="","",IF(L474&lt;=$B$16,1,IF(L474&gt;=$B$17,$B$21,MATCH(L474,Aux_CAV!$A$2:$A$121,1))))</f>
        <v>13</v>
      </c>
      <c r="AC474" s="19" t="n">
        <f aca="false">IF(D474="","",COUNT($D$24:D474))</f>
        <v>439</v>
      </c>
    </row>
    <row r="475" customFormat="false" ht="12.75" hidden="false" customHeight="true" outlineLevel="0" collapsed="false">
      <c r="A475" s="14" t="n">
        <f aca="false">IF(D475="","",DATE(B475,C475,1))</f>
        <v>17380</v>
      </c>
      <c r="B475" s="15" t="n">
        <f aca="false" t="array" ref="B475:B475">IF(D475="","",IFERROR(VALUE(INDEX(Vazoes_COLAR!$A$2:$A$200,INT((ROW()-24)/12)+1)),""))</f>
        <v>1947</v>
      </c>
      <c r="C475" s="15" t="n">
        <f aca="false">IF(D475="","",MOD(ROW()-24,12)+1)</f>
        <v>8</v>
      </c>
      <c r="D475" s="16" t="n">
        <f aca="false" t="array" ref="D475: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0.0347504436607355</v>
      </c>
      <c r="E475" s="16" t="n">
        <f aca="false">IF(D475="","",D475*$B$15)</f>
        <v>0.0900731499686264</v>
      </c>
      <c r="F475" s="16" t="n">
        <f aca="false" t="array" ref="F475:F475">IF(D475="","",IFERROR(INDEX(Dados_Evap!$C$2:$N$15,MATCH($B$9,Dados_Evap!$A$2:$A$15,0),C475),0))</f>
        <v>268.7</v>
      </c>
      <c r="G475" s="16" t="n">
        <f aca="false">IF(F475="","",F475/1000)</f>
        <v>0.2687</v>
      </c>
      <c r="H475" s="16" t="n">
        <f aca="false">IF(D475="","",MAX(0,MIN($B$8,IFERROR(LOOKUP(2,1/($U$24:U474&lt;&gt;""),$U$24:U474),$B$11))))</f>
        <v>43.3450838616355</v>
      </c>
      <c r="I475" s="16" t="n">
        <f aca="false" t="array" ref="I475: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>6.58311764970732</v>
      </c>
      <c r="J475" s="16" t="n">
        <f aca="false">IF(D475="","",$B$12)</f>
        <v>0.35</v>
      </c>
      <c r="K475" s="16" t="n">
        <f aca="false">IF(J475="","",J475*$B$15)</f>
        <v>0.9072</v>
      </c>
      <c r="L475" s="16" t="n">
        <f aca="false">IF(D475="","",H475+E475-K475-G475*I475)</f>
        <v>40.7590732991278</v>
      </c>
      <c r="M475" s="16" t="n">
        <f aca="false" t="array" ref="M475: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>6.3249231988909</v>
      </c>
      <c r="N475" s="16" t="n">
        <f aca="false">IF(D475="","",(I475+M475)/2)</f>
        <v>6.45402042429911</v>
      </c>
      <c r="O475" s="16" t="n">
        <f aca="false">IF(D475="","",G475*N475)</f>
        <v>1.73419528800917</v>
      </c>
      <c r="P475" s="16" t="n">
        <f aca="false">IF(D475="","",H475+E475-K475-O475)</f>
        <v>40.793761723595</v>
      </c>
      <c r="Q475" s="16" t="n">
        <f aca="false">IF(D475="","",IF(P475&gt;=0,K475,MAX(0,K475+P475)))</f>
        <v>0.9072</v>
      </c>
      <c r="R475" s="16" t="n">
        <f aca="false">IF(D475="","",Q475/$B$15)</f>
        <v>0.35</v>
      </c>
      <c r="S475" s="16" t="n">
        <f aca="false">IF(D475="","",MAX(0,J475-R475))</f>
        <v>0</v>
      </c>
      <c r="T475" s="16" t="n">
        <f aca="false">IF(D475="","",MAX(0,Z475-$B$8))</f>
        <v>0</v>
      </c>
      <c r="U475" s="16" t="n">
        <f aca="false">IF(D475="","",MAX(0,MIN($B$8,Z475)))</f>
        <v>40.793761723595</v>
      </c>
      <c r="V475" s="16" t="str">
        <f aca="false">IF(D475="","",IF(S475&gt;0.0000001,"Sim","Não"))</f>
        <v>Não</v>
      </c>
      <c r="W475" s="16" t="n">
        <f aca="false">IF(D475="","",U475-(H475+E475-Q475-O475-T475))</f>
        <v>0</v>
      </c>
      <c r="X475" s="16" t="n">
        <f aca="false">IF(W475="","",ABS(W475))</f>
        <v>0</v>
      </c>
      <c r="Y475" s="16" t="n">
        <f aca="false">IF(U475="","",IF($B$8=0,0,U475/$B$8*100))</f>
        <v>86.390854984318</v>
      </c>
      <c r="Z475" s="18" t="n">
        <f aca="false">IF(D475="","",MAX(0,IF(P475&gt;=0,P475,IF(K475+P475&gt;=0,0,P475+K475))))</f>
        <v>40.793761723595</v>
      </c>
      <c r="AA475" s="18" t="n">
        <f aca="false">IF(D475="","",IF(H475&lt;=$B$16,1,IF(H475&gt;=$B$17,$B$21,MATCH(H475,Aux_CAV!$A$2:$A$121,1))))</f>
        <v>13</v>
      </c>
      <c r="AB475" s="18" t="n">
        <f aca="false">IF(D475="","",IF(L475&lt;=$B$16,1,IF(L475&gt;=$B$17,$B$21,MATCH(L475,Aux_CAV!$A$2:$A$121,1))))</f>
        <v>13</v>
      </c>
      <c r="AC475" s="19" t="n">
        <f aca="false">IF(D475="","",COUNT($D$24:D475))</f>
        <v>440</v>
      </c>
    </row>
    <row r="476" customFormat="false" ht="12.75" hidden="false" customHeight="true" outlineLevel="0" collapsed="false">
      <c r="A476" s="14" t="n">
        <f aca="false">IF(D476="","",DATE(B476,C476,1))</f>
        <v>17411</v>
      </c>
      <c r="B476" s="15" t="n">
        <f aca="false" t="array" ref="B476:B476">IF(D476="","",IFERROR(VALUE(INDEX(Vazoes_COLAR!$A$2:$A$200,INT((ROW()-24)/12)+1)),""))</f>
        <v>1947</v>
      </c>
      <c r="C476" s="15" t="n">
        <f aca="false">IF(D476="","",MOD(ROW()-24,12)+1)</f>
        <v>9</v>
      </c>
      <c r="D476" s="16" t="n">
        <f aca="false" t="array" ref="D476: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0.0268579232570104</v>
      </c>
      <c r="E476" s="16" t="n">
        <f aca="false">IF(D476="","",D476*$B$15)</f>
        <v>0.069615737082171</v>
      </c>
      <c r="F476" s="16" t="n">
        <f aca="false" t="array" ref="F476:F476">IF(D476="","",IFERROR(INDEX(Dados_Evap!$C$2:$N$15,MATCH($B$9,Dados_Evap!$A$2:$A$15,0),C476),0))</f>
        <v>292.8</v>
      </c>
      <c r="G476" s="16" t="n">
        <f aca="false">IF(F476="","",F476/1000)</f>
        <v>0.2928</v>
      </c>
      <c r="H476" s="16" t="n">
        <f aca="false">IF(D476="","",MAX(0,MIN($B$8,IFERROR(LOOKUP(2,1/($U$24:U475&lt;&gt;""),$U$24:U475),$B$11))))</f>
        <v>40.793761723595</v>
      </c>
      <c r="I476" s="16" t="n">
        <f aca="false" t="array" ref="I476: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>6.32838658718283</v>
      </c>
      <c r="J476" s="16" t="n">
        <f aca="false">IF(D476="","",$B$12)</f>
        <v>0.35</v>
      </c>
      <c r="K476" s="16" t="n">
        <f aca="false">IF(J476="","",J476*$B$15)</f>
        <v>0.9072</v>
      </c>
      <c r="L476" s="16" t="n">
        <f aca="false">IF(D476="","",H476+E476-K476-G476*I476)</f>
        <v>38.10322586795</v>
      </c>
      <c r="M476" s="16" t="n">
        <f aca="false" t="array" ref="M476: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>6.05975604184721</v>
      </c>
      <c r="N476" s="16" t="n">
        <f aca="false">IF(D476="","",(I476+M476)/2)</f>
        <v>6.19407131451502</v>
      </c>
      <c r="O476" s="16" t="n">
        <f aca="false">IF(D476="","",G476*N476)</f>
        <v>1.81362408089</v>
      </c>
      <c r="P476" s="16" t="n">
        <f aca="false">IF(D476="","",H476+E476-K476-O476)</f>
        <v>38.1425533797871</v>
      </c>
      <c r="Q476" s="16" t="n">
        <f aca="false">IF(D476="","",IF(P476&gt;=0,K476,MAX(0,K476+P476)))</f>
        <v>0.9072</v>
      </c>
      <c r="R476" s="16" t="n">
        <f aca="false">IF(D476="","",Q476/$B$15)</f>
        <v>0.35</v>
      </c>
      <c r="S476" s="16" t="n">
        <f aca="false">IF(D476="","",MAX(0,J476-R476))</f>
        <v>0</v>
      </c>
      <c r="T476" s="16" t="n">
        <f aca="false">IF(D476="","",MAX(0,Z476-$B$8))</f>
        <v>0</v>
      </c>
      <c r="U476" s="16" t="n">
        <f aca="false">IF(D476="","",MAX(0,MIN($B$8,Z476)))</f>
        <v>38.1425533797871</v>
      </c>
      <c r="V476" s="16" t="str">
        <f aca="false">IF(D476="","",IF(S476&gt;0.0000001,"Sim","Não"))</f>
        <v>Não</v>
      </c>
      <c r="W476" s="16" t="n">
        <f aca="false">IF(D476="","",U476-(H476+E476-Q476-O476-T476))</f>
        <v>0</v>
      </c>
      <c r="X476" s="16" t="n">
        <f aca="false">IF(W476="","",ABS(W476))</f>
        <v>0</v>
      </c>
      <c r="Y476" s="16" t="n">
        <f aca="false">IF(U476="","",IF($B$8=0,0,U476/$B$8*100))</f>
        <v>80.77626721683</v>
      </c>
      <c r="Z476" s="18" t="n">
        <f aca="false">IF(D476="","",MAX(0,IF(P476&gt;=0,P476,IF(K476+P476&gt;=0,0,P476+K476))))</f>
        <v>38.1425533797871</v>
      </c>
      <c r="AA476" s="18" t="n">
        <f aca="false">IF(D476="","",IF(H476&lt;=$B$16,1,IF(H476&gt;=$B$17,$B$21,MATCH(H476,Aux_CAV!$A$2:$A$121,1))))</f>
        <v>13</v>
      </c>
      <c r="AB476" s="18" t="n">
        <f aca="false">IF(D476="","",IF(L476&lt;=$B$16,1,IF(L476&gt;=$B$17,$B$21,MATCH(L476,Aux_CAV!$A$2:$A$121,1))))</f>
        <v>13</v>
      </c>
      <c r="AC476" s="19" t="n">
        <f aca="false">IF(D476="","",COUNT($D$24:D476))</f>
        <v>441</v>
      </c>
    </row>
    <row r="477" customFormat="false" ht="12.75" hidden="false" customHeight="true" outlineLevel="0" collapsed="false">
      <c r="A477" s="14" t="n">
        <f aca="false">IF(D477="","",DATE(B477,C477,1))</f>
        <v>17441</v>
      </c>
      <c r="B477" s="15" t="n">
        <f aca="false" t="array" ref="B477:B477">IF(D477="","",IFERROR(VALUE(INDEX(Vazoes_COLAR!$A$2:$A$200,INT((ROW()-24)/12)+1)),""))</f>
        <v>1947</v>
      </c>
      <c r="C477" s="15" t="n">
        <f aca="false">IF(D477="","",MOD(ROW()-24,12)+1)</f>
        <v>10</v>
      </c>
      <c r="D477" s="16" t="n">
        <f aca="false" t="array" ref="D477: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0.0346857881540458</v>
      </c>
      <c r="E477" s="16" t="n">
        <f aca="false">IF(D477="","",D477*$B$15)</f>
        <v>0.0899055628952867</v>
      </c>
      <c r="F477" s="16" t="n">
        <f aca="false" t="array" ref="F477:F477">IF(D477="","",IFERROR(INDEX(Dados_Evap!$C$2:$N$15,MATCH($B$9,Dados_Evap!$A$2:$A$15,0),C477),0))</f>
        <v>262.9</v>
      </c>
      <c r="G477" s="16" t="n">
        <f aca="false">IF(F477="","",F477/1000)</f>
        <v>0.2629</v>
      </c>
      <c r="H477" s="16" t="n">
        <f aca="false">IF(D477="","",MAX(0,MIN($B$8,IFERROR(LOOKUP(2,1/($U$24:U476&lt;&gt;""),$U$24:U476),$B$11))))</f>
        <v>38.1425533797871</v>
      </c>
      <c r="I477" s="16" t="n">
        <f aca="false" t="array" ref="I477: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>6.06368260945988</v>
      </c>
      <c r="J477" s="16" t="n">
        <f aca="false">IF(D477="","",$B$12)</f>
        <v>0.35</v>
      </c>
      <c r="K477" s="16" t="n">
        <f aca="false">IF(J477="","",J477*$B$15)</f>
        <v>0.9072</v>
      </c>
      <c r="L477" s="16" t="n">
        <f aca="false">IF(D477="","",H477+E477-K477-G477*I477)</f>
        <v>35.7311167846554</v>
      </c>
      <c r="M477" s="16" t="n">
        <f aca="false" t="array" ref="M477: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>5.82291810664406</v>
      </c>
      <c r="N477" s="16" t="n">
        <f aca="false">IF(D477="","",(I477+M477)/2)</f>
        <v>5.94330035805197</v>
      </c>
      <c r="O477" s="16" t="n">
        <f aca="false">IF(D477="","",G477*N477)</f>
        <v>1.56249366413186</v>
      </c>
      <c r="P477" s="16" t="n">
        <f aca="false">IF(D477="","",H477+E477-K477-O477)</f>
        <v>35.7627652785506</v>
      </c>
      <c r="Q477" s="16" t="n">
        <f aca="false">IF(D477="","",IF(P477&gt;=0,K477,MAX(0,K477+P477)))</f>
        <v>0.9072</v>
      </c>
      <c r="R477" s="16" t="n">
        <f aca="false">IF(D477="","",Q477/$B$15)</f>
        <v>0.35</v>
      </c>
      <c r="S477" s="16" t="n">
        <f aca="false">IF(D477="","",MAX(0,J477-R477))</f>
        <v>0</v>
      </c>
      <c r="T477" s="16" t="n">
        <f aca="false">IF(D477="","",MAX(0,Z477-$B$8))</f>
        <v>0</v>
      </c>
      <c r="U477" s="16" t="n">
        <f aca="false">IF(D477="","",MAX(0,MIN($B$8,Z477)))</f>
        <v>35.7627652785506</v>
      </c>
      <c r="V477" s="16" t="str">
        <f aca="false">IF(D477="","",IF(S477&gt;0.0000001,"Sim","Não"))</f>
        <v>Não</v>
      </c>
      <c r="W477" s="16" t="n">
        <f aca="false">IF(D477="","",U477-(H477+E477-Q477-O477-T477))</f>
        <v>0</v>
      </c>
      <c r="X477" s="16" t="n">
        <f aca="false">IF(W477="","",ABS(W477))</f>
        <v>0</v>
      </c>
      <c r="Y477" s="16" t="n">
        <f aca="false">IF(U477="","",IF($B$8=0,0,U477/$B$8*100))</f>
        <v>75.7364787771084</v>
      </c>
      <c r="Z477" s="18" t="n">
        <f aca="false">IF(D477="","",MAX(0,IF(P477&gt;=0,P477,IF(K477+P477&gt;=0,0,P477+K477))))</f>
        <v>35.7627652785506</v>
      </c>
      <c r="AA477" s="18" t="n">
        <f aca="false">IF(D477="","",IF(H477&lt;=$B$16,1,IF(H477&gt;=$B$17,$B$21,MATCH(H477,Aux_CAV!$A$2:$A$121,1))))</f>
        <v>13</v>
      </c>
      <c r="AB477" s="18" t="n">
        <f aca="false">IF(D477="","",IF(L477&lt;=$B$16,1,IF(L477&gt;=$B$17,$B$21,MATCH(L477,Aux_CAV!$A$2:$A$121,1))))</f>
        <v>13</v>
      </c>
      <c r="AC477" s="19" t="n">
        <f aca="false">IF(D477="","",COUNT($D$24:D477))</f>
        <v>442</v>
      </c>
    </row>
    <row r="478" customFormat="false" ht="12.75" hidden="false" customHeight="true" outlineLevel="0" collapsed="false">
      <c r="A478" s="14" t="n">
        <f aca="false">IF(D478="","",DATE(B478,C478,1))</f>
        <v>17472</v>
      </c>
      <c r="B478" s="15" t="n">
        <f aca="false" t="array" ref="B478:B478">IF(D478="","",IFERROR(VALUE(INDEX(Vazoes_COLAR!$A$2:$A$200,INT((ROW()-24)/12)+1)),""))</f>
        <v>1947</v>
      </c>
      <c r="C478" s="15" t="n">
        <f aca="false">IF(D478="","",MOD(ROW()-24,12)+1)</f>
        <v>11</v>
      </c>
      <c r="D478" s="16" t="n">
        <f aca="false" t="array" ref="D478: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0.326139263276266</v>
      </c>
      <c r="E478" s="16" t="n">
        <f aca="false">IF(D478="","",D478*$B$15)</f>
        <v>0.845352970412082</v>
      </c>
      <c r="F478" s="16" t="n">
        <f aca="false" t="array" ref="F478:F478">IF(D478="","",IFERROR(INDEX(Dados_Evap!$C$2:$N$15,MATCH($B$9,Dados_Evap!$A$2:$A$15,0),C478),0))</f>
        <v>223.7</v>
      </c>
      <c r="G478" s="16" t="n">
        <f aca="false">IF(F478="","",F478/1000)</f>
        <v>0.2237</v>
      </c>
      <c r="H478" s="16" t="n">
        <f aca="false">IF(D478="","",MAX(0,MIN($B$8,IFERROR(LOOKUP(2,1/($U$24:U477&lt;&gt;""),$U$24:U477),$B$11))))</f>
        <v>35.7627652785506</v>
      </c>
      <c r="I478" s="16" t="n">
        <f aca="false" t="array" ref="I478: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>5.82607797985528</v>
      </c>
      <c r="J478" s="16" t="n">
        <f aca="false">IF(D478="","",$B$12)</f>
        <v>0.35</v>
      </c>
      <c r="K478" s="16" t="n">
        <f aca="false">IF(J478="","",J478*$B$15)</f>
        <v>0.9072</v>
      </c>
      <c r="L478" s="16" t="n">
        <f aca="false">IF(D478="","",H478+E478-K478-G478*I478)</f>
        <v>34.397624604869</v>
      </c>
      <c r="M478" s="16" t="n">
        <f aca="false" t="array" ref="M478: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>5.68936488613688</v>
      </c>
      <c r="N478" s="16" t="n">
        <f aca="false">IF(D478="","",(I478+M478)/2)</f>
        <v>5.75772143299608</v>
      </c>
      <c r="O478" s="16" t="n">
        <f aca="false">IF(D478="","",G478*N478)</f>
        <v>1.28800228456122</v>
      </c>
      <c r="P478" s="16" t="n">
        <f aca="false">IF(D478="","",H478+E478-K478-O478)</f>
        <v>34.4129159644014</v>
      </c>
      <c r="Q478" s="16" t="n">
        <f aca="false">IF(D478="","",IF(P478&gt;=0,K478,MAX(0,K478+P478)))</f>
        <v>0.9072</v>
      </c>
      <c r="R478" s="16" t="n">
        <f aca="false">IF(D478="","",Q478/$B$15)</f>
        <v>0.35</v>
      </c>
      <c r="S478" s="16" t="n">
        <f aca="false">IF(D478="","",MAX(0,J478-R478))</f>
        <v>0</v>
      </c>
      <c r="T478" s="16" t="n">
        <f aca="false">IF(D478="","",MAX(0,Z478-$B$8))</f>
        <v>0</v>
      </c>
      <c r="U478" s="16" t="n">
        <f aca="false">IF(D478="","",MAX(0,MIN($B$8,Z478)))</f>
        <v>34.4129159644014</v>
      </c>
      <c r="V478" s="16" t="str">
        <f aca="false">IF(D478="","",IF(S478&gt;0.0000001,"Sim","Não"))</f>
        <v>Não</v>
      </c>
      <c r="W478" s="16" t="n">
        <f aca="false">IF(D478="","",U478-(H478+E478-Q478-O478-T478))</f>
        <v>0</v>
      </c>
      <c r="X478" s="16" t="n">
        <f aca="false">IF(W478="","",ABS(W478))</f>
        <v>0</v>
      </c>
      <c r="Y478" s="16" t="n">
        <f aca="false">IF(U478="","",IF($B$8=0,0,U478/$B$8*100))</f>
        <v>72.8778398229594</v>
      </c>
      <c r="Z478" s="18" t="n">
        <f aca="false">IF(D478="","",MAX(0,IF(P478&gt;=0,P478,IF(K478+P478&gt;=0,0,P478+K478))))</f>
        <v>34.4129159644014</v>
      </c>
      <c r="AA478" s="18" t="n">
        <f aca="false">IF(D478="","",IF(H478&lt;=$B$16,1,IF(H478&gt;=$B$17,$B$21,MATCH(H478,Aux_CAV!$A$2:$A$121,1))))</f>
        <v>13</v>
      </c>
      <c r="AB478" s="18" t="n">
        <f aca="false">IF(D478="","",IF(L478&lt;=$B$16,1,IF(L478&gt;=$B$17,$B$21,MATCH(L478,Aux_CAV!$A$2:$A$121,1))))</f>
        <v>12</v>
      </c>
      <c r="AC478" s="19" t="n">
        <f aca="false">IF(D478="","",COUNT($D$24:D478))</f>
        <v>443</v>
      </c>
    </row>
    <row r="479" customFormat="false" ht="12.75" hidden="false" customHeight="true" outlineLevel="0" collapsed="false">
      <c r="A479" s="14" t="n">
        <f aca="false">IF(D479="","",DATE(B479,C479,1))</f>
        <v>17502</v>
      </c>
      <c r="B479" s="15" t="n">
        <f aca="false" t="array" ref="B479:B479">IF(D479="","",IFERROR(VALUE(INDEX(Vazoes_COLAR!$A$2:$A$200,INT((ROW()-24)/12)+1)),""))</f>
        <v>1947</v>
      </c>
      <c r="C479" s="15" t="n">
        <f aca="false">IF(D479="","",MOD(ROW()-24,12)+1)</f>
        <v>12</v>
      </c>
      <c r="D479" s="16" t="n">
        <f aca="false" t="array" ref="D479: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0.231942716299747</v>
      </c>
      <c r="E479" s="16" t="n">
        <f aca="false">IF(D479="","",D479*$B$15)</f>
        <v>0.601195520648944</v>
      </c>
      <c r="F479" s="16" t="n">
        <f aca="false" t="array" ref="F479:F479">IF(D479="","",IFERROR(INDEX(Dados_Evap!$C$2:$N$15,MATCH($B$9,Dados_Evap!$A$2:$A$15,0),C479),0))</f>
        <v>216.1</v>
      </c>
      <c r="G479" s="16" t="n">
        <f aca="false">IF(F479="","",F479/1000)</f>
        <v>0.2161</v>
      </c>
      <c r="H479" s="16" t="n">
        <f aca="false">IF(D479="","",MAX(0,MIN($B$8,IFERROR(LOOKUP(2,1/($U$24:U478&lt;&gt;""),$U$24:U478),$B$11))))</f>
        <v>34.4129159644014</v>
      </c>
      <c r="I479" s="16" t="n">
        <f aca="false" t="array" ref="I479: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>5.69095340601063</v>
      </c>
      <c r="J479" s="16" t="n">
        <f aca="false">IF(D479="","",$B$12)</f>
        <v>0.35</v>
      </c>
      <c r="K479" s="16" t="n">
        <f aca="false">IF(J479="","",J479*$B$15)</f>
        <v>0.9072</v>
      </c>
      <c r="L479" s="16" t="n">
        <f aca="false">IF(D479="","",H479+E479-K479-G479*I479)</f>
        <v>32.8770964540115</v>
      </c>
      <c r="M479" s="16" t="n">
        <f aca="false" t="array" ref="M479: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>5.53140710735847</v>
      </c>
      <c r="N479" s="16" t="n">
        <f aca="false">IF(D479="","",(I479+M479)/2)</f>
        <v>5.61118025668455</v>
      </c>
      <c r="O479" s="16" t="n">
        <f aca="false">IF(D479="","",G479*N479)</f>
        <v>1.21257605346953</v>
      </c>
      <c r="P479" s="16" t="n">
        <f aca="false">IF(D479="","",H479+E479-K479-O479)</f>
        <v>32.8943354315808</v>
      </c>
      <c r="Q479" s="16" t="n">
        <f aca="false">IF(D479="","",IF(P479&gt;=0,K479,MAX(0,K479+P479)))</f>
        <v>0.9072</v>
      </c>
      <c r="R479" s="16" t="n">
        <f aca="false">IF(D479="","",Q479/$B$15)</f>
        <v>0.35</v>
      </c>
      <c r="S479" s="16" t="n">
        <f aca="false">IF(D479="","",MAX(0,J479-R479))</f>
        <v>0</v>
      </c>
      <c r="T479" s="16" t="n">
        <f aca="false">IF(D479="","",MAX(0,Z479-$B$8))</f>
        <v>0</v>
      </c>
      <c r="U479" s="16" t="n">
        <f aca="false">IF(D479="","",MAX(0,MIN($B$8,Z479)))</f>
        <v>32.8943354315808</v>
      </c>
      <c r="V479" s="16" t="str">
        <f aca="false">IF(D479="","",IF(S479&gt;0.0000001,"Sim","Não"))</f>
        <v>Não</v>
      </c>
      <c r="W479" s="16" t="n">
        <f aca="false">IF(D479="","",U479-(H479+E479-Q479-O479-T479))</f>
        <v>0</v>
      </c>
      <c r="X479" s="16" t="n">
        <f aca="false">IF(W479="","",ABS(W479))</f>
        <v>0</v>
      </c>
      <c r="Y479" s="16" t="n">
        <f aca="false">IF(U479="","",IF($B$8=0,0,U479/$B$8*100))</f>
        <v>69.6618708843304</v>
      </c>
      <c r="Z479" s="18" t="n">
        <f aca="false">IF(D479="","",MAX(0,IF(P479&gt;=0,P479,IF(K479+P479&gt;=0,0,P479+K479))))</f>
        <v>32.8943354315808</v>
      </c>
      <c r="AA479" s="18" t="n">
        <f aca="false">IF(D479="","",IF(H479&lt;=$B$16,1,IF(H479&gt;=$B$17,$B$21,MATCH(H479,Aux_CAV!$A$2:$A$121,1))))</f>
        <v>12</v>
      </c>
      <c r="AB479" s="18" t="n">
        <f aca="false">IF(D479="","",IF(L479&lt;=$B$16,1,IF(L479&gt;=$B$17,$B$21,MATCH(L479,Aux_CAV!$A$2:$A$121,1))))</f>
        <v>12</v>
      </c>
      <c r="AC479" s="19" t="n">
        <f aca="false">IF(D479="","",COUNT($D$24:D479))</f>
        <v>444</v>
      </c>
    </row>
    <row r="480" customFormat="false" ht="12.75" hidden="false" customHeight="true" outlineLevel="0" collapsed="false">
      <c r="A480" s="14" t="n">
        <f aca="false">IF(D480="","",DATE(B480,C480,1))</f>
        <v>17533</v>
      </c>
      <c r="B480" s="15" t="n">
        <f aca="false" t="array" ref="B480:B480">IF(D480="","",IFERROR(VALUE(INDEX(Vazoes_COLAR!$A$2:$A$200,INT((ROW()-24)/12)+1)),""))</f>
        <v>1948</v>
      </c>
      <c r="C480" s="15" t="n">
        <f aca="false">IF(D480="","",MOD(ROW()-24,12)+1)</f>
        <v>1</v>
      </c>
      <c r="D480" s="16" t="n">
        <f aca="false" t="array" ref="D480: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0.460965918117341</v>
      </c>
      <c r="E480" s="16" t="n">
        <f aca="false">IF(D480="","",D480*$B$15)</f>
        <v>1.19482365976015</v>
      </c>
      <c r="F480" s="16" t="n">
        <f aca="false" t="array" ref="F480:F480">IF(D480="","",IFERROR(INDEX(Dados_Evap!$C$2:$N$15,MATCH($B$9,Dados_Evap!$A$2:$A$15,0),C480),0))</f>
        <v>160</v>
      </c>
      <c r="G480" s="16" t="n">
        <f aca="false">IF(F480="","",F480/1000)</f>
        <v>0.16</v>
      </c>
      <c r="H480" s="16" t="n">
        <f aca="false">IF(D480="","",MAX(0,MIN($B$8,IFERROR(LOOKUP(2,1/($U$24:U479&lt;&gt;""),$U$24:U479),$B$11))))</f>
        <v>32.8943354315808</v>
      </c>
      <c r="I480" s="16" t="n">
        <f aca="false" t="array" ref="I480: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>5.53319795260112</v>
      </c>
      <c r="J480" s="16" t="n">
        <f aca="false">IF(D480="","",$B$12)</f>
        <v>0.35</v>
      </c>
      <c r="K480" s="16" t="n">
        <f aca="false">IF(J480="","",J480*$B$15)</f>
        <v>0.9072</v>
      </c>
      <c r="L480" s="16" t="n">
        <f aca="false">IF(D480="","",H480+E480-K480-G480*I480)</f>
        <v>32.2966474189248</v>
      </c>
      <c r="M480" s="16" t="n">
        <f aca="false" t="array" ref="M480: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>5.47110803283976</v>
      </c>
      <c r="N480" s="16" t="n">
        <f aca="false">IF(D480="","",(I480+M480)/2)</f>
        <v>5.50215299272044</v>
      </c>
      <c r="O480" s="16" t="n">
        <f aca="false">IF(D480="","",G480*N480)</f>
        <v>0.88034447883527</v>
      </c>
      <c r="P480" s="16" t="n">
        <f aca="false">IF(D480="","",H480+E480-K480-O480)</f>
        <v>32.3016146125057</v>
      </c>
      <c r="Q480" s="16" t="n">
        <f aca="false">IF(D480="","",IF(P480&gt;=0,K480,MAX(0,K480+P480)))</f>
        <v>0.9072</v>
      </c>
      <c r="R480" s="16" t="n">
        <f aca="false">IF(D480="","",Q480/$B$15)</f>
        <v>0.35</v>
      </c>
      <c r="S480" s="16" t="n">
        <f aca="false">IF(D480="","",MAX(0,J480-R480))</f>
        <v>0</v>
      </c>
      <c r="T480" s="16" t="n">
        <f aca="false">IF(D480="","",MAX(0,Z480-$B$8))</f>
        <v>0</v>
      </c>
      <c r="U480" s="16" t="n">
        <f aca="false">IF(D480="","",MAX(0,MIN($B$8,Z480)))</f>
        <v>32.3016146125057</v>
      </c>
      <c r="V480" s="16" t="str">
        <f aca="false">IF(D480="","",IF(S480&gt;0.0000001,"Sim","Não"))</f>
        <v>Não</v>
      </c>
      <c r="W480" s="16" t="n">
        <f aca="false">IF(D480="","",U480-(H480+E480-Q480-O480-T480))</f>
        <v>0</v>
      </c>
      <c r="X480" s="16" t="n">
        <f aca="false">IF(W480="","",ABS(W480))</f>
        <v>0</v>
      </c>
      <c r="Y480" s="16" t="n">
        <f aca="false">IF(U480="","",IF($B$8=0,0,U480/$B$8*100))</f>
        <v>68.4066383153446</v>
      </c>
      <c r="Z480" s="18" t="n">
        <f aca="false">IF(D480="","",MAX(0,IF(P480&gt;=0,P480,IF(K480+P480&gt;=0,0,P480+K480))))</f>
        <v>32.3016146125057</v>
      </c>
      <c r="AA480" s="18" t="n">
        <f aca="false">IF(D480="","",IF(H480&lt;=$B$16,1,IF(H480&gt;=$B$17,$B$21,MATCH(H480,Aux_CAV!$A$2:$A$121,1))))</f>
        <v>12</v>
      </c>
      <c r="AB480" s="18" t="n">
        <f aca="false">IF(D480="","",IF(L480&lt;=$B$16,1,IF(L480&gt;=$B$17,$B$21,MATCH(L480,Aux_CAV!$A$2:$A$121,1))))</f>
        <v>12</v>
      </c>
      <c r="AC480" s="19" t="n">
        <f aca="false">IF(D480="","",COUNT($D$24:D480))</f>
        <v>445</v>
      </c>
    </row>
    <row r="481" customFormat="false" ht="12.75" hidden="false" customHeight="true" outlineLevel="0" collapsed="false">
      <c r="A481" s="14" t="n">
        <f aca="false">IF(D481="","",DATE(B481,C481,1))</f>
        <v>17564</v>
      </c>
      <c r="B481" s="15" t="n">
        <f aca="false" t="array" ref="B481:B481">IF(D481="","",IFERROR(VALUE(INDEX(Vazoes_COLAR!$A$2:$A$200,INT((ROW()-24)/12)+1)),""))</f>
        <v>1948</v>
      </c>
      <c r="C481" s="15" t="n">
        <f aca="false">IF(D481="","",MOD(ROW()-24,12)+1)</f>
        <v>2</v>
      </c>
      <c r="D481" s="16" t="n">
        <f aca="false" t="array" ref="D481: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0.323426259313599</v>
      </c>
      <c r="E481" s="16" t="n">
        <f aca="false">IF(D481="","",D481*$B$15)</f>
        <v>0.838320864140849</v>
      </c>
      <c r="F481" s="16" t="n">
        <f aca="false" t="array" ref="F481:F481">IF(D481="","",IFERROR(INDEX(Dados_Evap!$C$2:$N$15,MATCH($B$9,Dados_Evap!$A$2:$A$15,0),C481),0))</f>
        <v>124.3</v>
      </c>
      <c r="G481" s="16" t="n">
        <f aca="false">IF(F481="","",F481/1000)</f>
        <v>0.1243</v>
      </c>
      <c r="H481" s="16" t="n">
        <f aca="false">IF(D481="","",MAX(0,MIN($B$8,IFERROR(LOOKUP(2,1/($U$24:U480&lt;&gt;""),$U$24:U480),$B$11))))</f>
        <v>32.3016146125057</v>
      </c>
      <c r="I481" s="16" t="n">
        <f aca="false" t="array" ref="I481: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>5.47162404227001</v>
      </c>
      <c r="J481" s="16" t="n">
        <f aca="false">IF(D481="","",$B$12)</f>
        <v>0.35</v>
      </c>
      <c r="K481" s="16" t="n">
        <f aca="false">IF(J481="","",J481*$B$15)</f>
        <v>0.9072</v>
      </c>
      <c r="L481" s="16" t="n">
        <f aca="false">IF(D481="","",H481+E481-K481-G481*I481)</f>
        <v>31.5526126081924</v>
      </c>
      <c r="M481" s="16" t="n">
        <f aca="false" t="array" ref="M481: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>5.39381509619086</v>
      </c>
      <c r="N481" s="16" t="n">
        <f aca="false">IF(D481="","",(I481+M481)/2)</f>
        <v>5.43271956923043</v>
      </c>
      <c r="O481" s="16" t="n">
        <f aca="false">IF(D481="","",G481*N481)</f>
        <v>0.675287042455343</v>
      </c>
      <c r="P481" s="16" t="n">
        <f aca="false">IF(D481="","",H481+E481-K481-O481)</f>
        <v>31.5574484341912</v>
      </c>
      <c r="Q481" s="16" t="n">
        <f aca="false">IF(D481="","",IF(P481&gt;=0,K481,MAX(0,K481+P481)))</f>
        <v>0.9072</v>
      </c>
      <c r="R481" s="16" t="n">
        <f aca="false">IF(D481="","",Q481/$B$15)</f>
        <v>0.35</v>
      </c>
      <c r="S481" s="16" t="n">
        <f aca="false">IF(D481="","",MAX(0,J481-R481))</f>
        <v>0</v>
      </c>
      <c r="T481" s="16" t="n">
        <f aca="false">IF(D481="","",MAX(0,Z481-$B$8))</f>
        <v>0</v>
      </c>
      <c r="U481" s="16" t="n">
        <f aca="false">IF(D481="","",MAX(0,MIN($B$8,Z481)))</f>
        <v>31.5574484341912</v>
      </c>
      <c r="V481" s="16" t="str">
        <f aca="false">IF(D481="","",IF(S481&gt;0.0000001,"Sim","Não"))</f>
        <v>Não</v>
      </c>
      <c r="W481" s="16" t="n">
        <f aca="false">IF(D481="","",U481-(H481+E481-Q481-O481-T481))</f>
        <v>0</v>
      </c>
      <c r="X481" s="16" t="n">
        <f aca="false">IF(W481="","",ABS(W481))</f>
        <v>0</v>
      </c>
      <c r="Y481" s="16" t="n">
        <f aca="false">IF(U481="","",IF($B$8=0,0,U481/$B$8*100))</f>
        <v>66.83068283395</v>
      </c>
      <c r="Z481" s="18" t="n">
        <f aca="false">IF(D481="","",MAX(0,IF(P481&gt;=0,P481,IF(K481+P481&gt;=0,0,P481+K481))))</f>
        <v>31.5574484341912</v>
      </c>
      <c r="AA481" s="18" t="n">
        <f aca="false">IF(D481="","",IF(H481&lt;=$B$16,1,IF(H481&gt;=$B$17,$B$21,MATCH(H481,Aux_CAV!$A$2:$A$121,1))))</f>
        <v>12</v>
      </c>
      <c r="AB481" s="18" t="n">
        <f aca="false">IF(D481="","",IF(L481&lt;=$B$16,1,IF(L481&gt;=$B$17,$B$21,MATCH(L481,Aux_CAV!$A$2:$A$121,1))))</f>
        <v>12</v>
      </c>
      <c r="AC481" s="19" t="n">
        <f aca="false">IF(D481="","",COUNT($D$24:D481))</f>
        <v>446</v>
      </c>
    </row>
    <row r="482" customFormat="false" ht="12.75" hidden="false" customHeight="true" outlineLevel="0" collapsed="false">
      <c r="A482" s="14" t="n">
        <f aca="false">IF(D482="","",DATE(B482,C482,1))</f>
        <v>17593</v>
      </c>
      <c r="B482" s="15" t="n">
        <f aca="false" t="array" ref="B482:B482">IF(D482="","",IFERROR(VALUE(INDEX(Vazoes_COLAR!$A$2:$A$200,INT((ROW()-24)/12)+1)),""))</f>
        <v>1948</v>
      </c>
      <c r="C482" s="15" t="n">
        <f aca="false">IF(D482="","",MOD(ROW()-24,12)+1)</f>
        <v>3</v>
      </c>
      <c r="D482" s="16" t="n">
        <f aca="false" t="array" ref="D482: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3.78318806249109</v>
      </c>
      <c r="E482" s="16" t="n">
        <f aca="false">IF(D482="","",D482*$B$15)</f>
        <v>9.80602345797691</v>
      </c>
      <c r="F482" s="16" t="n">
        <f aca="false" t="array" ref="F482:F482">IF(D482="","",IFERROR(INDEX(Dados_Evap!$C$2:$N$15,MATCH($B$9,Dados_Evap!$A$2:$A$15,0),C482),0))</f>
        <v>107.7</v>
      </c>
      <c r="G482" s="16" t="n">
        <f aca="false">IF(F482="","",F482/1000)</f>
        <v>0.1077</v>
      </c>
      <c r="H482" s="16" t="n">
        <f aca="false">IF(D482="","",MAX(0,MIN($B$8,IFERROR(LOOKUP(2,1/($U$24:U481&lt;&gt;""),$U$24:U481),$B$11))))</f>
        <v>31.5574484341912</v>
      </c>
      <c r="I482" s="16" t="n">
        <f aca="false" t="array" ref="I482: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>5.39431745869753</v>
      </c>
      <c r="J482" s="16" t="n">
        <f aca="false">IF(D482="","",$B$12)</f>
        <v>0.35</v>
      </c>
      <c r="K482" s="16" t="n">
        <f aca="false">IF(J482="","",J482*$B$15)</f>
        <v>0.9072</v>
      </c>
      <c r="L482" s="16" t="n">
        <f aca="false">IF(D482="","",H482+E482-K482-G482*I482)</f>
        <v>39.8753039018664</v>
      </c>
      <c r="M482" s="16" t="n">
        <f aca="false" t="array" ref="M482: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>6.23668521661716</v>
      </c>
      <c r="N482" s="16" t="n">
        <f aca="false">IF(D482="","",(I482+M482)/2)</f>
        <v>5.81550133765735</v>
      </c>
      <c r="O482" s="16" t="n">
        <f aca="false">IF(D482="","",G482*N482)</f>
        <v>0.626329494065696</v>
      </c>
      <c r="P482" s="16" t="n">
        <f aca="false">IF(D482="","",H482+E482-K482-O482)</f>
        <v>39.8299423981024</v>
      </c>
      <c r="Q482" s="16" t="n">
        <f aca="false">IF(D482="","",IF(P482&gt;=0,K482,MAX(0,K482+P482)))</f>
        <v>0.9072</v>
      </c>
      <c r="R482" s="16" t="n">
        <f aca="false">IF(D482="","",Q482/$B$15)</f>
        <v>0.35</v>
      </c>
      <c r="S482" s="16" t="n">
        <f aca="false">IF(D482="","",MAX(0,J482-R482))</f>
        <v>0</v>
      </c>
      <c r="T482" s="16" t="n">
        <f aca="false">IF(D482="","",MAX(0,Z482-$B$8))</f>
        <v>0</v>
      </c>
      <c r="U482" s="16" t="n">
        <f aca="false">IF(D482="","",MAX(0,MIN($B$8,Z482)))</f>
        <v>39.8299423981024</v>
      </c>
      <c r="V482" s="16" t="str">
        <f aca="false">IF(D482="","",IF(S482&gt;0.0000001,"Sim","Não"))</f>
        <v>Não</v>
      </c>
      <c r="W482" s="16" t="n">
        <f aca="false">IF(D482="","",U482-(H482+E482-Q482-O482-T482))</f>
        <v>0</v>
      </c>
      <c r="X482" s="16" t="n">
        <f aca="false">IF(W482="","",ABS(W482))</f>
        <v>0</v>
      </c>
      <c r="Y482" s="16" t="n">
        <f aca="false">IF(U482="","",IF($B$8=0,0,U482/$B$8*100))</f>
        <v>84.3497297715002</v>
      </c>
      <c r="Z482" s="18" t="n">
        <f aca="false">IF(D482="","",MAX(0,IF(P482&gt;=0,P482,IF(K482+P482&gt;=0,0,P482+K482))))</f>
        <v>39.8299423981024</v>
      </c>
      <c r="AA482" s="18" t="n">
        <f aca="false">IF(D482="","",IF(H482&lt;=$B$16,1,IF(H482&gt;=$B$17,$B$21,MATCH(H482,Aux_CAV!$A$2:$A$121,1))))</f>
        <v>12</v>
      </c>
      <c r="AB482" s="18" t="n">
        <f aca="false">IF(D482="","",IF(L482&lt;=$B$16,1,IF(L482&gt;=$B$17,$B$21,MATCH(L482,Aux_CAV!$A$2:$A$121,1))))</f>
        <v>13</v>
      </c>
      <c r="AC482" s="19" t="n">
        <f aca="false">IF(D482="","",COUNT($D$24:D482))</f>
        <v>447</v>
      </c>
    </row>
    <row r="483" customFormat="false" ht="12.75" hidden="false" customHeight="true" outlineLevel="0" collapsed="false">
      <c r="A483" s="14" t="n">
        <f aca="false">IF(D483="","",DATE(B483,C483,1))</f>
        <v>17624</v>
      </c>
      <c r="B483" s="15" t="n">
        <f aca="false" t="array" ref="B483:B483">IF(D483="","",IFERROR(VALUE(INDEX(Vazoes_COLAR!$A$2:$A$200,INT((ROW()-24)/12)+1)),""))</f>
        <v>1948</v>
      </c>
      <c r="C483" s="15" t="n">
        <f aca="false">IF(D483="","",MOD(ROW()-24,12)+1)</f>
        <v>4</v>
      </c>
      <c r="D483" s="16" t="n">
        <f aca="false" t="array" ref="D483: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3.54187450535555</v>
      </c>
      <c r="E483" s="16" t="n">
        <f aca="false">IF(D483="","",D483*$B$15)</f>
        <v>9.18053871788159</v>
      </c>
      <c r="F483" s="16" t="n">
        <f aca="false" t="array" ref="F483:F483">IF(D483="","",IFERROR(INDEX(Dados_Evap!$C$2:$N$15,MATCH($B$9,Dados_Evap!$A$2:$A$15,0),C483),0))</f>
        <v>100.5</v>
      </c>
      <c r="G483" s="16" t="n">
        <f aca="false">IF(F483="","",F483/1000)</f>
        <v>0.1005</v>
      </c>
      <c r="H483" s="16" t="n">
        <f aca="false">IF(D483="","",MAX(0,MIN($B$8,IFERROR(LOOKUP(2,1/($U$24:U482&lt;&gt;""),$U$24:U482),$B$11))))</f>
        <v>39.8299423981024</v>
      </c>
      <c r="I483" s="16" t="n">
        <f aca="false" t="array" ref="I483: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>6.23215619855268</v>
      </c>
      <c r="J483" s="16" t="n">
        <f aca="false">IF(D483="","",$B$12)</f>
        <v>0.35</v>
      </c>
      <c r="K483" s="16" t="n">
        <f aca="false">IF(J483="","",J483*$B$15)</f>
        <v>0.9072</v>
      </c>
      <c r="L483" s="16" t="n">
        <f aca="false">IF(D483="","",H483+E483-K483-G483*I483)</f>
        <v>47.4769494180295</v>
      </c>
      <c r="M483" s="16" t="n">
        <f aca="false" t="array" ref="M483: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>7.00029078505225</v>
      </c>
      <c r="N483" s="16" t="n">
        <f aca="false">IF(D483="","",(I483+M483)/2)</f>
        <v>6.61622349180247</v>
      </c>
      <c r="O483" s="16" t="n">
        <f aca="false">IF(D483="","",G483*N483)</f>
        <v>0.664930460926148</v>
      </c>
      <c r="P483" s="16" t="n">
        <f aca="false">IF(D483="","",H483+E483-K483-O483)</f>
        <v>47.4383506550578</v>
      </c>
      <c r="Q483" s="16" t="n">
        <f aca="false">IF(D483="","",IF(P483&gt;=0,K483,MAX(0,K483+P483)))</f>
        <v>0.9072</v>
      </c>
      <c r="R483" s="16" t="n">
        <f aca="false">IF(D483="","",Q483/$B$15)</f>
        <v>0.35</v>
      </c>
      <c r="S483" s="16" t="n">
        <f aca="false">IF(D483="","",MAX(0,J483-R483))</f>
        <v>0</v>
      </c>
      <c r="T483" s="16" t="n">
        <f aca="false">IF(D483="","",MAX(0,Z483-$B$8))</f>
        <v>0.21835065505784</v>
      </c>
      <c r="U483" s="16" t="n">
        <f aca="false">IF(D483="","",MAX(0,MIN($B$8,Z483)))</f>
        <v>47.22</v>
      </c>
      <c r="V483" s="16" t="str">
        <f aca="false">IF(D483="","",IF(S483&gt;0.0000001,"Sim","Não"))</f>
        <v>Não</v>
      </c>
      <c r="W483" s="16" t="n">
        <f aca="false">IF(D483="","",U483-(H483+E483-Q483-O483-T483))</f>
        <v>0</v>
      </c>
      <c r="X483" s="16" t="n">
        <f aca="false">IF(W483="","",ABS(W483))</f>
        <v>0</v>
      </c>
      <c r="Y483" s="16" t="n">
        <f aca="false">IF(U483="","",IF($B$8=0,0,U483/$B$8*100))</f>
        <v>100</v>
      </c>
      <c r="Z483" s="18" t="n">
        <f aca="false">IF(D483="","",MAX(0,IF(P483&gt;=0,P483,IF(K483+P483&gt;=0,0,P483+K483))))</f>
        <v>47.4383506550578</v>
      </c>
      <c r="AA483" s="18" t="n">
        <f aca="false">IF(D483="","",IF(H483&lt;=$B$16,1,IF(H483&gt;=$B$17,$B$21,MATCH(H483,Aux_CAV!$A$2:$A$121,1))))</f>
        <v>13</v>
      </c>
      <c r="AB483" s="18" t="n">
        <f aca="false">IF(D483="","",IF(L483&lt;=$B$16,1,IF(L483&gt;=$B$17,$B$21,MATCH(L483,Aux_CAV!$A$2:$A$121,1))))</f>
        <v>14</v>
      </c>
      <c r="AC483" s="19" t="n">
        <f aca="false">IF(D483="","",COUNT($D$24:D483))</f>
        <v>448</v>
      </c>
    </row>
    <row r="484" customFormat="false" ht="12.75" hidden="false" customHeight="true" outlineLevel="0" collapsed="false">
      <c r="A484" s="14" t="n">
        <f aca="false">IF(D484="","",DATE(B484,C484,1))</f>
        <v>17654</v>
      </c>
      <c r="B484" s="15" t="n">
        <f aca="false" t="array" ref="B484:B484">IF(D484="","",IFERROR(VALUE(INDEX(Vazoes_COLAR!$A$2:$A$200,INT((ROW()-24)/12)+1)),""))</f>
        <v>1948</v>
      </c>
      <c r="C484" s="15" t="n">
        <f aca="false">IF(D484="","",MOD(ROW()-24,12)+1)</f>
        <v>5</v>
      </c>
      <c r="D484" s="16" t="n">
        <f aca="false" t="array" ref="D484: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1.26290213356165</v>
      </c>
      <c r="E484" s="16" t="n">
        <f aca="false">IF(D484="","",D484*$B$15)</f>
        <v>3.2734423301918</v>
      </c>
      <c r="F484" s="16" t="n">
        <f aca="false" t="array" ref="F484:F484">IF(D484="","",IFERROR(INDEX(Dados_Evap!$C$2:$N$15,MATCH($B$9,Dados_Evap!$A$2:$A$15,0),C484),0))</f>
        <v>145.8</v>
      </c>
      <c r="G484" s="16" t="n">
        <f aca="false">IF(F484="","",F484/1000)</f>
        <v>0.1458</v>
      </c>
      <c r="H484" s="16" t="n">
        <f aca="false">IF(D484="","",MAX(0,MIN($B$8,IFERROR(LOOKUP(2,1/($U$24:U483&lt;&gt;""),$U$24:U483),$B$11))))</f>
        <v>47.22</v>
      </c>
      <c r="I484" s="16" t="n">
        <f aca="false" t="array" ref="I484: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>6.97</v>
      </c>
      <c r="J484" s="16" t="n">
        <f aca="false">IF(D484="","",$B$12)</f>
        <v>0.35</v>
      </c>
      <c r="K484" s="16" t="n">
        <f aca="false">IF(J484="","",J484*$B$15)</f>
        <v>0.9072</v>
      </c>
      <c r="L484" s="16" t="n">
        <f aca="false">IF(D484="","",H484+E484-K484-G484*I484)</f>
        <v>48.5700163301918</v>
      </c>
      <c r="M484" s="16" t="n">
        <f aca="false" t="array" ref="M484: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>7.12914826656732</v>
      </c>
      <c r="N484" s="16" t="n">
        <f aca="false">IF(D484="","",(I484+M484)/2)</f>
        <v>7.04957413328366</v>
      </c>
      <c r="O484" s="16" t="n">
        <f aca="false">IF(D484="","",G484*N484)</f>
        <v>1.02782790863276</v>
      </c>
      <c r="P484" s="16" t="n">
        <f aca="false">IF(D484="","",H484+E484-K484-O484)</f>
        <v>48.558414421559</v>
      </c>
      <c r="Q484" s="16" t="n">
        <f aca="false">IF(D484="","",IF(P484&gt;=0,K484,MAX(0,K484+P484)))</f>
        <v>0.9072</v>
      </c>
      <c r="R484" s="16" t="n">
        <f aca="false">IF(D484="","",Q484/$B$15)</f>
        <v>0.35</v>
      </c>
      <c r="S484" s="16" t="n">
        <f aca="false">IF(D484="","",MAX(0,J484-R484))</f>
        <v>0</v>
      </c>
      <c r="T484" s="16" t="n">
        <f aca="false">IF(D484="","",MAX(0,Z484-$B$8))</f>
        <v>1.33841442155904</v>
      </c>
      <c r="U484" s="16" t="n">
        <f aca="false">IF(D484="","",MAX(0,MIN($B$8,Z484)))</f>
        <v>47.22</v>
      </c>
      <c r="V484" s="16" t="str">
        <f aca="false">IF(D484="","",IF(S484&gt;0.0000001,"Sim","Não"))</f>
        <v>Não</v>
      </c>
      <c r="W484" s="16" t="n">
        <f aca="false">IF(D484="","",U484-(H484+E484-Q484-O484-T484))</f>
        <v>0</v>
      </c>
      <c r="X484" s="16" t="n">
        <f aca="false">IF(W484="","",ABS(W484))</f>
        <v>0</v>
      </c>
      <c r="Y484" s="16" t="n">
        <f aca="false">IF(U484="","",IF($B$8=0,0,U484/$B$8*100))</f>
        <v>100</v>
      </c>
      <c r="Z484" s="18" t="n">
        <f aca="false">IF(D484="","",MAX(0,IF(P484&gt;=0,P484,IF(K484+P484&gt;=0,0,P484+K484))))</f>
        <v>48.558414421559</v>
      </c>
      <c r="AA484" s="18" t="n">
        <f aca="false">IF(D484="","",IF(H484&lt;=$B$16,1,IF(H484&gt;=$B$17,$B$21,MATCH(H484,Aux_CAV!$A$2:$A$121,1))))</f>
        <v>14</v>
      </c>
      <c r="AB484" s="18" t="n">
        <f aca="false">IF(D484="","",IF(L484&lt;=$B$16,1,IF(L484&gt;=$B$17,$B$21,MATCH(L484,Aux_CAV!$A$2:$A$121,1))))</f>
        <v>14</v>
      </c>
      <c r="AC484" s="19" t="n">
        <f aca="false">IF(D484="","",COUNT($D$24:D484))</f>
        <v>449</v>
      </c>
    </row>
    <row r="485" customFormat="false" ht="12.75" hidden="false" customHeight="true" outlineLevel="0" collapsed="false">
      <c r="A485" s="14" t="n">
        <f aca="false">IF(D485="","",DATE(B485,C485,1))</f>
        <v>17685</v>
      </c>
      <c r="B485" s="15" t="n">
        <f aca="false" t="array" ref="B485:B485">IF(D485="","",IFERROR(VALUE(INDEX(Vazoes_COLAR!$A$2:$A$200,INT((ROW()-24)/12)+1)),""))</f>
        <v>1948</v>
      </c>
      <c r="C485" s="15" t="n">
        <f aca="false">IF(D485="","",MOD(ROW()-24,12)+1)</f>
        <v>6</v>
      </c>
      <c r="D485" s="16" t="n">
        <f aca="false" t="array" ref="D485: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0.554025725053529</v>
      </c>
      <c r="E485" s="16" t="n">
        <f aca="false">IF(D485="","",D485*$B$15)</f>
        <v>1.43603467933875</v>
      </c>
      <c r="F485" s="16" t="n">
        <f aca="false" t="array" ref="F485:F485">IF(D485="","",IFERROR(INDEX(Dados_Evap!$C$2:$N$15,MATCH($B$9,Dados_Evap!$A$2:$A$15,0),C485),0))</f>
        <v>161.3</v>
      </c>
      <c r="G485" s="16" t="n">
        <f aca="false">IF(F485="","",F485/1000)</f>
        <v>0.1613</v>
      </c>
      <c r="H485" s="16" t="n">
        <f aca="false">IF(D485="","",MAX(0,MIN($B$8,IFERROR(LOOKUP(2,1/($U$24:U484&lt;&gt;""),$U$24:U484),$B$11))))</f>
        <v>47.22</v>
      </c>
      <c r="I485" s="16" t="n">
        <f aca="false" t="array" ref="I485: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>6.97</v>
      </c>
      <c r="J485" s="16" t="n">
        <f aca="false">IF(D485="","",$B$12)</f>
        <v>0.35</v>
      </c>
      <c r="K485" s="16" t="n">
        <f aca="false">IF(J485="","",J485*$B$15)</f>
        <v>0.9072</v>
      </c>
      <c r="L485" s="16" t="n">
        <f aca="false">IF(D485="","",H485+E485-K485-G485*I485)</f>
        <v>46.6245736793387</v>
      </c>
      <c r="M485" s="16" t="n">
        <f aca="false" t="array" ref="M485: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>6.91055098842455</v>
      </c>
      <c r="N485" s="16" t="n">
        <f aca="false">IF(D485="","",(I485+M485)/2)</f>
        <v>6.94027549421227</v>
      </c>
      <c r="O485" s="16" t="n">
        <f aca="false">IF(D485="","",G485*N485)</f>
        <v>1.11946643721644</v>
      </c>
      <c r="P485" s="16" t="n">
        <f aca="false">IF(D485="","",H485+E485-K485-O485)</f>
        <v>46.6293682421223</v>
      </c>
      <c r="Q485" s="16" t="n">
        <f aca="false">IF(D485="","",IF(P485&gt;=0,K485,MAX(0,K485+P485)))</f>
        <v>0.9072</v>
      </c>
      <c r="R485" s="16" t="n">
        <f aca="false">IF(D485="","",Q485/$B$15)</f>
        <v>0.35</v>
      </c>
      <c r="S485" s="16" t="n">
        <f aca="false">IF(D485="","",MAX(0,J485-R485))</f>
        <v>0</v>
      </c>
      <c r="T485" s="16" t="n">
        <f aca="false">IF(D485="","",MAX(0,Z485-$B$8))</f>
        <v>0</v>
      </c>
      <c r="U485" s="16" t="n">
        <f aca="false">IF(D485="","",MAX(0,MIN($B$8,Z485)))</f>
        <v>46.6293682421223</v>
      </c>
      <c r="V485" s="16" t="str">
        <f aca="false">IF(D485="","",IF(S485&gt;0.0000001,"Sim","Não"))</f>
        <v>Não</v>
      </c>
      <c r="W485" s="16" t="n">
        <f aca="false">IF(D485="","",U485-(H485+E485-Q485-O485-T485))</f>
        <v>0</v>
      </c>
      <c r="X485" s="16" t="n">
        <f aca="false">IF(W485="","",ABS(W485))</f>
        <v>0</v>
      </c>
      <c r="Y485" s="16" t="n">
        <f aca="false">IF(U485="","",IF($B$8=0,0,U485/$B$8*100))</f>
        <v>98.7491915335076</v>
      </c>
      <c r="Z485" s="18" t="n">
        <f aca="false">IF(D485="","",MAX(0,IF(P485&gt;=0,P485,IF(K485+P485&gt;=0,0,P485+K485))))</f>
        <v>46.6293682421223</v>
      </c>
      <c r="AA485" s="18" t="n">
        <f aca="false">IF(D485="","",IF(H485&lt;=$B$16,1,IF(H485&gt;=$B$17,$B$21,MATCH(H485,Aux_CAV!$A$2:$A$121,1))))</f>
        <v>14</v>
      </c>
      <c r="AB485" s="18" t="n">
        <f aca="false">IF(D485="","",IF(L485&lt;=$B$16,1,IF(L485&gt;=$B$17,$B$21,MATCH(L485,Aux_CAV!$A$2:$A$121,1))))</f>
        <v>13</v>
      </c>
      <c r="AC485" s="19" t="n">
        <f aca="false">IF(D485="","",COUNT($D$24:D485))</f>
        <v>450</v>
      </c>
    </row>
    <row r="486" customFormat="false" ht="12.75" hidden="false" customHeight="true" outlineLevel="0" collapsed="false">
      <c r="A486" s="14" t="n">
        <f aca="false">IF(D486="","",DATE(B486,C486,1))</f>
        <v>17715</v>
      </c>
      <c r="B486" s="15" t="n">
        <f aca="false" t="array" ref="B486:B486">IF(D486="","",IFERROR(VALUE(INDEX(Vazoes_COLAR!$A$2:$A$200,INT((ROW()-24)/12)+1)),""))</f>
        <v>1948</v>
      </c>
      <c r="C486" s="15" t="n">
        <f aca="false">IF(D486="","",MOD(ROW()-24,12)+1)</f>
        <v>7</v>
      </c>
      <c r="D486" s="16" t="n">
        <f aca="false" t="array" ref="D486: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0.350004997062675</v>
      </c>
      <c r="E486" s="16" t="n">
        <f aca="false">IF(D486="","",D486*$B$15)</f>
        <v>0.907212952386454</v>
      </c>
      <c r="F486" s="16" t="n">
        <f aca="false" t="array" ref="F486:F486">IF(D486="","",IFERROR(INDEX(Dados_Evap!$C$2:$N$15,MATCH($B$9,Dados_Evap!$A$2:$A$15,0),C486),0))</f>
        <v>224.8</v>
      </c>
      <c r="G486" s="16" t="n">
        <f aca="false">IF(F486="","",F486/1000)</f>
        <v>0.2248</v>
      </c>
      <c r="H486" s="16" t="n">
        <f aca="false">IF(D486="","",MAX(0,MIN($B$8,IFERROR(LOOKUP(2,1/($U$24:U485&lt;&gt;""),$U$24:U485),$B$11))))</f>
        <v>46.6293682421223</v>
      </c>
      <c r="I486" s="16" t="n">
        <f aca="false" t="array" ref="I486: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>6.91102969084083</v>
      </c>
      <c r="J486" s="16" t="n">
        <f aca="false">IF(D486="","",$B$12)</f>
        <v>0.35</v>
      </c>
      <c r="K486" s="16" t="n">
        <f aca="false">IF(J486="","",J486*$B$15)</f>
        <v>0.9072</v>
      </c>
      <c r="L486" s="16" t="n">
        <f aca="false">IF(D486="","",H486+E486-K486-G486*I486)</f>
        <v>45.0757817200077</v>
      </c>
      <c r="M486" s="16" t="n">
        <f aca="false" t="array" ref="M486: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>6.75591531323977</v>
      </c>
      <c r="N486" s="16" t="n">
        <f aca="false">IF(D486="","",(I486+M486)/2)</f>
        <v>6.8334725020403</v>
      </c>
      <c r="O486" s="16" t="n">
        <f aca="false">IF(D486="","",G486*N486)</f>
        <v>1.53616461845866</v>
      </c>
      <c r="P486" s="16" t="n">
        <f aca="false">IF(D486="","",H486+E486-K486-O486)</f>
        <v>45.0932165760501</v>
      </c>
      <c r="Q486" s="16" t="n">
        <f aca="false">IF(D486="","",IF(P486&gt;=0,K486,MAX(0,K486+P486)))</f>
        <v>0.9072</v>
      </c>
      <c r="R486" s="16" t="n">
        <f aca="false">IF(D486="","",Q486/$B$15)</f>
        <v>0.35</v>
      </c>
      <c r="S486" s="16" t="n">
        <f aca="false">IF(D486="","",MAX(0,J486-R486))</f>
        <v>0</v>
      </c>
      <c r="T486" s="16" t="n">
        <f aca="false">IF(D486="","",MAX(0,Z486-$B$8))</f>
        <v>0</v>
      </c>
      <c r="U486" s="16" t="n">
        <f aca="false">IF(D486="","",MAX(0,MIN($B$8,Z486)))</f>
        <v>45.0932165760501</v>
      </c>
      <c r="V486" s="16" t="str">
        <f aca="false">IF(D486="","",IF(S486&gt;0.0000001,"Sim","Não"))</f>
        <v>Não</v>
      </c>
      <c r="W486" s="16" t="n">
        <f aca="false">IF(D486="","",U486-(H486+E486-Q486-O486-T486))</f>
        <v>0</v>
      </c>
      <c r="X486" s="16" t="n">
        <f aca="false">IF(W486="","",ABS(W486))</f>
        <v>0</v>
      </c>
      <c r="Y486" s="16" t="n">
        <f aca="false">IF(U486="","",IF($B$8=0,0,U486/$B$8*100))</f>
        <v>95.4960113851124</v>
      </c>
      <c r="Z486" s="18" t="n">
        <f aca="false">IF(D486="","",MAX(0,IF(P486&gt;=0,P486,IF(K486+P486&gt;=0,0,P486+K486))))</f>
        <v>45.0932165760501</v>
      </c>
      <c r="AA486" s="18" t="n">
        <f aca="false">IF(D486="","",IF(H486&lt;=$B$16,1,IF(H486&gt;=$B$17,$B$21,MATCH(H486,Aux_CAV!$A$2:$A$121,1))))</f>
        <v>13</v>
      </c>
      <c r="AB486" s="18" t="n">
        <f aca="false">IF(D486="","",IF(L486&lt;=$B$16,1,IF(L486&gt;=$B$17,$B$21,MATCH(L486,Aux_CAV!$A$2:$A$121,1))))</f>
        <v>13</v>
      </c>
      <c r="AC486" s="19" t="n">
        <f aca="false">IF(D486="","",COUNT($D$24:D486))</f>
        <v>451</v>
      </c>
    </row>
    <row r="487" customFormat="false" ht="12.75" hidden="false" customHeight="true" outlineLevel="0" collapsed="false">
      <c r="A487" s="14" t="n">
        <f aca="false">IF(D487="","",DATE(B487,C487,1))</f>
        <v>17746</v>
      </c>
      <c r="B487" s="15" t="n">
        <f aca="false" t="array" ref="B487:B487">IF(D487="","",IFERROR(VALUE(INDEX(Vazoes_COLAR!$A$2:$A$200,INT((ROW()-24)/12)+1)),""))</f>
        <v>1948</v>
      </c>
      <c r="C487" s="15" t="n">
        <f aca="false">IF(D487="","",MOD(ROW()-24,12)+1)</f>
        <v>8</v>
      </c>
      <c r="D487" s="16" t="n">
        <f aca="false" t="array" ref="D487: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0.0542762385205528</v>
      </c>
      <c r="E487" s="16" t="n">
        <f aca="false">IF(D487="","",D487*$B$15)</f>
        <v>0.140684010245273</v>
      </c>
      <c r="F487" s="16" t="n">
        <f aca="false" t="array" ref="F487:F487">IF(D487="","",IFERROR(INDEX(Dados_Evap!$C$2:$N$15,MATCH($B$9,Dados_Evap!$A$2:$A$15,0),C487),0))</f>
        <v>268.7</v>
      </c>
      <c r="G487" s="16" t="n">
        <f aca="false">IF(F487="","",F487/1000)</f>
        <v>0.2687</v>
      </c>
      <c r="H487" s="16" t="n">
        <f aca="false">IF(D487="","",MAX(0,MIN($B$8,IFERROR(LOOKUP(2,1/($U$24:U486&lt;&gt;""),$U$24:U486),$B$11))))</f>
        <v>45.0932165760501</v>
      </c>
      <c r="I487" s="16" t="n">
        <f aca="false" t="array" ref="I487: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>6.75765605751444</v>
      </c>
      <c r="J487" s="16" t="n">
        <f aca="false">IF(D487="","",$B$12)</f>
        <v>0.35</v>
      </c>
      <c r="K487" s="16" t="n">
        <f aca="false">IF(J487="","",J487*$B$15)</f>
        <v>0.9072</v>
      </c>
      <c r="L487" s="16" t="n">
        <f aca="false">IF(D487="","",H487+E487-K487-G487*I487)</f>
        <v>42.5109184036412</v>
      </c>
      <c r="M487" s="16" t="n">
        <f aca="false" t="array" ref="M487: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>6.49983226199877</v>
      </c>
      <c r="N487" s="16" t="n">
        <f aca="false">IF(D487="","",(I487+M487)/2)</f>
        <v>6.6287441597566</v>
      </c>
      <c r="O487" s="16" t="n">
        <f aca="false">IF(D487="","",G487*N487)</f>
        <v>1.7811435557266</v>
      </c>
      <c r="P487" s="16" t="n">
        <f aca="false">IF(D487="","",H487+E487-K487-O487)</f>
        <v>42.5455570305688</v>
      </c>
      <c r="Q487" s="16" t="n">
        <f aca="false">IF(D487="","",IF(P487&gt;=0,K487,MAX(0,K487+P487)))</f>
        <v>0.9072</v>
      </c>
      <c r="R487" s="16" t="n">
        <f aca="false">IF(D487="","",Q487/$B$15)</f>
        <v>0.35</v>
      </c>
      <c r="S487" s="16" t="n">
        <f aca="false">IF(D487="","",MAX(0,J487-R487))</f>
        <v>0</v>
      </c>
      <c r="T487" s="16" t="n">
        <f aca="false">IF(D487="","",MAX(0,Z487-$B$8))</f>
        <v>0</v>
      </c>
      <c r="U487" s="16" t="n">
        <f aca="false">IF(D487="","",MAX(0,MIN($B$8,Z487)))</f>
        <v>42.5455570305688</v>
      </c>
      <c r="V487" s="16" t="str">
        <f aca="false">IF(D487="","",IF(S487&gt;0.0000001,"Sim","Não"))</f>
        <v>Não</v>
      </c>
      <c r="W487" s="16" t="n">
        <f aca="false">IF(D487="","",U487-(H487+E487-Q487-O487-T487))</f>
        <v>0</v>
      </c>
      <c r="X487" s="16" t="n">
        <f aca="false">IF(W487="","",ABS(W487))</f>
        <v>0</v>
      </c>
      <c r="Y487" s="16" t="n">
        <f aca="false">IF(U487="","",IF($B$8=0,0,U487/$B$8*100))</f>
        <v>90.1007137453807</v>
      </c>
      <c r="Z487" s="18" t="n">
        <f aca="false">IF(D487="","",MAX(0,IF(P487&gt;=0,P487,IF(K487+P487&gt;=0,0,P487+K487))))</f>
        <v>42.5455570305688</v>
      </c>
      <c r="AA487" s="18" t="n">
        <f aca="false">IF(D487="","",IF(H487&lt;=$B$16,1,IF(H487&gt;=$B$17,$B$21,MATCH(H487,Aux_CAV!$A$2:$A$121,1))))</f>
        <v>13</v>
      </c>
      <c r="AB487" s="18" t="n">
        <f aca="false">IF(D487="","",IF(L487&lt;=$B$16,1,IF(L487&gt;=$B$17,$B$21,MATCH(L487,Aux_CAV!$A$2:$A$121,1))))</f>
        <v>13</v>
      </c>
      <c r="AC487" s="19" t="n">
        <f aca="false">IF(D487="","",COUNT($D$24:D487))</f>
        <v>452</v>
      </c>
    </row>
    <row r="488" customFormat="false" ht="12.75" hidden="false" customHeight="true" outlineLevel="0" collapsed="false">
      <c r="A488" s="14" t="n">
        <f aca="false">IF(D488="","",DATE(B488,C488,1))</f>
        <v>17777</v>
      </c>
      <c r="B488" s="15" t="n">
        <f aca="false" t="array" ref="B488:B488">IF(D488="","",IFERROR(VALUE(INDEX(Vazoes_COLAR!$A$2:$A$200,INT((ROW()-24)/12)+1)),""))</f>
        <v>1948</v>
      </c>
      <c r="C488" s="15" t="n">
        <f aca="false">IF(D488="","",MOD(ROW()-24,12)+1)</f>
        <v>9</v>
      </c>
      <c r="D488" s="16" t="n">
        <f aca="false" t="array" ref="D488: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0.0219514128749391</v>
      </c>
      <c r="E488" s="16" t="n">
        <f aca="false">IF(D488="","",D488*$B$15)</f>
        <v>0.0568980621718422</v>
      </c>
      <c r="F488" s="16" t="n">
        <f aca="false" t="array" ref="F488:F488">IF(D488="","",IFERROR(INDEX(Dados_Evap!$C$2:$N$15,MATCH($B$9,Dados_Evap!$A$2:$A$15,0),C488),0))</f>
        <v>292.8</v>
      </c>
      <c r="G488" s="16" t="n">
        <f aca="false">IF(F488="","",F488/1000)</f>
        <v>0.2928</v>
      </c>
      <c r="H488" s="16" t="n">
        <f aca="false">IF(D488="","",MAX(0,MIN($B$8,IFERROR(LOOKUP(2,1/($U$24:U487&lt;&gt;""),$U$24:U487),$B$11))))</f>
        <v>42.5455570305688</v>
      </c>
      <c r="I488" s="16" t="n">
        <f aca="false" t="array" ref="I488: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>6.50329067836654</v>
      </c>
      <c r="J488" s="16" t="n">
        <f aca="false">IF(D488="","",$B$12)</f>
        <v>0.35</v>
      </c>
      <c r="K488" s="16" t="n">
        <f aca="false">IF(J488="","",J488*$B$15)</f>
        <v>0.9072</v>
      </c>
      <c r="L488" s="16" t="n">
        <f aca="false">IF(D488="","",H488+E488-K488-G488*I488)</f>
        <v>39.7910915821149</v>
      </c>
      <c r="M488" s="16" t="n">
        <f aca="false" t="array" ref="M488: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>6.22827722557279</v>
      </c>
      <c r="N488" s="16" t="n">
        <f aca="false">IF(D488="","",(I488+M488)/2)</f>
        <v>6.36578395196966</v>
      </c>
      <c r="O488" s="16" t="n">
        <f aca="false">IF(D488="","",G488*N488)</f>
        <v>1.86390154113672</v>
      </c>
      <c r="P488" s="16" t="n">
        <f aca="false">IF(D488="","",H488+E488-K488-O488)</f>
        <v>39.8313535516039</v>
      </c>
      <c r="Q488" s="16" t="n">
        <f aca="false">IF(D488="","",IF(P488&gt;=0,K488,MAX(0,K488+P488)))</f>
        <v>0.9072</v>
      </c>
      <c r="R488" s="16" t="n">
        <f aca="false">IF(D488="","",Q488/$B$15)</f>
        <v>0.35</v>
      </c>
      <c r="S488" s="16" t="n">
        <f aca="false">IF(D488="","",MAX(0,J488-R488))</f>
        <v>0</v>
      </c>
      <c r="T488" s="16" t="n">
        <f aca="false">IF(D488="","",MAX(0,Z488-$B$8))</f>
        <v>0</v>
      </c>
      <c r="U488" s="16" t="n">
        <f aca="false">IF(D488="","",MAX(0,MIN($B$8,Z488)))</f>
        <v>39.8313535516039</v>
      </c>
      <c r="V488" s="16" t="str">
        <f aca="false">IF(D488="","",IF(S488&gt;0.0000001,"Sim","Não"))</f>
        <v>Não</v>
      </c>
      <c r="W488" s="16" t="n">
        <f aca="false">IF(D488="","",U488-(H488+E488-Q488-O488-T488))</f>
        <v>0</v>
      </c>
      <c r="X488" s="16" t="n">
        <f aca="false">IF(W488="","",ABS(W488))</f>
        <v>0</v>
      </c>
      <c r="Y488" s="16" t="n">
        <f aca="false">IF(U488="","",IF($B$8=0,0,U488/$B$8*100))</f>
        <v>84.3527182371959</v>
      </c>
      <c r="Z488" s="18" t="n">
        <f aca="false">IF(D488="","",MAX(0,IF(P488&gt;=0,P488,IF(K488+P488&gt;=0,0,P488+K488))))</f>
        <v>39.8313535516039</v>
      </c>
      <c r="AA488" s="18" t="n">
        <f aca="false">IF(D488="","",IF(H488&lt;=$B$16,1,IF(H488&gt;=$B$17,$B$21,MATCH(H488,Aux_CAV!$A$2:$A$121,1))))</f>
        <v>13</v>
      </c>
      <c r="AB488" s="18" t="n">
        <f aca="false">IF(D488="","",IF(L488&lt;=$B$16,1,IF(L488&gt;=$B$17,$B$21,MATCH(L488,Aux_CAV!$A$2:$A$121,1))))</f>
        <v>13</v>
      </c>
      <c r="AC488" s="19" t="n">
        <f aca="false">IF(D488="","",COUNT($D$24:D488))</f>
        <v>453</v>
      </c>
    </row>
    <row r="489" customFormat="false" ht="12.75" hidden="false" customHeight="true" outlineLevel="0" collapsed="false">
      <c r="A489" s="14" t="n">
        <f aca="false">IF(D489="","",DATE(B489,C489,1))</f>
        <v>17807</v>
      </c>
      <c r="B489" s="15" t="n">
        <f aca="false" t="array" ref="B489:B489">IF(D489="","",IFERROR(VALUE(INDEX(Vazoes_COLAR!$A$2:$A$200,INT((ROW()-24)/12)+1)),""))</f>
        <v>1948</v>
      </c>
      <c r="C489" s="15" t="n">
        <f aca="false">IF(D489="","",MOD(ROW()-24,12)+1)</f>
        <v>10</v>
      </c>
      <c r="D489" s="16" t="n">
        <f aca="false" t="array" ref="D489: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0.0221746844834628</v>
      </c>
      <c r="E489" s="16" t="n">
        <f aca="false">IF(D489="","",D489*$B$15)</f>
        <v>0.0574767821811356</v>
      </c>
      <c r="F489" s="16" t="n">
        <f aca="false" t="array" ref="F489:F489">IF(D489="","",IFERROR(INDEX(Dados_Evap!$C$2:$N$15,MATCH($B$9,Dados_Evap!$A$2:$A$15,0),C489),0))</f>
        <v>262.9</v>
      </c>
      <c r="G489" s="16" t="n">
        <f aca="false">IF(F489="","",F489/1000)</f>
        <v>0.2629</v>
      </c>
      <c r="H489" s="16" t="n">
        <f aca="false">IF(D489="","",MAX(0,MIN($B$8,IFERROR(LOOKUP(2,1/($U$24:U488&lt;&gt;""),$U$24:U488),$B$11))))</f>
        <v>39.8313535516039</v>
      </c>
      <c r="I489" s="16" t="n">
        <f aca="false" t="array" ref="I489: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>6.23229709202334</v>
      </c>
      <c r="J489" s="16" t="n">
        <f aca="false">IF(D489="","",$B$12)</f>
        <v>0.35</v>
      </c>
      <c r="K489" s="16" t="n">
        <f aca="false">IF(J489="","",J489*$B$15)</f>
        <v>0.9072</v>
      </c>
      <c r="L489" s="16" t="n">
        <f aca="false">IF(D489="","",H489+E489-K489-G489*I489)</f>
        <v>37.3431594282921</v>
      </c>
      <c r="M489" s="16" t="n">
        <f aca="false" t="array" ref="M489: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>5.98386890518325</v>
      </c>
      <c r="N489" s="16" t="n">
        <f aca="false">IF(D489="","",(I489+M489)/2)</f>
        <v>6.1080829986033</v>
      </c>
      <c r="O489" s="16" t="n">
        <f aca="false">IF(D489="","",G489*N489)</f>
        <v>1.60581502033281</v>
      </c>
      <c r="P489" s="16" t="n">
        <f aca="false">IF(D489="","",H489+E489-K489-O489)</f>
        <v>37.3758153134522</v>
      </c>
      <c r="Q489" s="16" t="n">
        <f aca="false">IF(D489="","",IF(P489&gt;=0,K489,MAX(0,K489+P489)))</f>
        <v>0.9072</v>
      </c>
      <c r="R489" s="16" t="n">
        <f aca="false">IF(D489="","",Q489/$B$15)</f>
        <v>0.35</v>
      </c>
      <c r="S489" s="16" t="n">
        <f aca="false">IF(D489="","",MAX(0,J489-R489))</f>
        <v>0</v>
      </c>
      <c r="T489" s="16" t="n">
        <f aca="false">IF(D489="","",MAX(0,Z489-$B$8))</f>
        <v>0</v>
      </c>
      <c r="U489" s="16" t="n">
        <f aca="false">IF(D489="","",MAX(0,MIN($B$8,Z489)))</f>
        <v>37.3758153134522</v>
      </c>
      <c r="V489" s="16" t="str">
        <f aca="false">IF(D489="","",IF(S489&gt;0.0000001,"Sim","Não"))</f>
        <v>Não</v>
      </c>
      <c r="W489" s="16" t="n">
        <f aca="false">IF(D489="","",U489-(H489+E489-Q489-O489-T489))</f>
        <v>0</v>
      </c>
      <c r="X489" s="16" t="n">
        <f aca="false">IF(W489="","",ABS(W489))</f>
        <v>0</v>
      </c>
      <c r="Y489" s="16" t="n">
        <f aca="false">IF(U489="","",IF($B$8=0,0,U489/$B$8*100))</f>
        <v>79.1525101936726</v>
      </c>
      <c r="Z489" s="18" t="n">
        <f aca="false">IF(D489="","",MAX(0,IF(P489&gt;=0,P489,IF(K489+P489&gt;=0,0,P489+K489))))</f>
        <v>37.3758153134522</v>
      </c>
      <c r="AA489" s="18" t="n">
        <f aca="false">IF(D489="","",IF(H489&lt;=$B$16,1,IF(H489&gt;=$B$17,$B$21,MATCH(H489,Aux_CAV!$A$2:$A$121,1))))</f>
        <v>13</v>
      </c>
      <c r="AB489" s="18" t="n">
        <f aca="false">IF(D489="","",IF(L489&lt;=$B$16,1,IF(L489&gt;=$B$17,$B$21,MATCH(L489,Aux_CAV!$A$2:$A$121,1))))</f>
        <v>13</v>
      </c>
      <c r="AC489" s="19" t="n">
        <f aca="false">IF(D489="","",COUNT($D$24:D489))</f>
        <v>454</v>
      </c>
    </row>
    <row r="490" customFormat="false" ht="12.75" hidden="false" customHeight="true" outlineLevel="0" collapsed="false">
      <c r="A490" s="14" t="n">
        <f aca="false">IF(D490="","",DATE(B490,C490,1))</f>
        <v>17838</v>
      </c>
      <c r="B490" s="15" t="n">
        <f aca="false" t="array" ref="B490:B490">IF(D490="","",IFERROR(VALUE(INDEX(Vazoes_COLAR!$A$2:$A$200,INT((ROW()-24)/12)+1)),""))</f>
        <v>1948</v>
      </c>
      <c r="C490" s="15" t="n">
        <f aca="false">IF(D490="","",MOD(ROW()-24,12)+1)</f>
        <v>11</v>
      </c>
      <c r="D490" s="16" t="n">
        <f aca="false" t="array" ref="D490: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0.0249171539519444</v>
      </c>
      <c r="E490" s="16" t="n">
        <f aca="false">IF(D490="","",D490*$B$15)</f>
        <v>0.0645852630434399</v>
      </c>
      <c r="F490" s="16" t="n">
        <f aca="false" t="array" ref="F490:F490">IF(D490="","",IFERROR(INDEX(Dados_Evap!$C$2:$N$15,MATCH($B$9,Dados_Evap!$A$2:$A$15,0),C490),0))</f>
        <v>223.7</v>
      </c>
      <c r="G490" s="16" t="n">
        <f aca="false">IF(F490="","",F490/1000)</f>
        <v>0.2237</v>
      </c>
      <c r="H490" s="16" t="n">
        <f aca="false">IF(D490="","",MAX(0,MIN($B$8,IFERROR(LOOKUP(2,1/($U$24:U489&lt;&gt;""),$U$24:U489),$B$11))))</f>
        <v>37.3758153134522</v>
      </c>
      <c r="I490" s="16" t="n">
        <f aca="false" t="array" ref="I490: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>5.98712935912613</v>
      </c>
      <c r="J490" s="16" t="n">
        <f aca="false">IF(D490="","",$B$12)</f>
        <v>0.35</v>
      </c>
      <c r="K490" s="16" t="n">
        <f aca="false">IF(J490="","",J490*$B$15)</f>
        <v>0.9072</v>
      </c>
      <c r="L490" s="16" t="n">
        <f aca="false">IF(D490="","",H490+E490-K490-G490*I490)</f>
        <v>35.1938797388591</v>
      </c>
      <c r="M490" s="16" t="n">
        <f aca="false" t="array" ref="M490: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>5.76927887329804</v>
      </c>
      <c r="N490" s="16" t="n">
        <f aca="false">IF(D490="","",(I490+M490)/2)</f>
        <v>5.87820411621208</v>
      </c>
      <c r="O490" s="16" t="n">
        <f aca="false">IF(D490="","",G490*N490)</f>
        <v>1.31495426079664</v>
      </c>
      <c r="P490" s="16" t="n">
        <f aca="false">IF(D490="","",H490+E490-K490-O490)</f>
        <v>35.218246315699</v>
      </c>
      <c r="Q490" s="16" t="n">
        <f aca="false">IF(D490="","",IF(P490&gt;=0,K490,MAX(0,K490+P490)))</f>
        <v>0.9072</v>
      </c>
      <c r="R490" s="16" t="n">
        <f aca="false">IF(D490="","",Q490/$B$15)</f>
        <v>0.35</v>
      </c>
      <c r="S490" s="16" t="n">
        <f aca="false">IF(D490="","",MAX(0,J490-R490))</f>
        <v>0</v>
      </c>
      <c r="T490" s="16" t="n">
        <f aca="false">IF(D490="","",MAX(0,Z490-$B$8))</f>
        <v>0</v>
      </c>
      <c r="U490" s="16" t="n">
        <f aca="false">IF(D490="","",MAX(0,MIN($B$8,Z490)))</f>
        <v>35.218246315699</v>
      </c>
      <c r="V490" s="16" t="str">
        <f aca="false">IF(D490="","",IF(S490&gt;0.0000001,"Sim","Não"))</f>
        <v>Não</v>
      </c>
      <c r="W490" s="16" t="n">
        <f aca="false">IF(D490="","",U490-(H490+E490-Q490-O490-T490))</f>
        <v>0</v>
      </c>
      <c r="X490" s="16" t="n">
        <f aca="false">IF(W490="","",ABS(W490))</f>
        <v>0</v>
      </c>
      <c r="Y490" s="16" t="n">
        <f aca="false">IF(U490="","",IF($B$8=0,0,U490/$B$8*100))</f>
        <v>74.583325530917</v>
      </c>
      <c r="Z490" s="18" t="n">
        <f aca="false">IF(D490="","",MAX(0,IF(P490&gt;=0,P490,IF(K490+P490&gt;=0,0,P490+K490))))</f>
        <v>35.218246315699</v>
      </c>
      <c r="AA490" s="18" t="n">
        <f aca="false">IF(D490="","",IF(H490&lt;=$B$16,1,IF(H490&gt;=$B$17,$B$21,MATCH(H490,Aux_CAV!$A$2:$A$121,1))))</f>
        <v>13</v>
      </c>
      <c r="AB490" s="18" t="n">
        <f aca="false">IF(D490="","",IF(L490&lt;=$B$16,1,IF(L490&gt;=$B$17,$B$21,MATCH(L490,Aux_CAV!$A$2:$A$121,1))))</f>
        <v>13</v>
      </c>
      <c r="AC490" s="19" t="n">
        <f aca="false">IF(D490="","",COUNT($D$24:D490))</f>
        <v>455</v>
      </c>
    </row>
    <row r="491" customFormat="false" ht="12.75" hidden="false" customHeight="true" outlineLevel="0" collapsed="false">
      <c r="A491" s="14" t="n">
        <f aca="false">IF(D491="","",DATE(B491,C491,1))</f>
        <v>17868</v>
      </c>
      <c r="B491" s="15" t="n">
        <f aca="false" t="array" ref="B491:B491">IF(D491="","",IFERROR(VALUE(INDEX(Vazoes_COLAR!$A$2:$A$200,INT((ROW()-24)/12)+1)),""))</f>
        <v>1948</v>
      </c>
      <c r="C491" s="15" t="n">
        <f aca="false">IF(D491="","",MOD(ROW()-24,12)+1)</f>
        <v>12</v>
      </c>
      <c r="D491" s="16" t="n">
        <f aca="false" t="array" ref="D491: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0.0619063646906037</v>
      </c>
      <c r="E491" s="16" t="n">
        <f aca="false">IF(D491="","",D491*$B$15)</f>
        <v>0.160461297278045</v>
      </c>
      <c r="F491" s="16" t="n">
        <f aca="false" t="array" ref="F491:F491">IF(D491="","",IFERROR(INDEX(Dados_Evap!$C$2:$N$15,MATCH($B$9,Dados_Evap!$A$2:$A$15,0),C491),0))</f>
        <v>216.1</v>
      </c>
      <c r="G491" s="16" t="n">
        <f aca="false">IF(F491="","",F491/1000)</f>
        <v>0.2161</v>
      </c>
      <c r="H491" s="16" t="n">
        <f aca="false">IF(D491="","",MAX(0,MIN($B$8,IFERROR(LOOKUP(2,1/($U$24:U490&lt;&gt;""),$U$24:U490),$B$11))))</f>
        <v>35.218246315699</v>
      </c>
      <c r="I491" s="16" t="n">
        <f aca="false" t="array" ref="I491: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>5.77171169975926</v>
      </c>
      <c r="J491" s="16" t="n">
        <f aca="false">IF(D491="","",$B$12)</f>
        <v>0.35</v>
      </c>
      <c r="K491" s="16" t="n">
        <f aca="false">IF(J491="","",J491*$B$15)</f>
        <v>0.9072</v>
      </c>
      <c r="L491" s="16" t="n">
        <f aca="false">IF(D491="","",H491+E491-K491-G491*I491)</f>
        <v>33.2242407146591</v>
      </c>
      <c r="M491" s="16" t="n">
        <f aca="false" t="array" ref="M491: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>5.56746966647429</v>
      </c>
      <c r="N491" s="16" t="n">
        <f aca="false">IF(D491="","",(I491+M491)/2)</f>
        <v>5.66959068311678</v>
      </c>
      <c r="O491" s="16" t="n">
        <f aca="false">IF(D491="","",G491*N491)</f>
        <v>1.22519854662154</v>
      </c>
      <c r="P491" s="16" t="n">
        <f aca="false">IF(D491="","",H491+E491-K491-O491)</f>
        <v>33.2463090663555</v>
      </c>
      <c r="Q491" s="16" t="n">
        <f aca="false">IF(D491="","",IF(P491&gt;=0,K491,MAX(0,K491+P491)))</f>
        <v>0.9072</v>
      </c>
      <c r="R491" s="16" t="n">
        <f aca="false">IF(D491="","",Q491/$B$15)</f>
        <v>0.35</v>
      </c>
      <c r="S491" s="16" t="n">
        <f aca="false">IF(D491="","",MAX(0,J491-R491))</f>
        <v>0</v>
      </c>
      <c r="T491" s="16" t="n">
        <f aca="false">IF(D491="","",MAX(0,Z491-$B$8))</f>
        <v>0</v>
      </c>
      <c r="U491" s="16" t="n">
        <f aca="false">IF(D491="","",MAX(0,MIN($B$8,Z491)))</f>
        <v>33.2463090663555</v>
      </c>
      <c r="V491" s="16" t="str">
        <f aca="false">IF(D491="","",IF(S491&gt;0.0000001,"Sim","Não"))</f>
        <v>Não</v>
      </c>
      <c r="W491" s="16" t="n">
        <f aca="false">IF(D491="","",U491-(H491+E491-Q491-O491-T491))</f>
        <v>0</v>
      </c>
      <c r="X491" s="16" t="n">
        <f aca="false">IF(W491="","",ABS(W491))</f>
        <v>0</v>
      </c>
      <c r="Y491" s="16" t="n">
        <f aca="false">IF(U491="","",IF($B$8=0,0,U491/$B$8*100))</f>
        <v>70.4072618940185</v>
      </c>
      <c r="Z491" s="18" t="n">
        <f aca="false">IF(D491="","",MAX(0,IF(P491&gt;=0,P491,IF(K491+P491&gt;=0,0,P491+K491))))</f>
        <v>33.2463090663555</v>
      </c>
      <c r="AA491" s="18" t="n">
        <f aca="false">IF(D491="","",IF(H491&lt;=$B$16,1,IF(H491&gt;=$B$17,$B$21,MATCH(H491,Aux_CAV!$A$2:$A$121,1))))</f>
        <v>13</v>
      </c>
      <c r="AB491" s="18" t="n">
        <f aca="false">IF(D491="","",IF(L491&lt;=$B$16,1,IF(L491&gt;=$B$17,$B$21,MATCH(L491,Aux_CAV!$A$2:$A$121,1))))</f>
        <v>12</v>
      </c>
      <c r="AC491" s="19" t="n">
        <f aca="false">IF(D491="","",COUNT($D$24:D491))</f>
        <v>456</v>
      </c>
    </row>
    <row r="492" customFormat="false" ht="12.75" hidden="false" customHeight="true" outlineLevel="0" collapsed="false">
      <c r="A492" s="14" t="n">
        <f aca="false">IF(D492="","",DATE(B492,C492,1))</f>
        <v>17899</v>
      </c>
      <c r="B492" s="15" t="n">
        <f aca="false" t="array" ref="B492:B492">IF(D492="","",IFERROR(VALUE(INDEX(Vazoes_COLAR!$A$2:$A$200,INT((ROW()-24)/12)+1)),""))</f>
        <v>1949</v>
      </c>
      <c r="C492" s="15" t="n">
        <f aca="false">IF(D492="","",MOD(ROW()-24,12)+1)</f>
        <v>1</v>
      </c>
      <c r="D492" s="16" t="n">
        <f aca="false" t="array" ref="D492: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0.0278965660968301</v>
      </c>
      <c r="E492" s="16" t="n">
        <f aca="false">IF(D492="","",D492*$B$15)</f>
        <v>0.0723078993229836</v>
      </c>
      <c r="F492" s="16" t="n">
        <f aca="false" t="array" ref="F492:F492">IF(D492="","",IFERROR(INDEX(Dados_Evap!$C$2:$N$15,MATCH($B$9,Dados_Evap!$A$2:$A$15,0),C492),0))</f>
        <v>160</v>
      </c>
      <c r="G492" s="16" t="n">
        <f aca="false">IF(F492="","",F492/1000)</f>
        <v>0.16</v>
      </c>
      <c r="H492" s="16" t="n">
        <f aca="false">IF(D492="","",MAX(0,MIN($B$8,IFERROR(LOOKUP(2,1/($U$24:U491&lt;&gt;""),$U$24:U491),$B$11))))</f>
        <v>33.2463090663555</v>
      </c>
      <c r="I492" s="16" t="n">
        <f aca="false" t="array" ref="I492: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>5.56976220398062</v>
      </c>
      <c r="J492" s="16" t="n">
        <f aca="false">IF(D492="","",$B$12)</f>
        <v>0.35</v>
      </c>
      <c r="K492" s="16" t="n">
        <f aca="false">IF(J492="","",J492*$B$15)</f>
        <v>0.9072</v>
      </c>
      <c r="L492" s="16" t="n">
        <f aca="false">IF(D492="","",H492+E492-K492-G492*I492)</f>
        <v>31.5202550130416</v>
      </c>
      <c r="M492" s="16" t="n">
        <f aca="false" t="array" ref="M492: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>5.39045367611209</v>
      </c>
      <c r="N492" s="16" t="n">
        <f aca="false">IF(D492="","",(I492+M492)/2)</f>
        <v>5.48010794004636</v>
      </c>
      <c r="O492" s="16" t="n">
        <f aca="false">IF(D492="","",G492*N492)</f>
        <v>0.876817270407417</v>
      </c>
      <c r="P492" s="16" t="n">
        <f aca="false">IF(D492="","",H492+E492-K492-O492)</f>
        <v>31.5345996952711</v>
      </c>
      <c r="Q492" s="16" t="n">
        <f aca="false">IF(D492="","",IF(P492&gt;=0,K492,MAX(0,K492+P492)))</f>
        <v>0.9072</v>
      </c>
      <c r="R492" s="16" t="n">
        <f aca="false">IF(D492="","",Q492/$B$15)</f>
        <v>0.35</v>
      </c>
      <c r="S492" s="16" t="n">
        <f aca="false">IF(D492="","",MAX(0,J492-R492))</f>
        <v>0</v>
      </c>
      <c r="T492" s="16" t="n">
        <f aca="false">IF(D492="","",MAX(0,Z492-$B$8))</f>
        <v>0</v>
      </c>
      <c r="U492" s="16" t="n">
        <f aca="false">IF(D492="","",MAX(0,MIN($B$8,Z492)))</f>
        <v>31.5345996952711</v>
      </c>
      <c r="V492" s="16" t="str">
        <f aca="false">IF(D492="","",IF(S492&gt;0.0000001,"Sim","Não"))</f>
        <v>Não</v>
      </c>
      <c r="W492" s="16" t="n">
        <f aca="false">IF(D492="","",U492-(H492+E492-Q492-O492-T492))</f>
        <v>0</v>
      </c>
      <c r="X492" s="16" t="n">
        <f aca="false">IF(W492="","",ABS(W492))</f>
        <v>0</v>
      </c>
      <c r="Y492" s="16" t="n">
        <f aca="false">IF(U492="","",IF($B$8=0,0,U492/$B$8*100))</f>
        <v>66.7822949921031</v>
      </c>
      <c r="Z492" s="18" t="n">
        <f aca="false">IF(D492="","",MAX(0,IF(P492&gt;=0,P492,IF(K492+P492&gt;=0,0,P492+K492))))</f>
        <v>31.5345996952711</v>
      </c>
      <c r="AA492" s="18" t="n">
        <f aca="false">IF(D492="","",IF(H492&lt;=$B$16,1,IF(H492&gt;=$B$17,$B$21,MATCH(H492,Aux_CAV!$A$2:$A$121,1))))</f>
        <v>12</v>
      </c>
      <c r="AB492" s="18" t="n">
        <f aca="false">IF(D492="","",IF(L492&lt;=$B$16,1,IF(L492&gt;=$B$17,$B$21,MATCH(L492,Aux_CAV!$A$2:$A$121,1))))</f>
        <v>12</v>
      </c>
      <c r="AC492" s="19" t="n">
        <f aca="false">IF(D492="","",COUNT($D$24:D492))</f>
        <v>457</v>
      </c>
    </row>
    <row r="493" customFormat="false" ht="12.75" hidden="false" customHeight="true" outlineLevel="0" collapsed="false">
      <c r="A493" s="14" t="n">
        <f aca="false">IF(D493="","",DATE(B493,C493,1))</f>
        <v>17930</v>
      </c>
      <c r="B493" s="15" t="n">
        <f aca="false" t="array" ref="B493:B493">IF(D493="","",IFERROR(VALUE(INDEX(Vazoes_COLAR!$A$2:$A$200,INT((ROW()-24)/12)+1)),""))</f>
        <v>1949</v>
      </c>
      <c r="C493" s="15" t="n">
        <f aca="false">IF(D493="","",MOD(ROW()-24,12)+1)</f>
        <v>2</v>
      </c>
      <c r="D493" s="16" t="n">
        <f aca="false" t="array" ref="D493: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0.263188118083492</v>
      </c>
      <c r="E493" s="16" t="n">
        <f aca="false">IF(D493="","",D493*$B$15)</f>
        <v>0.682183602072411</v>
      </c>
      <c r="F493" s="16" t="n">
        <f aca="false" t="array" ref="F493:F493">IF(D493="","",IFERROR(INDEX(Dados_Evap!$C$2:$N$15,MATCH($B$9,Dados_Evap!$A$2:$A$15,0),C493),0))</f>
        <v>124.3</v>
      </c>
      <c r="G493" s="16" t="n">
        <f aca="false">IF(F493="","",F493/1000)</f>
        <v>0.1243</v>
      </c>
      <c r="H493" s="16" t="n">
        <f aca="false">IF(D493="","",MAX(0,MIN($B$8,IFERROR(LOOKUP(2,1/($U$24:U492&lt;&gt;""),$U$24:U492),$B$11))))</f>
        <v>31.5345996952711</v>
      </c>
      <c r="I493" s="16" t="n">
        <f aca="false" t="array" ref="I493: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>5.39194385183884</v>
      </c>
      <c r="J493" s="16" t="n">
        <f aca="false">IF(D493="","",$B$12)</f>
        <v>0.35</v>
      </c>
      <c r="K493" s="16" t="n">
        <f aca="false">IF(J493="","",J493*$B$15)</f>
        <v>0.9072</v>
      </c>
      <c r="L493" s="16" t="n">
        <f aca="false">IF(D493="","",H493+E493-K493-G493*I493)</f>
        <v>30.6393646765599</v>
      </c>
      <c r="M493" s="16" t="n">
        <f aca="false" t="array" ref="M493: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>5.29894370911836</v>
      </c>
      <c r="N493" s="16" t="n">
        <f aca="false">IF(D493="","",(I493+M493)/2)</f>
        <v>5.3454437804786</v>
      </c>
      <c r="O493" s="16" t="n">
        <f aca="false">IF(D493="","",G493*N493)</f>
        <v>0.66443866191349</v>
      </c>
      <c r="P493" s="16" t="n">
        <f aca="false">IF(D493="","",H493+E493-K493-O493)</f>
        <v>30.64514463543</v>
      </c>
      <c r="Q493" s="16" t="n">
        <f aca="false">IF(D493="","",IF(P493&gt;=0,K493,MAX(0,K493+P493)))</f>
        <v>0.9072</v>
      </c>
      <c r="R493" s="16" t="n">
        <f aca="false">IF(D493="","",Q493/$B$15)</f>
        <v>0.35</v>
      </c>
      <c r="S493" s="16" t="n">
        <f aca="false">IF(D493="","",MAX(0,J493-R493))</f>
        <v>0</v>
      </c>
      <c r="T493" s="16" t="n">
        <f aca="false">IF(D493="","",MAX(0,Z493-$B$8))</f>
        <v>0</v>
      </c>
      <c r="U493" s="16" t="n">
        <f aca="false">IF(D493="","",MAX(0,MIN($B$8,Z493)))</f>
        <v>30.64514463543</v>
      </c>
      <c r="V493" s="16" t="str">
        <f aca="false">IF(D493="","",IF(S493&gt;0.0000001,"Sim","Não"))</f>
        <v>Não</v>
      </c>
      <c r="W493" s="16" t="n">
        <f aca="false">IF(D493="","",U493-(H493+E493-Q493-O493-T493))</f>
        <v>0</v>
      </c>
      <c r="X493" s="16" t="n">
        <f aca="false">IF(W493="","",ABS(W493))</f>
        <v>0</v>
      </c>
      <c r="Y493" s="16" t="n">
        <f aca="false">IF(U493="","",IF($B$8=0,0,U493/$B$8*100))</f>
        <v>64.8986544587675</v>
      </c>
      <c r="Z493" s="18" t="n">
        <f aca="false">IF(D493="","",MAX(0,IF(P493&gt;=0,P493,IF(K493+P493&gt;=0,0,P493+K493))))</f>
        <v>30.64514463543</v>
      </c>
      <c r="AA493" s="18" t="n">
        <f aca="false">IF(D493="","",IF(H493&lt;=$B$16,1,IF(H493&gt;=$B$17,$B$21,MATCH(H493,Aux_CAV!$A$2:$A$121,1))))</f>
        <v>12</v>
      </c>
      <c r="AB493" s="18" t="n">
        <f aca="false">IF(D493="","",IF(L493&lt;=$B$16,1,IF(L493&gt;=$B$17,$B$21,MATCH(L493,Aux_CAV!$A$2:$A$121,1))))</f>
        <v>12</v>
      </c>
      <c r="AC493" s="19" t="n">
        <f aca="false">IF(D493="","",COUNT($D$24:D493))</f>
        <v>458</v>
      </c>
    </row>
    <row r="494" customFormat="false" ht="12.75" hidden="false" customHeight="true" outlineLevel="0" collapsed="false">
      <c r="A494" s="14" t="n">
        <f aca="false">IF(D494="","",DATE(B494,C494,1))</f>
        <v>17958</v>
      </c>
      <c r="B494" s="15" t="n">
        <f aca="false" t="array" ref="B494:B494">IF(D494="","",IFERROR(VALUE(INDEX(Vazoes_COLAR!$A$2:$A$200,INT((ROW()-24)/12)+1)),""))</f>
        <v>1949</v>
      </c>
      <c r="C494" s="15" t="n">
        <f aca="false">IF(D494="","",MOD(ROW()-24,12)+1)</f>
        <v>3</v>
      </c>
      <c r="D494" s="16" t="n">
        <f aca="false" t="array" ref="D494: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1.03224868439994</v>
      </c>
      <c r="E494" s="16" t="n">
        <f aca="false">IF(D494="","",D494*$B$15)</f>
        <v>2.67558858996465</v>
      </c>
      <c r="F494" s="16" t="n">
        <f aca="false" t="array" ref="F494:F494">IF(D494="","",IFERROR(INDEX(Dados_Evap!$C$2:$N$15,MATCH($B$9,Dados_Evap!$A$2:$A$15,0),C494),0))</f>
        <v>107.7</v>
      </c>
      <c r="G494" s="16" t="n">
        <f aca="false">IF(F494="","",F494/1000)</f>
        <v>0.1077</v>
      </c>
      <c r="H494" s="16" t="n">
        <f aca="false">IF(D494="","",MAX(0,MIN($B$8,IFERROR(LOOKUP(2,1/($U$24:U493&lt;&gt;""),$U$24:U493),$B$11))))</f>
        <v>30.64514463543</v>
      </c>
      <c r="I494" s="16" t="n">
        <f aca="false" t="array" ref="I494: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>5.29954415144758</v>
      </c>
      <c r="J494" s="16" t="n">
        <f aca="false">IF(D494="","",$B$12)</f>
        <v>0.35</v>
      </c>
      <c r="K494" s="16" t="n">
        <f aca="false">IF(J494="","",J494*$B$15)</f>
        <v>0.9072</v>
      </c>
      <c r="L494" s="16" t="n">
        <f aca="false">IF(D494="","",H494+E494-K494-G494*I494)</f>
        <v>31.8427723202837</v>
      </c>
      <c r="M494" s="16" t="n">
        <f aca="false" t="array" ref="M494: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>5.42395790123336</v>
      </c>
      <c r="N494" s="16" t="n">
        <f aca="false">IF(D494="","",(I494+M494)/2)</f>
        <v>5.36175102634047</v>
      </c>
      <c r="O494" s="16" t="n">
        <f aca="false">IF(D494="","",G494*N494)</f>
        <v>0.577460585536869</v>
      </c>
      <c r="P494" s="16" t="n">
        <f aca="false">IF(D494="","",H494+E494-K494-O494)</f>
        <v>31.8360726398578</v>
      </c>
      <c r="Q494" s="16" t="n">
        <f aca="false">IF(D494="","",IF(P494&gt;=0,K494,MAX(0,K494+P494)))</f>
        <v>0.9072</v>
      </c>
      <c r="R494" s="16" t="n">
        <f aca="false">IF(D494="","",Q494/$B$15)</f>
        <v>0.35</v>
      </c>
      <c r="S494" s="16" t="n">
        <f aca="false">IF(D494="","",MAX(0,J494-R494))</f>
        <v>0</v>
      </c>
      <c r="T494" s="16" t="n">
        <f aca="false">IF(D494="","",MAX(0,Z494-$B$8))</f>
        <v>0</v>
      </c>
      <c r="U494" s="16" t="n">
        <f aca="false">IF(D494="","",MAX(0,MIN($B$8,Z494)))</f>
        <v>31.8360726398578</v>
      </c>
      <c r="V494" s="16" t="str">
        <f aca="false">IF(D494="","",IF(S494&gt;0.0000001,"Sim","Não"))</f>
        <v>Não</v>
      </c>
      <c r="W494" s="16" t="n">
        <f aca="false">IF(D494="","",U494-(H494+E494-Q494-O494-T494))</f>
        <v>0</v>
      </c>
      <c r="X494" s="16" t="n">
        <f aca="false">IF(W494="","",ABS(W494))</f>
        <v>0</v>
      </c>
      <c r="Y494" s="16" t="n">
        <f aca="false">IF(U494="","",IF($B$8=0,0,U494/$B$8*100))</f>
        <v>67.4207383309144</v>
      </c>
      <c r="Z494" s="18" t="n">
        <f aca="false">IF(D494="","",MAX(0,IF(P494&gt;=0,P494,IF(K494+P494&gt;=0,0,P494+K494))))</f>
        <v>31.8360726398578</v>
      </c>
      <c r="AA494" s="18" t="n">
        <f aca="false">IF(D494="","",IF(H494&lt;=$B$16,1,IF(H494&gt;=$B$17,$B$21,MATCH(H494,Aux_CAV!$A$2:$A$121,1))))</f>
        <v>12</v>
      </c>
      <c r="AB494" s="18" t="n">
        <f aca="false">IF(D494="","",IF(L494&lt;=$B$16,1,IF(L494&gt;=$B$17,$B$21,MATCH(L494,Aux_CAV!$A$2:$A$121,1))))</f>
        <v>12</v>
      </c>
      <c r="AC494" s="19" t="n">
        <f aca="false">IF(D494="","",COUNT($D$24:D494))</f>
        <v>459</v>
      </c>
    </row>
    <row r="495" customFormat="false" ht="12.75" hidden="false" customHeight="true" outlineLevel="0" collapsed="false">
      <c r="A495" s="14" t="n">
        <f aca="false">IF(D495="","",DATE(B495,C495,1))</f>
        <v>17989</v>
      </c>
      <c r="B495" s="15" t="n">
        <f aca="false" t="array" ref="B495:B495">IF(D495="","",IFERROR(VALUE(INDEX(Vazoes_COLAR!$A$2:$A$200,INT((ROW()-24)/12)+1)),""))</f>
        <v>1949</v>
      </c>
      <c r="C495" s="15" t="n">
        <f aca="false">IF(D495="","",MOD(ROW()-24,12)+1)</f>
        <v>4</v>
      </c>
      <c r="D495" s="16" t="n">
        <f aca="false" t="array" ref="D495: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2.24529073018524</v>
      </c>
      <c r="E495" s="16" t="n">
        <f aca="false">IF(D495="","",D495*$B$15)</f>
        <v>5.81979357264014</v>
      </c>
      <c r="F495" s="16" t="n">
        <f aca="false" t="array" ref="F495:F495">IF(D495="","",IFERROR(INDEX(Dados_Evap!$C$2:$N$15,MATCH($B$9,Dados_Evap!$A$2:$A$15,0),C495),0))</f>
        <v>100.5</v>
      </c>
      <c r="G495" s="16" t="n">
        <f aca="false">IF(F495="","",F495/1000)</f>
        <v>0.1005</v>
      </c>
      <c r="H495" s="16" t="n">
        <f aca="false">IF(D495="","",MAX(0,MIN($B$8,IFERROR(LOOKUP(2,1/($U$24:U494&lt;&gt;""),$U$24:U494),$B$11))))</f>
        <v>31.8360726398578</v>
      </c>
      <c r="I495" s="16" t="n">
        <f aca="false" t="array" ref="I495: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>5.42326191501435</v>
      </c>
      <c r="J495" s="16" t="n">
        <f aca="false">IF(D495="","",$B$12)</f>
        <v>0.35</v>
      </c>
      <c r="K495" s="16" t="n">
        <f aca="false">IF(J495="","",J495*$B$15)</f>
        <v>0.9072</v>
      </c>
      <c r="L495" s="16" t="n">
        <f aca="false">IF(D495="","",H495+E495-K495-G495*I495)</f>
        <v>36.203628390039</v>
      </c>
      <c r="M495" s="16" t="n">
        <f aca="false" t="array" ref="M495: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>5.87009497290484</v>
      </c>
      <c r="N495" s="16" t="n">
        <f aca="false">IF(D495="","",(I495+M495)/2)</f>
        <v>5.64667844395959</v>
      </c>
      <c r="O495" s="16" t="n">
        <f aca="false">IF(D495="","",G495*N495)</f>
        <v>0.567491183617939</v>
      </c>
      <c r="P495" s="16" t="n">
        <f aca="false">IF(D495="","",H495+E495-K495-O495)</f>
        <v>36.18117502888</v>
      </c>
      <c r="Q495" s="16" t="n">
        <f aca="false">IF(D495="","",IF(P495&gt;=0,K495,MAX(0,K495+P495)))</f>
        <v>0.9072</v>
      </c>
      <c r="R495" s="16" t="n">
        <f aca="false">IF(D495="","",Q495/$B$15)</f>
        <v>0.35</v>
      </c>
      <c r="S495" s="16" t="n">
        <f aca="false">IF(D495="","",MAX(0,J495-R495))</f>
        <v>0</v>
      </c>
      <c r="T495" s="16" t="n">
        <f aca="false">IF(D495="","",MAX(0,Z495-$B$8))</f>
        <v>0</v>
      </c>
      <c r="U495" s="16" t="n">
        <f aca="false">IF(D495="","",MAX(0,MIN($B$8,Z495)))</f>
        <v>36.18117502888</v>
      </c>
      <c r="V495" s="16" t="str">
        <f aca="false">IF(D495="","",IF(S495&gt;0.0000001,"Sim","Não"))</f>
        <v>Não</v>
      </c>
      <c r="W495" s="16" t="n">
        <f aca="false">IF(D495="","",U495-(H495+E495-Q495-O495-T495))</f>
        <v>0</v>
      </c>
      <c r="X495" s="16" t="n">
        <f aca="false">IF(W495="","",ABS(W495))</f>
        <v>0</v>
      </c>
      <c r="Y495" s="16" t="n">
        <f aca="false">IF(U495="","",IF($B$8=0,0,U495/$B$8*100))</f>
        <v>76.6225646524354</v>
      </c>
      <c r="Z495" s="18" t="n">
        <f aca="false">IF(D495="","",MAX(0,IF(P495&gt;=0,P495,IF(K495+P495&gt;=0,0,P495+K495))))</f>
        <v>36.18117502888</v>
      </c>
      <c r="AA495" s="18" t="n">
        <f aca="false">IF(D495="","",IF(H495&lt;=$B$16,1,IF(H495&gt;=$B$17,$B$21,MATCH(H495,Aux_CAV!$A$2:$A$121,1))))</f>
        <v>12</v>
      </c>
      <c r="AB495" s="18" t="n">
        <f aca="false">IF(D495="","",IF(L495&lt;=$B$16,1,IF(L495&gt;=$B$17,$B$21,MATCH(L495,Aux_CAV!$A$2:$A$121,1))))</f>
        <v>13</v>
      </c>
      <c r="AC495" s="19" t="n">
        <f aca="false">IF(D495="","",COUNT($D$24:D495))</f>
        <v>460</v>
      </c>
    </row>
    <row r="496" customFormat="false" ht="12.75" hidden="false" customHeight="true" outlineLevel="0" collapsed="false">
      <c r="A496" s="14" t="n">
        <f aca="false">IF(D496="","",DATE(B496,C496,1))</f>
        <v>18019</v>
      </c>
      <c r="B496" s="15" t="n">
        <f aca="false" t="array" ref="B496:B496">IF(D496="","",IFERROR(VALUE(INDEX(Vazoes_COLAR!$A$2:$A$200,INT((ROW()-24)/12)+1)),""))</f>
        <v>1949</v>
      </c>
      <c r="C496" s="15" t="n">
        <f aca="false">IF(D496="","",MOD(ROW()-24,12)+1)</f>
        <v>5</v>
      </c>
      <c r="D496" s="16" t="n">
        <f aca="false" t="array" ref="D496: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1.55834566351036</v>
      </c>
      <c r="E496" s="16" t="n">
        <f aca="false">IF(D496="","",D496*$B$15)</f>
        <v>4.03923195981885</v>
      </c>
      <c r="F496" s="16" t="n">
        <f aca="false" t="array" ref="F496:F496">IF(D496="","",IFERROR(INDEX(Dados_Evap!$C$2:$N$15,MATCH($B$9,Dados_Evap!$A$2:$A$15,0),C496),0))</f>
        <v>145.8</v>
      </c>
      <c r="G496" s="16" t="n">
        <f aca="false">IF(F496="","",F496/1000)</f>
        <v>0.1458</v>
      </c>
      <c r="H496" s="16" t="n">
        <f aca="false">IF(D496="","",MAX(0,MIN($B$8,IFERROR(LOOKUP(2,1/($U$24:U495&lt;&gt;""),$U$24:U495),$B$11))))</f>
        <v>36.18117502888</v>
      </c>
      <c r="I496" s="16" t="n">
        <f aca="false" t="array" ref="I496: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>5.86785316719163</v>
      </c>
      <c r="J496" s="16" t="n">
        <f aca="false">IF(D496="","",$B$12)</f>
        <v>0.35</v>
      </c>
      <c r="K496" s="16" t="n">
        <f aca="false">IF(J496="","",J496*$B$15)</f>
        <v>0.9072</v>
      </c>
      <c r="L496" s="16" t="n">
        <f aca="false">IF(D496="","",H496+E496-K496-G496*I496)</f>
        <v>38.4576739969223</v>
      </c>
      <c r="M496" s="16" t="n">
        <f aca="false" t="array" ref="M496: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>6.09514512390655</v>
      </c>
      <c r="N496" s="16" t="n">
        <f aca="false">IF(D496="","",(I496+M496)/2)</f>
        <v>5.98149914554909</v>
      </c>
      <c r="O496" s="16" t="n">
        <f aca="false">IF(D496="","",G496*N496)</f>
        <v>0.872102575421058</v>
      </c>
      <c r="P496" s="16" t="n">
        <f aca="false">IF(D496="","",H496+E496-K496-O496)</f>
        <v>38.4411044132778</v>
      </c>
      <c r="Q496" s="16" t="n">
        <f aca="false">IF(D496="","",IF(P496&gt;=0,K496,MAX(0,K496+P496)))</f>
        <v>0.9072</v>
      </c>
      <c r="R496" s="16" t="n">
        <f aca="false">IF(D496="","",Q496/$B$15)</f>
        <v>0.35</v>
      </c>
      <c r="S496" s="16" t="n">
        <f aca="false">IF(D496="","",MAX(0,J496-R496))</f>
        <v>0</v>
      </c>
      <c r="T496" s="16" t="n">
        <f aca="false">IF(D496="","",MAX(0,Z496-$B$8))</f>
        <v>0</v>
      </c>
      <c r="U496" s="16" t="n">
        <f aca="false">IF(D496="","",MAX(0,MIN($B$8,Z496)))</f>
        <v>38.4411044132778</v>
      </c>
      <c r="V496" s="16" t="str">
        <f aca="false">IF(D496="","",IF(S496&gt;0.0000001,"Sim","Não"))</f>
        <v>Não</v>
      </c>
      <c r="W496" s="16" t="n">
        <f aca="false">IF(D496="","",U496-(H496+E496-Q496-O496-T496))</f>
        <v>0</v>
      </c>
      <c r="X496" s="16" t="n">
        <f aca="false">IF(W496="","",ABS(W496))</f>
        <v>0</v>
      </c>
      <c r="Y496" s="16" t="n">
        <f aca="false">IF(U496="","",IF($B$8=0,0,U496/$B$8*100))</f>
        <v>81.4085226880088</v>
      </c>
      <c r="Z496" s="18" t="n">
        <f aca="false">IF(D496="","",MAX(0,IF(P496&gt;=0,P496,IF(K496+P496&gt;=0,0,P496+K496))))</f>
        <v>38.4411044132778</v>
      </c>
      <c r="AA496" s="18" t="n">
        <f aca="false">IF(D496="","",IF(H496&lt;=$B$16,1,IF(H496&gt;=$B$17,$B$21,MATCH(H496,Aux_CAV!$A$2:$A$121,1))))</f>
        <v>13</v>
      </c>
      <c r="AB496" s="18" t="n">
        <f aca="false">IF(D496="","",IF(L496&lt;=$B$16,1,IF(L496&gt;=$B$17,$B$21,MATCH(L496,Aux_CAV!$A$2:$A$121,1))))</f>
        <v>13</v>
      </c>
      <c r="AC496" s="19" t="n">
        <f aca="false">IF(D496="","",COUNT($D$24:D496))</f>
        <v>461</v>
      </c>
    </row>
    <row r="497" customFormat="false" ht="12.75" hidden="false" customHeight="true" outlineLevel="0" collapsed="false">
      <c r="A497" s="14" t="n">
        <f aca="false">IF(D497="","",DATE(B497,C497,1))</f>
        <v>18050</v>
      </c>
      <c r="B497" s="15" t="n">
        <f aca="false" t="array" ref="B497:B497">IF(D497="","",IFERROR(VALUE(INDEX(Vazoes_COLAR!$A$2:$A$200,INT((ROW()-24)/12)+1)),""))</f>
        <v>1949</v>
      </c>
      <c r="C497" s="15" t="n">
        <f aca="false">IF(D497="","",MOD(ROW()-24,12)+1)</f>
        <v>6</v>
      </c>
      <c r="D497" s="16" t="n">
        <f aca="false" t="array" ref="D497: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0.240103196234652</v>
      </c>
      <c r="E497" s="16" t="n">
        <f aca="false">IF(D497="","",D497*$B$15)</f>
        <v>0.622347484640218</v>
      </c>
      <c r="F497" s="16" t="n">
        <f aca="false" t="array" ref="F497:F497">IF(D497="","",IFERROR(INDEX(Dados_Evap!$C$2:$N$15,MATCH($B$9,Dados_Evap!$A$2:$A$15,0),C497),0))</f>
        <v>161.3</v>
      </c>
      <c r="G497" s="16" t="n">
        <f aca="false">IF(F497="","",F497/1000)</f>
        <v>0.1613</v>
      </c>
      <c r="H497" s="16" t="n">
        <f aca="false">IF(D497="","",MAX(0,MIN($B$8,IFERROR(LOOKUP(2,1/($U$24:U496&lt;&gt;""),$U$24:U496),$B$11))))</f>
        <v>38.4411044132778</v>
      </c>
      <c r="I497" s="16" t="n">
        <f aca="false" t="array" ref="I497: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>6.09349077082254</v>
      </c>
      <c r="J497" s="16" t="n">
        <f aca="false">IF(D497="","",$B$12)</f>
        <v>0.35</v>
      </c>
      <c r="K497" s="16" t="n">
        <f aca="false">IF(J497="","",J497*$B$15)</f>
        <v>0.9072</v>
      </c>
      <c r="L497" s="16" t="n">
        <f aca="false">IF(D497="","",H497+E497-K497-G497*I497)</f>
        <v>37.1733718365843</v>
      </c>
      <c r="M497" s="16" t="n">
        <f aca="false" t="array" ref="M497: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>5.96691684217469</v>
      </c>
      <c r="N497" s="16" t="n">
        <f aca="false">IF(D497="","",(I497+M497)/2)</f>
        <v>6.03020380649862</v>
      </c>
      <c r="O497" s="16" t="n">
        <f aca="false">IF(D497="","",G497*N497)</f>
        <v>0.972671873988227</v>
      </c>
      <c r="P497" s="16" t="n">
        <f aca="false">IF(D497="","",H497+E497-K497-O497)</f>
        <v>37.1835800239298</v>
      </c>
      <c r="Q497" s="16" t="n">
        <f aca="false">IF(D497="","",IF(P497&gt;=0,K497,MAX(0,K497+P497)))</f>
        <v>0.9072</v>
      </c>
      <c r="R497" s="16" t="n">
        <f aca="false">IF(D497="","",Q497/$B$15)</f>
        <v>0.35</v>
      </c>
      <c r="S497" s="16" t="n">
        <f aca="false">IF(D497="","",MAX(0,J497-R497))</f>
        <v>0</v>
      </c>
      <c r="T497" s="16" t="n">
        <f aca="false">IF(D497="","",MAX(0,Z497-$B$8))</f>
        <v>0</v>
      </c>
      <c r="U497" s="16" t="n">
        <f aca="false">IF(D497="","",MAX(0,MIN($B$8,Z497)))</f>
        <v>37.1835800239298</v>
      </c>
      <c r="V497" s="16" t="str">
        <f aca="false">IF(D497="","",IF(S497&gt;0.0000001,"Sim","Não"))</f>
        <v>Não</v>
      </c>
      <c r="W497" s="16" t="n">
        <f aca="false">IF(D497="","",U497-(H497+E497-Q497-O497-T497))</f>
        <v>0</v>
      </c>
      <c r="X497" s="16" t="n">
        <f aca="false">IF(W497="","",ABS(W497))</f>
        <v>0</v>
      </c>
      <c r="Y497" s="16" t="n">
        <f aca="false">IF(U497="","",IF($B$8=0,0,U497/$B$8*100))</f>
        <v>78.7454045403002</v>
      </c>
      <c r="Z497" s="18" t="n">
        <f aca="false">IF(D497="","",MAX(0,IF(P497&gt;=0,P497,IF(K497+P497&gt;=0,0,P497+K497))))</f>
        <v>37.1835800239298</v>
      </c>
      <c r="AA497" s="18" t="n">
        <f aca="false">IF(D497="","",IF(H497&lt;=$B$16,1,IF(H497&gt;=$B$17,$B$21,MATCH(H497,Aux_CAV!$A$2:$A$121,1))))</f>
        <v>13</v>
      </c>
      <c r="AB497" s="18" t="n">
        <f aca="false">IF(D497="","",IF(L497&lt;=$B$16,1,IF(L497&gt;=$B$17,$B$21,MATCH(L497,Aux_CAV!$A$2:$A$121,1))))</f>
        <v>13</v>
      </c>
      <c r="AC497" s="19" t="n">
        <f aca="false">IF(D497="","",COUNT($D$24:D497))</f>
        <v>462</v>
      </c>
    </row>
    <row r="498" customFormat="false" ht="12.75" hidden="false" customHeight="true" outlineLevel="0" collapsed="false">
      <c r="A498" s="14" t="n">
        <f aca="false">IF(D498="","",DATE(B498,C498,1))</f>
        <v>18080</v>
      </c>
      <c r="B498" s="15" t="n">
        <f aca="false" t="array" ref="B498:B498">IF(D498="","",IFERROR(VALUE(INDEX(Vazoes_COLAR!$A$2:$A$200,INT((ROW()-24)/12)+1)),""))</f>
        <v>1949</v>
      </c>
      <c r="C498" s="15" t="n">
        <f aca="false">IF(D498="","",MOD(ROW()-24,12)+1)</f>
        <v>7</v>
      </c>
      <c r="D498" s="16" t="n">
        <f aca="false" t="array" ref="D498: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0.0625402084811985</v>
      </c>
      <c r="E498" s="16" t="n">
        <f aca="false">IF(D498="","",D498*$B$15)</f>
        <v>0.162104220383267</v>
      </c>
      <c r="F498" s="16" t="n">
        <f aca="false" t="array" ref="F498:F498">IF(D498="","",IFERROR(INDEX(Dados_Evap!$C$2:$N$15,MATCH($B$9,Dados_Evap!$A$2:$A$15,0),C498),0))</f>
        <v>224.8</v>
      </c>
      <c r="G498" s="16" t="n">
        <f aca="false">IF(F498="","",F498/1000)</f>
        <v>0.2248</v>
      </c>
      <c r="H498" s="16" t="n">
        <f aca="false">IF(D498="","",MAX(0,MIN($B$8,IFERROR(LOOKUP(2,1/($U$24:U497&lt;&gt;""),$U$24:U497),$B$11))))</f>
        <v>37.1835800239298</v>
      </c>
      <c r="I498" s="16" t="n">
        <f aca="false" t="array" ref="I498: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>5.96793605584833</v>
      </c>
      <c r="J498" s="16" t="n">
        <f aca="false">IF(D498="","",$B$12)</f>
        <v>0.35</v>
      </c>
      <c r="K498" s="16" t="n">
        <f aca="false">IF(J498="","",J498*$B$15)</f>
        <v>0.9072</v>
      </c>
      <c r="L498" s="16" t="n">
        <f aca="false">IF(D498="","",H498+E498-K498-G498*I498)</f>
        <v>35.0968922189583</v>
      </c>
      <c r="M498" s="16" t="n">
        <f aca="false" t="array" ref="M498: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>5.75959537091801</v>
      </c>
      <c r="N498" s="16" t="n">
        <f aca="false">IF(D498="","",(I498+M498)/2)</f>
        <v>5.86376571338317</v>
      </c>
      <c r="O498" s="16" t="n">
        <f aca="false">IF(D498="","",G498*N498)</f>
        <v>1.31817453236854</v>
      </c>
      <c r="P498" s="16" t="n">
        <f aca="false">IF(D498="","",H498+E498-K498-O498)</f>
        <v>35.1203097119445</v>
      </c>
      <c r="Q498" s="16" t="n">
        <f aca="false">IF(D498="","",IF(P498&gt;=0,K498,MAX(0,K498+P498)))</f>
        <v>0.9072</v>
      </c>
      <c r="R498" s="16" t="n">
        <f aca="false">IF(D498="","",Q498/$B$15)</f>
        <v>0.35</v>
      </c>
      <c r="S498" s="16" t="n">
        <f aca="false">IF(D498="","",MAX(0,J498-R498))</f>
        <v>0</v>
      </c>
      <c r="T498" s="16" t="n">
        <f aca="false">IF(D498="","",MAX(0,Z498-$B$8))</f>
        <v>0</v>
      </c>
      <c r="U498" s="16" t="n">
        <f aca="false">IF(D498="","",MAX(0,MIN($B$8,Z498)))</f>
        <v>35.1203097119445</v>
      </c>
      <c r="V498" s="16" t="str">
        <f aca="false">IF(D498="","",IF(S498&gt;0.0000001,"Sim","Não"))</f>
        <v>Não</v>
      </c>
      <c r="W498" s="16" t="n">
        <f aca="false">IF(D498="","",U498-(H498+E498-Q498-O498-T498))</f>
        <v>0</v>
      </c>
      <c r="X498" s="16" t="n">
        <f aca="false">IF(W498="","",ABS(W498))</f>
        <v>0</v>
      </c>
      <c r="Y498" s="16" t="n">
        <f aca="false">IF(U498="","",IF($B$8=0,0,U498/$B$8*100))</f>
        <v>74.3759206097935</v>
      </c>
      <c r="Z498" s="18" t="n">
        <f aca="false">IF(D498="","",MAX(0,IF(P498&gt;=0,P498,IF(K498+P498&gt;=0,0,P498+K498))))</f>
        <v>35.1203097119445</v>
      </c>
      <c r="AA498" s="18" t="n">
        <f aca="false">IF(D498="","",IF(H498&lt;=$B$16,1,IF(H498&gt;=$B$17,$B$21,MATCH(H498,Aux_CAV!$A$2:$A$121,1))))</f>
        <v>13</v>
      </c>
      <c r="AB498" s="18" t="n">
        <f aca="false">IF(D498="","",IF(L498&lt;=$B$16,1,IF(L498&gt;=$B$17,$B$21,MATCH(L498,Aux_CAV!$A$2:$A$121,1))))</f>
        <v>13</v>
      </c>
      <c r="AC498" s="19" t="n">
        <f aca="false">IF(D498="","",COUNT($D$24:D498))</f>
        <v>463</v>
      </c>
    </row>
    <row r="499" customFormat="false" ht="12.75" hidden="false" customHeight="true" outlineLevel="0" collapsed="false">
      <c r="A499" s="14" t="n">
        <f aca="false">IF(D499="","",DATE(B499,C499,1))</f>
        <v>18111</v>
      </c>
      <c r="B499" s="15" t="n">
        <f aca="false" t="array" ref="B499:B499">IF(D499="","",IFERROR(VALUE(INDEX(Vazoes_COLAR!$A$2:$A$200,INT((ROW()-24)/12)+1)),""))</f>
        <v>1949</v>
      </c>
      <c r="C499" s="15" t="n">
        <f aca="false">IF(D499="","",MOD(ROW()-24,12)+1)</f>
        <v>8</v>
      </c>
      <c r="D499" s="16" t="n">
        <f aca="false" t="array" ref="D499: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0.0641498362033289</v>
      </c>
      <c r="E499" s="16" t="n">
        <f aca="false">IF(D499="","",D499*$B$15)</f>
        <v>0.166276375439029</v>
      </c>
      <c r="F499" s="16" t="n">
        <f aca="false" t="array" ref="F499:F499">IF(D499="","",IFERROR(INDEX(Dados_Evap!$C$2:$N$15,MATCH($B$9,Dados_Evap!$A$2:$A$15,0),C499),0))</f>
        <v>268.7</v>
      </c>
      <c r="G499" s="16" t="n">
        <f aca="false">IF(F499="","",F499/1000)</f>
        <v>0.2687</v>
      </c>
      <c r="H499" s="16" t="n">
        <f aca="false">IF(D499="","",MAX(0,MIN($B$8,IFERROR(LOOKUP(2,1/($U$24:U498&lt;&gt;""),$U$24:U498),$B$11))))</f>
        <v>35.1203097119445</v>
      </c>
      <c r="I499" s="16" t="n">
        <f aca="false" t="array" ref="I499: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>5.76193343822087</v>
      </c>
      <c r="J499" s="16" t="n">
        <f aca="false">IF(D499="","",$B$12)</f>
        <v>0.35</v>
      </c>
      <c r="K499" s="16" t="n">
        <f aca="false">IF(J499="","",J499*$B$15)</f>
        <v>0.9072</v>
      </c>
      <c r="L499" s="16" t="n">
        <f aca="false">IF(D499="","",H499+E499-K499-G499*I499)</f>
        <v>32.8311545725336</v>
      </c>
      <c r="M499" s="16" t="n">
        <f aca="false" t="array" ref="M499: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>5.52663450413698</v>
      </c>
      <c r="N499" s="16" t="n">
        <f aca="false">IF(D499="","",(I499+M499)/2)</f>
        <v>5.64428397117893</v>
      </c>
      <c r="O499" s="16" t="n">
        <f aca="false">IF(D499="","",G499*N499)</f>
        <v>1.51661910305578</v>
      </c>
      <c r="P499" s="16" t="n">
        <f aca="false">IF(D499="","",H499+E499-K499-O499)</f>
        <v>32.8627669843277</v>
      </c>
      <c r="Q499" s="16" t="n">
        <f aca="false">IF(D499="","",IF(P499&gt;=0,K499,MAX(0,K499+P499)))</f>
        <v>0.9072</v>
      </c>
      <c r="R499" s="16" t="n">
        <f aca="false">IF(D499="","",Q499/$B$15)</f>
        <v>0.35</v>
      </c>
      <c r="S499" s="16" t="n">
        <f aca="false">IF(D499="","",MAX(0,J499-R499))</f>
        <v>0</v>
      </c>
      <c r="T499" s="16" t="n">
        <f aca="false">IF(D499="","",MAX(0,Z499-$B$8))</f>
        <v>0</v>
      </c>
      <c r="U499" s="16" t="n">
        <f aca="false">IF(D499="","",MAX(0,MIN($B$8,Z499)))</f>
        <v>32.8627669843277</v>
      </c>
      <c r="V499" s="16" t="str">
        <f aca="false">IF(D499="","",IF(S499&gt;0.0000001,"Sim","Não"))</f>
        <v>Não</v>
      </c>
      <c r="W499" s="16" t="n">
        <f aca="false">IF(D499="","",U499-(H499+E499-Q499-O499-T499))</f>
        <v>0</v>
      </c>
      <c r="X499" s="16" t="n">
        <f aca="false">IF(W499="","",ABS(W499))</f>
        <v>0</v>
      </c>
      <c r="Y499" s="16" t="n">
        <f aca="false">IF(U499="","",IF($B$8=0,0,U499/$B$8*100))</f>
        <v>69.5950169087838</v>
      </c>
      <c r="Z499" s="18" t="n">
        <f aca="false">IF(D499="","",MAX(0,IF(P499&gt;=0,P499,IF(K499+P499&gt;=0,0,P499+K499))))</f>
        <v>32.8627669843277</v>
      </c>
      <c r="AA499" s="18" t="n">
        <f aca="false">IF(D499="","",IF(H499&lt;=$B$16,1,IF(H499&gt;=$B$17,$B$21,MATCH(H499,Aux_CAV!$A$2:$A$121,1))))</f>
        <v>13</v>
      </c>
      <c r="AB499" s="18" t="n">
        <f aca="false">IF(D499="","",IF(L499&lt;=$B$16,1,IF(L499&gt;=$B$17,$B$21,MATCH(L499,Aux_CAV!$A$2:$A$121,1))))</f>
        <v>12</v>
      </c>
      <c r="AC499" s="19" t="n">
        <f aca="false">IF(D499="","",COUNT($D$24:D499))</f>
        <v>464</v>
      </c>
    </row>
    <row r="500" customFormat="false" ht="12.75" hidden="false" customHeight="true" outlineLevel="0" collapsed="false">
      <c r="A500" s="14" t="n">
        <f aca="false">IF(D500="","",DATE(B500,C500,1))</f>
        <v>18142</v>
      </c>
      <c r="B500" s="15" t="n">
        <f aca="false" t="array" ref="B500:B500">IF(D500="","",IFERROR(VALUE(INDEX(Vazoes_COLAR!$A$2:$A$200,INT((ROW()-24)/12)+1)),""))</f>
        <v>1949</v>
      </c>
      <c r="C500" s="15" t="n">
        <f aca="false">IF(D500="","",MOD(ROW()-24,12)+1)</f>
        <v>9</v>
      </c>
      <c r="D500" s="16" t="n">
        <f aca="false" t="array" ref="D500: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0.0170905008006814</v>
      </c>
      <c r="E500" s="16" t="n">
        <f aca="false">IF(D500="","",D500*$B$15)</f>
        <v>0.0442985780753662</v>
      </c>
      <c r="F500" s="16" t="n">
        <f aca="false" t="array" ref="F500:F500">IF(D500="","",IFERROR(INDEX(Dados_Evap!$C$2:$N$15,MATCH($B$9,Dados_Evap!$A$2:$A$15,0),C500),0))</f>
        <v>292.8</v>
      </c>
      <c r="G500" s="16" t="n">
        <f aca="false">IF(F500="","",F500/1000)</f>
        <v>0.2928</v>
      </c>
      <c r="H500" s="16" t="n">
        <f aca="false">IF(D500="","",MAX(0,MIN($B$8,IFERROR(LOOKUP(2,1/($U$24:U499&lt;&gt;""),$U$24:U499),$B$11))))</f>
        <v>32.8627669843277</v>
      </c>
      <c r="I500" s="16" t="n">
        <f aca="false" t="array" ref="I500: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>5.52991851196414</v>
      </c>
      <c r="J500" s="16" t="n">
        <f aca="false">IF(D500="","",$B$12)</f>
        <v>0.35</v>
      </c>
      <c r="K500" s="16" t="n">
        <f aca="false">IF(J500="","",J500*$B$15)</f>
        <v>0.9072</v>
      </c>
      <c r="L500" s="16" t="n">
        <f aca="false">IF(D500="","",H500+E500-K500-G500*I500)</f>
        <v>30.3807054221</v>
      </c>
      <c r="M500" s="16" t="n">
        <f aca="false" t="array" ref="M500: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>5.2720732817133</v>
      </c>
      <c r="N500" s="16" t="n">
        <f aca="false">IF(D500="","",(I500+M500)/2)</f>
        <v>5.40099589683872</v>
      </c>
      <c r="O500" s="16" t="n">
        <f aca="false">IF(D500="","",G500*N500)</f>
        <v>1.58141159859438</v>
      </c>
      <c r="P500" s="16" t="n">
        <f aca="false">IF(D500="","",H500+E500-K500-O500)</f>
        <v>30.4184539638087</v>
      </c>
      <c r="Q500" s="16" t="n">
        <f aca="false">IF(D500="","",IF(P500&gt;=0,K500,MAX(0,K500+P500)))</f>
        <v>0.9072</v>
      </c>
      <c r="R500" s="16" t="n">
        <f aca="false">IF(D500="","",Q500/$B$15)</f>
        <v>0.35</v>
      </c>
      <c r="S500" s="16" t="n">
        <f aca="false">IF(D500="","",MAX(0,J500-R500))</f>
        <v>0</v>
      </c>
      <c r="T500" s="16" t="n">
        <f aca="false">IF(D500="","",MAX(0,Z500-$B$8))</f>
        <v>0</v>
      </c>
      <c r="U500" s="16" t="n">
        <f aca="false">IF(D500="","",MAX(0,MIN($B$8,Z500)))</f>
        <v>30.4184539638087</v>
      </c>
      <c r="V500" s="16" t="str">
        <f aca="false">IF(D500="","",IF(S500&gt;0.0000001,"Sim","Não"))</f>
        <v>Não</v>
      </c>
      <c r="W500" s="16" t="n">
        <f aca="false">IF(D500="","",U500-(H500+E500-Q500-O500-T500))</f>
        <v>0</v>
      </c>
      <c r="X500" s="16" t="n">
        <f aca="false">IF(W500="","",ABS(W500))</f>
        <v>0</v>
      </c>
      <c r="Y500" s="16" t="n">
        <f aca="false">IF(U500="","",IF($B$8=0,0,U500/$B$8*100))</f>
        <v>64.4185810330553</v>
      </c>
      <c r="Z500" s="18" t="n">
        <f aca="false">IF(D500="","",MAX(0,IF(P500&gt;=0,P500,IF(K500+P500&gt;=0,0,P500+K500))))</f>
        <v>30.4184539638087</v>
      </c>
      <c r="AA500" s="18" t="n">
        <f aca="false">IF(D500="","",IF(H500&lt;=$B$16,1,IF(H500&gt;=$B$17,$B$21,MATCH(H500,Aux_CAV!$A$2:$A$121,1))))</f>
        <v>12</v>
      </c>
      <c r="AB500" s="18" t="n">
        <f aca="false">IF(D500="","",IF(L500&lt;=$B$16,1,IF(L500&gt;=$B$17,$B$21,MATCH(L500,Aux_CAV!$A$2:$A$121,1))))</f>
        <v>12</v>
      </c>
      <c r="AC500" s="19" t="n">
        <f aca="false">IF(D500="","",COUNT($D$24:D500))</f>
        <v>465</v>
      </c>
    </row>
    <row r="501" customFormat="false" ht="12.75" hidden="false" customHeight="true" outlineLevel="0" collapsed="false">
      <c r="A501" s="14" t="n">
        <f aca="false">IF(D501="","",DATE(B501,C501,1))</f>
        <v>18172</v>
      </c>
      <c r="B501" s="15" t="n">
        <f aca="false" t="array" ref="B501:B501">IF(D501="","",IFERROR(VALUE(INDEX(Vazoes_COLAR!$A$2:$A$200,INT((ROW()-24)/12)+1)),""))</f>
        <v>1949</v>
      </c>
      <c r="C501" s="15" t="n">
        <f aca="false">IF(D501="","",MOD(ROW()-24,12)+1)</f>
        <v>10</v>
      </c>
      <c r="D501" s="16" t="n">
        <f aca="false" t="array" ref="D501: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0.030073010205143</v>
      </c>
      <c r="E501" s="16" t="n">
        <f aca="false">IF(D501="","",D501*$B$15)</f>
        <v>0.0779492424517307</v>
      </c>
      <c r="F501" s="16" t="n">
        <f aca="false" t="array" ref="F501:F501">IF(D501="","",IFERROR(INDEX(Dados_Evap!$C$2:$N$15,MATCH($B$9,Dados_Evap!$A$2:$A$15,0),C501),0))</f>
        <v>262.9</v>
      </c>
      <c r="G501" s="16" t="n">
        <f aca="false">IF(F501="","",F501/1000)</f>
        <v>0.2629</v>
      </c>
      <c r="H501" s="16" t="n">
        <f aca="false">IF(D501="","",MAX(0,MIN($B$8,IFERROR(LOOKUP(2,1/($U$24:U500&lt;&gt;""),$U$24:U500),$B$11))))</f>
        <v>30.4184539638087</v>
      </c>
      <c r="I501" s="16" t="n">
        <f aca="false" t="array" ref="I501: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>5.27599473216265</v>
      </c>
      <c r="J501" s="16" t="n">
        <f aca="false">IF(D501="","",$B$12)</f>
        <v>0.35</v>
      </c>
      <c r="K501" s="16" t="n">
        <f aca="false">IF(J501="","",J501*$B$15)</f>
        <v>0.9072</v>
      </c>
      <c r="L501" s="16" t="n">
        <f aca="false">IF(D501="","",H501+E501-K501-G501*I501)</f>
        <v>28.2021441911749</v>
      </c>
      <c r="M501" s="16" t="n">
        <f aca="false" t="array" ref="M501: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>5.04575672665603</v>
      </c>
      <c r="N501" s="16" t="n">
        <f aca="false">IF(D501="","",(I501+M501)/2)</f>
        <v>5.16087572940934</v>
      </c>
      <c r="O501" s="16" t="n">
        <f aca="false">IF(D501="","",G501*N501)</f>
        <v>1.35679422926172</v>
      </c>
      <c r="P501" s="16" t="n">
        <f aca="false">IF(D501="","",H501+E501-K501-O501)</f>
        <v>28.2324089769987</v>
      </c>
      <c r="Q501" s="16" t="n">
        <f aca="false">IF(D501="","",IF(P501&gt;=0,K501,MAX(0,K501+P501)))</f>
        <v>0.9072</v>
      </c>
      <c r="R501" s="16" t="n">
        <f aca="false">IF(D501="","",Q501/$B$15)</f>
        <v>0.35</v>
      </c>
      <c r="S501" s="16" t="n">
        <f aca="false">IF(D501="","",MAX(0,J501-R501))</f>
        <v>0</v>
      </c>
      <c r="T501" s="16" t="n">
        <f aca="false">IF(D501="","",MAX(0,Z501-$B$8))</f>
        <v>0</v>
      </c>
      <c r="U501" s="16" t="n">
        <f aca="false">IF(D501="","",MAX(0,MIN($B$8,Z501)))</f>
        <v>28.2324089769987</v>
      </c>
      <c r="V501" s="16" t="str">
        <f aca="false">IF(D501="","",IF(S501&gt;0.0000001,"Sim","Não"))</f>
        <v>Não</v>
      </c>
      <c r="W501" s="16" t="n">
        <f aca="false">IF(D501="","",U501-(H501+E501-Q501-O501-T501))</f>
        <v>0</v>
      </c>
      <c r="X501" s="16" t="n">
        <f aca="false">IF(W501="","",ABS(W501))</f>
        <v>0</v>
      </c>
      <c r="Y501" s="16" t="n">
        <f aca="false">IF(U501="","",IF($B$8=0,0,U501/$B$8*100))</f>
        <v>59.7890914379473</v>
      </c>
      <c r="Z501" s="18" t="n">
        <f aca="false">IF(D501="","",MAX(0,IF(P501&gt;=0,P501,IF(K501+P501&gt;=0,0,P501+K501))))</f>
        <v>28.2324089769987</v>
      </c>
      <c r="AA501" s="18" t="n">
        <f aca="false">IF(D501="","",IF(H501&lt;=$B$16,1,IF(H501&gt;=$B$17,$B$21,MATCH(H501,Aux_CAV!$A$2:$A$121,1))))</f>
        <v>12</v>
      </c>
      <c r="AB501" s="18" t="n">
        <f aca="false">IF(D501="","",IF(L501&lt;=$B$16,1,IF(L501&gt;=$B$17,$B$21,MATCH(L501,Aux_CAV!$A$2:$A$121,1))))</f>
        <v>12</v>
      </c>
      <c r="AC501" s="19" t="n">
        <f aca="false">IF(D501="","",COUNT($D$24:D501))</f>
        <v>466</v>
      </c>
    </row>
    <row r="502" customFormat="false" ht="12.75" hidden="false" customHeight="true" outlineLevel="0" collapsed="false">
      <c r="A502" s="14" t="n">
        <f aca="false">IF(D502="","",DATE(B502,C502,1))</f>
        <v>18203</v>
      </c>
      <c r="B502" s="15" t="n">
        <f aca="false" t="array" ref="B502:B502">IF(D502="","",IFERROR(VALUE(INDEX(Vazoes_COLAR!$A$2:$A$200,INT((ROW()-24)/12)+1)),""))</f>
        <v>1949</v>
      </c>
      <c r="C502" s="15" t="n">
        <f aca="false">IF(D502="","",MOD(ROW()-24,12)+1)</f>
        <v>11</v>
      </c>
      <c r="D502" s="16" t="n">
        <f aca="false" t="array" ref="D502: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0.241296966903596</v>
      </c>
      <c r="E502" s="16" t="n">
        <f aca="false">IF(D502="","",D502*$B$15)</f>
        <v>0.625441738214121</v>
      </c>
      <c r="F502" s="16" t="n">
        <f aca="false" t="array" ref="F502:F502">IF(D502="","",IFERROR(INDEX(Dados_Evap!$C$2:$N$15,MATCH($B$9,Dados_Evap!$A$2:$A$15,0),C502),0))</f>
        <v>223.7</v>
      </c>
      <c r="G502" s="16" t="n">
        <f aca="false">IF(F502="","",F502/1000)</f>
        <v>0.2237</v>
      </c>
      <c r="H502" s="16" t="n">
        <f aca="false">IF(D502="","",MAX(0,MIN($B$8,IFERROR(LOOKUP(2,1/($U$24:U501&lt;&gt;""),$U$24:U501),$B$11))))</f>
        <v>28.2324089769987</v>
      </c>
      <c r="I502" s="16" t="n">
        <f aca="false" t="array" ref="I502: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>5.04890073838725</v>
      </c>
      <c r="J502" s="16" t="n">
        <f aca="false">IF(D502="","",$B$12)</f>
        <v>0.35</v>
      </c>
      <c r="K502" s="16" t="n">
        <f aca="false">IF(J502="","",J502*$B$15)</f>
        <v>0.9072</v>
      </c>
      <c r="L502" s="16" t="n">
        <f aca="false">IF(D502="","",H502+E502-K502-G502*I502)</f>
        <v>26.8212116200356</v>
      </c>
      <c r="M502" s="16" t="n">
        <f aca="false" t="array" ref="M502: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>4.90230062460564</v>
      </c>
      <c r="N502" s="16" t="n">
        <f aca="false">IF(D502="","",(I502+M502)/2)</f>
        <v>4.97560068149644</v>
      </c>
      <c r="O502" s="16" t="n">
        <f aca="false">IF(D502="","",G502*N502)</f>
        <v>1.11304187245075</v>
      </c>
      <c r="P502" s="16" t="n">
        <f aca="false">IF(D502="","",H502+E502-K502-O502)</f>
        <v>26.8376088427621</v>
      </c>
      <c r="Q502" s="16" t="n">
        <f aca="false">IF(D502="","",IF(P502&gt;=0,K502,MAX(0,K502+P502)))</f>
        <v>0.9072</v>
      </c>
      <c r="R502" s="16" t="n">
        <f aca="false">IF(D502="","",Q502/$B$15)</f>
        <v>0.35</v>
      </c>
      <c r="S502" s="16" t="n">
        <f aca="false">IF(D502="","",MAX(0,J502-R502))</f>
        <v>0</v>
      </c>
      <c r="T502" s="16" t="n">
        <f aca="false">IF(D502="","",MAX(0,Z502-$B$8))</f>
        <v>0</v>
      </c>
      <c r="U502" s="16" t="n">
        <f aca="false">IF(D502="","",MAX(0,MIN($B$8,Z502)))</f>
        <v>26.8376088427621</v>
      </c>
      <c r="V502" s="16" t="str">
        <f aca="false">IF(D502="","",IF(S502&gt;0.0000001,"Sim","Não"))</f>
        <v>Não</v>
      </c>
      <c r="W502" s="16" t="n">
        <f aca="false">IF(D502="","",U502-(H502+E502-Q502-O502-T502))</f>
        <v>0</v>
      </c>
      <c r="X502" s="16" t="n">
        <f aca="false">IF(W502="","",ABS(W502))</f>
        <v>0</v>
      </c>
      <c r="Y502" s="16" t="n">
        <f aca="false">IF(U502="","",IF($B$8=0,0,U502/$B$8*100))</f>
        <v>56.8352580321095</v>
      </c>
      <c r="Z502" s="18" t="n">
        <f aca="false">IF(D502="","",MAX(0,IF(P502&gt;=0,P502,IF(K502+P502&gt;=0,0,P502+K502))))</f>
        <v>26.8376088427621</v>
      </c>
      <c r="AA502" s="18" t="n">
        <f aca="false">IF(D502="","",IF(H502&lt;=$B$16,1,IF(H502&gt;=$B$17,$B$21,MATCH(H502,Aux_CAV!$A$2:$A$121,1))))</f>
        <v>12</v>
      </c>
      <c r="AB502" s="18" t="n">
        <f aca="false">IF(D502="","",IF(L502&lt;=$B$16,1,IF(L502&gt;=$B$17,$B$21,MATCH(L502,Aux_CAV!$A$2:$A$121,1))))</f>
        <v>12</v>
      </c>
      <c r="AC502" s="19" t="n">
        <f aca="false">IF(D502="","",COUNT($D$24:D502))</f>
        <v>467</v>
      </c>
    </row>
    <row r="503" customFormat="false" ht="12.75" hidden="false" customHeight="true" outlineLevel="0" collapsed="false">
      <c r="A503" s="14" t="n">
        <f aca="false">IF(D503="","",DATE(B503,C503,1))</f>
        <v>18233</v>
      </c>
      <c r="B503" s="15" t="n">
        <f aca="false" t="array" ref="B503:B503">IF(D503="","",IFERROR(VALUE(INDEX(Vazoes_COLAR!$A$2:$A$200,INT((ROW()-24)/12)+1)),""))</f>
        <v>1949</v>
      </c>
      <c r="C503" s="15" t="n">
        <f aca="false">IF(D503="","",MOD(ROW()-24,12)+1)</f>
        <v>12</v>
      </c>
      <c r="D503" s="16" t="n">
        <f aca="false" t="array" ref="D503: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0.0382619190621166</v>
      </c>
      <c r="E503" s="16" t="n">
        <f aca="false">IF(D503="","",D503*$B$15)</f>
        <v>0.0991748942090062</v>
      </c>
      <c r="F503" s="16" t="n">
        <f aca="false" t="array" ref="F503:F503">IF(D503="","",IFERROR(INDEX(Dados_Evap!$C$2:$N$15,MATCH($B$9,Dados_Evap!$A$2:$A$15,0),C503),0))</f>
        <v>216.1</v>
      </c>
      <c r="G503" s="16" t="n">
        <f aca="false">IF(F503="","",F503/1000)</f>
        <v>0.2161</v>
      </c>
      <c r="H503" s="16" t="n">
        <f aca="false">IF(D503="","",MAX(0,MIN($B$8,IFERROR(LOOKUP(2,1/($U$24:U502&lt;&gt;""),$U$24:U502),$B$11))))</f>
        <v>26.8376088427621</v>
      </c>
      <c r="I503" s="16" t="n">
        <f aca="false" t="array" ref="I503: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>4.90400402541315</v>
      </c>
      <c r="J503" s="16" t="n">
        <f aca="false">IF(D503="","",$B$12)</f>
        <v>0.35</v>
      </c>
      <c r="K503" s="16" t="n">
        <f aca="false">IF(J503="","",J503*$B$15)</f>
        <v>0.9072</v>
      </c>
      <c r="L503" s="16" t="n">
        <f aca="false">IF(D503="","",H503+E503-K503-G503*I503)</f>
        <v>24.9698284670793</v>
      </c>
      <c r="M503" s="16" t="n">
        <f aca="false" t="array" ref="M503: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>4.7099724718228</v>
      </c>
      <c r="N503" s="16" t="n">
        <f aca="false">IF(D503="","",(I503+M503)/2)</f>
        <v>4.80698824861798</v>
      </c>
      <c r="O503" s="16" t="n">
        <f aca="false">IF(D503="","",G503*N503)</f>
        <v>1.03879016052634</v>
      </c>
      <c r="P503" s="16" t="n">
        <f aca="false">IF(D503="","",H503+E503-K503-O503)</f>
        <v>24.9907935764448</v>
      </c>
      <c r="Q503" s="16" t="n">
        <f aca="false">IF(D503="","",IF(P503&gt;=0,K503,MAX(0,K503+P503)))</f>
        <v>0.9072</v>
      </c>
      <c r="R503" s="16" t="n">
        <f aca="false">IF(D503="","",Q503/$B$15)</f>
        <v>0.35</v>
      </c>
      <c r="S503" s="16" t="n">
        <f aca="false">IF(D503="","",MAX(0,J503-R503))</f>
        <v>0</v>
      </c>
      <c r="T503" s="16" t="n">
        <f aca="false">IF(D503="","",MAX(0,Z503-$B$8))</f>
        <v>0</v>
      </c>
      <c r="U503" s="16" t="n">
        <f aca="false">IF(D503="","",MAX(0,MIN($B$8,Z503)))</f>
        <v>24.9907935764448</v>
      </c>
      <c r="V503" s="16" t="str">
        <f aca="false">IF(D503="","",IF(S503&gt;0.0000001,"Sim","Não"))</f>
        <v>Não</v>
      </c>
      <c r="W503" s="16" t="n">
        <f aca="false">IF(D503="","",U503-(H503+E503-Q503-O503-T503))</f>
        <v>0</v>
      </c>
      <c r="X503" s="16" t="n">
        <f aca="false">IF(W503="","",ABS(W503))</f>
        <v>0</v>
      </c>
      <c r="Y503" s="16" t="n">
        <f aca="false">IF(U503="","",IF($B$8=0,0,U503/$B$8*100))</f>
        <v>52.9241710640507</v>
      </c>
      <c r="Z503" s="18" t="n">
        <f aca="false">IF(D503="","",MAX(0,IF(P503&gt;=0,P503,IF(K503+P503&gt;=0,0,P503+K503))))</f>
        <v>24.9907935764448</v>
      </c>
      <c r="AA503" s="18" t="n">
        <f aca="false">IF(D503="","",IF(H503&lt;=$B$16,1,IF(H503&gt;=$B$17,$B$21,MATCH(H503,Aux_CAV!$A$2:$A$121,1))))</f>
        <v>12</v>
      </c>
      <c r="AB503" s="18" t="n">
        <f aca="false">IF(D503="","",IF(L503&lt;=$B$16,1,IF(L503&gt;=$B$17,$B$21,MATCH(L503,Aux_CAV!$A$2:$A$121,1))))</f>
        <v>12</v>
      </c>
      <c r="AC503" s="19" t="n">
        <f aca="false">IF(D503="","",COUNT($D$24:D503))</f>
        <v>468</v>
      </c>
    </row>
    <row r="504" customFormat="false" ht="12.75" hidden="false" customHeight="true" outlineLevel="0" collapsed="false">
      <c r="A504" s="14" t="n">
        <f aca="false">IF(D504="","",DATE(B504,C504,1))</f>
        <v>18264</v>
      </c>
      <c r="B504" s="15" t="n">
        <f aca="false" t="array" ref="B504:B504">IF(D504="","",IFERROR(VALUE(INDEX(Vazoes_COLAR!$A$2:$A$200,INT((ROW()-24)/12)+1)),""))</f>
        <v>1950</v>
      </c>
      <c r="C504" s="15" t="n">
        <f aca="false">IF(D504="","",MOD(ROW()-24,12)+1)</f>
        <v>1</v>
      </c>
      <c r="D504" s="16" t="n">
        <f aca="false" t="array" ref="D504: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0.081975388662109</v>
      </c>
      <c r="E504" s="16" t="n">
        <f aca="false">IF(D504="","",D504*$B$15)</f>
        <v>0.212480207412187</v>
      </c>
      <c r="F504" s="16" t="n">
        <f aca="false" t="array" ref="F504:F504">IF(D504="","",IFERROR(INDEX(Dados_Evap!$C$2:$N$15,MATCH($B$9,Dados_Evap!$A$2:$A$15,0),C504),0))</f>
        <v>160</v>
      </c>
      <c r="G504" s="16" t="n">
        <f aca="false">IF(F504="","",F504/1000)</f>
        <v>0.16</v>
      </c>
      <c r="H504" s="16" t="n">
        <f aca="false">IF(D504="","",MAX(0,MIN($B$8,IFERROR(LOOKUP(2,1/($U$24:U503&lt;&gt;""),$U$24:U503),$B$11))))</f>
        <v>24.9907935764448</v>
      </c>
      <c r="I504" s="16" t="n">
        <f aca="false" t="array" ref="I504: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>4.71215040065979</v>
      </c>
      <c r="J504" s="16" t="n">
        <f aca="false">IF(D504="","",$B$12)</f>
        <v>0.35</v>
      </c>
      <c r="K504" s="16" t="n">
        <f aca="false">IF(J504="","",J504*$B$15)</f>
        <v>0.9072</v>
      </c>
      <c r="L504" s="16" t="n">
        <f aca="false">IF(D504="","",H504+E504-K504-G504*I504)</f>
        <v>23.5421297197514</v>
      </c>
      <c r="M504" s="16" t="n">
        <f aca="false" t="array" ref="M504: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>4.55137647870199</v>
      </c>
      <c r="N504" s="16" t="n">
        <f aca="false">IF(D504="","",(I504+M504)/2)</f>
        <v>4.63176343968089</v>
      </c>
      <c r="O504" s="16" t="n">
        <f aca="false">IF(D504="","",G504*N504)</f>
        <v>0.741082150348943</v>
      </c>
      <c r="P504" s="16" t="n">
        <f aca="false">IF(D504="","",H504+E504-K504-O504)</f>
        <v>23.554991633508</v>
      </c>
      <c r="Q504" s="16" t="n">
        <f aca="false">IF(D504="","",IF(P504&gt;=0,K504,MAX(0,K504+P504)))</f>
        <v>0.9072</v>
      </c>
      <c r="R504" s="16" t="n">
        <f aca="false">IF(D504="","",Q504/$B$15)</f>
        <v>0.35</v>
      </c>
      <c r="S504" s="16" t="n">
        <f aca="false">IF(D504="","",MAX(0,J504-R504))</f>
        <v>0</v>
      </c>
      <c r="T504" s="16" t="n">
        <f aca="false">IF(D504="","",MAX(0,Z504-$B$8))</f>
        <v>0</v>
      </c>
      <c r="U504" s="16" t="n">
        <f aca="false">IF(D504="","",MAX(0,MIN($B$8,Z504)))</f>
        <v>23.554991633508</v>
      </c>
      <c r="V504" s="16" t="str">
        <f aca="false">IF(D504="","",IF(S504&gt;0.0000001,"Sim","Não"))</f>
        <v>Não</v>
      </c>
      <c r="W504" s="16" t="n">
        <f aca="false">IF(D504="","",U504-(H504+E504-Q504-O504-T504))</f>
        <v>0</v>
      </c>
      <c r="X504" s="16" t="n">
        <f aca="false">IF(W504="","",ABS(W504))</f>
        <v>0</v>
      </c>
      <c r="Y504" s="16" t="n">
        <f aca="false">IF(U504="","",IF($B$8=0,0,U504/$B$8*100))</f>
        <v>49.8835062124269</v>
      </c>
      <c r="Z504" s="18" t="n">
        <f aca="false">IF(D504="","",MAX(0,IF(P504&gt;=0,P504,IF(K504+P504&gt;=0,0,P504+K504))))</f>
        <v>23.554991633508</v>
      </c>
      <c r="AA504" s="18" t="n">
        <f aca="false">IF(D504="","",IF(H504&lt;=$B$16,1,IF(H504&gt;=$B$17,$B$21,MATCH(H504,Aux_CAV!$A$2:$A$121,1))))</f>
        <v>12</v>
      </c>
      <c r="AB504" s="18" t="n">
        <f aca="false">IF(D504="","",IF(L504&lt;=$B$16,1,IF(L504&gt;=$B$17,$B$21,MATCH(L504,Aux_CAV!$A$2:$A$121,1))))</f>
        <v>11</v>
      </c>
      <c r="AC504" s="19" t="n">
        <f aca="false">IF(D504="","",COUNT($D$24:D504))</f>
        <v>469</v>
      </c>
    </row>
    <row r="505" customFormat="false" ht="12.75" hidden="false" customHeight="true" outlineLevel="0" collapsed="false">
      <c r="A505" s="14" t="n">
        <f aca="false">IF(D505="","",DATE(B505,C505,1))</f>
        <v>18295</v>
      </c>
      <c r="B505" s="15" t="n">
        <f aca="false" t="array" ref="B505:B505">IF(D505="","",IFERROR(VALUE(INDEX(Vazoes_COLAR!$A$2:$A$200,INT((ROW()-24)/12)+1)),""))</f>
        <v>1950</v>
      </c>
      <c r="C505" s="15" t="n">
        <f aca="false">IF(D505="","",MOD(ROW()-24,12)+1)</f>
        <v>2</v>
      </c>
      <c r="D505" s="16" t="n">
        <f aca="false" t="array" ref="D505: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0.308984596389462</v>
      </c>
      <c r="E505" s="16" t="n">
        <f aca="false">IF(D505="","",D505*$B$15)</f>
        <v>0.800888073841486</v>
      </c>
      <c r="F505" s="16" t="n">
        <f aca="false" t="array" ref="F505:F505">IF(D505="","",IFERROR(INDEX(Dados_Evap!$C$2:$N$15,MATCH($B$9,Dados_Evap!$A$2:$A$15,0),C505),0))</f>
        <v>124.3</v>
      </c>
      <c r="G505" s="16" t="n">
        <f aca="false">IF(F505="","",F505/1000)</f>
        <v>0.1243</v>
      </c>
      <c r="H505" s="16" t="n">
        <f aca="false">IF(D505="","",MAX(0,MIN($B$8,IFERROR(LOOKUP(2,1/($U$24:U504&lt;&gt;""),$U$24:U504),$B$11))))</f>
        <v>23.554991633508</v>
      </c>
      <c r="I505" s="16" t="n">
        <f aca="false" t="array" ref="I505: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>4.55291363424852</v>
      </c>
      <c r="J505" s="16" t="n">
        <f aca="false">IF(D505="","",$B$12)</f>
        <v>0.35</v>
      </c>
      <c r="K505" s="16" t="n">
        <f aca="false">IF(J505="","",J505*$B$15)</f>
        <v>0.9072</v>
      </c>
      <c r="L505" s="16" t="n">
        <f aca="false">IF(D505="","",H505+E505-K505-G505*I505)</f>
        <v>22.8827525426124</v>
      </c>
      <c r="M505" s="16" t="n">
        <f aca="false" t="array" ref="M505: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>4.4725728648488</v>
      </c>
      <c r="N505" s="16" t="n">
        <f aca="false">IF(D505="","",(I505+M505)/2)</f>
        <v>4.51274324954866</v>
      </c>
      <c r="O505" s="16" t="n">
        <f aca="false">IF(D505="","",G505*N505)</f>
        <v>0.560933985918898</v>
      </c>
      <c r="P505" s="16" t="n">
        <f aca="false">IF(D505="","",H505+E505-K505-O505)</f>
        <v>22.8877457214306</v>
      </c>
      <c r="Q505" s="16" t="n">
        <f aca="false">IF(D505="","",IF(P505&gt;=0,K505,MAX(0,K505+P505)))</f>
        <v>0.9072</v>
      </c>
      <c r="R505" s="16" t="n">
        <f aca="false">IF(D505="","",Q505/$B$15)</f>
        <v>0.35</v>
      </c>
      <c r="S505" s="16" t="n">
        <f aca="false">IF(D505="","",MAX(0,J505-R505))</f>
        <v>0</v>
      </c>
      <c r="T505" s="16" t="n">
        <f aca="false">IF(D505="","",MAX(0,Z505-$B$8))</f>
        <v>0</v>
      </c>
      <c r="U505" s="16" t="n">
        <f aca="false">IF(D505="","",MAX(0,MIN($B$8,Z505)))</f>
        <v>22.8877457214306</v>
      </c>
      <c r="V505" s="16" t="str">
        <f aca="false">IF(D505="","",IF(S505&gt;0.0000001,"Sim","Não"))</f>
        <v>Não</v>
      </c>
      <c r="W505" s="16" t="n">
        <f aca="false">IF(D505="","",U505-(H505+E505-Q505-O505-T505))</f>
        <v>0</v>
      </c>
      <c r="X505" s="16" t="n">
        <f aca="false">IF(W505="","",ABS(W505))</f>
        <v>0</v>
      </c>
      <c r="Y505" s="16" t="n">
        <f aca="false">IF(U505="","",IF($B$8=0,0,U505/$B$8*100))</f>
        <v>48.4704483723646</v>
      </c>
      <c r="Z505" s="18" t="n">
        <f aca="false">IF(D505="","",MAX(0,IF(P505&gt;=0,P505,IF(K505+P505&gt;=0,0,P505+K505))))</f>
        <v>22.8877457214306</v>
      </c>
      <c r="AA505" s="18" t="n">
        <f aca="false">IF(D505="","",IF(H505&lt;=$B$16,1,IF(H505&gt;=$B$17,$B$21,MATCH(H505,Aux_CAV!$A$2:$A$121,1))))</f>
        <v>11</v>
      </c>
      <c r="AB505" s="18" t="n">
        <f aca="false">IF(D505="","",IF(L505&lt;=$B$16,1,IF(L505&gt;=$B$17,$B$21,MATCH(L505,Aux_CAV!$A$2:$A$121,1))))</f>
        <v>11</v>
      </c>
      <c r="AC505" s="19" t="n">
        <f aca="false">IF(D505="","",COUNT($D$24:D505))</f>
        <v>470</v>
      </c>
    </row>
    <row r="506" customFormat="false" ht="12.75" hidden="false" customHeight="true" outlineLevel="0" collapsed="false">
      <c r="A506" s="14" t="n">
        <f aca="false">IF(D506="","",DATE(B506,C506,1))</f>
        <v>18323</v>
      </c>
      <c r="B506" s="15" t="n">
        <f aca="false" t="array" ref="B506:B506">IF(D506="","",IFERROR(VALUE(INDEX(Vazoes_COLAR!$A$2:$A$200,INT((ROW()-24)/12)+1)),""))</f>
        <v>1950</v>
      </c>
      <c r="C506" s="15" t="n">
        <f aca="false">IF(D506="","",MOD(ROW()-24,12)+1)</f>
        <v>3</v>
      </c>
      <c r="D506" s="16" t="n">
        <f aca="false" t="array" ref="D506: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2.26366954682888</v>
      </c>
      <c r="E506" s="16" t="n">
        <f aca="false">IF(D506="","",D506*$B$15)</f>
        <v>5.86743146538046</v>
      </c>
      <c r="F506" s="16" t="n">
        <f aca="false" t="array" ref="F506:F506">IF(D506="","",IFERROR(INDEX(Dados_Evap!$C$2:$N$15,MATCH($B$9,Dados_Evap!$A$2:$A$15,0),C506),0))</f>
        <v>107.7</v>
      </c>
      <c r="G506" s="16" t="n">
        <f aca="false">IF(F506="","",F506/1000)</f>
        <v>0.1077</v>
      </c>
      <c r="H506" s="16" t="n">
        <f aca="false">IF(D506="","",MAX(0,MIN($B$8,IFERROR(LOOKUP(2,1/($U$24:U505&lt;&gt;""),$U$24:U505),$B$11))))</f>
        <v>22.8877457214306</v>
      </c>
      <c r="I506" s="16" t="n">
        <f aca="false" t="array" ref="I506: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>4.47316961061</v>
      </c>
      <c r="J506" s="16" t="n">
        <f aca="false">IF(D506="","",$B$12)</f>
        <v>0.35</v>
      </c>
      <c r="K506" s="16" t="n">
        <f aca="false">IF(J506="","",J506*$B$15)</f>
        <v>0.9072</v>
      </c>
      <c r="L506" s="16" t="n">
        <f aca="false">IF(D506="","",H506+E506-K506-G506*I506)</f>
        <v>27.3662168197483</v>
      </c>
      <c r="M506" s="16" t="n">
        <f aca="false" t="array" ref="M506: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>4.95891766962434</v>
      </c>
      <c r="N506" s="16" t="n">
        <f aca="false">IF(D506="","",(I506+M506)/2)</f>
        <v>4.71604364011717</v>
      </c>
      <c r="O506" s="16" t="n">
        <f aca="false">IF(D506="","",G506*N506)</f>
        <v>0.507917900040619</v>
      </c>
      <c r="P506" s="16" t="n">
        <f aca="false">IF(D506="","",H506+E506-K506-O506)</f>
        <v>27.3400592867704</v>
      </c>
      <c r="Q506" s="16" t="n">
        <f aca="false">IF(D506="","",IF(P506&gt;=0,K506,MAX(0,K506+P506)))</f>
        <v>0.9072</v>
      </c>
      <c r="R506" s="16" t="n">
        <f aca="false">IF(D506="","",Q506/$B$15)</f>
        <v>0.35</v>
      </c>
      <c r="S506" s="16" t="n">
        <f aca="false">IF(D506="","",MAX(0,J506-R506))</f>
        <v>0</v>
      </c>
      <c r="T506" s="16" t="n">
        <f aca="false">IF(D506="","",MAX(0,Z506-$B$8))</f>
        <v>0</v>
      </c>
      <c r="U506" s="16" t="n">
        <f aca="false">IF(D506="","",MAX(0,MIN($B$8,Z506)))</f>
        <v>27.3400592867704</v>
      </c>
      <c r="V506" s="16" t="str">
        <f aca="false">IF(D506="","",IF(S506&gt;0.0000001,"Sim","Não"))</f>
        <v>Não</v>
      </c>
      <c r="W506" s="16" t="n">
        <f aca="false">IF(D506="","",U506-(H506+E506-Q506-O506-T506))</f>
        <v>0</v>
      </c>
      <c r="X506" s="16" t="n">
        <f aca="false">IF(W506="","",ABS(W506))</f>
        <v>0</v>
      </c>
      <c r="Y506" s="16" t="n">
        <f aca="false">IF(U506="","",IF($B$8=0,0,U506/$B$8*100))</f>
        <v>57.8993208106108</v>
      </c>
      <c r="Z506" s="18" t="n">
        <f aca="false">IF(D506="","",MAX(0,IF(P506&gt;=0,P506,IF(K506+P506&gt;=0,0,P506+K506))))</f>
        <v>27.3400592867704</v>
      </c>
      <c r="AA506" s="18" t="n">
        <f aca="false">IF(D506="","",IF(H506&lt;=$B$16,1,IF(H506&gt;=$B$17,$B$21,MATCH(H506,Aux_CAV!$A$2:$A$121,1))))</f>
        <v>11</v>
      </c>
      <c r="AB506" s="18" t="n">
        <f aca="false">IF(D506="","",IF(L506&lt;=$B$16,1,IF(L506&gt;=$B$17,$B$21,MATCH(L506,Aux_CAV!$A$2:$A$121,1))))</f>
        <v>12</v>
      </c>
      <c r="AC506" s="19" t="n">
        <f aca="false">IF(D506="","",COUNT($D$24:D506))</f>
        <v>471</v>
      </c>
    </row>
    <row r="507" customFormat="false" ht="12.75" hidden="false" customHeight="true" outlineLevel="0" collapsed="false">
      <c r="A507" s="14" t="n">
        <f aca="false">IF(D507="","",DATE(B507,C507,1))</f>
        <v>18354</v>
      </c>
      <c r="B507" s="15" t="n">
        <f aca="false" t="array" ref="B507:B507">IF(D507="","",IFERROR(VALUE(INDEX(Vazoes_COLAR!$A$2:$A$200,INT((ROW()-24)/12)+1)),""))</f>
        <v>1950</v>
      </c>
      <c r="C507" s="15" t="n">
        <f aca="false">IF(D507="","",MOD(ROW()-24,12)+1)</f>
        <v>4</v>
      </c>
      <c r="D507" s="16" t="n">
        <f aca="false" t="array" ref="D507: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11.2653531268448</v>
      </c>
      <c r="E507" s="16" t="n">
        <f aca="false">IF(D507="","",D507*$B$15)</f>
        <v>29.1997953047817</v>
      </c>
      <c r="F507" s="16" t="n">
        <f aca="false" t="array" ref="F507:F507">IF(D507="","",IFERROR(INDEX(Dados_Evap!$C$2:$N$15,MATCH($B$9,Dados_Evap!$A$2:$A$15,0),C507),0))</f>
        <v>100.5</v>
      </c>
      <c r="G507" s="16" t="n">
        <f aca="false">IF(F507="","",F507/1000)</f>
        <v>0.1005</v>
      </c>
      <c r="H507" s="16" t="n">
        <f aca="false">IF(D507="","",MAX(0,MIN($B$8,IFERROR(LOOKUP(2,1/($U$24:U506&lt;&gt;""),$U$24:U506),$B$11))))</f>
        <v>27.3400592867704</v>
      </c>
      <c r="I507" s="16" t="n">
        <f aca="false" t="array" ref="I507: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>4.95620033367421</v>
      </c>
      <c r="J507" s="16" t="n">
        <f aca="false">IF(D507="","",$B$12)</f>
        <v>0.35</v>
      </c>
      <c r="K507" s="16" t="n">
        <f aca="false">IF(J507="","",J507*$B$15)</f>
        <v>0.9072</v>
      </c>
      <c r="L507" s="16" t="n">
        <f aca="false">IF(D507="","",H507+E507-K507-G507*I507)</f>
        <v>55.1345564580179</v>
      </c>
      <c r="M507" s="16" t="n">
        <f aca="false" t="array" ref="M507: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>7.9061831805165</v>
      </c>
      <c r="N507" s="16" t="n">
        <f aca="false">IF(D507="","",(I507+M507)/2)</f>
        <v>6.43119175709535</v>
      </c>
      <c r="O507" s="16" t="n">
        <f aca="false">IF(D507="","",G507*N507)</f>
        <v>0.646334771588083</v>
      </c>
      <c r="P507" s="16" t="n">
        <f aca="false">IF(D507="","",H507+E507-K507-O507)</f>
        <v>54.9863198199641</v>
      </c>
      <c r="Q507" s="16" t="n">
        <f aca="false">IF(D507="","",IF(P507&gt;=0,K507,MAX(0,K507+P507)))</f>
        <v>0.9072</v>
      </c>
      <c r="R507" s="16" t="n">
        <f aca="false">IF(D507="","",Q507/$B$15)</f>
        <v>0.35</v>
      </c>
      <c r="S507" s="16" t="n">
        <f aca="false">IF(D507="","",MAX(0,J507-R507))</f>
        <v>0</v>
      </c>
      <c r="T507" s="16" t="n">
        <f aca="false">IF(D507="","",MAX(0,Z507-$B$8))</f>
        <v>7.76631981996406</v>
      </c>
      <c r="U507" s="16" t="n">
        <f aca="false">IF(D507="","",MAX(0,MIN($B$8,Z507)))</f>
        <v>47.22</v>
      </c>
      <c r="V507" s="16" t="str">
        <f aca="false">IF(D507="","",IF(S507&gt;0.0000001,"Sim","Não"))</f>
        <v>Não</v>
      </c>
      <c r="W507" s="16" t="n">
        <f aca="false">IF(D507="","",U507-(H507+E507-Q507-O507-T507))</f>
        <v>0</v>
      </c>
      <c r="X507" s="16" t="n">
        <f aca="false">IF(W507="","",ABS(W507))</f>
        <v>0</v>
      </c>
      <c r="Y507" s="16" t="n">
        <f aca="false">IF(U507="","",IF($B$8=0,0,U507/$B$8*100))</f>
        <v>100</v>
      </c>
      <c r="Z507" s="18" t="n">
        <f aca="false">IF(D507="","",MAX(0,IF(P507&gt;=0,P507,IF(K507+P507&gt;=0,0,P507+K507))))</f>
        <v>54.9863198199641</v>
      </c>
      <c r="AA507" s="18" t="n">
        <f aca="false">IF(D507="","",IF(H507&lt;=$B$16,1,IF(H507&gt;=$B$17,$B$21,MATCH(H507,Aux_CAV!$A$2:$A$121,1))))</f>
        <v>12</v>
      </c>
      <c r="AB507" s="18" t="n">
        <f aca="false">IF(D507="","",IF(L507&lt;=$B$16,1,IF(L507&gt;=$B$17,$B$21,MATCH(L507,Aux_CAV!$A$2:$A$121,1))))</f>
        <v>15</v>
      </c>
      <c r="AC507" s="19" t="n">
        <f aca="false">IF(D507="","",COUNT($D$24:D507))</f>
        <v>472</v>
      </c>
    </row>
    <row r="508" customFormat="false" ht="12.75" hidden="false" customHeight="true" outlineLevel="0" collapsed="false">
      <c r="A508" s="14" t="n">
        <f aca="false">IF(D508="","",DATE(B508,C508,1))</f>
        <v>18384</v>
      </c>
      <c r="B508" s="15" t="n">
        <f aca="false" t="array" ref="B508:B508">IF(D508="","",IFERROR(VALUE(INDEX(Vazoes_COLAR!$A$2:$A$200,INT((ROW()-24)/12)+1)),""))</f>
        <v>1950</v>
      </c>
      <c r="C508" s="15" t="n">
        <f aca="false">IF(D508="","",MOD(ROW()-24,12)+1)</f>
        <v>5</v>
      </c>
      <c r="D508" s="16" t="n">
        <f aca="false" t="array" ref="D508: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0.531567558685497</v>
      </c>
      <c r="E508" s="16" t="n">
        <f aca="false">IF(D508="","",D508*$B$15)</f>
        <v>1.37782311211281</v>
      </c>
      <c r="F508" s="16" t="n">
        <f aca="false" t="array" ref="F508:F508">IF(D508="","",IFERROR(INDEX(Dados_Evap!$C$2:$N$15,MATCH($B$9,Dados_Evap!$A$2:$A$15,0),C508),0))</f>
        <v>145.8</v>
      </c>
      <c r="G508" s="16" t="n">
        <f aca="false">IF(F508="","",F508/1000)</f>
        <v>0.1458</v>
      </c>
      <c r="H508" s="16" t="n">
        <f aca="false">IF(D508="","",MAX(0,MIN($B$8,IFERROR(LOOKUP(2,1/($U$24:U507&lt;&gt;""),$U$24:U507),$B$11))))</f>
        <v>47.22</v>
      </c>
      <c r="I508" s="16" t="n">
        <f aca="false" t="array" ref="I508: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>6.97</v>
      </c>
      <c r="J508" s="16" t="n">
        <f aca="false">IF(D508="","",$B$12)</f>
        <v>0.35</v>
      </c>
      <c r="K508" s="16" t="n">
        <f aca="false">IF(J508="","",J508*$B$15)</f>
        <v>0.9072</v>
      </c>
      <c r="L508" s="16" t="n">
        <f aca="false">IF(D508="","",H508+E508-K508-G508*I508)</f>
        <v>46.6743971121128</v>
      </c>
      <c r="M508" s="16" t="n">
        <f aca="false" t="array" ref="M508: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>6.91552549782887</v>
      </c>
      <c r="N508" s="16" t="n">
        <f aca="false">IF(D508="","",(I508+M508)/2)</f>
        <v>6.94276274891444</v>
      </c>
      <c r="O508" s="16" t="n">
        <f aca="false">IF(D508="","",G508*N508)</f>
        <v>1.01225480879173</v>
      </c>
      <c r="P508" s="16" t="n">
        <f aca="false">IF(D508="","",H508+E508-K508-O508)</f>
        <v>46.6783683033211</v>
      </c>
      <c r="Q508" s="16" t="n">
        <f aca="false">IF(D508="","",IF(P508&gt;=0,K508,MAX(0,K508+P508)))</f>
        <v>0.9072</v>
      </c>
      <c r="R508" s="16" t="n">
        <f aca="false">IF(D508="","",Q508/$B$15)</f>
        <v>0.35</v>
      </c>
      <c r="S508" s="16" t="n">
        <f aca="false">IF(D508="","",MAX(0,J508-R508))</f>
        <v>0</v>
      </c>
      <c r="T508" s="16" t="n">
        <f aca="false">IF(D508="","",MAX(0,Z508-$B$8))</f>
        <v>0</v>
      </c>
      <c r="U508" s="16" t="n">
        <f aca="false">IF(D508="","",MAX(0,MIN($B$8,Z508)))</f>
        <v>46.6783683033211</v>
      </c>
      <c r="V508" s="16" t="str">
        <f aca="false">IF(D508="","",IF(S508&gt;0.0000001,"Sim","Não"))</f>
        <v>Não</v>
      </c>
      <c r="W508" s="16" t="n">
        <f aca="false">IF(D508="","",U508-(H508+E508-Q508-O508-T508))</f>
        <v>0</v>
      </c>
      <c r="X508" s="16" t="n">
        <f aca="false">IF(W508="","",ABS(W508))</f>
        <v>0</v>
      </c>
      <c r="Y508" s="16" t="n">
        <f aca="false">IF(U508="","",IF($B$8=0,0,U508/$B$8*100))</f>
        <v>98.8529612522683</v>
      </c>
      <c r="Z508" s="18" t="n">
        <f aca="false">IF(D508="","",MAX(0,IF(P508&gt;=0,P508,IF(K508+P508&gt;=0,0,P508+K508))))</f>
        <v>46.6783683033211</v>
      </c>
      <c r="AA508" s="18" t="n">
        <f aca="false">IF(D508="","",IF(H508&lt;=$B$16,1,IF(H508&gt;=$B$17,$B$21,MATCH(H508,Aux_CAV!$A$2:$A$121,1))))</f>
        <v>14</v>
      </c>
      <c r="AB508" s="18" t="n">
        <f aca="false">IF(D508="","",IF(L508&lt;=$B$16,1,IF(L508&gt;=$B$17,$B$21,MATCH(L508,Aux_CAV!$A$2:$A$121,1))))</f>
        <v>13</v>
      </c>
      <c r="AC508" s="19" t="n">
        <f aca="false">IF(D508="","",COUNT($D$24:D508))</f>
        <v>473</v>
      </c>
    </row>
    <row r="509" customFormat="false" ht="12.75" hidden="false" customHeight="true" outlineLevel="0" collapsed="false">
      <c r="A509" s="14" t="n">
        <f aca="false">IF(D509="","",DATE(B509,C509,1))</f>
        <v>18415</v>
      </c>
      <c r="B509" s="15" t="n">
        <f aca="false" t="array" ref="B509:B509">IF(D509="","",IFERROR(VALUE(INDEX(Vazoes_COLAR!$A$2:$A$200,INT((ROW()-24)/12)+1)),""))</f>
        <v>1950</v>
      </c>
      <c r="C509" s="15" t="n">
        <f aca="false">IF(D509="","",MOD(ROW()-24,12)+1)</f>
        <v>6</v>
      </c>
      <c r="D509" s="16" t="n">
        <f aca="false" t="array" ref="D509: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0.0494315447553313</v>
      </c>
      <c r="E509" s="16" t="n">
        <f aca="false">IF(D509="","",D509*$B$15)</f>
        <v>0.128126564005819</v>
      </c>
      <c r="F509" s="16" t="n">
        <f aca="false" t="array" ref="F509:F509">IF(D509="","",IFERROR(INDEX(Dados_Evap!$C$2:$N$15,MATCH($B$9,Dados_Evap!$A$2:$A$15,0),C509),0))</f>
        <v>161.3</v>
      </c>
      <c r="G509" s="16" t="n">
        <f aca="false">IF(F509="","",F509/1000)</f>
        <v>0.1613</v>
      </c>
      <c r="H509" s="16" t="n">
        <f aca="false">IF(D509="","",MAX(0,MIN($B$8,IFERROR(LOOKUP(2,1/($U$24:U508&lt;&gt;""),$U$24:U508),$B$11))))</f>
        <v>46.6783683033211</v>
      </c>
      <c r="I509" s="16" t="n">
        <f aca="false" t="array" ref="I509: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>6.91592199254857</v>
      </c>
      <c r="J509" s="16" t="n">
        <f aca="false">IF(D509="","",$B$12)</f>
        <v>0.35</v>
      </c>
      <c r="K509" s="16" t="n">
        <f aca="false">IF(J509="","",J509*$B$15)</f>
        <v>0.9072</v>
      </c>
      <c r="L509" s="16" t="n">
        <f aca="false">IF(D509="","",H509+E509-K509-G509*I509)</f>
        <v>44.7837566499288</v>
      </c>
      <c r="M509" s="16" t="n">
        <f aca="false" t="array" ref="M509: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>6.7267587221234</v>
      </c>
      <c r="N509" s="16" t="n">
        <f aca="false">IF(D509="","",(I509+M509)/2)</f>
        <v>6.82134035733598</v>
      </c>
      <c r="O509" s="16" t="n">
        <f aca="false">IF(D509="","",G509*N509)</f>
        <v>1.10028219963829</v>
      </c>
      <c r="P509" s="16" t="n">
        <f aca="false">IF(D509="","",H509+E509-K509-O509)</f>
        <v>44.7990126676886</v>
      </c>
      <c r="Q509" s="16" t="n">
        <f aca="false">IF(D509="","",IF(P509&gt;=0,K509,MAX(0,K509+P509)))</f>
        <v>0.9072</v>
      </c>
      <c r="R509" s="16" t="n">
        <f aca="false">IF(D509="","",Q509/$B$15)</f>
        <v>0.35</v>
      </c>
      <c r="S509" s="16" t="n">
        <f aca="false">IF(D509="","",MAX(0,J509-R509))</f>
        <v>0</v>
      </c>
      <c r="T509" s="16" t="n">
        <f aca="false">IF(D509="","",MAX(0,Z509-$B$8))</f>
        <v>0</v>
      </c>
      <c r="U509" s="16" t="n">
        <f aca="false">IF(D509="","",MAX(0,MIN($B$8,Z509)))</f>
        <v>44.7990126676886</v>
      </c>
      <c r="V509" s="16" t="str">
        <f aca="false">IF(D509="","",IF(S509&gt;0.0000001,"Sim","Não"))</f>
        <v>Não</v>
      </c>
      <c r="W509" s="16" t="n">
        <f aca="false">IF(D509="","",U509-(H509+E509-Q509-O509-T509))</f>
        <v>0</v>
      </c>
      <c r="X509" s="16" t="n">
        <f aca="false">IF(W509="","",ABS(W509))</f>
        <v>0</v>
      </c>
      <c r="Y509" s="16" t="n">
        <f aca="false">IF(U509="","",IF($B$8=0,0,U509/$B$8*100))</f>
        <v>94.8729620239064</v>
      </c>
      <c r="Z509" s="18" t="n">
        <f aca="false">IF(D509="","",MAX(0,IF(P509&gt;=0,P509,IF(K509+P509&gt;=0,0,P509+K509))))</f>
        <v>44.7990126676886</v>
      </c>
      <c r="AA509" s="18" t="n">
        <f aca="false">IF(D509="","",IF(H509&lt;=$B$16,1,IF(H509&gt;=$B$17,$B$21,MATCH(H509,Aux_CAV!$A$2:$A$121,1))))</f>
        <v>13</v>
      </c>
      <c r="AB509" s="18" t="n">
        <f aca="false">IF(D509="","",IF(L509&lt;=$B$16,1,IF(L509&gt;=$B$17,$B$21,MATCH(L509,Aux_CAV!$A$2:$A$121,1))))</f>
        <v>13</v>
      </c>
      <c r="AC509" s="19" t="n">
        <f aca="false">IF(D509="","",COUNT($D$24:D509))</f>
        <v>474</v>
      </c>
    </row>
    <row r="510" customFormat="false" ht="12.75" hidden="false" customHeight="true" outlineLevel="0" collapsed="false">
      <c r="A510" s="14" t="n">
        <f aca="false">IF(D510="","",DATE(B510,C510,1))</f>
        <v>18445</v>
      </c>
      <c r="B510" s="15" t="n">
        <f aca="false" t="array" ref="B510:B510">IF(D510="","",IFERROR(VALUE(INDEX(Vazoes_COLAR!$A$2:$A$200,INT((ROW()-24)/12)+1)),""))</f>
        <v>1950</v>
      </c>
      <c r="C510" s="15" t="n">
        <f aca="false">IF(D510="","",MOD(ROW()-24,12)+1)</f>
        <v>7</v>
      </c>
      <c r="D510" s="16" t="n">
        <f aca="false" t="array" ref="D510: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0.0529704914770038</v>
      </c>
      <c r="E510" s="16" t="n">
        <f aca="false">IF(D510="","",D510*$B$15)</f>
        <v>0.137299513908394</v>
      </c>
      <c r="F510" s="16" t="n">
        <f aca="false" t="array" ref="F510:F510">IF(D510="","",IFERROR(INDEX(Dados_Evap!$C$2:$N$15,MATCH($B$9,Dados_Evap!$A$2:$A$15,0),C510),0))</f>
        <v>224.8</v>
      </c>
      <c r="G510" s="16" t="n">
        <f aca="false">IF(F510="","",F510/1000)</f>
        <v>0.2248</v>
      </c>
      <c r="H510" s="16" t="n">
        <f aca="false">IF(D510="","",MAX(0,MIN($B$8,IFERROR(LOOKUP(2,1/($U$24:U509&lt;&gt;""),$U$24:U509),$B$11))))</f>
        <v>44.7990126676886</v>
      </c>
      <c r="I510" s="16" t="n">
        <f aca="false" t="array" ref="I510: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>6.72828192515444</v>
      </c>
      <c r="J510" s="16" t="n">
        <f aca="false">IF(D510="","",$B$12)</f>
        <v>0.35</v>
      </c>
      <c r="K510" s="16" t="n">
        <f aca="false">IF(J510="","",J510*$B$15)</f>
        <v>0.9072</v>
      </c>
      <c r="L510" s="16" t="n">
        <f aca="false">IF(D510="","",H510+E510-K510-G510*I510)</f>
        <v>42.5165944048223</v>
      </c>
      <c r="M510" s="16" t="n">
        <f aca="false" t="array" ref="M510: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>6.50039896966386</v>
      </c>
      <c r="N510" s="16" t="n">
        <f aca="false">IF(D510="","",(I510+M510)/2)</f>
        <v>6.61434044740915</v>
      </c>
      <c r="O510" s="16" t="n">
        <f aca="false">IF(D510="","",G510*N510)</f>
        <v>1.48690373257758</v>
      </c>
      <c r="P510" s="16" t="n">
        <f aca="false">IF(D510="","",H510+E510-K510-O510)</f>
        <v>42.5422084490194</v>
      </c>
      <c r="Q510" s="16" t="n">
        <f aca="false">IF(D510="","",IF(P510&gt;=0,K510,MAX(0,K510+P510)))</f>
        <v>0.9072</v>
      </c>
      <c r="R510" s="16" t="n">
        <f aca="false">IF(D510="","",Q510/$B$15)</f>
        <v>0.35</v>
      </c>
      <c r="S510" s="16" t="n">
        <f aca="false">IF(D510="","",MAX(0,J510-R510))</f>
        <v>0</v>
      </c>
      <c r="T510" s="16" t="n">
        <f aca="false">IF(D510="","",MAX(0,Z510-$B$8))</f>
        <v>0</v>
      </c>
      <c r="U510" s="16" t="n">
        <f aca="false">IF(D510="","",MAX(0,MIN($B$8,Z510)))</f>
        <v>42.5422084490194</v>
      </c>
      <c r="V510" s="16" t="str">
        <f aca="false">IF(D510="","",IF(S510&gt;0.0000001,"Sim","Não"))</f>
        <v>Não</v>
      </c>
      <c r="W510" s="16" t="n">
        <f aca="false">IF(D510="","",U510-(H510+E510-Q510-O510-T510))</f>
        <v>0</v>
      </c>
      <c r="X510" s="16" t="n">
        <f aca="false">IF(W510="","",ABS(W510))</f>
        <v>0</v>
      </c>
      <c r="Y510" s="16" t="n">
        <f aca="false">IF(U510="","",IF($B$8=0,0,U510/$B$8*100))</f>
        <v>90.0936222977963</v>
      </c>
      <c r="Z510" s="18" t="n">
        <f aca="false">IF(D510="","",MAX(0,IF(P510&gt;=0,P510,IF(K510+P510&gt;=0,0,P510+K510))))</f>
        <v>42.5422084490194</v>
      </c>
      <c r="AA510" s="18" t="n">
        <f aca="false">IF(D510="","",IF(H510&lt;=$B$16,1,IF(H510&gt;=$B$17,$B$21,MATCH(H510,Aux_CAV!$A$2:$A$121,1))))</f>
        <v>13</v>
      </c>
      <c r="AB510" s="18" t="n">
        <f aca="false">IF(D510="","",IF(L510&lt;=$B$16,1,IF(L510&gt;=$B$17,$B$21,MATCH(L510,Aux_CAV!$A$2:$A$121,1))))</f>
        <v>13</v>
      </c>
      <c r="AC510" s="19" t="n">
        <f aca="false">IF(D510="","",COUNT($D$24:D510))</f>
        <v>475</v>
      </c>
    </row>
    <row r="511" customFormat="false" ht="12.75" hidden="false" customHeight="true" outlineLevel="0" collapsed="false">
      <c r="A511" s="14" t="n">
        <f aca="false">IF(D511="","",DATE(B511,C511,1))</f>
        <v>18476</v>
      </c>
      <c r="B511" s="15" t="n">
        <f aca="false" t="array" ref="B511:B511">IF(D511="","",IFERROR(VALUE(INDEX(Vazoes_COLAR!$A$2:$A$200,INT((ROW()-24)/12)+1)),""))</f>
        <v>1950</v>
      </c>
      <c r="C511" s="15" t="n">
        <f aca="false">IF(D511="","",MOD(ROW()-24,12)+1)</f>
        <v>8</v>
      </c>
      <c r="D511" s="16" t="n">
        <f aca="false" t="array" ref="D511: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0.0244454155441193</v>
      </c>
      <c r="E511" s="16" t="n">
        <f aca="false">IF(D511="","",D511*$B$15)</f>
        <v>0.0633625170903572</v>
      </c>
      <c r="F511" s="16" t="n">
        <f aca="false" t="array" ref="F511:F511">IF(D511="","",IFERROR(INDEX(Dados_Evap!$C$2:$N$15,MATCH($B$9,Dados_Evap!$A$2:$A$15,0),C511),0))</f>
        <v>268.7</v>
      </c>
      <c r="G511" s="16" t="n">
        <f aca="false">IF(F511="","",F511/1000)</f>
        <v>0.2687</v>
      </c>
      <c r="H511" s="16" t="n">
        <f aca="false">IF(D511="","",MAX(0,MIN($B$8,IFERROR(LOOKUP(2,1/($U$24:U510&lt;&gt;""),$U$24:U510),$B$11))))</f>
        <v>42.5422084490194</v>
      </c>
      <c r="I511" s="16" t="n">
        <f aca="false" t="array" ref="I511: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>6.50295634671813</v>
      </c>
      <c r="J511" s="16" t="n">
        <f aca="false">IF(D511="","",$B$12)</f>
        <v>0.35</v>
      </c>
      <c r="K511" s="16" t="n">
        <f aca="false">IF(J511="","",J511*$B$15)</f>
        <v>0.9072</v>
      </c>
      <c r="L511" s="16" t="n">
        <f aca="false">IF(D511="","",H511+E511-K511-G511*I511)</f>
        <v>39.9510265957466</v>
      </c>
      <c r="M511" s="16" t="n">
        <f aca="false" t="array" ref="M511: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>6.24424557992124</v>
      </c>
      <c r="N511" s="16" t="n">
        <f aca="false">IF(D511="","",(I511+M511)/2)</f>
        <v>6.37360096331969</v>
      </c>
      <c r="O511" s="16" t="n">
        <f aca="false">IF(D511="","",G511*N511)</f>
        <v>1.712586578844</v>
      </c>
      <c r="P511" s="16" t="n">
        <f aca="false">IF(D511="","",H511+E511-K511-O511)</f>
        <v>39.9857843872658</v>
      </c>
      <c r="Q511" s="16" t="n">
        <f aca="false">IF(D511="","",IF(P511&gt;=0,K511,MAX(0,K511+P511)))</f>
        <v>0.9072</v>
      </c>
      <c r="R511" s="16" t="n">
        <f aca="false">IF(D511="","",Q511/$B$15)</f>
        <v>0.35</v>
      </c>
      <c r="S511" s="16" t="n">
        <f aca="false">IF(D511="","",MAX(0,J511-R511))</f>
        <v>0</v>
      </c>
      <c r="T511" s="16" t="n">
        <f aca="false">IF(D511="","",MAX(0,Z511-$B$8))</f>
        <v>0</v>
      </c>
      <c r="U511" s="16" t="n">
        <f aca="false">IF(D511="","",MAX(0,MIN($B$8,Z511)))</f>
        <v>39.9857843872658</v>
      </c>
      <c r="V511" s="16" t="str">
        <f aca="false">IF(D511="","",IF(S511&gt;0.0000001,"Sim","Não"))</f>
        <v>Não</v>
      </c>
      <c r="W511" s="16" t="n">
        <f aca="false">IF(D511="","",U511-(H511+E511-Q511-O511-T511))</f>
        <v>0</v>
      </c>
      <c r="X511" s="16" t="n">
        <f aca="false">IF(W511="","",ABS(W511))</f>
        <v>0</v>
      </c>
      <c r="Y511" s="16" t="n">
        <f aca="false">IF(U511="","",IF($B$8=0,0,U511/$B$8*100))</f>
        <v>84.6797636324985</v>
      </c>
      <c r="Z511" s="18" t="n">
        <f aca="false">IF(D511="","",MAX(0,IF(P511&gt;=0,P511,IF(K511+P511&gt;=0,0,P511+K511))))</f>
        <v>39.9857843872658</v>
      </c>
      <c r="AA511" s="18" t="n">
        <f aca="false">IF(D511="","",IF(H511&lt;=$B$16,1,IF(H511&gt;=$B$17,$B$21,MATCH(H511,Aux_CAV!$A$2:$A$121,1))))</f>
        <v>13</v>
      </c>
      <c r="AB511" s="18" t="n">
        <f aca="false">IF(D511="","",IF(L511&lt;=$B$16,1,IF(L511&gt;=$B$17,$B$21,MATCH(L511,Aux_CAV!$A$2:$A$121,1))))</f>
        <v>13</v>
      </c>
      <c r="AC511" s="19" t="n">
        <f aca="false">IF(D511="","",COUNT($D$24:D511))</f>
        <v>476</v>
      </c>
    </row>
    <row r="512" customFormat="false" ht="12.75" hidden="false" customHeight="true" outlineLevel="0" collapsed="false">
      <c r="A512" s="14" t="n">
        <f aca="false">IF(D512="","",DATE(B512,C512,1))</f>
        <v>18507</v>
      </c>
      <c r="B512" s="15" t="n">
        <f aca="false" t="array" ref="B512:B512">IF(D512="","",IFERROR(VALUE(INDEX(Vazoes_COLAR!$A$2:$A$200,INT((ROW()-24)/12)+1)),""))</f>
        <v>1950</v>
      </c>
      <c r="C512" s="15" t="n">
        <f aca="false">IF(D512="","",MOD(ROW()-24,12)+1)</f>
        <v>9</v>
      </c>
      <c r="D512" s="16" t="n">
        <f aca="false" t="array" ref="D512: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0.0471921025910531</v>
      </c>
      <c r="E512" s="16" t="n">
        <f aca="false">IF(D512="","",D512*$B$15)</f>
        <v>0.12232192991601</v>
      </c>
      <c r="F512" s="16" t="n">
        <f aca="false" t="array" ref="F512:F512">IF(D512="","",IFERROR(INDEX(Dados_Evap!$C$2:$N$15,MATCH($B$9,Dados_Evap!$A$2:$A$15,0),C512),0))</f>
        <v>292.8</v>
      </c>
      <c r="G512" s="16" t="n">
        <f aca="false">IF(F512="","",F512/1000)</f>
        <v>0.2928</v>
      </c>
      <c r="H512" s="16" t="n">
        <f aca="false">IF(D512="","",MAX(0,MIN($B$8,IFERROR(LOOKUP(2,1/($U$24:U511&lt;&gt;""),$U$24:U511),$B$11))))</f>
        <v>39.9857843872658</v>
      </c>
      <c r="I512" s="16" t="n">
        <f aca="false" t="array" ref="I512: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>6.2477158940116</v>
      </c>
      <c r="J512" s="16" t="n">
        <f aca="false">IF(D512="","",$B$12)</f>
        <v>0.35</v>
      </c>
      <c r="K512" s="16" t="n">
        <f aca="false">IF(J512="","",J512*$B$15)</f>
        <v>0.9072</v>
      </c>
      <c r="L512" s="16" t="n">
        <f aca="false">IF(D512="","",H512+E512-K512-G512*I512)</f>
        <v>37.3715751034152</v>
      </c>
      <c r="M512" s="16" t="n">
        <f aca="false" t="array" ref="M512: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>5.98670600482211</v>
      </c>
      <c r="N512" s="16" t="n">
        <f aca="false">IF(D512="","",(I512+M512)/2)</f>
        <v>6.11721094941686</v>
      </c>
      <c r="O512" s="16" t="n">
        <f aca="false">IF(D512="","",G512*N512)</f>
        <v>1.79111936598926</v>
      </c>
      <c r="P512" s="16" t="n">
        <f aca="false">IF(D512="","",H512+E512-K512-O512)</f>
        <v>37.4097869511925</v>
      </c>
      <c r="Q512" s="16" t="n">
        <f aca="false">IF(D512="","",IF(P512&gt;=0,K512,MAX(0,K512+P512)))</f>
        <v>0.9072</v>
      </c>
      <c r="R512" s="16" t="n">
        <f aca="false">IF(D512="","",Q512/$B$15)</f>
        <v>0.35</v>
      </c>
      <c r="S512" s="16" t="n">
        <f aca="false">IF(D512="","",MAX(0,J512-R512))</f>
        <v>0</v>
      </c>
      <c r="T512" s="16" t="n">
        <f aca="false">IF(D512="","",MAX(0,Z512-$B$8))</f>
        <v>0</v>
      </c>
      <c r="U512" s="16" t="n">
        <f aca="false">IF(D512="","",MAX(0,MIN($B$8,Z512)))</f>
        <v>37.4097869511925</v>
      </c>
      <c r="V512" s="16" t="str">
        <f aca="false">IF(D512="","",IF(S512&gt;0.0000001,"Sim","Não"))</f>
        <v>Não</v>
      </c>
      <c r="W512" s="16" t="n">
        <f aca="false">IF(D512="","",U512-(H512+E512-Q512-O512-T512))</f>
        <v>0</v>
      </c>
      <c r="X512" s="16" t="n">
        <f aca="false">IF(W512="","",ABS(W512))</f>
        <v>0</v>
      </c>
      <c r="Y512" s="16" t="n">
        <f aca="false">IF(U512="","",IF($B$8=0,0,U512/$B$8*100))</f>
        <v>79.224453517985</v>
      </c>
      <c r="Z512" s="18" t="n">
        <f aca="false">IF(D512="","",MAX(0,IF(P512&gt;=0,P512,IF(K512+P512&gt;=0,0,P512+K512))))</f>
        <v>37.4097869511925</v>
      </c>
      <c r="AA512" s="18" t="n">
        <f aca="false">IF(D512="","",IF(H512&lt;=$B$16,1,IF(H512&gt;=$B$17,$B$21,MATCH(H512,Aux_CAV!$A$2:$A$121,1))))</f>
        <v>13</v>
      </c>
      <c r="AB512" s="18" t="n">
        <f aca="false">IF(D512="","",IF(L512&lt;=$B$16,1,IF(L512&gt;=$B$17,$B$21,MATCH(L512,Aux_CAV!$A$2:$A$121,1))))</f>
        <v>13</v>
      </c>
      <c r="AC512" s="19" t="n">
        <f aca="false">IF(D512="","",COUNT($D$24:D512))</f>
        <v>477</v>
      </c>
    </row>
    <row r="513" customFormat="false" ht="12.75" hidden="false" customHeight="true" outlineLevel="0" collapsed="false">
      <c r="A513" s="14" t="n">
        <f aca="false">IF(D513="","",DATE(B513,C513,1))</f>
        <v>18537</v>
      </c>
      <c r="B513" s="15" t="n">
        <f aca="false" t="array" ref="B513:B513">IF(D513="","",IFERROR(VALUE(INDEX(Vazoes_COLAR!$A$2:$A$200,INT((ROW()-24)/12)+1)),""))</f>
        <v>1950</v>
      </c>
      <c r="C513" s="15" t="n">
        <f aca="false">IF(D513="","",MOD(ROW()-24,12)+1)</f>
        <v>10</v>
      </c>
      <c r="D513" s="16" t="n">
        <f aca="false" t="array" ref="D513: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0.0567908279033068</v>
      </c>
      <c r="E513" s="16" t="n">
        <f aca="false">IF(D513="","",D513*$B$15)</f>
        <v>0.147201825925371</v>
      </c>
      <c r="F513" s="16" t="n">
        <f aca="false" t="array" ref="F513:F513">IF(D513="","",IFERROR(INDEX(Dados_Evap!$C$2:$N$15,MATCH($B$9,Dados_Evap!$A$2:$A$15,0),C513),0))</f>
        <v>262.9</v>
      </c>
      <c r="G513" s="16" t="n">
        <f aca="false">IF(F513="","",F513/1000)</f>
        <v>0.2629</v>
      </c>
      <c r="H513" s="16" t="n">
        <f aca="false">IF(D513="","",MAX(0,MIN($B$8,IFERROR(LOOKUP(2,1/($U$24:U512&lt;&gt;""),$U$24:U512),$B$11))))</f>
        <v>37.4097869511925</v>
      </c>
      <c r="I513" s="16" t="n">
        <f aca="false" t="array" ref="I513: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>5.99052118144768</v>
      </c>
      <c r="J513" s="16" t="n">
        <f aca="false">IF(D513="","",$B$12)</f>
        <v>0.35</v>
      </c>
      <c r="K513" s="16" t="n">
        <f aca="false">IF(J513="","",J513*$B$15)</f>
        <v>0.9072</v>
      </c>
      <c r="L513" s="16" t="n">
        <f aca="false">IF(D513="","",H513+E513-K513-G513*I513)</f>
        <v>35.0748807585153</v>
      </c>
      <c r="M513" s="16" t="n">
        <f aca="false" t="array" ref="M513: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>5.75739768579516</v>
      </c>
      <c r="N513" s="16" t="n">
        <f aca="false">IF(D513="","",(I513+M513)/2)</f>
        <v>5.87395943362142</v>
      </c>
      <c r="O513" s="16" t="n">
        <f aca="false">IF(D513="","",G513*N513)</f>
        <v>1.54426393509907</v>
      </c>
      <c r="P513" s="16" t="n">
        <f aca="false">IF(D513="","",H513+E513-K513-O513)</f>
        <v>35.1055248420188</v>
      </c>
      <c r="Q513" s="16" t="n">
        <f aca="false">IF(D513="","",IF(P513&gt;=0,K513,MAX(0,K513+P513)))</f>
        <v>0.9072</v>
      </c>
      <c r="R513" s="16" t="n">
        <f aca="false">IF(D513="","",Q513/$B$15)</f>
        <v>0.35</v>
      </c>
      <c r="S513" s="16" t="n">
        <f aca="false">IF(D513="","",MAX(0,J513-R513))</f>
        <v>0</v>
      </c>
      <c r="T513" s="16" t="n">
        <f aca="false">IF(D513="","",MAX(0,Z513-$B$8))</f>
        <v>0</v>
      </c>
      <c r="U513" s="16" t="n">
        <f aca="false">IF(D513="","",MAX(0,MIN($B$8,Z513)))</f>
        <v>35.1055248420188</v>
      </c>
      <c r="V513" s="16" t="str">
        <f aca="false">IF(D513="","",IF(S513&gt;0.0000001,"Sim","Não"))</f>
        <v>Não</v>
      </c>
      <c r="W513" s="16" t="n">
        <f aca="false">IF(D513="","",U513-(H513+E513-Q513-O513-T513))</f>
        <v>0</v>
      </c>
      <c r="X513" s="16" t="n">
        <f aca="false">IF(W513="","",ABS(W513))</f>
        <v>0</v>
      </c>
      <c r="Y513" s="16" t="n">
        <f aca="false">IF(U513="","",IF($B$8=0,0,U513/$B$8*100))</f>
        <v>74.3446100000399</v>
      </c>
      <c r="Z513" s="18" t="n">
        <f aca="false">IF(D513="","",MAX(0,IF(P513&gt;=0,P513,IF(K513+P513&gt;=0,0,P513+K513))))</f>
        <v>35.1055248420188</v>
      </c>
      <c r="AA513" s="18" t="n">
        <f aca="false">IF(D513="","",IF(H513&lt;=$B$16,1,IF(H513&gt;=$B$17,$B$21,MATCH(H513,Aux_CAV!$A$2:$A$121,1))))</f>
        <v>13</v>
      </c>
      <c r="AB513" s="18" t="n">
        <f aca="false">IF(D513="","",IF(L513&lt;=$B$16,1,IF(L513&gt;=$B$17,$B$21,MATCH(L513,Aux_CAV!$A$2:$A$121,1))))</f>
        <v>13</v>
      </c>
      <c r="AC513" s="19" t="n">
        <f aca="false">IF(D513="","",COUNT($D$24:D513))</f>
        <v>478</v>
      </c>
    </row>
    <row r="514" customFormat="false" ht="12.75" hidden="false" customHeight="true" outlineLevel="0" collapsed="false">
      <c r="A514" s="14" t="n">
        <f aca="false">IF(D514="","",DATE(B514,C514,1))</f>
        <v>18568</v>
      </c>
      <c r="B514" s="15" t="n">
        <f aca="false" t="array" ref="B514:B514">IF(D514="","",IFERROR(VALUE(INDEX(Vazoes_COLAR!$A$2:$A$200,INT((ROW()-24)/12)+1)),""))</f>
        <v>1950</v>
      </c>
      <c r="C514" s="15" t="n">
        <f aca="false">IF(D514="","",MOD(ROW()-24,12)+1)</f>
        <v>11</v>
      </c>
      <c r="D514" s="16" t="n">
        <f aca="false" t="array" ref="D514: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0.0143681593621961</v>
      </c>
      <c r="E514" s="16" t="n">
        <f aca="false">IF(D514="","",D514*$B$15)</f>
        <v>0.0372422690668123</v>
      </c>
      <c r="F514" s="16" t="n">
        <f aca="false" t="array" ref="F514:F514">IF(D514="","",IFERROR(INDEX(Dados_Evap!$C$2:$N$15,MATCH($B$9,Dados_Evap!$A$2:$A$15,0),C514),0))</f>
        <v>223.7</v>
      </c>
      <c r="G514" s="16" t="n">
        <f aca="false">IF(F514="","",F514/1000)</f>
        <v>0.2237</v>
      </c>
      <c r="H514" s="16" t="n">
        <f aca="false">IF(D514="","",MAX(0,MIN($B$8,IFERROR(LOOKUP(2,1/($U$24:U513&lt;&gt;""),$U$24:U513),$B$11))))</f>
        <v>35.1055248420188</v>
      </c>
      <c r="I514" s="16" t="n">
        <f aca="false" t="array" ref="I514: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>5.76045727589339</v>
      </c>
      <c r="J514" s="16" t="n">
        <f aca="false">IF(D514="","",$B$12)</f>
        <v>0.35</v>
      </c>
      <c r="K514" s="16" t="n">
        <f aca="false">IF(J514="","",J514*$B$15)</f>
        <v>0.9072</v>
      </c>
      <c r="L514" s="16" t="n">
        <f aca="false">IF(D514="","",H514+E514-K514-G514*I514)</f>
        <v>32.9469528184683</v>
      </c>
      <c r="M514" s="16" t="n">
        <f aca="false" t="array" ref="M514: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>5.53866403065641</v>
      </c>
      <c r="N514" s="16" t="n">
        <f aca="false">IF(D514="","",(I514+M514)/2)</f>
        <v>5.6495606532749</v>
      </c>
      <c r="O514" s="16" t="n">
        <f aca="false">IF(D514="","",G514*N514)</f>
        <v>1.2638067181376</v>
      </c>
      <c r="P514" s="16" t="n">
        <f aca="false">IF(D514="","",H514+E514-K514-O514)</f>
        <v>32.971760392948</v>
      </c>
      <c r="Q514" s="16" t="n">
        <f aca="false">IF(D514="","",IF(P514&gt;=0,K514,MAX(0,K514+P514)))</f>
        <v>0.9072</v>
      </c>
      <c r="R514" s="16" t="n">
        <f aca="false">IF(D514="","",Q514/$B$15)</f>
        <v>0.35</v>
      </c>
      <c r="S514" s="16" t="n">
        <f aca="false">IF(D514="","",MAX(0,J514-R514))</f>
        <v>0</v>
      </c>
      <c r="T514" s="16" t="n">
        <f aca="false">IF(D514="","",MAX(0,Z514-$B$8))</f>
        <v>0</v>
      </c>
      <c r="U514" s="16" t="n">
        <f aca="false">IF(D514="","",MAX(0,MIN($B$8,Z514)))</f>
        <v>32.971760392948</v>
      </c>
      <c r="V514" s="16" t="str">
        <f aca="false">IF(D514="","",IF(S514&gt;0.0000001,"Sim","Não"))</f>
        <v>Não</v>
      </c>
      <c r="W514" s="16" t="n">
        <f aca="false">IF(D514="","",U514-(H514+E514-Q514-O514-T514))</f>
        <v>0</v>
      </c>
      <c r="X514" s="16" t="n">
        <f aca="false">IF(W514="","",ABS(W514))</f>
        <v>0</v>
      </c>
      <c r="Y514" s="16" t="n">
        <f aca="false">IF(U514="","",IF($B$8=0,0,U514/$B$8*100))</f>
        <v>69.8258373421178</v>
      </c>
      <c r="Z514" s="18" t="n">
        <f aca="false">IF(D514="","",MAX(0,IF(P514&gt;=0,P514,IF(K514+P514&gt;=0,0,P514+K514))))</f>
        <v>32.971760392948</v>
      </c>
      <c r="AA514" s="18" t="n">
        <f aca="false">IF(D514="","",IF(H514&lt;=$B$16,1,IF(H514&gt;=$B$17,$B$21,MATCH(H514,Aux_CAV!$A$2:$A$121,1))))</f>
        <v>13</v>
      </c>
      <c r="AB514" s="18" t="n">
        <f aca="false">IF(D514="","",IF(L514&lt;=$B$16,1,IF(L514&gt;=$B$17,$B$21,MATCH(L514,Aux_CAV!$A$2:$A$121,1))))</f>
        <v>12</v>
      </c>
      <c r="AC514" s="19" t="n">
        <f aca="false">IF(D514="","",COUNT($D$24:D514))</f>
        <v>479</v>
      </c>
    </row>
    <row r="515" customFormat="false" ht="12.75" hidden="false" customHeight="true" outlineLevel="0" collapsed="false">
      <c r="A515" s="14" t="n">
        <f aca="false">IF(D515="","",DATE(B515,C515,1))</f>
        <v>18598</v>
      </c>
      <c r="B515" s="15" t="n">
        <f aca="false" t="array" ref="B515:B515">IF(D515="","",IFERROR(VALUE(INDEX(Vazoes_COLAR!$A$2:$A$200,INT((ROW()-24)/12)+1)),""))</f>
        <v>1950</v>
      </c>
      <c r="C515" s="15" t="n">
        <f aca="false">IF(D515="","",MOD(ROW()-24,12)+1)</f>
        <v>12</v>
      </c>
      <c r="D515" s="16" t="n">
        <f aca="false" t="array" ref="D515: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0.0458977845535071</v>
      </c>
      <c r="E515" s="16" t="n">
        <f aca="false">IF(D515="","",D515*$B$15)</f>
        <v>0.11896705756269</v>
      </c>
      <c r="F515" s="16" t="n">
        <f aca="false" t="array" ref="F515:F515">IF(D515="","",IFERROR(INDEX(Dados_Evap!$C$2:$N$15,MATCH($B$9,Dados_Evap!$A$2:$A$15,0),C515),0))</f>
        <v>216.1</v>
      </c>
      <c r="G515" s="16" t="n">
        <f aca="false">IF(F515="","",F515/1000)</f>
        <v>0.2161</v>
      </c>
      <c r="H515" s="16" t="n">
        <f aca="false">IF(D515="","",MAX(0,MIN($B$8,IFERROR(LOOKUP(2,1/($U$24:U514&lt;&gt;""),$U$24:U514),$B$11))))</f>
        <v>32.971760392948</v>
      </c>
      <c r="I515" s="16" t="n">
        <f aca="false" t="array" ref="I515: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>5.54124112819946</v>
      </c>
      <c r="J515" s="16" t="n">
        <f aca="false">IF(D515="","",$B$12)</f>
        <v>0.35</v>
      </c>
      <c r="K515" s="16" t="n">
        <f aca="false">IF(J515="","",J515*$B$15)</f>
        <v>0.9072</v>
      </c>
      <c r="L515" s="16" t="n">
        <f aca="false">IF(D515="","",H515+E515-K515-G515*I515)</f>
        <v>30.9860652427068</v>
      </c>
      <c r="M515" s="16" t="n">
        <f aca="false" t="array" ref="M515: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>5.33496017569867</v>
      </c>
      <c r="N515" s="16" t="n">
        <f aca="false">IF(D515="","",(I515+M515)/2)</f>
        <v>5.43810065194906</v>
      </c>
      <c r="O515" s="16" t="n">
        <f aca="false">IF(D515="","",G515*N515)</f>
        <v>1.17517355088619</v>
      </c>
      <c r="P515" s="16" t="n">
        <f aca="false">IF(D515="","",H515+E515-K515-O515)</f>
        <v>31.0083538996245</v>
      </c>
      <c r="Q515" s="16" t="n">
        <f aca="false">IF(D515="","",IF(P515&gt;=0,K515,MAX(0,K515+P515)))</f>
        <v>0.9072</v>
      </c>
      <c r="R515" s="16" t="n">
        <f aca="false">IF(D515="","",Q515/$B$15)</f>
        <v>0.35</v>
      </c>
      <c r="S515" s="16" t="n">
        <f aca="false">IF(D515="","",MAX(0,J515-R515))</f>
        <v>0</v>
      </c>
      <c r="T515" s="16" t="n">
        <f aca="false">IF(D515="","",MAX(0,Z515-$B$8))</f>
        <v>0</v>
      </c>
      <c r="U515" s="16" t="n">
        <f aca="false">IF(D515="","",MAX(0,MIN($B$8,Z515)))</f>
        <v>31.0083538996245</v>
      </c>
      <c r="V515" s="16" t="str">
        <f aca="false">IF(D515="","",IF(S515&gt;0.0000001,"Sim","Não"))</f>
        <v>Não</v>
      </c>
      <c r="W515" s="16" t="n">
        <f aca="false">IF(D515="","",U515-(H515+E515-Q515-O515-T515))</f>
        <v>0</v>
      </c>
      <c r="X515" s="16" t="n">
        <f aca="false">IF(W515="","",ABS(W515))</f>
        <v>0</v>
      </c>
      <c r="Y515" s="16" t="n">
        <f aca="false">IF(U515="","",IF($B$8=0,0,U515/$B$8*100))</f>
        <v>65.6678396857783</v>
      </c>
      <c r="Z515" s="18" t="n">
        <f aca="false">IF(D515="","",MAX(0,IF(P515&gt;=0,P515,IF(K515+P515&gt;=0,0,P515+K515))))</f>
        <v>31.0083538996245</v>
      </c>
      <c r="AA515" s="18" t="n">
        <f aca="false">IF(D515="","",IF(H515&lt;=$B$16,1,IF(H515&gt;=$B$17,$B$21,MATCH(H515,Aux_CAV!$A$2:$A$121,1))))</f>
        <v>12</v>
      </c>
      <c r="AB515" s="18" t="n">
        <f aca="false">IF(D515="","",IF(L515&lt;=$B$16,1,IF(L515&gt;=$B$17,$B$21,MATCH(L515,Aux_CAV!$A$2:$A$121,1))))</f>
        <v>12</v>
      </c>
      <c r="AC515" s="19" t="n">
        <f aca="false">IF(D515="","",COUNT($D$24:D515))</f>
        <v>480</v>
      </c>
    </row>
    <row r="516" customFormat="false" ht="12.75" hidden="false" customHeight="true" outlineLevel="0" collapsed="false">
      <c r="A516" s="14" t="n">
        <f aca="false">IF(D516="","",DATE(B516,C516,1))</f>
        <v>18629</v>
      </c>
      <c r="B516" s="15" t="n">
        <f aca="false" t="array" ref="B516:B516">IF(D516="","",IFERROR(VALUE(INDEX(Vazoes_COLAR!$A$2:$A$200,INT((ROW()-24)/12)+1)),""))</f>
        <v>1951</v>
      </c>
      <c r="C516" s="15" t="n">
        <f aca="false">IF(D516="","",MOD(ROW()-24,12)+1)</f>
        <v>1</v>
      </c>
      <c r="D516" s="16" t="n">
        <f aca="false" t="array" ref="D516: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0.0825564898421445</v>
      </c>
      <c r="E516" s="16" t="n">
        <f aca="false">IF(D516="","",D516*$B$15)</f>
        <v>0.213986421670839</v>
      </c>
      <c r="F516" s="16" t="n">
        <f aca="false" t="array" ref="F516:F516">IF(D516="","",IFERROR(INDEX(Dados_Evap!$C$2:$N$15,MATCH($B$9,Dados_Evap!$A$2:$A$15,0),C516),0))</f>
        <v>160</v>
      </c>
      <c r="G516" s="16" t="n">
        <f aca="false">IF(F516="","",F516/1000)</f>
        <v>0.16</v>
      </c>
      <c r="H516" s="16" t="n">
        <f aca="false">IF(D516="","",MAX(0,MIN($B$8,IFERROR(LOOKUP(2,1/($U$24:U515&lt;&gt;""),$U$24:U515),$B$11))))</f>
        <v>31.0083538996245</v>
      </c>
      <c r="I516" s="16" t="n">
        <f aca="false" t="array" ref="I516: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>5.33727559928138</v>
      </c>
      <c r="J516" s="16" t="n">
        <f aca="false">IF(D516="","",$B$12)</f>
        <v>0.35</v>
      </c>
      <c r="K516" s="16" t="n">
        <f aca="false">IF(J516="","",J516*$B$15)</f>
        <v>0.9072</v>
      </c>
      <c r="L516" s="16" t="n">
        <f aca="false">IF(D516="","",H516+E516-K516-G516*I516)</f>
        <v>29.4611762254103</v>
      </c>
      <c r="M516" s="16" t="n">
        <f aca="false" t="array" ref="M516: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>5.17654937487272</v>
      </c>
      <c r="N516" s="16" t="n">
        <f aca="false">IF(D516="","",(I516+M516)/2)</f>
        <v>5.25691248707705</v>
      </c>
      <c r="O516" s="16" t="n">
        <f aca="false">IF(D516="","",G516*N516)</f>
        <v>0.841105997932329</v>
      </c>
      <c r="P516" s="16" t="n">
        <f aca="false">IF(D516="","",H516+E516-K516-O516)</f>
        <v>29.474034323363</v>
      </c>
      <c r="Q516" s="16" t="n">
        <f aca="false">IF(D516="","",IF(P516&gt;=0,K516,MAX(0,K516+P516)))</f>
        <v>0.9072</v>
      </c>
      <c r="R516" s="16" t="n">
        <f aca="false">IF(D516="","",Q516/$B$15)</f>
        <v>0.35</v>
      </c>
      <c r="S516" s="16" t="n">
        <f aca="false">IF(D516="","",MAX(0,J516-R516))</f>
        <v>0</v>
      </c>
      <c r="T516" s="16" t="n">
        <f aca="false">IF(D516="","",MAX(0,Z516-$B$8))</f>
        <v>0</v>
      </c>
      <c r="U516" s="16" t="n">
        <f aca="false">IF(D516="","",MAX(0,MIN($B$8,Z516)))</f>
        <v>29.474034323363</v>
      </c>
      <c r="V516" s="16" t="str">
        <f aca="false">IF(D516="","",IF(S516&gt;0.0000001,"Sim","Não"))</f>
        <v>Não</v>
      </c>
      <c r="W516" s="16" t="n">
        <f aca="false">IF(D516="","",U516-(H516+E516-Q516-O516-T516))</f>
        <v>0</v>
      </c>
      <c r="X516" s="16" t="n">
        <f aca="false">IF(W516="","",ABS(W516))</f>
        <v>0</v>
      </c>
      <c r="Y516" s="16" t="n">
        <f aca="false">IF(U516="","",IF($B$8=0,0,U516/$B$8*100))</f>
        <v>62.4185394395659</v>
      </c>
      <c r="Z516" s="18" t="n">
        <f aca="false">IF(D516="","",MAX(0,IF(P516&gt;=0,P516,IF(K516+P516&gt;=0,0,P516+K516))))</f>
        <v>29.474034323363</v>
      </c>
      <c r="AA516" s="18" t="n">
        <f aca="false">IF(D516="","",IF(H516&lt;=$B$16,1,IF(H516&gt;=$B$17,$B$21,MATCH(H516,Aux_CAV!$A$2:$A$121,1))))</f>
        <v>12</v>
      </c>
      <c r="AB516" s="18" t="n">
        <f aca="false">IF(D516="","",IF(L516&lt;=$B$16,1,IF(L516&gt;=$B$17,$B$21,MATCH(L516,Aux_CAV!$A$2:$A$121,1))))</f>
        <v>12</v>
      </c>
      <c r="AC516" s="19" t="n">
        <f aca="false">IF(D516="","",COUNT($D$24:D516))</f>
        <v>481</v>
      </c>
    </row>
    <row r="517" customFormat="false" ht="12.75" hidden="false" customHeight="true" outlineLevel="0" collapsed="false">
      <c r="A517" s="14" t="n">
        <f aca="false">IF(D517="","",DATE(B517,C517,1))</f>
        <v>18660</v>
      </c>
      <c r="B517" s="15" t="n">
        <f aca="false" t="array" ref="B517:B517">IF(D517="","",IFERROR(VALUE(INDEX(Vazoes_COLAR!$A$2:$A$200,INT((ROW()-24)/12)+1)),""))</f>
        <v>1951</v>
      </c>
      <c r="C517" s="15" t="n">
        <f aca="false">IF(D517="","",MOD(ROW()-24,12)+1)</f>
        <v>2</v>
      </c>
      <c r="D517" s="16" t="n">
        <f aca="false" t="array" ref="D517: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0.125053927735711</v>
      </c>
      <c r="E517" s="16" t="n">
        <f aca="false">IF(D517="","",D517*$B$15)</f>
        <v>0.324139780690963</v>
      </c>
      <c r="F517" s="16" t="n">
        <f aca="false" t="array" ref="F517:F517">IF(D517="","",IFERROR(INDEX(Dados_Evap!$C$2:$N$15,MATCH($B$9,Dados_Evap!$A$2:$A$15,0),C517),0))</f>
        <v>124.3</v>
      </c>
      <c r="G517" s="16" t="n">
        <f aca="false">IF(F517="","",F517/1000)</f>
        <v>0.1243</v>
      </c>
      <c r="H517" s="16" t="n">
        <f aca="false">IF(D517="","",MAX(0,MIN($B$8,IFERROR(LOOKUP(2,1/($U$24:U516&lt;&gt;""),$U$24:U516),$B$11))))</f>
        <v>29.474034323363</v>
      </c>
      <c r="I517" s="16" t="n">
        <f aca="false" t="array" ref="I517: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>5.17788511902898</v>
      </c>
      <c r="J517" s="16" t="n">
        <f aca="false">IF(D517="","",$B$12)</f>
        <v>0.35</v>
      </c>
      <c r="K517" s="16" t="n">
        <f aca="false">IF(J517="","",J517*$B$15)</f>
        <v>0.9072</v>
      </c>
      <c r="L517" s="16" t="n">
        <f aca="false">IF(D517="","",H517+E517-K517-G517*I517)</f>
        <v>28.2473629837587</v>
      </c>
      <c r="M517" s="16" t="n">
        <f aca="false" t="array" ref="M517: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>5.0504542128759</v>
      </c>
      <c r="N517" s="16" t="n">
        <f aca="false">IF(D517="","",(I517+M517)/2)</f>
        <v>5.11416966595244</v>
      </c>
      <c r="O517" s="16" t="n">
        <f aca="false">IF(D517="","",G517*N517)</f>
        <v>0.635691289477888</v>
      </c>
      <c r="P517" s="16" t="n">
        <f aca="false">IF(D517="","",H517+E517-K517-O517)</f>
        <v>28.2552828145761</v>
      </c>
      <c r="Q517" s="16" t="n">
        <f aca="false">IF(D517="","",IF(P517&gt;=0,K517,MAX(0,K517+P517)))</f>
        <v>0.9072</v>
      </c>
      <c r="R517" s="16" t="n">
        <f aca="false">IF(D517="","",Q517/$B$15)</f>
        <v>0.35</v>
      </c>
      <c r="S517" s="16" t="n">
        <f aca="false">IF(D517="","",MAX(0,J517-R517))</f>
        <v>0</v>
      </c>
      <c r="T517" s="16" t="n">
        <f aca="false">IF(D517="","",MAX(0,Z517-$B$8))</f>
        <v>0</v>
      </c>
      <c r="U517" s="16" t="n">
        <f aca="false">IF(D517="","",MAX(0,MIN($B$8,Z517)))</f>
        <v>28.2552828145761</v>
      </c>
      <c r="V517" s="16" t="str">
        <f aca="false">IF(D517="","",IF(S517&gt;0.0000001,"Sim","Não"))</f>
        <v>Não</v>
      </c>
      <c r="W517" s="16" t="n">
        <f aca="false">IF(D517="","",U517-(H517+E517-Q517-O517-T517))</f>
        <v>0</v>
      </c>
      <c r="X517" s="16" t="n">
        <f aca="false">IF(W517="","",ABS(W517))</f>
        <v>0</v>
      </c>
      <c r="Y517" s="16" t="n">
        <f aca="false">IF(U517="","",IF($B$8=0,0,U517/$B$8*100))</f>
        <v>59.8375324323933</v>
      </c>
      <c r="Z517" s="18" t="n">
        <f aca="false">IF(D517="","",MAX(0,IF(P517&gt;=0,P517,IF(K517+P517&gt;=0,0,P517+K517))))</f>
        <v>28.2552828145761</v>
      </c>
      <c r="AA517" s="18" t="n">
        <f aca="false">IF(D517="","",IF(H517&lt;=$B$16,1,IF(H517&gt;=$B$17,$B$21,MATCH(H517,Aux_CAV!$A$2:$A$121,1))))</f>
        <v>12</v>
      </c>
      <c r="AB517" s="18" t="n">
        <f aca="false">IF(D517="","",IF(L517&lt;=$B$16,1,IF(L517&gt;=$B$17,$B$21,MATCH(L517,Aux_CAV!$A$2:$A$121,1))))</f>
        <v>12</v>
      </c>
      <c r="AC517" s="19" t="n">
        <f aca="false">IF(D517="","",COUNT($D$24:D517))</f>
        <v>482</v>
      </c>
    </row>
    <row r="518" customFormat="false" ht="12.75" hidden="false" customHeight="true" outlineLevel="0" collapsed="false">
      <c r="A518" s="14" t="n">
        <f aca="false">IF(D518="","",DATE(B518,C518,1))</f>
        <v>18688</v>
      </c>
      <c r="B518" s="15" t="n">
        <f aca="false" t="array" ref="B518:B518">IF(D518="","",IFERROR(VALUE(INDEX(Vazoes_COLAR!$A$2:$A$200,INT((ROW()-24)/12)+1)),""))</f>
        <v>1951</v>
      </c>
      <c r="C518" s="15" t="n">
        <f aca="false">IF(D518="","",MOD(ROW()-24,12)+1)</f>
        <v>3</v>
      </c>
      <c r="D518" s="16" t="n">
        <f aca="false" t="array" ref="D518: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0.26247725474339</v>
      </c>
      <c r="E518" s="16" t="n">
        <f aca="false">IF(D518="","",D518*$B$15)</f>
        <v>0.680341044294867</v>
      </c>
      <c r="F518" s="16" t="n">
        <f aca="false" t="array" ref="F518:F518">IF(D518="","",IFERROR(INDEX(Dados_Evap!$C$2:$N$15,MATCH($B$9,Dados_Evap!$A$2:$A$15,0),C518),0))</f>
        <v>107.7</v>
      </c>
      <c r="G518" s="16" t="n">
        <f aca="false">IF(F518="","",F518/1000)</f>
        <v>0.1077</v>
      </c>
      <c r="H518" s="16" t="n">
        <f aca="false">IF(D518="","",MAX(0,MIN($B$8,IFERROR(LOOKUP(2,1/($U$24:U517&lt;&gt;""),$U$24:U517),$B$11))))</f>
        <v>28.2552828145761</v>
      </c>
      <c r="I518" s="16" t="n">
        <f aca="false" t="array" ref="I518: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>5.05127695258218</v>
      </c>
      <c r="J518" s="16" t="n">
        <f aca="false">IF(D518="","",$B$12)</f>
        <v>0.35</v>
      </c>
      <c r="K518" s="16" t="n">
        <f aca="false">IF(J518="","",J518*$B$15)</f>
        <v>0.9072</v>
      </c>
      <c r="L518" s="16" t="n">
        <f aca="false">IF(D518="","",H518+E518-K518-G518*I518)</f>
        <v>27.4844013310779</v>
      </c>
      <c r="M518" s="16" t="n">
        <f aca="false" t="array" ref="M518: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>4.97119508973333</v>
      </c>
      <c r="N518" s="16" t="n">
        <f aca="false">IF(D518="","",(I518+M518)/2)</f>
        <v>5.01123602115776</v>
      </c>
      <c r="O518" s="16" t="n">
        <f aca="false">IF(D518="","",G518*N518)</f>
        <v>0.53971011947869</v>
      </c>
      <c r="P518" s="16" t="n">
        <f aca="false">IF(D518="","",H518+E518-K518-O518)</f>
        <v>27.4887137393923</v>
      </c>
      <c r="Q518" s="16" t="n">
        <f aca="false">IF(D518="","",IF(P518&gt;=0,K518,MAX(0,K518+P518)))</f>
        <v>0.9072</v>
      </c>
      <c r="R518" s="16" t="n">
        <f aca="false">IF(D518="","",Q518/$B$15)</f>
        <v>0.35</v>
      </c>
      <c r="S518" s="16" t="n">
        <f aca="false">IF(D518="","",MAX(0,J518-R518))</f>
        <v>0</v>
      </c>
      <c r="T518" s="16" t="n">
        <f aca="false">IF(D518="","",MAX(0,Z518-$B$8))</f>
        <v>0</v>
      </c>
      <c r="U518" s="16" t="n">
        <f aca="false">IF(D518="","",MAX(0,MIN($B$8,Z518)))</f>
        <v>27.4887137393923</v>
      </c>
      <c r="V518" s="16" t="str">
        <f aca="false">IF(D518="","",IF(S518&gt;0.0000001,"Sim","Não"))</f>
        <v>Não</v>
      </c>
      <c r="W518" s="16" t="n">
        <f aca="false">IF(D518="","",U518-(H518+E518-Q518-O518-T518))</f>
        <v>0</v>
      </c>
      <c r="X518" s="16" t="n">
        <f aca="false">IF(W518="","",ABS(W518))</f>
        <v>0</v>
      </c>
      <c r="Y518" s="16" t="n">
        <f aca="false">IF(U518="","",IF($B$8=0,0,U518/$B$8*100))</f>
        <v>58.2141332896914</v>
      </c>
      <c r="Z518" s="18" t="n">
        <f aca="false">IF(D518="","",MAX(0,IF(P518&gt;=0,P518,IF(K518+P518&gt;=0,0,P518+K518))))</f>
        <v>27.4887137393923</v>
      </c>
      <c r="AA518" s="18" t="n">
        <f aca="false">IF(D518="","",IF(H518&lt;=$B$16,1,IF(H518&gt;=$B$17,$B$21,MATCH(H518,Aux_CAV!$A$2:$A$121,1))))</f>
        <v>12</v>
      </c>
      <c r="AB518" s="18" t="n">
        <f aca="false">IF(D518="","",IF(L518&lt;=$B$16,1,IF(L518&gt;=$B$17,$B$21,MATCH(L518,Aux_CAV!$A$2:$A$121,1))))</f>
        <v>12</v>
      </c>
      <c r="AC518" s="19" t="n">
        <f aca="false">IF(D518="","",COUNT($D$24:D518))</f>
        <v>483</v>
      </c>
    </row>
    <row r="519" customFormat="false" ht="12.75" hidden="false" customHeight="true" outlineLevel="0" collapsed="false">
      <c r="A519" s="14" t="n">
        <f aca="false">IF(D519="","",DATE(B519,C519,1))</f>
        <v>18719</v>
      </c>
      <c r="B519" s="15" t="n">
        <f aca="false" t="array" ref="B519:B519">IF(D519="","",IFERROR(VALUE(INDEX(Vazoes_COLAR!$A$2:$A$200,INT((ROW()-24)/12)+1)),""))</f>
        <v>1951</v>
      </c>
      <c r="C519" s="15" t="n">
        <f aca="false">IF(D519="","",MOD(ROW()-24,12)+1)</f>
        <v>4</v>
      </c>
      <c r="D519" s="16" t="n">
        <f aca="false" t="array" ref="D519: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1.01965461610479</v>
      </c>
      <c r="E519" s="16" t="n">
        <f aca="false">IF(D519="","",D519*$B$15)</f>
        <v>2.64294476494362</v>
      </c>
      <c r="F519" s="16" t="n">
        <f aca="false" t="array" ref="F519:F519">IF(D519="","",IFERROR(INDEX(Dados_Evap!$C$2:$N$15,MATCH($B$9,Dados_Evap!$A$2:$A$15,0),C519),0))</f>
        <v>100.5</v>
      </c>
      <c r="G519" s="16" t="n">
        <f aca="false">IF(F519="","",F519/1000)</f>
        <v>0.1005</v>
      </c>
      <c r="H519" s="16" t="n">
        <f aca="false">IF(D519="","",MAX(0,MIN($B$8,IFERROR(LOOKUP(2,1/($U$24:U518&lt;&gt;""),$U$24:U518),$B$11))))</f>
        <v>27.4887137393923</v>
      </c>
      <c r="I519" s="16" t="n">
        <f aca="false" t="array" ref="I519: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>4.97164307778153</v>
      </c>
      <c r="J519" s="16" t="n">
        <f aca="false">IF(D519="","",$B$12)</f>
        <v>0.35</v>
      </c>
      <c r="K519" s="16" t="n">
        <f aca="false">IF(J519="","",J519*$B$15)</f>
        <v>0.9072</v>
      </c>
      <c r="L519" s="16" t="n">
        <f aca="false">IF(D519="","",H519+E519-K519-G519*I519)</f>
        <v>28.7248083750189</v>
      </c>
      <c r="M519" s="16" t="n">
        <f aca="false" t="array" ref="M519: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>5.10005290886118</v>
      </c>
      <c r="N519" s="16" t="n">
        <f aca="false">IF(D519="","",(I519+M519)/2)</f>
        <v>5.03584799332136</v>
      </c>
      <c r="O519" s="16" t="n">
        <f aca="false">IF(D519="","",G519*N519)</f>
        <v>0.506102723328796</v>
      </c>
      <c r="P519" s="16" t="n">
        <f aca="false">IF(D519="","",H519+E519-K519-O519)</f>
        <v>28.7183557810071</v>
      </c>
      <c r="Q519" s="16" t="n">
        <f aca="false">IF(D519="","",IF(P519&gt;=0,K519,MAX(0,K519+P519)))</f>
        <v>0.9072</v>
      </c>
      <c r="R519" s="16" t="n">
        <f aca="false">IF(D519="","",Q519/$B$15)</f>
        <v>0.35</v>
      </c>
      <c r="S519" s="16" t="n">
        <f aca="false">IF(D519="","",MAX(0,J519-R519))</f>
        <v>0</v>
      </c>
      <c r="T519" s="16" t="n">
        <f aca="false">IF(D519="","",MAX(0,Z519-$B$8))</f>
        <v>0</v>
      </c>
      <c r="U519" s="16" t="n">
        <f aca="false">IF(D519="","",MAX(0,MIN($B$8,Z519)))</f>
        <v>28.7183557810071</v>
      </c>
      <c r="V519" s="16" t="str">
        <f aca="false">IF(D519="","",IF(S519&gt;0.0000001,"Sim","Não"))</f>
        <v>Não</v>
      </c>
      <c r="W519" s="16" t="n">
        <f aca="false">IF(D519="","",U519-(H519+E519-Q519-O519-T519))</f>
        <v>0</v>
      </c>
      <c r="X519" s="16" t="n">
        <f aca="false">IF(W519="","",ABS(W519))</f>
        <v>0</v>
      </c>
      <c r="Y519" s="16" t="n">
        <f aca="false">IF(U519="","",IF($B$8=0,0,U519/$B$8*100))</f>
        <v>60.8182036870121</v>
      </c>
      <c r="Z519" s="18" t="n">
        <f aca="false">IF(D519="","",MAX(0,IF(P519&gt;=0,P519,IF(K519+P519&gt;=0,0,P519+K519))))</f>
        <v>28.7183557810071</v>
      </c>
      <c r="AA519" s="18" t="n">
        <f aca="false">IF(D519="","",IF(H519&lt;=$B$16,1,IF(H519&gt;=$B$17,$B$21,MATCH(H519,Aux_CAV!$A$2:$A$121,1))))</f>
        <v>12</v>
      </c>
      <c r="AB519" s="18" t="n">
        <f aca="false">IF(D519="","",IF(L519&lt;=$B$16,1,IF(L519&gt;=$B$17,$B$21,MATCH(L519,Aux_CAV!$A$2:$A$121,1))))</f>
        <v>12</v>
      </c>
      <c r="AC519" s="19" t="n">
        <f aca="false">IF(D519="","",COUNT($D$24:D519))</f>
        <v>484</v>
      </c>
    </row>
    <row r="520" customFormat="false" ht="12.75" hidden="false" customHeight="true" outlineLevel="0" collapsed="false">
      <c r="A520" s="14" t="n">
        <f aca="false">IF(D520="","",DATE(B520,C520,1))</f>
        <v>18749</v>
      </c>
      <c r="B520" s="15" t="n">
        <f aca="false" t="array" ref="B520:B520">IF(D520="","",IFERROR(VALUE(INDEX(Vazoes_COLAR!$A$2:$A$200,INT((ROW()-24)/12)+1)),""))</f>
        <v>1951</v>
      </c>
      <c r="C520" s="15" t="n">
        <f aca="false">IF(D520="","",MOD(ROW()-24,12)+1)</f>
        <v>5</v>
      </c>
      <c r="D520" s="16" t="n">
        <f aca="false" t="array" ref="D520: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0.481116710800363</v>
      </c>
      <c r="E520" s="16" t="n">
        <f aca="false">IF(D520="","",D520*$B$15)</f>
        <v>1.24705451439454</v>
      </c>
      <c r="F520" s="16" t="n">
        <f aca="false" t="array" ref="F520:F520">IF(D520="","",IFERROR(INDEX(Dados_Evap!$C$2:$N$15,MATCH($B$9,Dados_Evap!$A$2:$A$15,0),C520),0))</f>
        <v>145.8</v>
      </c>
      <c r="G520" s="16" t="n">
        <f aca="false">IF(F520="","",F520/1000)</f>
        <v>0.1458</v>
      </c>
      <c r="H520" s="16" t="n">
        <f aca="false">IF(D520="","",MAX(0,MIN($B$8,IFERROR(LOOKUP(2,1/($U$24:U519&lt;&gt;""),$U$24:U519),$B$11))))</f>
        <v>28.7183557810071</v>
      </c>
      <c r="I520" s="16" t="n">
        <f aca="false" t="array" ref="I520: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>5.09938259084249</v>
      </c>
      <c r="J520" s="16" t="n">
        <f aca="false">IF(D520="","",$B$12)</f>
        <v>0.35</v>
      </c>
      <c r="K520" s="16" t="n">
        <f aca="false">IF(J520="","",J520*$B$15)</f>
        <v>0.9072</v>
      </c>
      <c r="L520" s="16" t="n">
        <f aca="false">IF(D520="","",H520+E520-K520-G520*I520)</f>
        <v>28.3147203136568</v>
      </c>
      <c r="M520" s="16" t="n">
        <f aca="false" t="array" ref="M520: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>5.0574515277294</v>
      </c>
      <c r="N520" s="16" t="n">
        <f aca="false">IF(D520="","",(I520+M520)/2)</f>
        <v>5.07841705928594</v>
      </c>
      <c r="O520" s="16" t="n">
        <f aca="false">IF(D520="","",G520*N520)</f>
        <v>0.74043320724389</v>
      </c>
      <c r="P520" s="16" t="n">
        <f aca="false">IF(D520="","",H520+E520-K520-O520)</f>
        <v>28.3177770881578</v>
      </c>
      <c r="Q520" s="16" t="n">
        <f aca="false">IF(D520="","",IF(P520&gt;=0,K520,MAX(0,K520+P520)))</f>
        <v>0.9072</v>
      </c>
      <c r="R520" s="16" t="n">
        <f aca="false">IF(D520="","",Q520/$B$15)</f>
        <v>0.35</v>
      </c>
      <c r="S520" s="16" t="n">
        <f aca="false">IF(D520="","",MAX(0,J520-R520))</f>
        <v>0</v>
      </c>
      <c r="T520" s="16" t="n">
        <f aca="false">IF(D520="","",MAX(0,Z520-$B$8))</f>
        <v>0</v>
      </c>
      <c r="U520" s="16" t="n">
        <f aca="false">IF(D520="","",MAX(0,MIN($B$8,Z520)))</f>
        <v>28.3177770881578</v>
      </c>
      <c r="V520" s="16" t="str">
        <f aca="false">IF(D520="","",IF(S520&gt;0.0000001,"Sim","Não"))</f>
        <v>Não</v>
      </c>
      <c r="W520" s="16" t="n">
        <f aca="false">IF(D520="","",U520-(H520+E520-Q520-O520-T520))</f>
        <v>0</v>
      </c>
      <c r="X520" s="16" t="n">
        <f aca="false">IF(W520="","",ABS(W520))</f>
        <v>0</v>
      </c>
      <c r="Y520" s="16" t="n">
        <f aca="false">IF(U520="","",IF($B$8=0,0,U520/$B$8*100))</f>
        <v>59.9698794751329</v>
      </c>
      <c r="Z520" s="18" t="n">
        <f aca="false">IF(D520="","",MAX(0,IF(P520&gt;=0,P520,IF(K520+P520&gt;=0,0,P520+K520))))</f>
        <v>28.3177770881578</v>
      </c>
      <c r="AA520" s="18" t="n">
        <f aca="false">IF(D520="","",IF(H520&lt;=$B$16,1,IF(H520&gt;=$B$17,$B$21,MATCH(H520,Aux_CAV!$A$2:$A$121,1))))</f>
        <v>12</v>
      </c>
      <c r="AB520" s="18" t="n">
        <f aca="false">IF(D520="","",IF(L520&lt;=$B$16,1,IF(L520&gt;=$B$17,$B$21,MATCH(L520,Aux_CAV!$A$2:$A$121,1))))</f>
        <v>12</v>
      </c>
      <c r="AC520" s="19" t="n">
        <f aca="false">IF(D520="","",COUNT($D$24:D520))</f>
        <v>485</v>
      </c>
    </row>
    <row r="521" customFormat="false" ht="12.75" hidden="false" customHeight="true" outlineLevel="0" collapsed="false">
      <c r="A521" s="14" t="n">
        <f aca="false">IF(D521="","",DATE(B521,C521,1))</f>
        <v>18780</v>
      </c>
      <c r="B521" s="15" t="n">
        <f aca="false" t="array" ref="B521:B521">IF(D521="","",IFERROR(VALUE(INDEX(Vazoes_COLAR!$A$2:$A$200,INT((ROW()-24)/12)+1)),""))</f>
        <v>1951</v>
      </c>
      <c r="C521" s="15" t="n">
        <f aca="false">IF(D521="","",MOD(ROW()-24,12)+1)</f>
        <v>6</v>
      </c>
      <c r="D521" s="16" t="n">
        <f aca="false" t="array" ref="D521: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0.233849983323144</v>
      </c>
      <c r="E521" s="16" t="n">
        <f aca="false">IF(D521="","",D521*$B$15)</f>
        <v>0.606139156773589</v>
      </c>
      <c r="F521" s="16" t="n">
        <f aca="false" t="array" ref="F521:F521">IF(D521="","",IFERROR(INDEX(Dados_Evap!$C$2:$N$15,MATCH($B$9,Dados_Evap!$A$2:$A$15,0),C521),0))</f>
        <v>161.3</v>
      </c>
      <c r="G521" s="16" t="n">
        <f aca="false">IF(F521="","",F521/1000)</f>
        <v>0.1613</v>
      </c>
      <c r="H521" s="16" t="n">
        <f aca="false">IF(D521="","",MAX(0,MIN($B$8,IFERROR(LOOKUP(2,1/($U$24:U520&lt;&gt;""),$U$24:U520),$B$11))))</f>
        <v>28.3177770881578</v>
      </c>
      <c r="I521" s="16" t="n">
        <f aca="false" t="array" ref="I521: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>5.05776907614843</v>
      </c>
      <c r="J521" s="16" t="n">
        <f aca="false">IF(D521="","",$B$12)</f>
        <v>0.35</v>
      </c>
      <c r="K521" s="16" t="n">
        <f aca="false">IF(J521="","",J521*$B$15)</f>
        <v>0.9072</v>
      </c>
      <c r="L521" s="16" t="n">
        <f aca="false">IF(D521="","",H521+E521-K521-G521*I521)</f>
        <v>27.2008980929486</v>
      </c>
      <c r="M521" s="16" t="n">
        <f aca="false" t="array" ref="M521: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>4.94174378247136</v>
      </c>
      <c r="N521" s="16" t="n">
        <f aca="false">IF(D521="","",(I521+M521)/2)</f>
        <v>4.99975642930989</v>
      </c>
      <c r="O521" s="16" t="n">
        <f aca="false">IF(D521="","",G521*N521)</f>
        <v>0.806460712047686</v>
      </c>
      <c r="P521" s="16" t="n">
        <f aca="false">IF(D521="","",H521+E521-K521-O521)</f>
        <v>27.2102555328837</v>
      </c>
      <c r="Q521" s="16" t="n">
        <f aca="false">IF(D521="","",IF(P521&gt;=0,K521,MAX(0,K521+P521)))</f>
        <v>0.9072</v>
      </c>
      <c r="R521" s="16" t="n">
        <f aca="false">IF(D521="","",Q521/$B$15)</f>
        <v>0.35</v>
      </c>
      <c r="S521" s="16" t="n">
        <f aca="false">IF(D521="","",MAX(0,J521-R521))</f>
        <v>0</v>
      </c>
      <c r="T521" s="16" t="n">
        <f aca="false">IF(D521="","",MAX(0,Z521-$B$8))</f>
        <v>0</v>
      </c>
      <c r="U521" s="16" t="n">
        <f aca="false">IF(D521="","",MAX(0,MIN($B$8,Z521)))</f>
        <v>27.2102555328837</v>
      </c>
      <c r="V521" s="16" t="str">
        <f aca="false">IF(D521="","",IF(S521&gt;0.0000001,"Sim","Não"))</f>
        <v>Não</v>
      </c>
      <c r="W521" s="16" t="n">
        <f aca="false">IF(D521="","",U521-(H521+E521-Q521-O521-T521))</f>
        <v>0</v>
      </c>
      <c r="X521" s="16" t="n">
        <f aca="false">IF(W521="","",ABS(W521))</f>
        <v>0</v>
      </c>
      <c r="Y521" s="16" t="n">
        <f aca="false">IF(U521="","",IF($B$8=0,0,U521/$B$8*100))</f>
        <v>57.6244293368989</v>
      </c>
      <c r="Z521" s="18" t="n">
        <f aca="false">IF(D521="","",MAX(0,IF(P521&gt;=0,P521,IF(K521+P521&gt;=0,0,P521+K521))))</f>
        <v>27.2102555328837</v>
      </c>
      <c r="AA521" s="18" t="n">
        <f aca="false">IF(D521="","",IF(H521&lt;=$B$16,1,IF(H521&gt;=$B$17,$B$21,MATCH(H521,Aux_CAV!$A$2:$A$121,1))))</f>
        <v>12</v>
      </c>
      <c r="AB521" s="18" t="n">
        <f aca="false">IF(D521="","",IF(L521&lt;=$B$16,1,IF(L521&gt;=$B$17,$B$21,MATCH(L521,Aux_CAV!$A$2:$A$121,1))))</f>
        <v>12</v>
      </c>
      <c r="AC521" s="19" t="n">
        <f aca="false">IF(D521="","",COUNT($D$24:D521))</f>
        <v>486</v>
      </c>
    </row>
    <row r="522" customFormat="false" ht="12.75" hidden="false" customHeight="true" outlineLevel="0" collapsed="false">
      <c r="A522" s="14" t="n">
        <f aca="false">IF(D522="","",DATE(B522,C522,1))</f>
        <v>18810</v>
      </c>
      <c r="B522" s="15" t="n">
        <f aca="false" t="array" ref="B522:B522">IF(D522="","",IFERROR(VALUE(INDEX(Vazoes_COLAR!$A$2:$A$200,INT((ROW()-24)/12)+1)),""))</f>
        <v>1951</v>
      </c>
      <c r="C522" s="15" t="n">
        <f aca="false">IF(D522="","",MOD(ROW()-24,12)+1)</f>
        <v>7</v>
      </c>
      <c r="D522" s="16" t="n">
        <f aca="false" t="array" ref="D522: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0.0135351341334835</v>
      </c>
      <c r="E522" s="16" t="n">
        <f aca="false">IF(D522="","",D522*$B$15)</f>
        <v>0.0350830676739892</v>
      </c>
      <c r="F522" s="16" t="n">
        <f aca="false" t="array" ref="F522:F522">IF(D522="","",IFERROR(INDEX(Dados_Evap!$C$2:$N$15,MATCH($B$9,Dados_Evap!$A$2:$A$15,0),C522),0))</f>
        <v>224.8</v>
      </c>
      <c r="G522" s="16" t="n">
        <f aca="false">IF(F522="","",F522/1000)</f>
        <v>0.2248</v>
      </c>
      <c r="H522" s="16" t="n">
        <f aca="false">IF(D522="","",MAX(0,MIN($B$8,IFERROR(LOOKUP(2,1/($U$24:U521&lt;&gt;""),$U$24:U521),$B$11))))</f>
        <v>27.2102555328837</v>
      </c>
      <c r="I522" s="16" t="n">
        <f aca="false" t="array" ref="I522: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>4.94271586603743</v>
      </c>
      <c r="J522" s="16" t="n">
        <f aca="false">IF(D522="","",$B$12)</f>
        <v>0.35</v>
      </c>
      <c r="K522" s="16" t="n">
        <f aca="false">IF(J522="","",J522*$B$15)</f>
        <v>0.9072</v>
      </c>
      <c r="L522" s="16" t="n">
        <f aca="false">IF(D522="","",H522+E522-K522-G522*I522)</f>
        <v>25.2270160738724</v>
      </c>
      <c r="M522" s="16" t="n">
        <f aca="false" t="array" ref="M522: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>4.73669001932461</v>
      </c>
      <c r="N522" s="16" t="n">
        <f aca="false">IF(D522="","",(I522+M522)/2)</f>
        <v>4.83970294268102</v>
      </c>
      <c r="O522" s="16" t="n">
        <f aca="false">IF(D522="","",G522*N522)</f>
        <v>1.08796522151469</v>
      </c>
      <c r="P522" s="16" t="n">
        <f aca="false">IF(D522="","",H522+E522-K522-O522)</f>
        <v>25.250173379043</v>
      </c>
      <c r="Q522" s="16" t="n">
        <f aca="false">IF(D522="","",IF(P522&gt;=0,K522,MAX(0,K522+P522)))</f>
        <v>0.9072</v>
      </c>
      <c r="R522" s="16" t="n">
        <f aca="false">IF(D522="","",Q522/$B$15)</f>
        <v>0.35</v>
      </c>
      <c r="S522" s="16" t="n">
        <f aca="false">IF(D522="","",MAX(0,J522-R522))</f>
        <v>0</v>
      </c>
      <c r="T522" s="16" t="n">
        <f aca="false">IF(D522="","",MAX(0,Z522-$B$8))</f>
        <v>0</v>
      </c>
      <c r="U522" s="16" t="n">
        <f aca="false">IF(D522="","",MAX(0,MIN($B$8,Z522)))</f>
        <v>25.250173379043</v>
      </c>
      <c r="V522" s="16" t="str">
        <f aca="false">IF(D522="","",IF(S522&gt;0.0000001,"Sim","Não"))</f>
        <v>Não</v>
      </c>
      <c r="W522" s="16" t="n">
        <f aca="false">IF(D522="","",U522-(H522+E522-Q522-O522-T522))</f>
        <v>0</v>
      </c>
      <c r="X522" s="16" t="n">
        <f aca="false">IF(W522="","",ABS(W522))</f>
        <v>0</v>
      </c>
      <c r="Y522" s="16" t="n">
        <f aca="false">IF(U522="","",IF($B$8=0,0,U522/$B$8*100))</f>
        <v>53.473471789587</v>
      </c>
      <c r="Z522" s="18" t="n">
        <f aca="false">IF(D522="","",MAX(0,IF(P522&gt;=0,P522,IF(K522+P522&gt;=0,0,P522+K522))))</f>
        <v>25.250173379043</v>
      </c>
      <c r="AA522" s="18" t="n">
        <f aca="false">IF(D522="","",IF(H522&lt;=$B$16,1,IF(H522&gt;=$B$17,$B$21,MATCH(H522,Aux_CAV!$A$2:$A$121,1))))</f>
        <v>12</v>
      </c>
      <c r="AB522" s="18" t="n">
        <f aca="false">IF(D522="","",IF(L522&lt;=$B$16,1,IF(L522&gt;=$B$17,$B$21,MATCH(L522,Aux_CAV!$A$2:$A$121,1))))</f>
        <v>12</v>
      </c>
      <c r="AC522" s="19" t="n">
        <f aca="false">IF(D522="","",COUNT($D$24:D522))</f>
        <v>487</v>
      </c>
    </row>
    <row r="523" customFormat="false" ht="12.75" hidden="false" customHeight="true" outlineLevel="0" collapsed="false">
      <c r="A523" s="14" t="n">
        <f aca="false">IF(D523="","",DATE(B523,C523,1))</f>
        <v>18841</v>
      </c>
      <c r="B523" s="15" t="n">
        <f aca="false" t="array" ref="B523:B523">IF(D523="","",IFERROR(VALUE(INDEX(Vazoes_COLAR!$A$2:$A$200,INT((ROW()-24)/12)+1)),""))</f>
        <v>1951</v>
      </c>
      <c r="C523" s="15" t="n">
        <f aca="false">IF(D523="","",MOD(ROW()-24,12)+1)</f>
        <v>8</v>
      </c>
      <c r="D523" s="16" t="n">
        <f aca="false" t="array" ref="D523: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0.00691556983557275</v>
      </c>
      <c r="E523" s="16" t="n">
        <f aca="false">IF(D523="","",D523*$B$15)</f>
        <v>0.0179251570138046</v>
      </c>
      <c r="F523" s="16" t="n">
        <f aca="false" t="array" ref="F523:F523">IF(D523="","",IFERROR(INDEX(Dados_Evap!$C$2:$N$15,MATCH($B$9,Dados_Evap!$A$2:$A$15,0),C523),0))</f>
        <v>268.7</v>
      </c>
      <c r="G523" s="16" t="n">
        <f aca="false">IF(F523="","",F523/1000)</f>
        <v>0.2687</v>
      </c>
      <c r="H523" s="16" t="n">
        <f aca="false">IF(D523="","",MAX(0,MIN($B$8,IFERROR(LOOKUP(2,1/($U$24:U522&lt;&gt;""),$U$24:U522),$B$11))))</f>
        <v>25.250173379043</v>
      </c>
      <c r="I523" s="16" t="n">
        <f aca="false" t="array" ref="I523: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>4.73909568112388</v>
      </c>
      <c r="J523" s="16" t="n">
        <f aca="false">IF(D523="","",$B$12)</f>
        <v>0.35</v>
      </c>
      <c r="K523" s="16" t="n">
        <f aca="false">IF(J523="","",J523*$B$15)</f>
        <v>0.9072</v>
      </c>
      <c r="L523" s="16" t="n">
        <f aca="false">IF(D523="","",H523+E523-K523-G523*I523)</f>
        <v>23.0875035265388</v>
      </c>
      <c r="M523" s="16" t="n">
        <f aca="false" t="array" ref="M523: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>4.49704310439122</v>
      </c>
      <c r="N523" s="16" t="n">
        <f aca="false">IF(D523="","",(I523+M523)/2)</f>
        <v>4.61806939275755</v>
      </c>
      <c r="O523" s="16" t="n">
        <f aca="false">IF(D523="","",G523*N523)</f>
        <v>1.24087524583395</v>
      </c>
      <c r="P523" s="16" t="n">
        <f aca="false">IF(D523="","",H523+E523-K523-O523)</f>
        <v>23.1200232902228</v>
      </c>
      <c r="Q523" s="16" t="n">
        <f aca="false">IF(D523="","",IF(P523&gt;=0,K523,MAX(0,K523+P523)))</f>
        <v>0.9072</v>
      </c>
      <c r="R523" s="16" t="n">
        <f aca="false">IF(D523="","",Q523/$B$15)</f>
        <v>0.35</v>
      </c>
      <c r="S523" s="16" t="n">
        <f aca="false">IF(D523="","",MAX(0,J523-R523))</f>
        <v>0</v>
      </c>
      <c r="T523" s="16" t="n">
        <f aca="false">IF(D523="","",MAX(0,Z523-$B$8))</f>
        <v>0</v>
      </c>
      <c r="U523" s="16" t="n">
        <f aca="false">IF(D523="","",MAX(0,MIN($B$8,Z523)))</f>
        <v>23.1200232902228</v>
      </c>
      <c r="V523" s="16" t="str">
        <f aca="false">IF(D523="","",IF(S523&gt;0.0000001,"Sim","Não"))</f>
        <v>Não</v>
      </c>
      <c r="W523" s="16" t="n">
        <f aca="false">IF(D523="","",U523-(H523+E523-Q523-O523-T523))</f>
        <v>0</v>
      </c>
      <c r="X523" s="16" t="n">
        <f aca="false">IF(W523="","",ABS(W523))</f>
        <v>0</v>
      </c>
      <c r="Y523" s="16" t="n">
        <f aca="false">IF(U523="","",IF($B$8=0,0,U523/$B$8*100))</f>
        <v>48.9623534312215</v>
      </c>
      <c r="Z523" s="18" t="n">
        <f aca="false">IF(D523="","",MAX(0,IF(P523&gt;=0,P523,IF(K523+P523&gt;=0,0,P523+K523))))</f>
        <v>23.1200232902228</v>
      </c>
      <c r="AA523" s="18" t="n">
        <f aca="false">IF(D523="","",IF(H523&lt;=$B$16,1,IF(H523&gt;=$B$17,$B$21,MATCH(H523,Aux_CAV!$A$2:$A$121,1))))</f>
        <v>12</v>
      </c>
      <c r="AB523" s="18" t="n">
        <f aca="false">IF(D523="","",IF(L523&lt;=$B$16,1,IF(L523&gt;=$B$17,$B$21,MATCH(L523,Aux_CAV!$A$2:$A$121,1))))</f>
        <v>11</v>
      </c>
      <c r="AC523" s="19" t="n">
        <f aca="false">IF(D523="","",COUNT($D$24:D523))</f>
        <v>488</v>
      </c>
    </row>
    <row r="524" customFormat="false" ht="12.75" hidden="false" customHeight="true" outlineLevel="0" collapsed="false">
      <c r="A524" s="14" t="n">
        <f aca="false">IF(D524="","",DATE(B524,C524,1))</f>
        <v>18872</v>
      </c>
      <c r="B524" s="15" t="n">
        <f aca="false" t="array" ref="B524:B524">IF(D524="","",IFERROR(VALUE(INDEX(Vazoes_COLAR!$A$2:$A$200,INT((ROW()-24)/12)+1)),""))</f>
        <v>1951</v>
      </c>
      <c r="C524" s="15" t="n">
        <f aca="false">IF(D524="","",MOD(ROW()-24,12)+1)</f>
        <v>9</v>
      </c>
      <c r="D524" s="16" t="n">
        <f aca="false" t="array" ref="D524: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0.00592412596733058</v>
      </c>
      <c r="E524" s="16" t="n">
        <f aca="false">IF(D524="","",D524*$B$15)</f>
        <v>0.0153553345073209</v>
      </c>
      <c r="F524" s="16" t="n">
        <f aca="false" t="array" ref="F524:F524">IF(D524="","",IFERROR(INDEX(Dados_Evap!$C$2:$N$15,MATCH($B$9,Dados_Evap!$A$2:$A$15,0),C524),0))</f>
        <v>292.8</v>
      </c>
      <c r="G524" s="16" t="n">
        <f aca="false">IF(F524="","",F524/1000)</f>
        <v>0.2928</v>
      </c>
      <c r="H524" s="16" t="n">
        <f aca="false">IF(D524="","",MAX(0,MIN($B$8,IFERROR(LOOKUP(2,1/($U$24:U523&lt;&gt;""),$U$24:U523),$B$11))))</f>
        <v>23.1200232902228</v>
      </c>
      <c r="I524" s="16" t="n">
        <f aca="false" t="array" ref="I524: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>4.50092961273395</v>
      </c>
      <c r="J524" s="16" t="n">
        <f aca="false">IF(D524="","",$B$12)</f>
        <v>0.35</v>
      </c>
      <c r="K524" s="16" t="n">
        <f aca="false">IF(J524="","",J524*$B$15)</f>
        <v>0.9072</v>
      </c>
      <c r="L524" s="16" t="n">
        <f aca="false">IF(D524="","",H524+E524-K524-G524*I524)</f>
        <v>20.9103064341216</v>
      </c>
      <c r="M524" s="16" t="n">
        <f aca="false" t="array" ref="M524: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>4.23684150066332</v>
      </c>
      <c r="N524" s="16" t="n">
        <f aca="false">IF(D524="","",(I524+M524)/2)</f>
        <v>4.36888555669863</v>
      </c>
      <c r="O524" s="16" t="n">
        <f aca="false">IF(D524="","",G524*N524)</f>
        <v>1.27920969100136</v>
      </c>
      <c r="P524" s="16" t="n">
        <f aca="false">IF(D524="","",H524+E524-K524-O524)</f>
        <v>20.9489689337288</v>
      </c>
      <c r="Q524" s="16" t="n">
        <f aca="false">IF(D524="","",IF(P524&gt;=0,K524,MAX(0,K524+P524)))</f>
        <v>0.9072</v>
      </c>
      <c r="R524" s="16" t="n">
        <f aca="false">IF(D524="","",Q524/$B$15)</f>
        <v>0.35</v>
      </c>
      <c r="S524" s="16" t="n">
        <f aca="false">IF(D524="","",MAX(0,J524-R524))</f>
        <v>0</v>
      </c>
      <c r="T524" s="16" t="n">
        <f aca="false">IF(D524="","",MAX(0,Z524-$B$8))</f>
        <v>0</v>
      </c>
      <c r="U524" s="16" t="n">
        <f aca="false">IF(D524="","",MAX(0,MIN($B$8,Z524)))</f>
        <v>20.9489689337288</v>
      </c>
      <c r="V524" s="16" t="str">
        <f aca="false">IF(D524="","",IF(S524&gt;0.0000001,"Sim","Não"))</f>
        <v>Não</v>
      </c>
      <c r="W524" s="16" t="n">
        <f aca="false">IF(D524="","",U524-(H524+E524-Q524-O524-T524))</f>
        <v>0</v>
      </c>
      <c r="X524" s="16" t="n">
        <f aca="false">IF(W524="","",ABS(W524))</f>
        <v>0</v>
      </c>
      <c r="Y524" s="16" t="n">
        <f aca="false">IF(U524="","",IF($B$8=0,0,U524/$B$8*100))</f>
        <v>44.3646101942583</v>
      </c>
      <c r="Z524" s="18" t="n">
        <f aca="false">IF(D524="","",MAX(0,IF(P524&gt;=0,P524,IF(K524+P524&gt;=0,0,P524+K524))))</f>
        <v>20.9489689337288</v>
      </c>
      <c r="AA524" s="18" t="n">
        <f aca="false">IF(D524="","",IF(H524&lt;=$B$16,1,IF(H524&gt;=$B$17,$B$21,MATCH(H524,Aux_CAV!$A$2:$A$121,1))))</f>
        <v>11</v>
      </c>
      <c r="AB524" s="18" t="n">
        <f aca="false">IF(D524="","",IF(L524&lt;=$B$16,1,IF(L524&gt;=$B$17,$B$21,MATCH(L524,Aux_CAV!$A$2:$A$121,1))))</f>
        <v>11</v>
      </c>
      <c r="AC524" s="19" t="n">
        <f aca="false">IF(D524="","",COUNT($D$24:D524))</f>
        <v>489</v>
      </c>
    </row>
    <row r="525" customFormat="false" ht="12.75" hidden="false" customHeight="true" outlineLevel="0" collapsed="false">
      <c r="A525" s="14" t="n">
        <f aca="false">IF(D525="","",DATE(B525,C525,1))</f>
        <v>18902</v>
      </c>
      <c r="B525" s="15" t="n">
        <f aca="false" t="array" ref="B525:B525">IF(D525="","",IFERROR(VALUE(INDEX(Vazoes_COLAR!$A$2:$A$200,INT((ROW()-24)/12)+1)),""))</f>
        <v>1951</v>
      </c>
      <c r="C525" s="15" t="n">
        <f aca="false">IF(D525="","",MOD(ROW()-24,12)+1)</f>
        <v>10</v>
      </c>
      <c r="D525" s="16" t="n">
        <f aca="false" t="array" ref="D525: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0.00691975993097452</v>
      </c>
      <c r="E525" s="16" t="n">
        <f aca="false">IF(D525="","",D525*$B$15)</f>
        <v>0.017936017741086</v>
      </c>
      <c r="F525" s="16" t="n">
        <f aca="false" t="array" ref="F525:F525">IF(D525="","",IFERROR(INDEX(Dados_Evap!$C$2:$N$15,MATCH($B$9,Dados_Evap!$A$2:$A$15,0),C525),0))</f>
        <v>262.9</v>
      </c>
      <c r="G525" s="16" t="n">
        <f aca="false">IF(F525="","",F525/1000)</f>
        <v>0.2629</v>
      </c>
      <c r="H525" s="16" t="n">
        <f aca="false">IF(D525="","",MAX(0,MIN($B$8,IFERROR(LOOKUP(2,1/($U$24:U524&lt;&gt;""),$U$24:U524),$B$11))))</f>
        <v>20.9489689337288</v>
      </c>
      <c r="I525" s="16" t="n">
        <f aca="false" t="array" ref="I525: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>4.24146214086027</v>
      </c>
      <c r="J525" s="16" t="n">
        <f aca="false">IF(D525="","",$B$12)</f>
        <v>0.35</v>
      </c>
      <c r="K525" s="16" t="n">
        <f aca="false">IF(J525="","",J525*$B$15)</f>
        <v>0.9072</v>
      </c>
      <c r="L525" s="16" t="n">
        <f aca="false">IF(D525="","",H525+E525-K525-G525*I525)</f>
        <v>18.9446245546377</v>
      </c>
      <c r="M525" s="16" t="n">
        <f aca="false" t="array" ref="M525: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>4.00191854433475</v>
      </c>
      <c r="N525" s="16" t="n">
        <f aca="false">IF(D525="","",(I525+M525)/2)</f>
        <v>4.12169034259751</v>
      </c>
      <c r="O525" s="16" t="n">
        <f aca="false">IF(D525="","",G525*N525)</f>
        <v>1.08359239106889</v>
      </c>
      <c r="P525" s="16" t="n">
        <f aca="false">IF(D525="","",H525+E525-K525-O525)</f>
        <v>18.976112560401</v>
      </c>
      <c r="Q525" s="16" t="n">
        <f aca="false">IF(D525="","",IF(P525&gt;=0,K525,MAX(0,K525+P525)))</f>
        <v>0.9072</v>
      </c>
      <c r="R525" s="16" t="n">
        <f aca="false">IF(D525="","",Q525/$B$15)</f>
        <v>0.35</v>
      </c>
      <c r="S525" s="16" t="n">
        <f aca="false">IF(D525="","",MAX(0,J525-R525))</f>
        <v>0</v>
      </c>
      <c r="T525" s="16" t="n">
        <f aca="false">IF(D525="","",MAX(0,Z525-$B$8))</f>
        <v>0</v>
      </c>
      <c r="U525" s="16" t="n">
        <f aca="false">IF(D525="","",MAX(0,MIN($B$8,Z525)))</f>
        <v>18.976112560401</v>
      </c>
      <c r="V525" s="16" t="str">
        <f aca="false">IF(D525="","",IF(S525&gt;0.0000001,"Sim","Não"))</f>
        <v>Não</v>
      </c>
      <c r="W525" s="16" t="n">
        <f aca="false">IF(D525="","",U525-(H525+E525-Q525-O525-T525))</f>
        <v>0</v>
      </c>
      <c r="X525" s="16" t="n">
        <f aca="false">IF(W525="","",ABS(W525))</f>
        <v>0</v>
      </c>
      <c r="Y525" s="16" t="n">
        <f aca="false">IF(U525="","",IF($B$8=0,0,U525/$B$8*100))</f>
        <v>40.186600085559</v>
      </c>
      <c r="Z525" s="18" t="n">
        <f aca="false">IF(D525="","",MAX(0,IF(P525&gt;=0,P525,IF(K525+P525&gt;=0,0,P525+K525))))</f>
        <v>18.976112560401</v>
      </c>
      <c r="AA525" s="18" t="n">
        <f aca="false">IF(D525="","",IF(H525&lt;=$B$16,1,IF(H525&gt;=$B$17,$B$21,MATCH(H525,Aux_CAV!$A$2:$A$121,1))))</f>
        <v>11</v>
      </c>
      <c r="AB525" s="18" t="n">
        <f aca="false">IF(D525="","",IF(L525&lt;=$B$16,1,IF(L525&gt;=$B$17,$B$21,MATCH(L525,Aux_CAV!$A$2:$A$121,1))))</f>
        <v>11</v>
      </c>
      <c r="AC525" s="19" t="n">
        <f aca="false">IF(D525="","",COUNT($D$24:D525))</f>
        <v>490</v>
      </c>
    </row>
    <row r="526" customFormat="false" ht="12.75" hidden="false" customHeight="true" outlineLevel="0" collapsed="false">
      <c r="A526" s="14" t="n">
        <f aca="false">IF(D526="","",DATE(B526,C526,1))</f>
        <v>18933</v>
      </c>
      <c r="B526" s="15" t="n">
        <f aca="false" t="array" ref="B526:B526">IF(D526="","",IFERROR(VALUE(INDEX(Vazoes_COLAR!$A$2:$A$200,INT((ROW()-24)/12)+1)),""))</f>
        <v>1951</v>
      </c>
      <c r="C526" s="15" t="n">
        <f aca="false">IF(D526="","",MOD(ROW()-24,12)+1)</f>
        <v>11</v>
      </c>
      <c r="D526" s="16" t="n">
        <f aca="false" t="array" ref="D526: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0.00730298083341722</v>
      </c>
      <c r="E526" s="16" t="n">
        <f aca="false">IF(D526="","",D526*$B$15)</f>
        <v>0.0189293263202174</v>
      </c>
      <c r="F526" s="16" t="n">
        <f aca="false" t="array" ref="F526:F526">IF(D526="","",IFERROR(INDEX(Dados_Evap!$C$2:$N$15,MATCH($B$9,Dados_Evap!$A$2:$A$15,0),C526),0))</f>
        <v>223.7</v>
      </c>
      <c r="G526" s="16" t="n">
        <f aca="false">IF(F526="","",F526/1000)</f>
        <v>0.2237</v>
      </c>
      <c r="H526" s="16" t="n">
        <f aca="false">IF(D526="","",MAX(0,MIN($B$8,IFERROR(LOOKUP(2,1/($U$24:U525&lt;&gt;""),$U$24:U525),$B$11))))</f>
        <v>18.976112560401</v>
      </c>
      <c r="I526" s="16" t="n">
        <f aca="false" t="array" ref="I526: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>4.00568174502353</v>
      </c>
      <c r="J526" s="16" t="n">
        <f aca="false">IF(D526="","",$B$12)</f>
        <v>0.35</v>
      </c>
      <c r="K526" s="16" t="n">
        <f aca="false">IF(J526="","",J526*$B$15)</f>
        <v>0.9072</v>
      </c>
      <c r="L526" s="16" t="n">
        <f aca="false">IF(D526="","",H526+E526-K526-G526*I526)</f>
        <v>17.1917708803594</v>
      </c>
      <c r="M526" s="16" t="n">
        <f aca="false" t="array" ref="M526: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>3.79243115399418</v>
      </c>
      <c r="N526" s="16" t="n">
        <f aca="false">IF(D526="","",(I526+M526)/2)</f>
        <v>3.89905644950885</v>
      </c>
      <c r="O526" s="16" t="n">
        <f aca="false">IF(D526="","",G526*N526)</f>
        <v>0.87221892775513</v>
      </c>
      <c r="P526" s="16" t="n">
        <f aca="false">IF(D526="","",H526+E526-K526-O526)</f>
        <v>17.2156229589661</v>
      </c>
      <c r="Q526" s="16" t="n">
        <f aca="false">IF(D526="","",IF(P526&gt;=0,K526,MAX(0,K526+P526)))</f>
        <v>0.9072</v>
      </c>
      <c r="R526" s="16" t="n">
        <f aca="false">IF(D526="","",Q526/$B$15)</f>
        <v>0.35</v>
      </c>
      <c r="S526" s="16" t="n">
        <f aca="false">IF(D526="","",MAX(0,J526-R526))</f>
        <v>0</v>
      </c>
      <c r="T526" s="16" t="n">
        <f aca="false">IF(D526="","",MAX(0,Z526-$B$8))</f>
        <v>0</v>
      </c>
      <c r="U526" s="16" t="n">
        <f aca="false">IF(D526="","",MAX(0,MIN($B$8,Z526)))</f>
        <v>17.2156229589661</v>
      </c>
      <c r="V526" s="16" t="str">
        <f aca="false">IF(D526="","",IF(S526&gt;0.0000001,"Sim","Não"))</f>
        <v>Não</v>
      </c>
      <c r="W526" s="16" t="n">
        <f aca="false">IF(D526="","",U526-(H526+E526-Q526-O526-T526))</f>
        <v>0</v>
      </c>
      <c r="X526" s="16" t="n">
        <f aca="false">IF(W526="","",ABS(W526))</f>
        <v>0</v>
      </c>
      <c r="Y526" s="16" t="n">
        <f aca="false">IF(U526="","",IF($B$8=0,0,U526/$B$8*100))</f>
        <v>36.4583290109404</v>
      </c>
      <c r="Z526" s="18" t="n">
        <f aca="false">IF(D526="","",MAX(0,IF(P526&gt;=0,P526,IF(K526+P526&gt;=0,0,P526+K526))))</f>
        <v>17.2156229589661</v>
      </c>
      <c r="AA526" s="18" t="n">
        <f aca="false">IF(D526="","",IF(H526&lt;=$B$16,1,IF(H526&gt;=$B$17,$B$21,MATCH(H526,Aux_CAV!$A$2:$A$121,1))))</f>
        <v>11</v>
      </c>
      <c r="AB526" s="18" t="n">
        <f aca="false">IF(D526="","",IF(L526&lt;=$B$16,1,IF(L526&gt;=$B$17,$B$21,MATCH(L526,Aux_CAV!$A$2:$A$121,1))))</f>
        <v>11</v>
      </c>
      <c r="AC526" s="19" t="n">
        <f aca="false">IF(D526="","",COUNT($D$24:D526))</f>
        <v>491</v>
      </c>
    </row>
    <row r="527" customFormat="false" ht="12.75" hidden="false" customHeight="true" outlineLevel="0" collapsed="false">
      <c r="A527" s="14" t="n">
        <f aca="false">IF(D527="","",DATE(B527,C527,1))</f>
        <v>18963</v>
      </c>
      <c r="B527" s="15" t="n">
        <f aca="false" t="array" ref="B527:B527">IF(D527="","",IFERROR(VALUE(INDEX(Vazoes_COLAR!$A$2:$A$200,INT((ROW()-24)/12)+1)),""))</f>
        <v>1951</v>
      </c>
      <c r="C527" s="15" t="n">
        <f aca="false">IF(D527="","",MOD(ROW()-24,12)+1)</f>
        <v>12</v>
      </c>
      <c r="D527" s="16" t="n">
        <f aca="false" t="array" ref="D527: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0.0213645741632461</v>
      </c>
      <c r="E527" s="16" t="n">
        <f aca="false">IF(D527="","",D527*$B$15)</f>
        <v>0.0553769762311339</v>
      </c>
      <c r="F527" s="16" t="n">
        <f aca="false" t="array" ref="F527:F527">IF(D527="","",IFERROR(INDEX(Dados_Evap!$C$2:$N$15,MATCH($B$9,Dados_Evap!$A$2:$A$15,0),C527),0))</f>
        <v>216.1</v>
      </c>
      <c r="G527" s="16" t="n">
        <f aca="false">IF(F527="","",F527/1000)</f>
        <v>0.2161</v>
      </c>
      <c r="H527" s="16" t="n">
        <f aca="false">IF(D527="","",MAX(0,MIN($B$8,IFERROR(LOOKUP(2,1/($U$24:U526&lt;&gt;""),$U$24:U526),$B$11))))</f>
        <v>17.2156229589661</v>
      </c>
      <c r="I527" s="16" t="n">
        <f aca="false" t="array" ref="I527: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>3.79528176826668</v>
      </c>
      <c r="J527" s="16" t="n">
        <f aca="false">IF(D527="","",$B$12)</f>
        <v>0.35</v>
      </c>
      <c r="K527" s="16" t="n">
        <f aca="false">IF(J527="","",J527*$B$15)</f>
        <v>0.9072</v>
      </c>
      <c r="L527" s="16" t="n">
        <f aca="false">IF(D527="","",H527+E527-K527-G527*I527)</f>
        <v>15.5436395450748</v>
      </c>
      <c r="M527" s="16" t="n">
        <f aca="false" t="array" ref="M527: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>3.61107513766814</v>
      </c>
      <c r="N527" s="16" t="n">
        <f aca="false">IF(D527="","",(I527+M527)/2)</f>
        <v>3.70317845296741</v>
      </c>
      <c r="O527" s="16" t="n">
        <f aca="false">IF(D527="","",G527*N527)</f>
        <v>0.800256863686257</v>
      </c>
      <c r="P527" s="16" t="n">
        <f aca="false">IF(D527="","",H527+E527-K527-O527)</f>
        <v>15.5635430715109</v>
      </c>
      <c r="Q527" s="16" t="n">
        <f aca="false">IF(D527="","",IF(P527&gt;=0,K527,MAX(0,K527+P527)))</f>
        <v>0.9072</v>
      </c>
      <c r="R527" s="16" t="n">
        <f aca="false">IF(D527="","",Q527/$B$15)</f>
        <v>0.35</v>
      </c>
      <c r="S527" s="16" t="n">
        <f aca="false">IF(D527="","",MAX(0,J527-R527))</f>
        <v>0</v>
      </c>
      <c r="T527" s="16" t="n">
        <f aca="false">IF(D527="","",MAX(0,Z527-$B$8))</f>
        <v>0</v>
      </c>
      <c r="U527" s="16" t="n">
        <f aca="false">IF(D527="","",MAX(0,MIN($B$8,Z527)))</f>
        <v>15.5635430715109</v>
      </c>
      <c r="V527" s="16" t="str">
        <f aca="false">IF(D527="","",IF(S527&gt;0.0000001,"Sim","Não"))</f>
        <v>Não</v>
      </c>
      <c r="W527" s="16" t="n">
        <f aca="false">IF(D527="","",U527-(H527+E527-Q527-O527-T527))</f>
        <v>0</v>
      </c>
      <c r="X527" s="16" t="n">
        <f aca="false">IF(W527="","",ABS(W527))</f>
        <v>0</v>
      </c>
      <c r="Y527" s="16" t="n">
        <f aca="false">IF(U527="","",IF($B$8=0,0,U527/$B$8*100))</f>
        <v>32.9596422522468</v>
      </c>
      <c r="Z527" s="18" t="n">
        <f aca="false">IF(D527="","",MAX(0,IF(P527&gt;=0,P527,IF(K527+P527&gt;=0,0,P527+K527))))</f>
        <v>15.5635430715109</v>
      </c>
      <c r="AA527" s="18" t="n">
        <f aca="false">IF(D527="","",IF(H527&lt;=$B$16,1,IF(H527&gt;=$B$17,$B$21,MATCH(H527,Aux_CAV!$A$2:$A$121,1))))</f>
        <v>11</v>
      </c>
      <c r="AB527" s="18" t="n">
        <f aca="false">IF(D527="","",IF(L527&lt;=$B$16,1,IF(L527&gt;=$B$17,$B$21,MATCH(L527,Aux_CAV!$A$2:$A$121,1))))</f>
        <v>10</v>
      </c>
      <c r="AC527" s="19" t="n">
        <f aca="false">IF(D527="","",COUNT($D$24:D527))</f>
        <v>492</v>
      </c>
    </row>
    <row r="528" customFormat="false" ht="12.75" hidden="false" customHeight="true" outlineLevel="0" collapsed="false">
      <c r="A528" s="14" t="n">
        <f aca="false">IF(D528="","",DATE(B528,C528,1))</f>
        <v>18994</v>
      </c>
      <c r="B528" s="15" t="n">
        <f aca="false" t="array" ref="B528:B528">IF(D528="","",IFERROR(VALUE(INDEX(Vazoes_COLAR!$A$2:$A$200,INT((ROW()-24)/12)+1)),""))</f>
        <v>1952</v>
      </c>
      <c r="C528" s="15" t="n">
        <f aca="false">IF(D528="","",MOD(ROW()-24,12)+1)</f>
        <v>1</v>
      </c>
      <c r="D528" s="16" t="n">
        <f aca="false" t="array" ref="D528: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0.0381708058225733</v>
      </c>
      <c r="E528" s="16" t="n">
        <f aca="false">IF(D528="","",D528*$B$15)</f>
        <v>0.09893872869211</v>
      </c>
      <c r="F528" s="16" t="n">
        <f aca="false" t="array" ref="F528:F528">IF(D528="","",IFERROR(INDEX(Dados_Evap!$C$2:$N$15,MATCH($B$9,Dados_Evap!$A$2:$A$15,0),C528),0))</f>
        <v>160</v>
      </c>
      <c r="G528" s="16" t="n">
        <f aca="false">IF(F528="","",F528/1000)</f>
        <v>0.16</v>
      </c>
      <c r="H528" s="16" t="n">
        <f aca="false">IF(D528="","",MAX(0,MIN($B$8,IFERROR(LOOKUP(2,1/($U$24:U527&lt;&gt;""),$U$24:U527),$B$11))))</f>
        <v>15.5635430715109</v>
      </c>
      <c r="I528" s="16" t="n">
        <f aca="false" t="array" ref="I528: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>3.61277279139358</v>
      </c>
      <c r="J528" s="16" t="n">
        <f aca="false">IF(D528="","",$B$12)</f>
        <v>0.35</v>
      </c>
      <c r="K528" s="16" t="n">
        <f aca="false">IF(J528="","",J528*$B$15)</f>
        <v>0.9072</v>
      </c>
      <c r="L528" s="16" t="n">
        <f aca="false">IF(D528="","",H528+E528-K528-G528*I528)</f>
        <v>14.1772381535801</v>
      </c>
      <c r="M528" s="16" t="n">
        <f aca="false" t="array" ref="M528: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>3.49452913662889</v>
      </c>
      <c r="N528" s="16" t="n">
        <f aca="false">IF(D528="","",(I528+M528)/2)</f>
        <v>3.55365096401123</v>
      </c>
      <c r="O528" s="16" t="n">
        <f aca="false">IF(D528="","",G528*N528)</f>
        <v>0.568584154241797</v>
      </c>
      <c r="P528" s="16" t="n">
        <f aca="false">IF(D528="","",H528+E528-K528-O528)</f>
        <v>14.1866976459612</v>
      </c>
      <c r="Q528" s="16" t="n">
        <f aca="false">IF(D528="","",IF(P528&gt;=0,K528,MAX(0,K528+P528)))</f>
        <v>0.9072</v>
      </c>
      <c r="R528" s="16" t="n">
        <f aca="false">IF(D528="","",Q528/$B$15)</f>
        <v>0.35</v>
      </c>
      <c r="S528" s="16" t="n">
        <f aca="false">IF(D528="","",MAX(0,J528-R528))</f>
        <v>0</v>
      </c>
      <c r="T528" s="16" t="n">
        <f aca="false">IF(D528="","",MAX(0,Z528-$B$8))</f>
        <v>0</v>
      </c>
      <c r="U528" s="16" t="n">
        <f aca="false">IF(D528="","",MAX(0,MIN($B$8,Z528)))</f>
        <v>14.1866976459612</v>
      </c>
      <c r="V528" s="16" t="str">
        <f aca="false">IF(D528="","",IF(S528&gt;0.0000001,"Sim","Não"))</f>
        <v>Não</v>
      </c>
      <c r="W528" s="16" t="n">
        <f aca="false">IF(D528="","",U528-(H528+E528-Q528-O528-T528))</f>
        <v>0</v>
      </c>
      <c r="X528" s="16" t="n">
        <f aca="false">IF(W528="","",ABS(W528))</f>
        <v>0</v>
      </c>
      <c r="Y528" s="16" t="n">
        <f aca="false">IF(U528="","",IF($B$8=0,0,U528/$B$8*100))</f>
        <v>30.0438323717943</v>
      </c>
      <c r="Z528" s="18" t="n">
        <f aca="false">IF(D528="","",MAX(0,IF(P528&gt;=0,P528,IF(K528+P528&gt;=0,0,P528+K528))))</f>
        <v>14.1866976459612</v>
      </c>
      <c r="AA528" s="18" t="n">
        <f aca="false">IF(D528="","",IF(H528&lt;=$B$16,1,IF(H528&gt;=$B$17,$B$21,MATCH(H528,Aux_CAV!$A$2:$A$121,1))))</f>
        <v>10</v>
      </c>
      <c r="AB528" s="18" t="n">
        <f aca="false">IF(D528="","",IF(L528&lt;=$B$16,1,IF(L528&gt;=$B$17,$B$21,MATCH(L528,Aux_CAV!$A$2:$A$121,1))))</f>
        <v>10</v>
      </c>
      <c r="AC528" s="19" t="n">
        <f aca="false">IF(D528="","",COUNT($D$24:D528))</f>
        <v>493</v>
      </c>
    </row>
    <row r="529" customFormat="false" ht="12.75" hidden="false" customHeight="true" outlineLevel="0" collapsed="false">
      <c r="A529" s="14" t="n">
        <f aca="false">IF(D529="","",DATE(B529,C529,1))</f>
        <v>19025</v>
      </c>
      <c r="B529" s="15" t="n">
        <f aca="false" t="array" ref="B529:B529">IF(D529="","",IFERROR(VALUE(INDEX(Vazoes_COLAR!$A$2:$A$200,INT((ROW()-24)/12)+1)),""))</f>
        <v>1952</v>
      </c>
      <c r="C529" s="15" t="n">
        <f aca="false">IF(D529="","",MOD(ROW()-24,12)+1)</f>
        <v>2</v>
      </c>
      <c r="D529" s="16" t="n">
        <f aca="false" t="array" ref="D529: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0.153774084977624</v>
      </c>
      <c r="E529" s="16" t="n">
        <f aca="false">IF(D529="","",D529*$B$15)</f>
        <v>0.398582428262001</v>
      </c>
      <c r="F529" s="16" t="n">
        <f aca="false" t="array" ref="F529:F529">IF(D529="","",IFERROR(INDEX(Dados_Evap!$C$2:$N$15,MATCH($B$9,Dados_Evap!$A$2:$A$15,0),C529),0))</f>
        <v>124.3</v>
      </c>
      <c r="G529" s="16" t="n">
        <f aca="false">IF(F529="","",F529/1000)</f>
        <v>0.1243</v>
      </c>
      <c r="H529" s="16" t="n">
        <f aca="false">IF(D529="","",MAX(0,MIN($B$8,IFERROR(LOOKUP(2,1/($U$24:U528&lt;&gt;""),$U$24:U528),$B$11))))</f>
        <v>14.1866976459612</v>
      </c>
      <c r="I529" s="16" t="n">
        <f aca="false" t="array" ref="I529: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>3.49533597568493</v>
      </c>
      <c r="J529" s="16" t="n">
        <f aca="false">IF(D529="","",$B$12)</f>
        <v>0.35</v>
      </c>
      <c r="K529" s="16" t="n">
        <f aca="false">IF(J529="","",J529*$B$15)</f>
        <v>0.9072</v>
      </c>
      <c r="L529" s="16" t="n">
        <f aca="false">IF(D529="","",H529+E529-K529-G529*I529)</f>
        <v>13.2436098124456</v>
      </c>
      <c r="M529" s="16" t="n">
        <f aca="false" t="array" ref="M529: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>3.41489613106154</v>
      </c>
      <c r="N529" s="16" t="n">
        <f aca="false">IF(D529="","",(I529+M529)/2)</f>
        <v>3.45511605337323</v>
      </c>
      <c r="O529" s="16" t="n">
        <f aca="false">IF(D529="","",G529*N529)</f>
        <v>0.429470925434293</v>
      </c>
      <c r="P529" s="16" t="n">
        <f aca="false">IF(D529="","",H529+E529-K529-O529)</f>
        <v>13.248609148789</v>
      </c>
      <c r="Q529" s="16" t="n">
        <f aca="false">IF(D529="","",IF(P529&gt;=0,K529,MAX(0,K529+P529)))</f>
        <v>0.9072</v>
      </c>
      <c r="R529" s="16" t="n">
        <f aca="false">IF(D529="","",Q529/$B$15)</f>
        <v>0.35</v>
      </c>
      <c r="S529" s="16" t="n">
        <f aca="false">IF(D529="","",MAX(0,J529-R529))</f>
        <v>0</v>
      </c>
      <c r="T529" s="16" t="n">
        <f aca="false">IF(D529="","",MAX(0,Z529-$B$8))</f>
        <v>0</v>
      </c>
      <c r="U529" s="16" t="n">
        <f aca="false">IF(D529="","",MAX(0,MIN($B$8,Z529)))</f>
        <v>13.248609148789</v>
      </c>
      <c r="V529" s="16" t="str">
        <f aca="false">IF(D529="","",IF(S529&gt;0.0000001,"Sim","Não"))</f>
        <v>Não</v>
      </c>
      <c r="W529" s="16" t="n">
        <f aca="false">IF(D529="","",U529-(H529+E529-Q529-O529-T529))</f>
        <v>0</v>
      </c>
      <c r="X529" s="16" t="n">
        <f aca="false">IF(W529="","",ABS(W529))</f>
        <v>0</v>
      </c>
      <c r="Y529" s="16" t="n">
        <f aca="false">IF(U529="","",IF($B$8=0,0,U529/$B$8*100))</f>
        <v>28.0571985361901</v>
      </c>
      <c r="Z529" s="18" t="n">
        <f aca="false">IF(D529="","",MAX(0,IF(P529&gt;=0,P529,IF(K529+P529&gt;=0,0,P529+K529))))</f>
        <v>13.248609148789</v>
      </c>
      <c r="AA529" s="18" t="n">
        <f aca="false">IF(D529="","",IF(H529&lt;=$B$16,1,IF(H529&gt;=$B$17,$B$21,MATCH(H529,Aux_CAV!$A$2:$A$121,1))))</f>
        <v>10</v>
      </c>
      <c r="AB529" s="18" t="n">
        <f aca="false">IF(D529="","",IF(L529&lt;=$B$16,1,IF(L529&gt;=$B$17,$B$21,MATCH(L529,Aux_CAV!$A$2:$A$121,1))))</f>
        <v>10</v>
      </c>
      <c r="AC529" s="19" t="n">
        <f aca="false">IF(D529="","",COUNT($D$24:D529))</f>
        <v>494</v>
      </c>
    </row>
    <row r="530" customFormat="false" ht="12.75" hidden="false" customHeight="true" outlineLevel="0" collapsed="false">
      <c r="A530" s="14" t="n">
        <f aca="false">IF(D530="","",DATE(B530,C530,1))</f>
        <v>19054</v>
      </c>
      <c r="B530" s="15" t="n">
        <f aca="false" t="array" ref="B530:B530">IF(D530="","",IFERROR(VALUE(INDEX(Vazoes_COLAR!$A$2:$A$200,INT((ROW()-24)/12)+1)),""))</f>
        <v>1952</v>
      </c>
      <c r="C530" s="15" t="n">
        <f aca="false">IF(D530="","",MOD(ROW()-24,12)+1)</f>
        <v>3</v>
      </c>
      <c r="D530" s="16" t="n">
        <f aca="false" t="array" ref="D530: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0.812951853403952</v>
      </c>
      <c r="E530" s="16" t="n">
        <f aca="false">IF(D530="","",D530*$B$15)</f>
        <v>2.10717120402304</v>
      </c>
      <c r="F530" s="16" t="n">
        <f aca="false" t="array" ref="F530:F530">IF(D530="","",IFERROR(INDEX(Dados_Evap!$C$2:$N$15,MATCH($B$9,Dados_Evap!$A$2:$A$15,0),C530),0))</f>
        <v>107.7</v>
      </c>
      <c r="G530" s="16" t="n">
        <f aca="false">IF(F530="","",F530/1000)</f>
        <v>0.1077</v>
      </c>
      <c r="H530" s="16" t="n">
        <f aca="false">IF(D530="","",MAX(0,MIN($B$8,IFERROR(LOOKUP(2,1/($U$24:U529&lt;&gt;""),$U$24:U529),$B$11))))</f>
        <v>13.248609148789</v>
      </c>
      <c r="I530" s="16" t="n">
        <f aca="false" t="array" ref="I530: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>3.41532254504376</v>
      </c>
      <c r="J530" s="16" t="n">
        <f aca="false">IF(D530="","",$B$12)</f>
        <v>0.35</v>
      </c>
      <c r="K530" s="16" t="n">
        <f aca="false">IF(J530="","",J530*$B$15)</f>
        <v>0.9072</v>
      </c>
      <c r="L530" s="16" t="n">
        <f aca="false">IF(D530="","",H530+E530-K530-G530*I530)</f>
        <v>14.0807501147108</v>
      </c>
      <c r="M530" s="16" t="n">
        <f aca="false" t="array" ref="M530: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>3.48629927449004</v>
      </c>
      <c r="N530" s="16" t="n">
        <f aca="false">IF(D530="","",(I530+M530)/2)</f>
        <v>3.4508109097669</v>
      </c>
      <c r="O530" s="16" t="n">
        <f aca="false">IF(D530="","",G530*N530)</f>
        <v>0.371652334981895</v>
      </c>
      <c r="P530" s="16" t="n">
        <f aca="false">IF(D530="","",H530+E530-K530-O530)</f>
        <v>14.0769280178301</v>
      </c>
      <c r="Q530" s="16" t="n">
        <f aca="false">IF(D530="","",IF(P530&gt;=0,K530,MAX(0,K530+P530)))</f>
        <v>0.9072</v>
      </c>
      <c r="R530" s="16" t="n">
        <f aca="false">IF(D530="","",Q530/$B$15)</f>
        <v>0.35</v>
      </c>
      <c r="S530" s="16" t="n">
        <f aca="false">IF(D530="","",MAX(0,J530-R530))</f>
        <v>0</v>
      </c>
      <c r="T530" s="16" t="n">
        <f aca="false">IF(D530="","",MAX(0,Z530-$B$8))</f>
        <v>0</v>
      </c>
      <c r="U530" s="16" t="n">
        <f aca="false">IF(D530="","",MAX(0,MIN($B$8,Z530)))</f>
        <v>14.0769280178301</v>
      </c>
      <c r="V530" s="16" t="str">
        <f aca="false">IF(D530="","",IF(S530&gt;0.0000001,"Sim","Não"))</f>
        <v>Não</v>
      </c>
      <c r="W530" s="16" t="n">
        <f aca="false">IF(D530="","",U530-(H530+E530-Q530-O530-T530))</f>
        <v>0</v>
      </c>
      <c r="X530" s="16" t="n">
        <f aca="false">IF(W530="","",ABS(W530))</f>
        <v>0</v>
      </c>
      <c r="Y530" s="16" t="n">
        <f aca="false">IF(U530="","",IF($B$8=0,0,U530/$B$8*100))</f>
        <v>29.8113681021392</v>
      </c>
      <c r="Z530" s="18" t="n">
        <f aca="false">IF(D530="","",MAX(0,IF(P530&gt;=0,P530,IF(K530+P530&gt;=0,0,P530+K530))))</f>
        <v>14.0769280178301</v>
      </c>
      <c r="AA530" s="18" t="n">
        <f aca="false">IF(D530="","",IF(H530&lt;=$B$16,1,IF(H530&gt;=$B$17,$B$21,MATCH(H530,Aux_CAV!$A$2:$A$121,1))))</f>
        <v>10</v>
      </c>
      <c r="AB530" s="18" t="n">
        <f aca="false">IF(D530="","",IF(L530&lt;=$B$16,1,IF(L530&gt;=$B$17,$B$21,MATCH(L530,Aux_CAV!$A$2:$A$121,1))))</f>
        <v>10</v>
      </c>
      <c r="AC530" s="19" t="n">
        <f aca="false">IF(D530="","",COUNT($D$24:D530))</f>
        <v>495</v>
      </c>
    </row>
    <row r="531" customFormat="false" ht="12.75" hidden="false" customHeight="true" outlineLevel="0" collapsed="false">
      <c r="A531" s="14" t="n">
        <f aca="false">IF(D531="","",DATE(B531,C531,1))</f>
        <v>19085</v>
      </c>
      <c r="B531" s="15" t="n">
        <f aca="false" t="array" ref="B531:B531">IF(D531="","",IFERROR(VALUE(INDEX(Vazoes_COLAR!$A$2:$A$200,INT((ROW()-24)/12)+1)),""))</f>
        <v>1952</v>
      </c>
      <c r="C531" s="15" t="n">
        <f aca="false">IF(D531="","",MOD(ROW()-24,12)+1)</f>
        <v>4</v>
      </c>
      <c r="D531" s="16" t="n">
        <f aca="false" t="array" ref="D531: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1.9791579374316</v>
      </c>
      <c r="E531" s="16" t="n">
        <f aca="false">IF(D531="","",D531*$B$15)</f>
        <v>5.12997737382271</v>
      </c>
      <c r="F531" s="16" t="n">
        <f aca="false" t="array" ref="F531:F531">IF(D531="","",IFERROR(INDEX(Dados_Evap!$C$2:$N$15,MATCH($B$9,Dados_Evap!$A$2:$A$15,0),C531),0))</f>
        <v>100.5</v>
      </c>
      <c r="G531" s="16" t="n">
        <f aca="false">IF(F531="","",F531/1000)</f>
        <v>0.1005</v>
      </c>
      <c r="H531" s="16" t="n">
        <f aca="false">IF(D531="","",MAX(0,MIN($B$8,IFERROR(LOOKUP(2,1/($U$24:U530&lt;&gt;""),$U$24:U530),$B$11))))</f>
        <v>14.0769280178301</v>
      </c>
      <c r="I531" s="16" t="n">
        <f aca="false" t="array" ref="I531: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>3.48597327210904</v>
      </c>
      <c r="J531" s="16" t="n">
        <f aca="false">IF(D531="","",$B$12)</f>
        <v>0.35</v>
      </c>
      <c r="K531" s="16" t="n">
        <f aca="false">IF(J531="","",J531*$B$15)</f>
        <v>0.9072</v>
      </c>
      <c r="L531" s="16" t="n">
        <f aca="false">IF(D531="","",H531+E531-K531-G531*I531)</f>
        <v>17.9493650778059</v>
      </c>
      <c r="M531" s="16" t="n">
        <f aca="false" t="array" ref="M531: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>3.88297289954265</v>
      </c>
      <c r="N531" s="16" t="n">
        <f aca="false">IF(D531="","",(I531+M531)/2)</f>
        <v>3.68447308582584</v>
      </c>
      <c r="O531" s="16" t="n">
        <f aca="false">IF(D531="","",G531*N531)</f>
        <v>0.370289545125497</v>
      </c>
      <c r="P531" s="16" t="n">
        <f aca="false">IF(D531="","",H531+E531-K531-O531)</f>
        <v>17.9294158465273</v>
      </c>
      <c r="Q531" s="16" t="n">
        <f aca="false">IF(D531="","",IF(P531&gt;=0,K531,MAX(0,K531+P531)))</f>
        <v>0.9072</v>
      </c>
      <c r="R531" s="16" t="n">
        <f aca="false">IF(D531="","",Q531/$B$15)</f>
        <v>0.35</v>
      </c>
      <c r="S531" s="16" t="n">
        <f aca="false">IF(D531="","",MAX(0,J531-R531))</f>
        <v>0</v>
      </c>
      <c r="T531" s="16" t="n">
        <f aca="false">IF(D531="","",MAX(0,Z531-$B$8))</f>
        <v>0</v>
      </c>
      <c r="U531" s="16" t="n">
        <f aca="false">IF(D531="","",MAX(0,MIN($B$8,Z531)))</f>
        <v>17.9294158465273</v>
      </c>
      <c r="V531" s="16" t="str">
        <f aca="false">IF(D531="","",IF(S531&gt;0.0000001,"Sim","Não"))</f>
        <v>Não</v>
      </c>
      <c r="W531" s="16" t="n">
        <f aca="false">IF(D531="","",U531-(H531+E531-Q531-O531-T531))</f>
        <v>0</v>
      </c>
      <c r="X531" s="16" t="n">
        <f aca="false">IF(W531="","",ABS(W531))</f>
        <v>0</v>
      </c>
      <c r="Y531" s="16" t="n">
        <f aca="false">IF(U531="","",IF($B$8=0,0,U531/$B$8*100))</f>
        <v>37.9699615555428</v>
      </c>
      <c r="Z531" s="18" t="n">
        <f aca="false">IF(D531="","",MAX(0,IF(P531&gt;=0,P531,IF(K531+P531&gt;=0,0,P531+K531))))</f>
        <v>17.9294158465273</v>
      </c>
      <c r="AA531" s="18" t="n">
        <f aca="false">IF(D531="","",IF(H531&lt;=$B$16,1,IF(H531&gt;=$B$17,$B$21,MATCH(H531,Aux_CAV!$A$2:$A$121,1))))</f>
        <v>10</v>
      </c>
      <c r="AB531" s="18" t="n">
        <f aca="false">IF(D531="","",IF(L531&lt;=$B$16,1,IF(L531&gt;=$B$17,$B$21,MATCH(L531,Aux_CAV!$A$2:$A$121,1))))</f>
        <v>11</v>
      </c>
      <c r="AC531" s="19" t="n">
        <f aca="false">IF(D531="","",COUNT($D$24:D531))</f>
        <v>496</v>
      </c>
    </row>
    <row r="532" customFormat="false" ht="12.75" hidden="false" customHeight="true" outlineLevel="0" collapsed="false">
      <c r="A532" s="14" t="n">
        <f aca="false">IF(D532="","",DATE(B532,C532,1))</f>
        <v>19115</v>
      </c>
      <c r="B532" s="15" t="n">
        <f aca="false" t="array" ref="B532:B532">IF(D532="","",IFERROR(VALUE(INDEX(Vazoes_COLAR!$A$2:$A$200,INT((ROW()-24)/12)+1)),""))</f>
        <v>1952</v>
      </c>
      <c r="C532" s="15" t="n">
        <f aca="false">IF(D532="","",MOD(ROW()-24,12)+1)</f>
        <v>5</v>
      </c>
      <c r="D532" s="16" t="n">
        <f aca="false" t="array" ref="D532: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0.478012827624227</v>
      </c>
      <c r="E532" s="16" t="n">
        <f aca="false">IF(D532="","",D532*$B$15)</f>
        <v>1.239009249202</v>
      </c>
      <c r="F532" s="16" t="n">
        <f aca="false" t="array" ref="F532:F532">IF(D532="","",IFERROR(INDEX(Dados_Evap!$C$2:$N$15,MATCH($B$9,Dados_Evap!$A$2:$A$15,0),C532),0))</f>
        <v>145.8</v>
      </c>
      <c r="G532" s="16" t="n">
        <f aca="false">IF(F532="","",F532/1000)</f>
        <v>0.1458</v>
      </c>
      <c r="H532" s="16" t="n">
        <f aca="false">IF(D532="","",MAX(0,MIN($B$8,IFERROR(LOOKUP(2,1/($U$24:U531&lt;&gt;""),$U$24:U531),$B$11))))</f>
        <v>17.9294158465273</v>
      </c>
      <c r="I532" s="16" t="n">
        <f aca="false" t="array" ref="I532: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>3.88058872312156</v>
      </c>
      <c r="J532" s="16" t="n">
        <f aca="false">IF(D532="","",$B$12)</f>
        <v>0.35</v>
      </c>
      <c r="K532" s="16" t="n">
        <f aca="false">IF(J532="","",J532*$B$15)</f>
        <v>0.9072</v>
      </c>
      <c r="L532" s="16" t="n">
        <f aca="false">IF(D532="","",H532+E532-K532-G532*I532)</f>
        <v>17.6954352598982</v>
      </c>
      <c r="M532" s="16" t="n">
        <f aca="false" t="array" ref="M532: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>3.85262518959759</v>
      </c>
      <c r="N532" s="16" t="n">
        <f aca="false">IF(D532="","",(I532+M532)/2)</f>
        <v>3.86660695635957</v>
      </c>
      <c r="O532" s="16" t="n">
        <f aca="false">IF(D532="","",G532*N532)</f>
        <v>0.563751294237226</v>
      </c>
      <c r="P532" s="16" t="n">
        <f aca="false">IF(D532="","",H532+E532-K532-O532)</f>
        <v>17.6974738014921</v>
      </c>
      <c r="Q532" s="16" t="n">
        <f aca="false">IF(D532="","",IF(P532&gt;=0,K532,MAX(0,K532+P532)))</f>
        <v>0.9072</v>
      </c>
      <c r="R532" s="16" t="n">
        <f aca="false">IF(D532="","",Q532/$B$15)</f>
        <v>0.35</v>
      </c>
      <c r="S532" s="16" t="n">
        <f aca="false">IF(D532="","",MAX(0,J532-R532))</f>
        <v>0</v>
      </c>
      <c r="T532" s="16" t="n">
        <f aca="false">IF(D532="","",MAX(0,Z532-$B$8))</f>
        <v>0</v>
      </c>
      <c r="U532" s="16" t="n">
        <f aca="false">IF(D532="","",MAX(0,MIN($B$8,Z532)))</f>
        <v>17.6974738014921</v>
      </c>
      <c r="V532" s="16" t="str">
        <f aca="false">IF(D532="","",IF(S532&gt;0.0000001,"Sim","Não"))</f>
        <v>Não</v>
      </c>
      <c r="W532" s="16" t="n">
        <f aca="false">IF(D532="","",U532-(H532+E532-Q532-O532-T532))</f>
        <v>0</v>
      </c>
      <c r="X532" s="16" t="n">
        <f aca="false">IF(W532="","",ABS(W532))</f>
        <v>0</v>
      </c>
      <c r="Y532" s="16" t="n">
        <f aca="false">IF(U532="","",IF($B$8=0,0,U532/$B$8*100))</f>
        <v>37.4787670510209</v>
      </c>
      <c r="Z532" s="18" t="n">
        <f aca="false">IF(D532="","",MAX(0,IF(P532&gt;=0,P532,IF(K532+P532&gt;=0,0,P532+K532))))</f>
        <v>17.6974738014921</v>
      </c>
      <c r="AA532" s="18" t="n">
        <f aca="false">IF(D532="","",IF(H532&lt;=$B$16,1,IF(H532&gt;=$B$17,$B$21,MATCH(H532,Aux_CAV!$A$2:$A$121,1))))</f>
        <v>11</v>
      </c>
      <c r="AB532" s="18" t="n">
        <f aca="false">IF(D532="","",IF(L532&lt;=$B$16,1,IF(L532&gt;=$B$17,$B$21,MATCH(L532,Aux_CAV!$A$2:$A$121,1))))</f>
        <v>11</v>
      </c>
      <c r="AC532" s="19" t="n">
        <f aca="false">IF(D532="","",COUNT($D$24:D532))</f>
        <v>497</v>
      </c>
    </row>
    <row r="533" customFormat="false" ht="12.75" hidden="false" customHeight="true" outlineLevel="0" collapsed="false">
      <c r="A533" s="14" t="n">
        <f aca="false">IF(D533="","",DATE(B533,C533,1))</f>
        <v>19146</v>
      </c>
      <c r="B533" s="15" t="n">
        <f aca="false" t="array" ref="B533:B533">IF(D533="","",IFERROR(VALUE(INDEX(Vazoes_COLAR!$A$2:$A$200,INT((ROW()-24)/12)+1)),""))</f>
        <v>1952</v>
      </c>
      <c r="C533" s="15" t="n">
        <f aca="false">IF(D533="","",MOD(ROW()-24,12)+1)</f>
        <v>6</v>
      </c>
      <c r="D533" s="16" t="n">
        <f aca="false" t="array" ref="D533: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0.0325120904773566</v>
      </c>
      <c r="E533" s="16" t="n">
        <f aca="false">IF(D533="","",D533*$B$15)</f>
        <v>0.0842713385173083</v>
      </c>
      <c r="F533" s="16" t="n">
        <f aca="false" t="array" ref="F533:F533">IF(D533="","",IFERROR(INDEX(Dados_Evap!$C$2:$N$15,MATCH($B$9,Dados_Evap!$A$2:$A$15,0),C533),0))</f>
        <v>161.3</v>
      </c>
      <c r="G533" s="16" t="n">
        <f aca="false">IF(F533="","",F533/1000)</f>
        <v>0.1613</v>
      </c>
      <c r="H533" s="16" t="n">
        <f aca="false">IF(D533="","",MAX(0,MIN($B$8,IFERROR(LOOKUP(2,1/($U$24:U532&lt;&gt;""),$U$24:U532),$B$11))))</f>
        <v>17.6974738014921</v>
      </c>
      <c r="I533" s="16" t="n">
        <f aca="false" t="array" ref="I533: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>3.85286882017832</v>
      </c>
      <c r="J533" s="16" t="n">
        <f aca="false">IF(D533="","",$B$12)</f>
        <v>0.35</v>
      </c>
      <c r="K533" s="16" t="n">
        <f aca="false">IF(J533="","",J533*$B$15)</f>
        <v>0.9072</v>
      </c>
      <c r="L533" s="16" t="n">
        <f aca="false">IF(D533="","",H533+E533-K533-G533*I533)</f>
        <v>16.2530773993146</v>
      </c>
      <c r="M533" s="16" t="n">
        <f aca="false" t="array" ref="M533: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>3.68024583552785</v>
      </c>
      <c r="N533" s="16" t="n">
        <f aca="false">IF(D533="","",(I533+M533)/2)</f>
        <v>3.76655732785308</v>
      </c>
      <c r="O533" s="16" t="n">
        <f aca="false">IF(D533="","",G533*N533)</f>
        <v>0.607545696982702</v>
      </c>
      <c r="P533" s="16" t="n">
        <f aca="false">IF(D533="","",H533+E533-K533-O533)</f>
        <v>16.2669994430267</v>
      </c>
      <c r="Q533" s="16" t="n">
        <f aca="false">IF(D533="","",IF(P533&gt;=0,K533,MAX(0,K533+P533)))</f>
        <v>0.9072</v>
      </c>
      <c r="R533" s="16" t="n">
        <f aca="false">IF(D533="","",Q533/$B$15)</f>
        <v>0.35</v>
      </c>
      <c r="S533" s="16" t="n">
        <f aca="false">IF(D533="","",MAX(0,J533-R533))</f>
        <v>0</v>
      </c>
      <c r="T533" s="16" t="n">
        <f aca="false">IF(D533="","",MAX(0,Z533-$B$8))</f>
        <v>0</v>
      </c>
      <c r="U533" s="16" t="n">
        <f aca="false">IF(D533="","",MAX(0,MIN($B$8,Z533)))</f>
        <v>16.2669994430267</v>
      </c>
      <c r="V533" s="16" t="str">
        <f aca="false">IF(D533="","",IF(S533&gt;0.0000001,"Sim","Não"))</f>
        <v>Não</v>
      </c>
      <c r="W533" s="16" t="n">
        <f aca="false">IF(D533="","",U533-(H533+E533-Q533-O533-T533))</f>
        <v>0</v>
      </c>
      <c r="X533" s="16" t="n">
        <f aca="false">IF(W533="","",ABS(W533))</f>
        <v>0</v>
      </c>
      <c r="Y533" s="16" t="n">
        <f aca="false">IF(U533="","",IF($B$8=0,0,U533/$B$8*100))</f>
        <v>34.4493846739235</v>
      </c>
      <c r="Z533" s="18" t="n">
        <f aca="false">IF(D533="","",MAX(0,IF(P533&gt;=0,P533,IF(K533+P533&gt;=0,0,P533+K533))))</f>
        <v>16.2669994430267</v>
      </c>
      <c r="AA533" s="18" t="n">
        <f aca="false">IF(D533="","",IF(H533&lt;=$B$16,1,IF(H533&gt;=$B$17,$B$21,MATCH(H533,Aux_CAV!$A$2:$A$121,1))))</f>
        <v>11</v>
      </c>
      <c r="AB533" s="18" t="n">
        <f aca="false">IF(D533="","",IF(L533&lt;=$B$16,1,IF(L533&gt;=$B$17,$B$21,MATCH(L533,Aux_CAV!$A$2:$A$121,1))))</f>
        <v>11</v>
      </c>
      <c r="AC533" s="19" t="n">
        <f aca="false">IF(D533="","",COUNT($D$24:D533))</f>
        <v>498</v>
      </c>
    </row>
    <row r="534" customFormat="false" ht="12.75" hidden="false" customHeight="true" outlineLevel="0" collapsed="false">
      <c r="A534" s="14" t="n">
        <f aca="false">IF(D534="","",DATE(B534,C534,1))</f>
        <v>19176</v>
      </c>
      <c r="B534" s="15" t="n">
        <f aca="false" t="array" ref="B534:B534">IF(D534="","",IFERROR(VALUE(INDEX(Vazoes_COLAR!$A$2:$A$200,INT((ROW()-24)/12)+1)),""))</f>
        <v>1952</v>
      </c>
      <c r="C534" s="15" t="n">
        <f aca="false">IF(D534="","",MOD(ROW()-24,12)+1)</f>
        <v>7</v>
      </c>
      <c r="D534" s="16" t="n">
        <f aca="false" t="array" ref="D534: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0.0166926553811942</v>
      </c>
      <c r="E534" s="16" t="n">
        <f aca="false">IF(D534="","",D534*$B$15)</f>
        <v>0.0432673627480554</v>
      </c>
      <c r="F534" s="16" t="n">
        <f aca="false" t="array" ref="F534:F534">IF(D534="","",IFERROR(INDEX(Dados_Evap!$C$2:$N$15,MATCH($B$9,Dados_Evap!$A$2:$A$15,0),C534),0))</f>
        <v>224.8</v>
      </c>
      <c r="G534" s="16" t="n">
        <f aca="false">IF(F534="","",F534/1000)</f>
        <v>0.2248</v>
      </c>
      <c r="H534" s="16" t="n">
        <f aca="false">IF(D534="","",MAX(0,MIN($B$8,IFERROR(LOOKUP(2,1/($U$24:U533&lt;&gt;""),$U$24:U533),$B$11))))</f>
        <v>16.2669994430267</v>
      </c>
      <c r="I534" s="16" t="n">
        <f aca="false" t="array" ref="I534: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>3.68190968953246</v>
      </c>
      <c r="J534" s="16" t="n">
        <f aca="false">IF(D534="","",$B$12)</f>
        <v>0.35</v>
      </c>
      <c r="K534" s="16" t="n">
        <f aca="false">IF(J534="","",J534*$B$15)</f>
        <v>0.9072</v>
      </c>
      <c r="L534" s="16" t="n">
        <f aca="false">IF(D534="","",H534+E534-K534-G534*I534)</f>
        <v>14.5753735075679</v>
      </c>
      <c r="M534" s="16" t="n">
        <f aca="false" t="array" ref="M534: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>3.52848774035138</v>
      </c>
      <c r="N534" s="16" t="n">
        <f aca="false">IF(D534="","",(I534+M534)/2)</f>
        <v>3.60519871494192</v>
      </c>
      <c r="O534" s="16" t="n">
        <f aca="false">IF(D534="","",G534*N534)</f>
        <v>0.810448671118943</v>
      </c>
      <c r="P534" s="16" t="n">
        <f aca="false">IF(D534="","",H534+E534-K534-O534)</f>
        <v>14.5926181346558</v>
      </c>
      <c r="Q534" s="16" t="n">
        <f aca="false">IF(D534="","",IF(P534&gt;=0,K534,MAX(0,K534+P534)))</f>
        <v>0.9072</v>
      </c>
      <c r="R534" s="16" t="n">
        <f aca="false">IF(D534="","",Q534/$B$15)</f>
        <v>0.35</v>
      </c>
      <c r="S534" s="16" t="n">
        <f aca="false">IF(D534="","",MAX(0,J534-R534))</f>
        <v>0</v>
      </c>
      <c r="T534" s="16" t="n">
        <f aca="false">IF(D534="","",MAX(0,Z534-$B$8))</f>
        <v>0</v>
      </c>
      <c r="U534" s="16" t="n">
        <f aca="false">IF(D534="","",MAX(0,MIN($B$8,Z534)))</f>
        <v>14.5926181346558</v>
      </c>
      <c r="V534" s="16" t="str">
        <f aca="false">IF(D534="","",IF(S534&gt;0.0000001,"Sim","Não"))</f>
        <v>Não</v>
      </c>
      <c r="W534" s="16" t="n">
        <f aca="false">IF(D534="","",U534-(H534+E534-Q534-O534-T534))</f>
        <v>0</v>
      </c>
      <c r="X534" s="16" t="n">
        <f aca="false">IF(W534="","",ABS(W534))</f>
        <v>0</v>
      </c>
      <c r="Y534" s="16" t="n">
        <f aca="false">IF(U534="","",IF($B$8=0,0,U534/$B$8*100))</f>
        <v>30.9034691542901</v>
      </c>
      <c r="Z534" s="18" t="n">
        <f aca="false">IF(D534="","",MAX(0,IF(P534&gt;=0,P534,IF(K534+P534&gt;=0,0,P534+K534))))</f>
        <v>14.5926181346558</v>
      </c>
      <c r="AA534" s="18" t="n">
        <f aca="false">IF(D534="","",IF(H534&lt;=$B$16,1,IF(H534&gt;=$B$17,$B$21,MATCH(H534,Aux_CAV!$A$2:$A$121,1))))</f>
        <v>11</v>
      </c>
      <c r="AB534" s="18" t="n">
        <f aca="false">IF(D534="","",IF(L534&lt;=$B$16,1,IF(L534&gt;=$B$17,$B$21,MATCH(L534,Aux_CAV!$A$2:$A$121,1))))</f>
        <v>10</v>
      </c>
      <c r="AC534" s="19" t="n">
        <f aca="false">IF(D534="","",COUNT($D$24:D534))</f>
        <v>499</v>
      </c>
    </row>
    <row r="535" customFormat="false" ht="12.75" hidden="false" customHeight="true" outlineLevel="0" collapsed="false">
      <c r="A535" s="14" t="n">
        <f aca="false">IF(D535="","",DATE(B535,C535,1))</f>
        <v>19207</v>
      </c>
      <c r="B535" s="15" t="n">
        <f aca="false" t="array" ref="B535:B535">IF(D535="","",IFERROR(VALUE(INDEX(Vazoes_COLAR!$A$2:$A$200,INT((ROW()-24)/12)+1)),""))</f>
        <v>1952</v>
      </c>
      <c r="C535" s="15" t="n">
        <f aca="false">IF(D535="","",MOD(ROW()-24,12)+1)</f>
        <v>8</v>
      </c>
      <c r="D535" s="16" t="n">
        <f aca="false" t="array" ref="D535: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0.00817190921150724</v>
      </c>
      <c r="E535" s="16" t="n">
        <f aca="false">IF(D535="","",D535*$B$15)</f>
        <v>0.0211815886762268</v>
      </c>
      <c r="F535" s="16" t="n">
        <f aca="false" t="array" ref="F535:F535">IF(D535="","",IFERROR(INDEX(Dados_Evap!$C$2:$N$15,MATCH($B$9,Dados_Evap!$A$2:$A$15,0),C535),0))</f>
        <v>268.7</v>
      </c>
      <c r="G535" s="16" t="n">
        <f aca="false">IF(F535="","",F535/1000)</f>
        <v>0.2687</v>
      </c>
      <c r="H535" s="16" t="n">
        <f aca="false">IF(D535="","",MAX(0,MIN($B$8,IFERROR(LOOKUP(2,1/($U$24:U534&lt;&gt;""),$U$24:U534),$B$11))))</f>
        <v>14.5926181346558</v>
      </c>
      <c r="I535" s="16" t="n">
        <f aca="false" t="array" ref="I535: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>3.529958605603</v>
      </c>
      <c r="J535" s="16" t="n">
        <f aca="false">IF(D535="","",$B$12)</f>
        <v>0.35</v>
      </c>
      <c r="K535" s="16" t="n">
        <f aca="false">IF(J535="","",J535*$B$15)</f>
        <v>0.9072</v>
      </c>
      <c r="L535" s="16" t="n">
        <f aca="false">IF(D535="","",H535+E535-K535-G535*I535)</f>
        <v>12.7580998460065</v>
      </c>
      <c r="M535" s="16" t="n">
        <f aca="false" t="array" ref="M535: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>3.37348498686526</v>
      </c>
      <c r="N535" s="16" t="n">
        <f aca="false">IF(D535="","",(I535+M535)/2)</f>
        <v>3.45172179623413</v>
      </c>
      <c r="O535" s="16" t="n">
        <f aca="false">IF(D535="","",G535*N535)</f>
        <v>0.92747764664811</v>
      </c>
      <c r="P535" s="16" t="n">
        <f aca="false">IF(D535="","",H535+E535-K535-O535)</f>
        <v>12.7791220766839</v>
      </c>
      <c r="Q535" s="16" t="n">
        <f aca="false">IF(D535="","",IF(P535&gt;=0,K535,MAX(0,K535+P535)))</f>
        <v>0.9072</v>
      </c>
      <c r="R535" s="16" t="n">
        <f aca="false">IF(D535="","",Q535/$B$15)</f>
        <v>0.35</v>
      </c>
      <c r="S535" s="16" t="n">
        <f aca="false">IF(D535="","",MAX(0,J535-R535))</f>
        <v>0</v>
      </c>
      <c r="T535" s="16" t="n">
        <f aca="false">IF(D535="","",MAX(0,Z535-$B$8))</f>
        <v>0</v>
      </c>
      <c r="U535" s="16" t="n">
        <f aca="false">IF(D535="","",MAX(0,MIN($B$8,Z535)))</f>
        <v>12.7791220766839</v>
      </c>
      <c r="V535" s="16" t="str">
        <f aca="false">IF(D535="","",IF(S535&gt;0.0000001,"Sim","Não"))</f>
        <v>Não</v>
      </c>
      <c r="W535" s="16" t="n">
        <f aca="false">IF(D535="","",U535-(H535+E535-Q535-O535-T535))</f>
        <v>0</v>
      </c>
      <c r="X535" s="16" t="n">
        <f aca="false">IF(W535="","",ABS(W535))</f>
        <v>0</v>
      </c>
      <c r="Y535" s="16" t="n">
        <f aca="false">IF(U535="","",IF($B$8=0,0,U535/$B$8*100))</f>
        <v>27.0629438303344</v>
      </c>
      <c r="Z535" s="18" t="n">
        <f aca="false">IF(D535="","",MAX(0,IF(P535&gt;=0,P535,IF(K535+P535&gt;=0,0,P535+K535))))</f>
        <v>12.7791220766839</v>
      </c>
      <c r="AA535" s="18" t="n">
        <f aca="false">IF(D535="","",IF(H535&lt;=$B$16,1,IF(H535&gt;=$B$17,$B$21,MATCH(H535,Aux_CAV!$A$2:$A$121,1))))</f>
        <v>10</v>
      </c>
      <c r="AB535" s="18" t="n">
        <f aca="false">IF(D535="","",IF(L535&lt;=$B$16,1,IF(L535&gt;=$B$17,$B$21,MATCH(L535,Aux_CAV!$A$2:$A$121,1))))</f>
        <v>10</v>
      </c>
      <c r="AC535" s="19" t="n">
        <f aca="false">IF(D535="","",COUNT($D$24:D535))</f>
        <v>500</v>
      </c>
    </row>
    <row r="536" customFormat="false" ht="12.75" hidden="false" customHeight="true" outlineLevel="0" collapsed="false">
      <c r="A536" s="14" t="n">
        <f aca="false">IF(D536="","",DATE(B536,C536,1))</f>
        <v>19238</v>
      </c>
      <c r="B536" s="15" t="n">
        <f aca="false" t="array" ref="B536:B536">IF(D536="","",IFERROR(VALUE(INDEX(Vazoes_COLAR!$A$2:$A$200,INT((ROW()-24)/12)+1)),""))</f>
        <v>1952</v>
      </c>
      <c r="C536" s="15" t="n">
        <f aca="false">IF(D536="","",MOD(ROW()-24,12)+1)</f>
        <v>9</v>
      </c>
      <c r="D536" s="16" t="n">
        <f aca="false" t="array" ref="D536: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0.00979746951515195</v>
      </c>
      <c r="E536" s="16" t="n">
        <f aca="false">IF(D536="","",D536*$B$15)</f>
        <v>0.0253950409832739</v>
      </c>
      <c r="F536" s="16" t="n">
        <f aca="false" t="array" ref="F536:F536">IF(D536="","",IFERROR(INDEX(Dados_Evap!$C$2:$N$15,MATCH($B$9,Dados_Evap!$A$2:$A$15,0),C536),0))</f>
        <v>292.8</v>
      </c>
      <c r="G536" s="16" t="n">
        <f aca="false">IF(F536="","",F536/1000)</f>
        <v>0.2928</v>
      </c>
      <c r="H536" s="16" t="n">
        <f aca="false">IF(D536="","",MAX(0,MIN($B$8,IFERROR(LOOKUP(2,1/($U$24:U535&lt;&gt;""),$U$24:U535),$B$11))))</f>
        <v>12.7791220766839</v>
      </c>
      <c r="I536" s="16" t="n">
        <f aca="false" t="array" ref="I536: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>3.37527805948186</v>
      </c>
      <c r="J536" s="16" t="n">
        <f aca="false">IF(D536="","",$B$12)</f>
        <v>0.35</v>
      </c>
      <c r="K536" s="16" t="n">
        <f aca="false">IF(J536="","",J536*$B$15)</f>
        <v>0.9072</v>
      </c>
      <c r="L536" s="16" t="n">
        <f aca="false">IF(D536="","",H536+E536-K536-G536*I536)</f>
        <v>10.9090357018509</v>
      </c>
      <c r="M536" s="16" t="n">
        <f aca="false" t="array" ref="M536: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>3.21577069221669</v>
      </c>
      <c r="N536" s="16" t="n">
        <f aca="false">IF(D536="","",(I536+M536)/2)</f>
        <v>3.29552437584928</v>
      </c>
      <c r="O536" s="16" t="n">
        <f aca="false">IF(D536="","",G536*N536)</f>
        <v>0.964929537248669</v>
      </c>
      <c r="P536" s="16" t="n">
        <f aca="false">IF(D536="","",H536+E536-K536-O536)</f>
        <v>10.9323875804185</v>
      </c>
      <c r="Q536" s="16" t="n">
        <f aca="false">IF(D536="","",IF(P536&gt;=0,K536,MAX(0,K536+P536)))</f>
        <v>0.9072</v>
      </c>
      <c r="R536" s="16" t="n">
        <f aca="false">IF(D536="","",Q536/$B$15)</f>
        <v>0.35</v>
      </c>
      <c r="S536" s="16" t="n">
        <f aca="false">IF(D536="","",MAX(0,J536-R536))</f>
        <v>0</v>
      </c>
      <c r="T536" s="16" t="n">
        <f aca="false">IF(D536="","",MAX(0,Z536-$B$8))</f>
        <v>0</v>
      </c>
      <c r="U536" s="16" t="n">
        <f aca="false">IF(D536="","",MAX(0,MIN($B$8,Z536)))</f>
        <v>10.9323875804185</v>
      </c>
      <c r="V536" s="16" t="str">
        <f aca="false">IF(D536="","",IF(S536&gt;0.0000001,"Sim","Não"))</f>
        <v>Não</v>
      </c>
      <c r="W536" s="16" t="n">
        <f aca="false">IF(D536="","",U536-(H536+E536-Q536-O536-T536))</f>
        <v>0</v>
      </c>
      <c r="X536" s="16" t="n">
        <f aca="false">IF(W536="","",ABS(W536))</f>
        <v>0</v>
      </c>
      <c r="Y536" s="16" t="n">
        <f aca="false">IF(U536="","",IF($B$8=0,0,U536/$B$8*100))</f>
        <v>23.1520279127881</v>
      </c>
      <c r="Z536" s="18" t="n">
        <f aca="false">IF(D536="","",MAX(0,IF(P536&gt;=0,P536,IF(K536+P536&gt;=0,0,P536+K536))))</f>
        <v>10.9323875804185</v>
      </c>
      <c r="AA536" s="18" t="n">
        <f aca="false">IF(D536="","",IF(H536&lt;=$B$16,1,IF(H536&gt;=$B$17,$B$21,MATCH(H536,Aux_CAV!$A$2:$A$121,1))))</f>
        <v>10</v>
      </c>
      <c r="AB536" s="18" t="n">
        <f aca="false">IF(D536="","",IF(L536&lt;=$B$16,1,IF(L536&gt;=$B$17,$B$21,MATCH(L536,Aux_CAV!$A$2:$A$121,1))))</f>
        <v>10</v>
      </c>
      <c r="AC536" s="19" t="n">
        <f aca="false">IF(D536="","",COUNT($D$24:D536))</f>
        <v>501</v>
      </c>
    </row>
    <row r="537" customFormat="false" ht="12.75" hidden="false" customHeight="true" outlineLevel="0" collapsed="false">
      <c r="A537" s="14" t="n">
        <f aca="false">IF(D537="","",DATE(B537,C537,1))</f>
        <v>19268</v>
      </c>
      <c r="B537" s="15" t="n">
        <f aca="false" t="array" ref="B537:B537">IF(D537="","",IFERROR(VALUE(INDEX(Vazoes_COLAR!$A$2:$A$200,INT((ROW()-24)/12)+1)),""))</f>
        <v>1952</v>
      </c>
      <c r="C537" s="15" t="n">
        <f aca="false">IF(D537="","",MOD(ROW()-24,12)+1)</f>
        <v>10</v>
      </c>
      <c r="D537" s="16" t="n">
        <f aca="false" t="array" ref="D537: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0.00607515122654692</v>
      </c>
      <c r="E537" s="16" t="n">
        <f aca="false">IF(D537="","",D537*$B$15)</f>
        <v>0.0157467919792096</v>
      </c>
      <c r="F537" s="16" t="n">
        <f aca="false" t="array" ref="F537:F537">IF(D537="","",IFERROR(INDEX(Dados_Evap!$C$2:$N$15,MATCH($B$9,Dados_Evap!$A$2:$A$15,0),C537),0))</f>
        <v>262.9</v>
      </c>
      <c r="G537" s="16" t="n">
        <f aca="false">IF(F537="","",F537/1000)</f>
        <v>0.2629</v>
      </c>
      <c r="H537" s="16" t="n">
        <f aca="false">IF(D537="","",MAX(0,MIN($B$8,IFERROR(LOOKUP(2,1/($U$24:U536&lt;&gt;""),$U$24:U536),$B$11))))</f>
        <v>10.9323875804185</v>
      </c>
      <c r="I537" s="16" t="n">
        <f aca="false" t="array" ref="I537: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>3.21776247009452</v>
      </c>
      <c r="J537" s="16" t="n">
        <f aca="false">IF(D537="","",$B$12)</f>
        <v>0.35</v>
      </c>
      <c r="K537" s="16" t="n">
        <f aca="false">IF(J537="","",J537*$B$15)</f>
        <v>0.9072</v>
      </c>
      <c r="L537" s="16" t="n">
        <f aca="false">IF(D537="","",H537+E537-K537-G537*I537)</f>
        <v>9.19498461900989</v>
      </c>
      <c r="M537" s="16" t="n">
        <f aca="false" t="array" ref="M537: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>3.0684740436562</v>
      </c>
      <c r="N537" s="16" t="n">
        <f aca="false">IF(D537="","",(I537+M537)/2)</f>
        <v>3.14311825687536</v>
      </c>
      <c r="O537" s="16" t="n">
        <f aca="false">IF(D537="","",G537*N537)</f>
        <v>0.826325789732532</v>
      </c>
      <c r="P537" s="16" t="n">
        <f aca="false">IF(D537="","",H537+E537-K537-O537)</f>
        <v>9.21460858266521</v>
      </c>
      <c r="Q537" s="16" t="n">
        <f aca="false">IF(D537="","",IF(P537&gt;=0,K537,MAX(0,K537+P537)))</f>
        <v>0.9072</v>
      </c>
      <c r="R537" s="16" t="n">
        <f aca="false">IF(D537="","",Q537/$B$15)</f>
        <v>0.35</v>
      </c>
      <c r="S537" s="16" t="n">
        <f aca="false">IF(D537="","",MAX(0,J537-R537))</f>
        <v>0</v>
      </c>
      <c r="T537" s="16" t="n">
        <f aca="false">IF(D537="","",MAX(0,Z537-$B$8))</f>
        <v>0</v>
      </c>
      <c r="U537" s="16" t="n">
        <f aca="false">IF(D537="","",MAX(0,MIN($B$8,Z537)))</f>
        <v>9.21460858266521</v>
      </c>
      <c r="V537" s="16" t="str">
        <f aca="false">IF(D537="","",IF(S537&gt;0.0000001,"Sim","Não"))</f>
        <v>Não</v>
      </c>
      <c r="W537" s="16" t="n">
        <f aca="false">IF(D537="","",U537-(H537+E537-Q537-O537-T537))</f>
        <v>0</v>
      </c>
      <c r="X537" s="16" t="n">
        <f aca="false">IF(W537="","",ABS(W537))</f>
        <v>0</v>
      </c>
      <c r="Y537" s="16" t="n">
        <f aca="false">IF(U537="","",IF($B$8=0,0,U537/$B$8*100))</f>
        <v>19.5142070789183</v>
      </c>
      <c r="Z537" s="18" t="n">
        <f aca="false">IF(D537="","",MAX(0,IF(P537&gt;=0,P537,IF(K537+P537&gt;=0,0,P537+K537))))</f>
        <v>9.21460858266521</v>
      </c>
      <c r="AA537" s="18" t="n">
        <f aca="false">IF(D537="","",IF(H537&lt;=$B$16,1,IF(H537&gt;=$B$17,$B$21,MATCH(H537,Aux_CAV!$A$2:$A$121,1))))</f>
        <v>10</v>
      </c>
      <c r="AB537" s="18" t="n">
        <f aca="false">IF(D537="","",IF(L537&lt;=$B$16,1,IF(L537&gt;=$B$17,$B$21,MATCH(L537,Aux_CAV!$A$2:$A$121,1))))</f>
        <v>9</v>
      </c>
      <c r="AC537" s="19" t="n">
        <f aca="false">IF(D537="","",COUNT($D$24:D537))</f>
        <v>502</v>
      </c>
    </row>
    <row r="538" customFormat="false" ht="12.75" hidden="false" customHeight="true" outlineLevel="0" collapsed="false">
      <c r="A538" s="14" t="n">
        <f aca="false">IF(D538="","",DATE(B538,C538,1))</f>
        <v>19299</v>
      </c>
      <c r="B538" s="15" t="n">
        <f aca="false" t="array" ref="B538:B538">IF(D538="","",IFERROR(VALUE(INDEX(Vazoes_COLAR!$A$2:$A$200,INT((ROW()-24)/12)+1)),""))</f>
        <v>1952</v>
      </c>
      <c r="C538" s="15" t="n">
        <f aca="false">IF(D538="","",MOD(ROW()-24,12)+1)</f>
        <v>11</v>
      </c>
      <c r="D538" s="16" t="n">
        <f aca="false" t="array" ref="D538: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0.00538430007054416</v>
      </c>
      <c r="E538" s="16" t="n">
        <f aca="false">IF(D538="","",D538*$B$15)</f>
        <v>0.0139561057828505</v>
      </c>
      <c r="F538" s="16" t="n">
        <f aca="false" t="array" ref="F538:F538">IF(D538="","",IFERROR(INDEX(Dados_Evap!$C$2:$N$15,MATCH($B$9,Dados_Evap!$A$2:$A$15,0),C538),0))</f>
        <v>223.7</v>
      </c>
      <c r="G538" s="16" t="n">
        <f aca="false">IF(F538="","",F538/1000)</f>
        <v>0.2237</v>
      </c>
      <c r="H538" s="16" t="n">
        <f aca="false">IF(D538="","",MAX(0,MIN($B$8,IFERROR(LOOKUP(2,1/($U$24:U537&lt;&gt;""),$U$24:U537),$B$11))))</f>
        <v>9.21460858266521</v>
      </c>
      <c r="I538" s="16" t="n">
        <f aca="false" t="array" ref="I538: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>3.0712460261685</v>
      </c>
      <c r="J538" s="16" t="n">
        <f aca="false">IF(D538="","",$B$12)</f>
        <v>0.35</v>
      </c>
      <c r="K538" s="16" t="n">
        <f aca="false">IF(J538="","",J538*$B$15)</f>
        <v>0.9072</v>
      </c>
      <c r="L538" s="16" t="n">
        <f aca="false">IF(D538="","",H538+E538-K538-G538*I538)</f>
        <v>7.63432695239416</v>
      </c>
      <c r="M538" s="16" t="n">
        <f aca="false" t="array" ref="M538: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>2.5936356472178</v>
      </c>
      <c r="N538" s="16" t="n">
        <f aca="false">IF(D538="","",(I538+M538)/2)</f>
        <v>2.83244083669315</v>
      </c>
      <c r="O538" s="16" t="n">
        <f aca="false">IF(D538="","",G538*N538)</f>
        <v>0.633617015168258</v>
      </c>
      <c r="P538" s="16" t="n">
        <f aca="false">IF(D538="","",H538+E538-K538-O538)</f>
        <v>7.6877476732798</v>
      </c>
      <c r="Q538" s="16" t="n">
        <f aca="false">IF(D538="","",IF(P538&gt;=0,K538,MAX(0,K538+P538)))</f>
        <v>0.9072</v>
      </c>
      <c r="R538" s="16" t="n">
        <f aca="false">IF(D538="","",Q538/$B$15)</f>
        <v>0.35</v>
      </c>
      <c r="S538" s="16" t="n">
        <f aca="false">IF(D538="","",MAX(0,J538-R538))</f>
        <v>0</v>
      </c>
      <c r="T538" s="16" t="n">
        <f aca="false">IF(D538="","",MAX(0,Z538-$B$8))</f>
        <v>0</v>
      </c>
      <c r="U538" s="16" t="n">
        <f aca="false">IF(D538="","",MAX(0,MIN($B$8,Z538)))</f>
        <v>7.6877476732798</v>
      </c>
      <c r="V538" s="16" t="str">
        <f aca="false">IF(D538="","",IF(S538&gt;0.0000001,"Sim","Não"))</f>
        <v>Não</v>
      </c>
      <c r="W538" s="16" t="n">
        <f aca="false">IF(D538="","",U538-(H538+E538-Q538-O538-T538))</f>
        <v>0</v>
      </c>
      <c r="X538" s="16" t="n">
        <f aca="false">IF(W538="","",ABS(W538))</f>
        <v>0</v>
      </c>
      <c r="Y538" s="16" t="n">
        <f aca="false">IF(U538="","",IF($B$8=0,0,U538/$B$8*100))</f>
        <v>16.2807023999996</v>
      </c>
      <c r="Z538" s="18" t="n">
        <f aca="false">IF(D538="","",MAX(0,IF(P538&gt;=0,P538,IF(K538+P538&gt;=0,0,P538+K538))))</f>
        <v>7.6877476732798</v>
      </c>
      <c r="AA538" s="18" t="n">
        <f aca="false">IF(D538="","",IF(H538&lt;=$B$16,1,IF(H538&gt;=$B$17,$B$21,MATCH(H538,Aux_CAV!$A$2:$A$121,1))))</f>
        <v>10</v>
      </c>
      <c r="AB538" s="18" t="n">
        <f aca="false">IF(D538="","",IF(L538&lt;=$B$16,1,IF(L538&gt;=$B$17,$B$21,MATCH(L538,Aux_CAV!$A$2:$A$121,1))))</f>
        <v>9</v>
      </c>
      <c r="AC538" s="19" t="n">
        <f aca="false">IF(D538="","",COUNT($D$24:D538))</f>
        <v>503</v>
      </c>
    </row>
    <row r="539" customFormat="false" ht="12.75" hidden="false" customHeight="true" outlineLevel="0" collapsed="false">
      <c r="A539" s="14" t="n">
        <f aca="false">IF(D539="","",DATE(B539,C539,1))</f>
        <v>19329</v>
      </c>
      <c r="B539" s="15" t="n">
        <f aca="false" t="array" ref="B539:B539">IF(D539="","",IFERROR(VALUE(INDEX(Vazoes_COLAR!$A$2:$A$200,INT((ROW()-24)/12)+1)),""))</f>
        <v>1952</v>
      </c>
      <c r="C539" s="15" t="n">
        <f aca="false">IF(D539="","",MOD(ROW()-24,12)+1)</f>
        <v>12</v>
      </c>
      <c r="D539" s="16" t="n">
        <f aca="false" t="array" ref="D539: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0.0271632430819111</v>
      </c>
      <c r="E539" s="16" t="n">
        <f aca="false">IF(D539="","",D539*$B$15)</f>
        <v>0.0704071260683136</v>
      </c>
      <c r="F539" s="16" t="n">
        <f aca="false" t="array" ref="F539:F539">IF(D539="","",IFERROR(INDEX(Dados_Evap!$C$2:$N$15,MATCH($B$9,Dados_Evap!$A$2:$A$15,0),C539),0))</f>
        <v>216.1</v>
      </c>
      <c r="G539" s="16" t="n">
        <f aca="false">IF(F539="","",F539/1000)</f>
        <v>0.2161</v>
      </c>
      <c r="H539" s="16" t="n">
        <f aca="false">IF(D539="","",MAX(0,MIN($B$8,IFERROR(LOOKUP(2,1/($U$24:U538&lt;&gt;""),$U$24:U538),$B$11))))</f>
        <v>7.6877476732798</v>
      </c>
      <c r="I539" s="16" t="n">
        <f aca="false" t="array" ref="I539: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>2.60988918570002</v>
      </c>
      <c r="J539" s="16" t="n">
        <f aca="false">IF(D539="","",$B$12)</f>
        <v>0.35</v>
      </c>
      <c r="K539" s="16" t="n">
        <f aca="false">IF(J539="","",J539*$B$15)</f>
        <v>0.9072</v>
      </c>
      <c r="L539" s="16" t="n">
        <f aca="false">IF(D539="","",H539+E539-K539-G539*I539)</f>
        <v>6.28695774631834</v>
      </c>
      <c r="M539" s="16" t="n">
        <f aca="false" t="array" ref="M539: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>2.18369139941175</v>
      </c>
      <c r="N539" s="16" t="n">
        <f aca="false">IF(D539="","",(I539+M539)/2)</f>
        <v>2.39679029255589</v>
      </c>
      <c r="O539" s="16" t="n">
        <f aca="false">IF(D539="","",G539*N539)</f>
        <v>0.517946382221327</v>
      </c>
      <c r="P539" s="16" t="n">
        <f aca="false">IF(D539="","",H539+E539-K539-O539)</f>
        <v>6.33300841712679</v>
      </c>
      <c r="Q539" s="16" t="n">
        <f aca="false">IF(D539="","",IF(P539&gt;=0,K539,MAX(0,K539+P539)))</f>
        <v>0.9072</v>
      </c>
      <c r="R539" s="16" t="n">
        <f aca="false">IF(D539="","",Q539/$B$15)</f>
        <v>0.35</v>
      </c>
      <c r="S539" s="16" t="n">
        <f aca="false">IF(D539="","",MAX(0,J539-R539))</f>
        <v>0</v>
      </c>
      <c r="T539" s="16" t="n">
        <f aca="false">IF(D539="","",MAX(0,Z539-$B$8))</f>
        <v>0</v>
      </c>
      <c r="U539" s="16" t="n">
        <f aca="false">IF(D539="","",MAX(0,MIN($B$8,Z539)))</f>
        <v>6.33300841712679</v>
      </c>
      <c r="V539" s="16" t="str">
        <f aca="false">IF(D539="","",IF(S539&gt;0.0000001,"Sim","Não"))</f>
        <v>Não</v>
      </c>
      <c r="W539" s="16" t="n">
        <f aca="false">IF(D539="","",U539-(H539+E539-Q539-O539-T539))</f>
        <v>0</v>
      </c>
      <c r="X539" s="16" t="n">
        <f aca="false">IF(W539="","",ABS(W539))</f>
        <v>0</v>
      </c>
      <c r="Y539" s="16" t="n">
        <f aca="false">IF(U539="","",IF($B$8=0,0,U539/$B$8*100))</f>
        <v>13.4117077872232</v>
      </c>
      <c r="Z539" s="18" t="n">
        <f aca="false">IF(D539="","",MAX(0,IF(P539&gt;=0,P539,IF(K539+P539&gt;=0,0,P539+K539))))</f>
        <v>6.33300841712679</v>
      </c>
      <c r="AA539" s="18" t="n">
        <f aca="false">IF(D539="","",IF(H539&lt;=$B$16,1,IF(H539&gt;=$B$17,$B$21,MATCH(H539,Aux_CAV!$A$2:$A$121,1))))</f>
        <v>9</v>
      </c>
      <c r="AB539" s="18" t="n">
        <f aca="false">IF(D539="","",IF(L539&lt;=$B$16,1,IF(L539&gt;=$B$17,$B$21,MATCH(L539,Aux_CAV!$A$2:$A$121,1))))</f>
        <v>9</v>
      </c>
      <c r="AC539" s="19" t="n">
        <f aca="false">IF(D539="","",COUNT($D$24:D539))</f>
        <v>504</v>
      </c>
    </row>
    <row r="540" customFormat="false" ht="12.75" hidden="false" customHeight="true" outlineLevel="0" collapsed="false">
      <c r="A540" s="14" t="n">
        <f aca="false">IF(D540="","",DATE(B540,C540,1))</f>
        <v>19360</v>
      </c>
      <c r="B540" s="15" t="n">
        <f aca="false" t="array" ref="B540:B540">IF(D540="","",IFERROR(VALUE(INDEX(Vazoes_COLAR!$A$2:$A$200,INT((ROW()-24)/12)+1)),""))</f>
        <v>1953</v>
      </c>
      <c r="C540" s="15" t="n">
        <f aca="false">IF(D540="","",MOD(ROW()-24,12)+1)</f>
        <v>1</v>
      </c>
      <c r="D540" s="16" t="n">
        <f aca="false" t="array" ref="D540: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0.0106942231289652</v>
      </c>
      <c r="E540" s="16" t="n">
        <f aca="false">IF(D540="","",D540*$B$15)</f>
        <v>0.0277194263502778</v>
      </c>
      <c r="F540" s="16" t="n">
        <f aca="false" t="array" ref="F540:F540">IF(D540="","",IFERROR(INDEX(Dados_Evap!$C$2:$N$15,MATCH($B$9,Dados_Evap!$A$2:$A$15,0),C540),0))</f>
        <v>160</v>
      </c>
      <c r="G540" s="16" t="n">
        <f aca="false">IF(F540="","",F540/1000)</f>
        <v>0.16</v>
      </c>
      <c r="H540" s="16" t="n">
        <f aca="false">IF(D540="","",MAX(0,MIN($B$8,IFERROR(LOOKUP(2,1/($U$24:U539&lt;&gt;""),$U$24:U539),$B$11))))</f>
        <v>6.33300841712679</v>
      </c>
      <c r="I540" s="16" t="n">
        <f aca="false" t="array" ref="I540: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>2.1977025609556</v>
      </c>
      <c r="J540" s="16" t="n">
        <f aca="false">IF(D540="","",$B$12)</f>
        <v>0.35</v>
      </c>
      <c r="K540" s="16" t="n">
        <f aca="false">IF(J540="","",J540*$B$15)</f>
        <v>0.9072</v>
      </c>
      <c r="L540" s="16" t="n">
        <f aca="false">IF(D540="","",H540+E540-K540-G540*I540)</f>
        <v>5.10189543372417</v>
      </c>
      <c r="M540" s="16" t="n">
        <f aca="false" t="array" ref="M540: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>1.82312988728203</v>
      </c>
      <c r="N540" s="16" t="n">
        <f aca="false">IF(D540="","",(I540+M540)/2)</f>
        <v>2.01041622411882</v>
      </c>
      <c r="O540" s="16" t="n">
        <f aca="false">IF(D540="","",G540*N540)</f>
        <v>0.321666595859011</v>
      </c>
      <c r="P540" s="16" t="n">
        <f aca="false">IF(D540="","",H540+E540-K540-O540)</f>
        <v>5.13186124761805</v>
      </c>
      <c r="Q540" s="16" t="n">
        <f aca="false">IF(D540="","",IF(P540&gt;=0,K540,MAX(0,K540+P540)))</f>
        <v>0.9072</v>
      </c>
      <c r="R540" s="16" t="n">
        <f aca="false">IF(D540="","",Q540/$B$15)</f>
        <v>0.35</v>
      </c>
      <c r="S540" s="16" t="n">
        <f aca="false">IF(D540="","",MAX(0,J540-R540))</f>
        <v>0</v>
      </c>
      <c r="T540" s="16" t="n">
        <f aca="false">IF(D540="","",MAX(0,Z540-$B$8))</f>
        <v>0</v>
      </c>
      <c r="U540" s="16" t="n">
        <f aca="false">IF(D540="","",MAX(0,MIN($B$8,Z540)))</f>
        <v>5.13186124761805</v>
      </c>
      <c r="V540" s="16" t="str">
        <f aca="false">IF(D540="","",IF(S540&gt;0.0000001,"Sim","Não"))</f>
        <v>Não</v>
      </c>
      <c r="W540" s="16" t="n">
        <f aca="false">IF(D540="","",U540-(H540+E540-Q540-O540-T540))</f>
        <v>0</v>
      </c>
      <c r="X540" s="16" t="n">
        <f aca="false">IF(W540="","",ABS(W540))</f>
        <v>0</v>
      </c>
      <c r="Y540" s="16" t="n">
        <f aca="false">IF(U540="","",IF($B$8=0,0,U540/$B$8*100))</f>
        <v>10.8679823117705</v>
      </c>
      <c r="Z540" s="18" t="n">
        <f aca="false">IF(D540="","",MAX(0,IF(P540&gt;=0,P540,IF(K540+P540&gt;=0,0,P540+K540))))</f>
        <v>5.13186124761805</v>
      </c>
      <c r="AA540" s="18" t="n">
        <f aca="false">IF(D540="","",IF(H540&lt;=$B$16,1,IF(H540&gt;=$B$17,$B$21,MATCH(H540,Aux_CAV!$A$2:$A$121,1))))</f>
        <v>9</v>
      </c>
      <c r="AB540" s="18" t="n">
        <f aca="false">IF(D540="","",IF(L540&lt;=$B$16,1,IF(L540&gt;=$B$17,$B$21,MATCH(L540,Aux_CAV!$A$2:$A$121,1))))</f>
        <v>9</v>
      </c>
      <c r="AC540" s="19" t="n">
        <f aca="false">IF(D540="","",COUNT($D$24:D540))</f>
        <v>505</v>
      </c>
    </row>
    <row r="541" customFormat="false" ht="12.75" hidden="false" customHeight="true" outlineLevel="0" collapsed="false">
      <c r="A541" s="14" t="n">
        <f aca="false">IF(D541="","",DATE(B541,C541,1))</f>
        <v>19391</v>
      </c>
      <c r="B541" s="15" t="n">
        <f aca="false" t="array" ref="B541:B541">IF(D541="","",IFERROR(VALUE(INDEX(Vazoes_COLAR!$A$2:$A$200,INT((ROW()-24)/12)+1)),""))</f>
        <v>1953</v>
      </c>
      <c r="C541" s="15" t="n">
        <f aca="false">IF(D541="","",MOD(ROW()-24,12)+1)</f>
        <v>2</v>
      </c>
      <c r="D541" s="16" t="n">
        <f aca="false" t="array" ref="D541: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0.0435793369854225</v>
      </c>
      <c r="E541" s="16" t="n">
        <f aca="false">IF(D541="","",D541*$B$15)</f>
        <v>0.112957641466215</v>
      </c>
      <c r="F541" s="16" t="n">
        <f aca="false" t="array" ref="F541:F541">IF(D541="","",IFERROR(INDEX(Dados_Evap!$C$2:$N$15,MATCH($B$9,Dados_Evap!$A$2:$A$15,0),C541),0))</f>
        <v>124.3</v>
      </c>
      <c r="G541" s="16" t="n">
        <f aca="false">IF(F541="","",F541/1000)</f>
        <v>0.1243</v>
      </c>
      <c r="H541" s="16" t="n">
        <f aca="false">IF(D541="","",MAX(0,MIN($B$8,IFERROR(LOOKUP(2,1/($U$24:U540&lt;&gt;""),$U$24:U540),$B$11))))</f>
        <v>5.13186124761805</v>
      </c>
      <c r="I541" s="16" t="n">
        <f aca="false" t="array" ref="I541: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>1.83224714555188</v>
      </c>
      <c r="J541" s="16" t="n">
        <f aca="false">IF(D541="","",$B$12)</f>
        <v>0.35</v>
      </c>
      <c r="K541" s="16" t="n">
        <f aca="false">IF(J541="","",J541*$B$15)</f>
        <v>0.9072</v>
      </c>
      <c r="L541" s="16" t="n">
        <f aca="false">IF(D541="","",H541+E541-K541-G541*I541)</f>
        <v>4.10987056889217</v>
      </c>
      <c r="M541" s="16" t="n">
        <f aca="false" t="array" ref="M541: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>1.53388479473867</v>
      </c>
      <c r="N541" s="16" t="n">
        <f aca="false">IF(D541="","",(I541+M541)/2)</f>
        <v>1.68306597014527</v>
      </c>
      <c r="O541" s="16" t="n">
        <f aca="false">IF(D541="","",G541*N541)</f>
        <v>0.209205100089057</v>
      </c>
      <c r="P541" s="16" t="n">
        <f aca="false">IF(D541="","",H541+E541-K541-O541)</f>
        <v>4.12841378899521</v>
      </c>
      <c r="Q541" s="16" t="n">
        <f aca="false">IF(D541="","",IF(P541&gt;=0,K541,MAX(0,K541+P541)))</f>
        <v>0.9072</v>
      </c>
      <c r="R541" s="16" t="n">
        <f aca="false">IF(D541="","",Q541/$B$15)</f>
        <v>0.35</v>
      </c>
      <c r="S541" s="16" t="n">
        <f aca="false">IF(D541="","",MAX(0,J541-R541))</f>
        <v>0</v>
      </c>
      <c r="T541" s="16" t="n">
        <f aca="false">IF(D541="","",MAX(0,Z541-$B$8))</f>
        <v>0</v>
      </c>
      <c r="U541" s="16" t="n">
        <f aca="false">IF(D541="","",MAX(0,MIN($B$8,Z541)))</f>
        <v>4.12841378899521</v>
      </c>
      <c r="V541" s="16" t="str">
        <f aca="false">IF(D541="","",IF(S541&gt;0.0000001,"Sim","Não"))</f>
        <v>Não</v>
      </c>
      <c r="W541" s="16" t="n">
        <f aca="false">IF(D541="","",U541-(H541+E541-Q541-O541-T541))</f>
        <v>0</v>
      </c>
      <c r="X541" s="16" t="n">
        <f aca="false">IF(W541="","",ABS(W541))</f>
        <v>0</v>
      </c>
      <c r="Y541" s="16" t="n">
        <f aca="false">IF(U541="","",IF($B$8=0,0,U541/$B$8*100))</f>
        <v>8.74293475009575</v>
      </c>
      <c r="Z541" s="18" t="n">
        <f aca="false">IF(D541="","",MAX(0,IF(P541&gt;=0,P541,IF(K541+P541&gt;=0,0,P541+K541))))</f>
        <v>4.12841378899521</v>
      </c>
      <c r="AA541" s="18" t="n">
        <f aca="false">IF(D541="","",IF(H541&lt;=$B$16,1,IF(H541&gt;=$B$17,$B$21,MATCH(H541,Aux_CAV!$A$2:$A$121,1))))</f>
        <v>9</v>
      </c>
      <c r="AB541" s="18" t="n">
        <f aca="false">IF(D541="","",IF(L541&lt;=$B$16,1,IF(L541&gt;=$B$17,$B$21,MATCH(L541,Aux_CAV!$A$2:$A$121,1))))</f>
        <v>8</v>
      </c>
      <c r="AC541" s="19" t="n">
        <f aca="false">IF(D541="","",COUNT($D$24:D541))</f>
        <v>506</v>
      </c>
    </row>
    <row r="542" customFormat="false" ht="12.75" hidden="false" customHeight="true" outlineLevel="0" collapsed="false">
      <c r="A542" s="14" t="n">
        <f aca="false">IF(D542="","",DATE(B542,C542,1))</f>
        <v>19419</v>
      </c>
      <c r="B542" s="15" t="n">
        <f aca="false" t="array" ref="B542:B542">IF(D542="","",IFERROR(VALUE(INDEX(Vazoes_COLAR!$A$2:$A$200,INT((ROW()-24)/12)+1)),""))</f>
        <v>1953</v>
      </c>
      <c r="C542" s="15" t="n">
        <f aca="false">IF(D542="","",MOD(ROW()-24,12)+1)</f>
        <v>3</v>
      </c>
      <c r="D542" s="16" t="n">
        <f aca="false" t="array" ref="D542: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0.146798237441163</v>
      </c>
      <c r="E542" s="16" t="n">
        <f aca="false">IF(D542="","",D542*$B$15)</f>
        <v>0.380501031447495</v>
      </c>
      <c r="F542" s="16" t="n">
        <f aca="false" t="array" ref="F542:F542">IF(D542="","",IFERROR(INDEX(Dados_Evap!$C$2:$N$15,MATCH($B$9,Dados_Evap!$A$2:$A$15,0),C542),0))</f>
        <v>107.7</v>
      </c>
      <c r="G542" s="16" t="n">
        <f aca="false">IF(F542="","",F542/1000)</f>
        <v>0.1077</v>
      </c>
      <c r="H542" s="16" t="n">
        <f aca="false">IF(D542="","",MAX(0,MIN($B$8,IFERROR(LOOKUP(2,1/($U$24:U541&lt;&gt;""),$U$24:U541),$B$11))))</f>
        <v>4.12841378899521</v>
      </c>
      <c r="I542" s="16" t="n">
        <f aca="false" t="array" ref="I542: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>1.5389285506067</v>
      </c>
      <c r="J542" s="16" t="n">
        <f aca="false">IF(D542="","",$B$12)</f>
        <v>0.35</v>
      </c>
      <c r="K542" s="16" t="n">
        <f aca="false">IF(J542="","",J542*$B$15)</f>
        <v>0.9072</v>
      </c>
      <c r="L542" s="16" t="n">
        <f aca="false">IF(D542="","",H542+E542-K542-G542*I542)</f>
        <v>3.43597221554236</v>
      </c>
      <c r="M542" s="16" t="n">
        <f aca="false" t="array" ref="M542: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>1.35058444262752</v>
      </c>
      <c r="N542" s="16" t="n">
        <f aca="false">IF(D542="","",(I542+M542)/2)</f>
        <v>1.44475649661711</v>
      </c>
      <c r="O542" s="16" t="n">
        <f aca="false">IF(D542="","",G542*N542)</f>
        <v>0.155600274685663</v>
      </c>
      <c r="P542" s="16" t="n">
        <f aca="false">IF(D542="","",H542+E542-K542-O542)</f>
        <v>3.44611454575704</v>
      </c>
      <c r="Q542" s="16" t="n">
        <f aca="false">IF(D542="","",IF(P542&gt;=0,K542,MAX(0,K542+P542)))</f>
        <v>0.9072</v>
      </c>
      <c r="R542" s="16" t="n">
        <f aca="false">IF(D542="","",Q542/$B$15)</f>
        <v>0.35</v>
      </c>
      <c r="S542" s="16" t="n">
        <f aca="false">IF(D542="","",MAX(0,J542-R542))</f>
        <v>0</v>
      </c>
      <c r="T542" s="16" t="n">
        <f aca="false">IF(D542="","",MAX(0,Z542-$B$8))</f>
        <v>0</v>
      </c>
      <c r="U542" s="16" t="n">
        <f aca="false">IF(D542="","",MAX(0,MIN($B$8,Z542)))</f>
        <v>3.44611454575704</v>
      </c>
      <c r="V542" s="16" t="str">
        <f aca="false">IF(D542="","",IF(S542&gt;0.0000001,"Sim","Não"))</f>
        <v>Não</v>
      </c>
      <c r="W542" s="16" t="n">
        <f aca="false">IF(D542="","",U542-(H542+E542-Q542-O542-T542))</f>
        <v>0</v>
      </c>
      <c r="X542" s="16" t="n">
        <f aca="false">IF(W542="","",ABS(W542))</f>
        <v>0</v>
      </c>
      <c r="Y542" s="16" t="n">
        <f aca="false">IF(U542="","",IF($B$8=0,0,U542/$B$8*100))</f>
        <v>7.29799776738044</v>
      </c>
      <c r="Z542" s="18" t="n">
        <f aca="false">IF(D542="","",MAX(0,IF(P542&gt;=0,P542,IF(K542+P542&gt;=0,0,P542+K542))))</f>
        <v>3.44611454575704</v>
      </c>
      <c r="AA542" s="18" t="n">
        <f aca="false">IF(D542="","",IF(H542&lt;=$B$16,1,IF(H542&gt;=$B$17,$B$21,MATCH(H542,Aux_CAV!$A$2:$A$121,1))))</f>
        <v>8</v>
      </c>
      <c r="AB542" s="18" t="n">
        <f aca="false">IF(D542="","",IF(L542&lt;=$B$16,1,IF(L542&gt;=$B$17,$B$21,MATCH(L542,Aux_CAV!$A$2:$A$121,1))))</f>
        <v>8</v>
      </c>
      <c r="AC542" s="19" t="n">
        <f aca="false">IF(D542="","",COUNT($D$24:D542))</f>
        <v>507</v>
      </c>
    </row>
    <row r="543" customFormat="false" ht="12.75" hidden="false" customHeight="true" outlineLevel="0" collapsed="false">
      <c r="A543" s="14" t="n">
        <f aca="false">IF(D543="","",DATE(B543,C543,1))</f>
        <v>19450</v>
      </c>
      <c r="B543" s="15" t="n">
        <f aca="false" t="array" ref="B543:B543">IF(D543="","",IFERROR(VALUE(INDEX(Vazoes_COLAR!$A$2:$A$200,INT((ROW()-24)/12)+1)),""))</f>
        <v>1953</v>
      </c>
      <c r="C543" s="15" t="n">
        <f aca="false">IF(D543="","",MOD(ROW()-24,12)+1)</f>
        <v>4</v>
      </c>
      <c r="D543" s="16" t="n">
        <f aca="false" t="array" ref="D543: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0.261120655321317</v>
      </c>
      <c r="E543" s="16" t="n">
        <f aca="false">IF(D543="","",D543*$B$15)</f>
        <v>0.676824738592854</v>
      </c>
      <c r="F543" s="16" t="n">
        <f aca="false" t="array" ref="F543:F543">IF(D543="","",IFERROR(INDEX(Dados_Evap!$C$2:$N$15,MATCH($B$9,Dados_Evap!$A$2:$A$15,0),C543),0))</f>
        <v>100.5</v>
      </c>
      <c r="G543" s="16" t="n">
        <f aca="false">IF(F543="","",F543/1000)</f>
        <v>0.1005</v>
      </c>
      <c r="H543" s="16" t="n">
        <f aca="false">IF(D543="","",MAX(0,MIN($B$8,IFERROR(LOOKUP(2,1/($U$24:U542&lt;&gt;""),$U$24:U542),$B$11))))</f>
        <v>3.44611454575704</v>
      </c>
      <c r="I543" s="16" t="n">
        <f aca="false" t="array" ref="I543: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>1.35334315644592</v>
      </c>
      <c r="J543" s="16" t="n">
        <f aca="false">IF(D543="","",$B$12)</f>
        <v>0.35</v>
      </c>
      <c r="K543" s="16" t="n">
        <f aca="false">IF(J543="","",J543*$B$15)</f>
        <v>0.9072</v>
      </c>
      <c r="L543" s="16" t="n">
        <f aca="false">IF(D543="","",H543+E543-K543-G543*I543)</f>
        <v>3.07972829712708</v>
      </c>
      <c r="M543" s="16" t="n">
        <f aca="false" t="array" ref="M543: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>1.25368609681857</v>
      </c>
      <c r="N543" s="16" t="n">
        <f aca="false">IF(D543="","",(I543+M543)/2)</f>
        <v>1.30351462663224</v>
      </c>
      <c r="O543" s="16" t="n">
        <f aca="false">IF(D543="","",G543*N543)</f>
        <v>0.13100321997654</v>
      </c>
      <c r="P543" s="16" t="n">
        <f aca="false">IF(D543="","",H543+E543-K543-O543)</f>
        <v>3.08473606437336</v>
      </c>
      <c r="Q543" s="16" t="n">
        <f aca="false">IF(D543="","",IF(P543&gt;=0,K543,MAX(0,K543+P543)))</f>
        <v>0.9072</v>
      </c>
      <c r="R543" s="16" t="n">
        <f aca="false">IF(D543="","",Q543/$B$15)</f>
        <v>0.35</v>
      </c>
      <c r="S543" s="16" t="n">
        <f aca="false">IF(D543="","",MAX(0,J543-R543))</f>
        <v>0</v>
      </c>
      <c r="T543" s="16" t="n">
        <f aca="false">IF(D543="","",MAX(0,Z543-$B$8))</f>
        <v>0</v>
      </c>
      <c r="U543" s="16" t="n">
        <f aca="false">IF(D543="","",MAX(0,MIN($B$8,Z543)))</f>
        <v>3.08473606437336</v>
      </c>
      <c r="V543" s="16" t="str">
        <f aca="false">IF(D543="","",IF(S543&gt;0.0000001,"Sim","Não"))</f>
        <v>Não</v>
      </c>
      <c r="W543" s="16" t="n">
        <f aca="false">IF(D543="","",U543-(H543+E543-Q543-O543-T543))</f>
        <v>0</v>
      </c>
      <c r="X543" s="16" t="n">
        <f aca="false">IF(W543="","",ABS(W543))</f>
        <v>0</v>
      </c>
      <c r="Y543" s="16" t="n">
        <f aca="false">IF(U543="","",IF($B$8=0,0,U543/$B$8*100))</f>
        <v>6.53268967465768</v>
      </c>
      <c r="Z543" s="18" t="n">
        <f aca="false">IF(D543="","",MAX(0,IF(P543&gt;=0,P543,IF(K543+P543&gt;=0,0,P543+K543))))</f>
        <v>3.08473606437336</v>
      </c>
      <c r="AA543" s="18" t="n">
        <f aca="false">IF(D543="","",IF(H543&lt;=$B$16,1,IF(H543&gt;=$B$17,$B$21,MATCH(H543,Aux_CAV!$A$2:$A$121,1))))</f>
        <v>8</v>
      </c>
      <c r="AB543" s="18" t="n">
        <f aca="false">IF(D543="","",IF(L543&lt;=$B$16,1,IF(L543&gt;=$B$17,$B$21,MATCH(L543,Aux_CAV!$A$2:$A$121,1))))</f>
        <v>8</v>
      </c>
      <c r="AC543" s="19" t="n">
        <f aca="false">IF(D543="","",COUNT($D$24:D543))</f>
        <v>508</v>
      </c>
    </row>
    <row r="544" customFormat="false" ht="12.75" hidden="false" customHeight="true" outlineLevel="0" collapsed="false">
      <c r="A544" s="14" t="n">
        <f aca="false">IF(D544="","",DATE(B544,C544,1))</f>
        <v>19480</v>
      </c>
      <c r="B544" s="15" t="n">
        <f aca="false" t="array" ref="B544:B544">IF(D544="","",IFERROR(VALUE(INDEX(Vazoes_COLAR!$A$2:$A$200,INT((ROW()-24)/12)+1)),""))</f>
        <v>1953</v>
      </c>
      <c r="C544" s="15" t="n">
        <f aca="false">IF(D544="","",MOD(ROW()-24,12)+1)</f>
        <v>5</v>
      </c>
      <c r="D544" s="16" t="n">
        <f aca="false" t="array" ref="D544: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0.0821692939750011</v>
      </c>
      <c r="E544" s="16" t="n">
        <f aca="false">IF(D544="","",D544*$B$15)</f>
        <v>0.212982809983203</v>
      </c>
      <c r="F544" s="16" t="n">
        <f aca="false" t="array" ref="F544:F544">IF(D544="","",IFERROR(INDEX(Dados_Evap!$C$2:$N$15,MATCH($B$9,Dados_Evap!$A$2:$A$15,0),C544),0))</f>
        <v>145.8</v>
      </c>
      <c r="G544" s="16" t="n">
        <f aca="false">IF(F544="","",F544/1000)</f>
        <v>0.1458</v>
      </c>
      <c r="H544" s="16" t="n">
        <f aca="false">IF(D544="","",MAX(0,MIN($B$8,IFERROR(LOOKUP(2,1/($U$24:U543&lt;&gt;""),$U$24:U543),$B$11))))</f>
        <v>3.08473606437336</v>
      </c>
      <c r="I544" s="16" t="n">
        <f aca="false" t="array" ref="I544: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>1.25504820950955</v>
      </c>
      <c r="J544" s="16" t="n">
        <f aca="false">IF(D544="","",$B$12)</f>
        <v>0.35</v>
      </c>
      <c r="K544" s="16" t="n">
        <f aca="false">IF(J544="","",J544*$B$15)</f>
        <v>0.9072</v>
      </c>
      <c r="L544" s="16" t="n">
        <f aca="false">IF(D544="","",H544+E544-K544-G544*I544)</f>
        <v>2.20753284541007</v>
      </c>
      <c r="M544" s="16" t="n">
        <f aca="false" t="array" ref="M544: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>1.01644893395154</v>
      </c>
      <c r="N544" s="16" t="n">
        <f aca="false">IF(D544="","",(I544+M544)/2)</f>
        <v>1.13574857173055</v>
      </c>
      <c r="O544" s="16" t="n">
        <f aca="false">IF(D544="","",G544*N544)</f>
        <v>0.165592141758314</v>
      </c>
      <c r="P544" s="16" t="n">
        <f aca="false">IF(D544="","",H544+E544-K544-O544)</f>
        <v>2.22492673259824</v>
      </c>
      <c r="Q544" s="16" t="n">
        <f aca="false">IF(D544="","",IF(P544&gt;=0,K544,MAX(0,K544+P544)))</f>
        <v>0.9072</v>
      </c>
      <c r="R544" s="16" t="n">
        <f aca="false">IF(D544="","",Q544/$B$15)</f>
        <v>0.35</v>
      </c>
      <c r="S544" s="16" t="n">
        <f aca="false">IF(D544="","",MAX(0,J544-R544))</f>
        <v>0</v>
      </c>
      <c r="T544" s="16" t="n">
        <f aca="false">IF(D544="","",MAX(0,Z544-$B$8))</f>
        <v>0</v>
      </c>
      <c r="U544" s="16" t="n">
        <f aca="false">IF(D544="","",MAX(0,MIN($B$8,Z544)))</f>
        <v>2.22492673259824</v>
      </c>
      <c r="V544" s="16" t="str">
        <f aca="false">IF(D544="","",IF(S544&gt;0.0000001,"Sim","Não"))</f>
        <v>Não</v>
      </c>
      <c r="W544" s="16" t="n">
        <f aca="false">IF(D544="","",U544-(H544+E544-Q544-O544-T544))</f>
        <v>0</v>
      </c>
      <c r="X544" s="16" t="n">
        <f aca="false">IF(W544="","",ABS(W544))</f>
        <v>0</v>
      </c>
      <c r="Y544" s="16" t="n">
        <f aca="false">IF(U544="","",IF($B$8=0,0,U544/$B$8*100))</f>
        <v>4.71183128462144</v>
      </c>
      <c r="Z544" s="18" t="n">
        <f aca="false">IF(D544="","",MAX(0,IF(P544&gt;=0,P544,IF(K544+P544&gt;=0,0,P544+K544))))</f>
        <v>2.22492673259824</v>
      </c>
      <c r="AA544" s="18" t="n">
        <f aca="false">IF(D544="","",IF(H544&lt;=$B$16,1,IF(H544&gt;=$B$17,$B$21,MATCH(H544,Aux_CAV!$A$2:$A$121,1))))</f>
        <v>8</v>
      </c>
      <c r="AB544" s="18" t="n">
        <f aca="false">IF(D544="","",IF(L544&lt;=$B$16,1,IF(L544&gt;=$B$17,$B$21,MATCH(L544,Aux_CAV!$A$2:$A$121,1))))</f>
        <v>8</v>
      </c>
      <c r="AC544" s="19" t="n">
        <f aca="false">IF(D544="","",COUNT($D$24:D544))</f>
        <v>509</v>
      </c>
    </row>
    <row r="545" customFormat="false" ht="12.75" hidden="false" customHeight="true" outlineLevel="0" collapsed="false">
      <c r="A545" s="14" t="n">
        <f aca="false">IF(D545="","",DATE(B545,C545,1))</f>
        <v>19511</v>
      </c>
      <c r="B545" s="15" t="n">
        <f aca="false" t="array" ref="B545:B545">IF(D545="","",IFERROR(VALUE(INDEX(Vazoes_COLAR!$A$2:$A$200,INT((ROW()-24)/12)+1)),""))</f>
        <v>1953</v>
      </c>
      <c r="C545" s="15" t="n">
        <f aca="false">IF(D545="","",MOD(ROW()-24,12)+1)</f>
        <v>6</v>
      </c>
      <c r="D545" s="16" t="n">
        <f aca="false" t="array" ref="D545: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0.166306559042109</v>
      </c>
      <c r="E545" s="16" t="n">
        <f aca="false">IF(D545="","",D545*$B$15)</f>
        <v>0.431066601037147</v>
      </c>
      <c r="F545" s="16" t="n">
        <f aca="false" t="array" ref="F545:F545">IF(D545="","",IFERROR(INDEX(Dados_Evap!$C$2:$N$15,MATCH($B$9,Dados_Evap!$A$2:$A$15,0),C545),0))</f>
        <v>161.3</v>
      </c>
      <c r="G545" s="16" t="n">
        <f aca="false">IF(F545="","",F545/1000)</f>
        <v>0.1613</v>
      </c>
      <c r="H545" s="16" t="n">
        <f aca="false">IF(D545="","",MAX(0,MIN($B$8,IFERROR(LOOKUP(2,1/($U$24:U544&lt;&gt;""),$U$24:U544),$B$11))))</f>
        <v>2.22492673259824</v>
      </c>
      <c r="I545" s="16" t="n">
        <f aca="false" t="array" ref="I545: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>1.02118007126672</v>
      </c>
      <c r="J545" s="16" t="n">
        <f aca="false">IF(D545="","",$B$12)</f>
        <v>0.35</v>
      </c>
      <c r="K545" s="16" t="n">
        <f aca="false">IF(J545="","",J545*$B$15)</f>
        <v>0.9072</v>
      </c>
      <c r="L545" s="16" t="n">
        <f aca="false">IF(D545="","",H545+E545-K545-G545*I545)</f>
        <v>1.58407698814007</v>
      </c>
      <c r="M545" s="16" t="n">
        <f aca="false" t="array" ref="M545: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>0.850546575826334</v>
      </c>
      <c r="N545" s="16" t="n">
        <f aca="false">IF(D545="","",(I545+M545)/2)</f>
        <v>0.935863323546528</v>
      </c>
      <c r="O545" s="16" t="n">
        <f aca="false">IF(D545="","",G545*N545)</f>
        <v>0.150954754088055</v>
      </c>
      <c r="P545" s="16" t="n">
        <f aca="false">IF(D545="","",H545+E545-K545-O545)</f>
        <v>1.59783857954734</v>
      </c>
      <c r="Q545" s="16" t="n">
        <f aca="false">IF(D545="","",IF(P545&gt;=0,K545,MAX(0,K545+P545)))</f>
        <v>0.9072</v>
      </c>
      <c r="R545" s="16" t="n">
        <f aca="false">IF(D545="","",Q545/$B$15)</f>
        <v>0.35</v>
      </c>
      <c r="S545" s="16" t="n">
        <f aca="false">IF(D545="","",MAX(0,J545-R545))</f>
        <v>0</v>
      </c>
      <c r="T545" s="16" t="n">
        <f aca="false">IF(D545="","",MAX(0,Z545-$B$8))</f>
        <v>0</v>
      </c>
      <c r="U545" s="16" t="n">
        <f aca="false">IF(D545="","",MAX(0,MIN($B$8,Z545)))</f>
        <v>1.59783857954734</v>
      </c>
      <c r="V545" s="16" t="str">
        <f aca="false">IF(D545="","",IF(S545&gt;0.0000001,"Sim","Não"))</f>
        <v>Não</v>
      </c>
      <c r="W545" s="16" t="n">
        <f aca="false">IF(D545="","",U545-(H545+E545-Q545-O545-T545))</f>
        <v>0</v>
      </c>
      <c r="X545" s="16" t="n">
        <f aca="false">IF(W545="","",ABS(W545))</f>
        <v>0</v>
      </c>
      <c r="Y545" s="16" t="n">
        <f aca="false">IF(U545="","",IF($B$8=0,0,U545/$B$8*100))</f>
        <v>3.38381740691939</v>
      </c>
      <c r="Z545" s="18" t="n">
        <f aca="false">IF(D545="","",MAX(0,IF(P545&gt;=0,P545,IF(K545+P545&gt;=0,0,P545+K545))))</f>
        <v>1.59783857954734</v>
      </c>
      <c r="AA545" s="18" t="n">
        <f aca="false">IF(D545="","",IF(H545&lt;=$B$16,1,IF(H545&gt;=$B$17,$B$21,MATCH(H545,Aux_CAV!$A$2:$A$121,1))))</f>
        <v>8</v>
      </c>
      <c r="AB545" s="18" t="n">
        <f aca="false">IF(D545="","",IF(L545&lt;=$B$16,1,IF(L545&gt;=$B$17,$B$21,MATCH(L545,Aux_CAV!$A$2:$A$121,1))))</f>
        <v>7</v>
      </c>
      <c r="AC545" s="19" t="n">
        <f aca="false">IF(D545="","",COUNT($D$24:D545))</f>
        <v>510</v>
      </c>
    </row>
    <row r="546" customFormat="false" ht="12.75" hidden="false" customHeight="true" outlineLevel="0" collapsed="false">
      <c r="A546" s="14" t="n">
        <f aca="false">IF(D546="","",DATE(B546,C546,1))</f>
        <v>19541</v>
      </c>
      <c r="B546" s="15" t="n">
        <f aca="false" t="array" ref="B546:B546">IF(D546="","",IFERROR(VALUE(INDEX(Vazoes_COLAR!$A$2:$A$200,INT((ROW()-24)/12)+1)),""))</f>
        <v>1953</v>
      </c>
      <c r="C546" s="15" t="n">
        <f aca="false">IF(D546="","",MOD(ROW()-24,12)+1)</f>
        <v>7</v>
      </c>
      <c r="D546" s="16" t="n">
        <f aca="false" t="array" ref="D546: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0.00613964513199748</v>
      </c>
      <c r="E546" s="16" t="n">
        <f aca="false">IF(D546="","",D546*$B$15)</f>
        <v>0.0159139601821375</v>
      </c>
      <c r="F546" s="16" t="n">
        <f aca="false" t="array" ref="F546:F546">IF(D546="","",IFERROR(INDEX(Dados_Evap!$C$2:$N$15,MATCH($B$9,Dados_Evap!$A$2:$A$15,0),C546),0))</f>
        <v>224.8</v>
      </c>
      <c r="G546" s="16" t="n">
        <f aca="false">IF(F546="","",F546/1000)</f>
        <v>0.2248</v>
      </c>
      <c r="H546" s="16" t="n">
        <f aca="false">IF(D546="","",MAX(0,MIN($B$8,IFERROR(LOOKUP(2,1/($U$24:U545&lt;&gt;""),$U$24:U545),$B$11))))</f>
        <v>1.59783857954734</v>
      </c>
      <c r="I546" s="16" t="n">
        <f aca="false" t="array" ref="I546: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>0.854168047249299</v>
      </c>
      <c r="J546" s="16" t="n">
        <f aca="false">IF(D546="","",$B$12)</f>
        <v>0.35</v>
      </c>
      <c r="K546" s="16" t="n">
        <f aca="false">IF(J546="","",J546*$B$15)</f>
        <v>0.9072</v>
      </c>
      <c r="L546" s="16" t="n">
        <f aca="false">IF(D546="","",H546+E546-K546-G546*I546)</f>
        <v>0.514535562707831</v>
      </c>
      <c r="M546" s="16" t="n">
        <f aca="false" t="array" ref="M546: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>0.435159846345612</v>
      </c>
      <c r="N546" s="16" t="n">
        <f aca="false">IF(D546="","",(I546+M546)/2)</f>
        <v>0.644663946797456</v>
      </c>
      <c r="O546" s="16" t="n">
        <f aca="false">IF(D546="","",G546*N546)</f>
        <v>0.144920455240068</v>
      </c>
      <c r="P546" s="16" t="n">
        <f aca="false">IF(D546="","",H546+E546-K546-O546)</f>
        <v>0.561632084489405</v>
      </c>
      <c r="Q546" s="16" t="n">
        <f aca="false">IF(D546="","",IF(P546&gt;=0,K546,MAX(0,K546+P546)))</f>
        <v>0.9072</v>
      </c>
      <c r="R546" s="16" t="n">
        <f aca="false">IF(D546="","",Q546/$B$15)</f>
        <v>0.35</v>
      </c>
      <c r="S546" s="16" t="n">
        <f aca="false">IF(D546="","",MAX(0,J546-R546))</f>
        <v>0</v>
      </c>
      <c r="T546" s="16" t="n">
        <f aca="false">IF(D546="","",MAX(0,Z546-$B$8))</f>
        <v>0</v>
      </c>
      <c r="U546" s="16" t="n">
        <f aca="false">IF(D546="","",MAX(0,MIN($B$8,Z546)))</f>
        <v>0.561632084489405</v>
      </c>
      <c r="V546" s="16" t="str">
        <f aca="false">IF(D546="","",IF(S546&gt;0.0000001,"Sim","Não"))</f>
        <v>Não</v>
      </c>
      <c r="W546" s="16" t="n">
        <f aca="false">IF(D546="","",U546-(H546+E546-Q546-O546-T546))</f>
        <v>0</v>
      </c>
      <c r="X546" s="16" t="n">
        <f aca="false">IF(W546="","",ABS(W546))</f>
        <v>0</v>
      </c>
      <c r="Y546" s="16" t="n">
        <f aca="false">IF(U546="","",IF($B$8=0,0,U546/$B$8*100))</f>
        <v>1.18939450336596</v>
      </c>
      <c r="Z546" s="18" t="n">
        <f aca="false">IF(D546="","",MAX(0,IF(P546&gt;=0,P546,IF(K546+P546&gt;=0,0,P546+K546))))</f>
        <v>0.561632084489405</v>
      </c>
      <c r="AA546" s="18" t="n">
        <f aca="false">IF(D546="","",IF(H546&lt;=$B$16,1,IF(H546&gt;=$B$17,$B$21,MATCH(H546,Aux_CAV!$A$2:$A$121,1))))</f>
        <v>7</v>
      </c>
      <c r="AB546" s="18" t="n">
        <f aca="false">IF(D546="","",IF(L546&lt;=$B$16,1,IF(L546&gt;=$B$17,$B$21,MATCH(L546,Aux_CAV!$A$2:$A$121,1))))</f>
        <v>6</v>
      </c>
      <c r="AC546" s="19" t="n">
        <f aca="false">IF(D546="","",COUNT($D$24:D546))</f>
        <v>511</v>
      </c>
    </row>
    <row r="547" customFormat="false" ht="12.75" hidden="false" customHeight="true" outlineLevel="0" collapsed="false">
      <c r="A547" s="14" t="n">
        <f aca="false">IF(D547="","",DATE(B547,C547,1))</f>
        <v>19572</v>
      </c>
      <c r="B547" s="15" t="n">
        <f aca="false" t="array" ref="B547:B547">IF(D547="","",IFERROR(VALUE(INDEX(Vazoes_COLAR!$A$2:$A$200,INT((ROW()-24)/12)+1)),""))</f>
        <v>1953</v>
      </c>
      <c r="C547" s="15" t="n">
        <f aca="false">IF(D547="","",MOD(ROW()-24,12)+1)</f>
        <v>8</v>
      </c>
      <c r="D547" s="16" t="n">
        <f aca="false" t="array" ref="D547: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0.00252061277848359</v>
      </c>
      <c r="E547" s="16" t="n">
        <f aca="false">IF(D547="","",D547*$B$15)</f>
        <v>0.00653342832182947</v>
      </c>
      <c r="F547" s="16" t="n">
        <f aca="false" t="array" ref="F547:F547">IF(D547="","",IFERROR(INDEX(Dados_Evap!$C$2:$N$15,MATCH($B$9,Dados_Evap!$A$2:$A$15,0),C547),0))</f>
        <v>268.7</v>
      </c>
      <c r="G547" s="16" t="n">
        <f aca="false">IF(F547="","",F547/1000)</f>
        <v>0.2687</v>
      </c>
      <c r="H547" s="16" t="n">
        <f aca="false">IF(D547="","",MAX(0,MIN($B$8,IFERROR(LOOKUP(2,1/($U$24:U546&lt;&gt;""),$U$24:U546),$B$11))))</f>
        <v>0.561632084489405</v>
      </c>
      <c r="I547" s="16" t="n">
        <f aca="false" t="array" ref="I547: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>0.459333282304297</v>
      </c>
      <c r="J547" s="16" t="n">
        <f aca="false">IF(D547="","",$B$12)</f>
        <v>0.35</v>
      </c>
      <c r="K547" s="16" t="n">
        <f aca="false">IF(J547="","",J547*$B$15)</f>
        <v>0.9072</v>
      </c>
      <c r="L547" s="16" t="n">
        <f aca="false">IF(D547="","",H547+E547-K547-G547*I547)</f>
        <v>-0.46245734014393</v>
      </c>
      <c r="M547" s="16" t="n">
        <f aca="false" t="array" ref="M547: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>0</v>
      </c>
      <c r="N547" s="16" t="n">
        <f aca="false">IF(D547="","",(I547+M547)/2)</f>
        <v>0.229666641152148</v>
      </c>
      <c r="O547" s="16" t="n">
        <f aca="false">IF(D547="","",G547*N547)</f>
        <v>0.0617114264775822</v>
      </c>
      <c r="P547" s="16" t="n">
        <f aca="false">IF(D547="","",H547+E547-K547-O547)</f>
        <v>-0.400745913666347</v>
      </c>
      <c r="Q547" s="16" t="n">
        <f aca="false">IF(D547="","",IF(P547&gt;=0,K547,MAX(0,K547+P547)))</f>
        <v>0.506454086333653</v>
      </c>
      <c r="R547" s="16" t="n">
        <f aca="false">IF(D547="","",Q547/$B$15)</f>
        <v>0.19539123701144</v>
      </c>
      <c r="S547" s="16" t="n">
        <f aca="false">IF(D547="","",MAX(0,J547-R547))</f>
        <v>0.15460876298856</v>
      </c>
      <c r="T547" s="16" t="n">
        <f aca="false">IF(D547="","",MAX(0,Z547-$B$8))</f>
        <v>0</v>
      </c>
      <c r="U547" s="16" t="n">
        <f aca="false">IF(D547="","",MAX(0,MIN($B$8,Z547)))</f>
        <v>0</v>
      </c>
      <c r="V547" s="16" t="str">
        <f aca="false">IF(D547="","",IF(S547&gt;0.0000001,"Sim","Não"))</f>
        <v>Sim</v>
      </c>
      <c r="W547" s="16" t="n">
        <f aca="false">IF(D547="","",U547-(H547+E547-Q547-O547-T547))</f>
        <v>0</v>
      </c>
      <c r="X547" s="16" t="n">
        <f aca="false">IF(W547="","",ABS(W547))</f>
        <v>0</v>
      </c>
      <c r="Y547" s="16" t="n">
        <f aca="false">IF(U547="","",IF($B$8=0,0,U547/$B$8*100))</f>
        <v>0</v>
      </c>
      <c r="Z547" s="18" t="n">
        <f aca="false">IF(D547="","",MAX(0,IF(P547&gt;=0,P547,IF(K547+P547&gt;=0,0,P547+K547))))</f>
        <v>0</v>
      </c>
      <c r="AA547" s="18" t="n">
        <f aca="false">IF(D547="","",IF(H547&lt;=$B$16,1,IF(H547&gt;=$B$17,$B$21,MATCH(H547,Aux_CAV!$A$2:$A$121,1))))</f>
        <v>6</v>
      </c>
      <c r="AB547" s="18" t="n">
        <f aca="false">IF(D547="","",IF(L547&lt;=$B$16,1,IF(L547&gt;=$B$17,$B$21,MATCH(L547,Aux_CAV!$A$2:$A$121,1))))</f>
        <v>1</v>
      </c>
      <c r="AC547" s="19" t="n">
        <f aca="false">IF(D547="","",COUNT($D$24:D547))</f>
        <v>512</v>
      </c>
    </row>
    <row r="548" customFormat="false" ht="12.75" hidden="false" customHeight="true" outlineLevel="0" collapsed="false">
      <c r="A548" s="14" t="n">
        <f aca="false">IF(D548="","",DATE(B548,C548,1))</f>
        <v>19603</v>
      </c>
      <c r="B548" s="15" t="n">
        <f aca="false" t="array" ref="B548:B548">IF(D548="","",IFERROR(VALUE(INDEX(Vazoes_COLAR!$A$2:$A$200,INT((ROW()-24)/12)+1)),""))</f>
        <v>1953</v>
      </c>
      <c r="C548" s="15" t="n">
        <f aca="false">IF(D548="","",MOD(ROW()-24,12)+1)</f>
        <v>9</v>
      </c>
      <c r="D548" s="16" t="n">
        <f aca="false" t="array" ref="D548: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0.0380730834633778</v>
      </c>
      <c r="E548" s="16" t="n">
        <f aca="false">IF(D548="","",D548*$B$15)</f>
        <v>0.0986854323370753</v>
      </c>
      <c r="F548" s="16" t="n">
        <f aca="false" t="array" ref="F548:F548">IF(D548="","",IFERROR(INDEX(Dados_Evap!$C$2:$N$15,MATCH($B$9,Dados_Evap!$A$2:$A$15,0),C548),0))</f>
        <v>292.8</v>
      </c>
      <c r="G548" s="16" t="n">
        <f aca="false">IF(F548="","",F548/1000)</f>
        <v>0.2928</v>
      </c>
      <c r="H548" s="16" t="n">
        <f aca="false">IF(D548="","",MAX(0,MIN($B$8,IFERROR(LOOKUP(2,1/($U$24:U547&lt;&gt;""),$U$24:U547),$B$11))))</f>
        <v>0</v>
      </c>
      <c r="I548" s="16" t="n">
        <f aca="false" t="array" ref="I548: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>0</v>
      </c>
      <c r="J548" s="16" t="n">
        <f aca="false">IF(D548="","",$B$12)</f>
        <v>0.35</v>
      </c>
      <c r="K548" s="16" t="n">
        <f aca="false">IF(J548="","",J548*$B$15)</f>
        <v>0.9072</v>
      </c>
      <c r="L548" s="16" t="n">
        <f aca="false">IF(D548="","",H548+E548-K548-G548*I548)</f>
        <v>-0.808514567662925</v>
      </c>
      <c r="M548" s="16" t="n">
        <f aca="false" t="array" ref="M548: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>0</v>
      </c>
      <c r="N548" s="16" t="n">
        <f aca="false">IF(D548="","",(I548+M548)/2)</f>
        <v>0</v>
      </c>
      <c r="O548" s="16" t="n">
        <f aca="false">IF(D548="","",G548*N548)</f>
        <v>0</v>
      </c>
      <c r="P548" s="16" t="n">
        <f aca="false">IF(D548="","",H548+E548-K548-O548)</f>
        <v>-0.808514567662925</v>
      </c>
      <c r="Q548" s="16" t="n">
        <f aca="false">IF(D548="","",IF(P548&gt;=0,K548,MAX(0,K548+P548)))</f>
        <v>0.0986854323370753</v>
      </c>
      <c r="R548" s="16" t="n">
        <f aca="false">IF(D548="","",Q548/$B$15)</f>
        <v>0.0380730834633778</v>
      </c>
      <c r="S548" s="16" t="n">
        <f aca="false">IF(D548="","",MAX(0,J548-R548))</f>
        <v>0.311926916536622</v>
      </c>
      <c r="T548" s="16" t="n">
        <f aca="false">IF(D548="","",MAX(0,Z548-$B$8))</f>
        <v>0</v>
      </c>
      <c r="U548" s="16" t="n">
        <f aca="false">IF(D548="","",MAX(0,MIN($B$8,Z548)))</f>
        <v>0</v>
      </c>
      <c r="V548" s="16" t="str">
        <f aca="false">IF(D548="","",IF(S548&gt;0.0000001,"Sim","Não"))</f>
        <v>Sim</v>
      </c>
      <c r="W548" s="16" t="n">
        <f aca="false">IF(D548="","",U548-(H548+E548-Q548-O548-T548))</f>
        <v>0</v>
      </c>
      <c r="X548" s="16" t="n">
        <f aca="false">IF(W548="","",ABS(W548))</f>
        <v>0</v>
      </c>
      <c r="Y548" s="16" t="n">
        <f aca="false">IF(U548="","",IF($B$8=0,0,U548/$B$8*100))</f>
        <v>0</v>
      </c>
      <c r="Z548" s="18" t="n">
        <f aca="false">IF(D548="","",MAX(0,IF(P548&gt;=0,P548,IF(K548+P548&gt;=0,0,P548+K548))))</f>
        <v>0</v>
      </c>
      <c r="AA548" s="18" t="n">
        <f aca="false">IF(D548="","",IF(H548&lt;=$B$16,1,IF(H548&gt;=$B$17,$B$21,MATCH(H548,Aux_CAV!$A$2:$A$121,1))))</f>
        <v>1</v>
      </c>
      <c r="AB548" s="18" t="n">
        <f aca="false">IF(D548="","",IF(L548&lt;=$B$16,1,IF(L548&gt;=$B$17,$B$21,MATCH(L548,Aux_CAV!$A$2:$A$121,1))))</f>
        <v>1</v>
      </c>
      <c r="AC548" s="19" t="n">
        <f aca="false">IF(D548="","",COUNT($D$24:D548))</f>
        <v>513</v>
      </c>
    </row>
    <row r="549" customFormat="false" ht="12.75" hidden="false" customHeight="true" outlineLevel="0" collapsed="false">
      <c r="A549" s="14" t="n">
        <f aca="false">IF(D549="","",DATE(B549,C549,1))</f>
        <v>19633</v>
      </c>
      <c r="B549" s="15" t="n">
        <f aca="false" t="array" ref="B549:B549">IF(D549="","",IFERROR(VALUE(INDEX(Vazoes_COLAR!$A$2:$A$200,INT((ROW()-24)/12)+1)),""))</f>
        <v>1953</v>
      </c>
      <c r="C549" s="15" t="n">
        <f aca="false">IF(D549="","",MOD(ROW()-24,12)+1)</f>
        <v>10</v>
      </c>
      <c r="D549" s="16" t="n">
        <f aca="false" t="array" ref="D549: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0.00206188225429462</v>
      </c>
      <c r="E549" s="16" t="n">
        <f aca="false">IF(D549="","",D549*$B$15)</f>
        <v>0.00534439880313166</v>
      </c>
      <c r="F549" s="16" t="n">
        <f aca="false" t="array" ref="F549:F549">IF(D549="","",IFERROR(INDEX(Dados_Evap!$C$2:$N$15,MATCH($B$9,Dados_Evap!$A$2:$A$15,0),C549),0))</f>
        <v>262.9</v>
      </c>
      <c r="G549" s="16" t="n">
        <f aca="false">IF(F549="","",F549/1000)</f>
        <v>0.2629</v>
      </c>
      <c r="H549" s="16" t="n">
        <f aca="false">IF(D549="","",MAX(0,MIN($B$8,IFERROR(LOOKUP(2,1/($U$24:U548&lt;&gt;""),$U$24:U548),$B$11))))</f>
        <v>0</v>
      </c>
      <c r="I549" s="16" t="n">
        <f aca="false" t="array" ref="I549: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>0</v>
      </c>
      <c r="J549" s="16" t="n">
        <f aca="false">IF(D549="","",$B$12)</f>
        <v>0.35</v>
      </c>
      <c r="K549" s="16" t="n">
        <f aca="false">IF(J549="","",J549*$B$15)</f>
        <v>0.9072</v>
      </c>
      <c r="L549" s="16" t="n">
        <f aca="false">IF(D549="","",H549+E549-K549-G549*I549)</f>
        <v>-0.901855601196868</v>
      </c>
      <c r="M549" s="16" t="n">
        <f aca="false" t="array" ref="M549: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>0</v>
      </c>
      <c r="N549" s="16" t="n">
        <f aca="false">IF(D549="","",(I549+M549)/2)</f>
        <v>0</v>
      </c>
      <c r="O549" s="16" t="n">
        <f aca="false">IF(D549="","",G549*N549)</f>
        <v>0</v>
      </c>
      <c r="P549" s="16" t="n">
        <f aca="false">IF(D549="","",H549+E549-K549-O549)</f>
        <v>-0.901855601196868</v>
      </c>
      <c r="Q549" s="16" t="n">
        <f aca="false">IF(D549="","",IF(P549&gt;=0,K549,MAX(0,K549+P549)))</f>
        <v>0.00534439880313165</v>
      </c>
      <c r="R549" s="16" t="n">
        <f aca="false">IF(D549="","",Q549/$B$15)</f>
        <v>0.00206188225429462</v>
      </c>
      <c r="S549" s="16" t="n">
        <f aca="false">IF(D549="","",MAX(0,J549-R549))</f>
        <v>0.347938117745705</v>
      </c>
      <c r="T549" s="16" t="n">
        <f aca="false">IF(D549="","",MAX(0,Z549-$B$8))</f>
        <v>0</v>
      </c>
      <c r="U549" s="16" t="n">
        <f aca="false">IF(D549="","",MAX(0,MIN($B$8,Z549)))</f>
        <v>0</v>
      </c>
      <c r="V549" s="16" t="str">
        <f aca="false">IF(D549="","",IF(S549&gt;0.0000001,"Sim","Não"))</f>
        <v>Sim</v>
      </c>
      <c r="W549" s="16" t="n">
        <f aca="false">IF(D549="","",U549-(H549+E549-Q549-O549-T549))</f>
        <v>0</v>
      </c>
      <c r="X549" s="16" t="n">
        <f aca="false">IF(W549="","",ABS(W549))</f>
        <v>0</v>
      </c>
      <c r="Y549" s="16" t="n">
        <f aca="false">IF(U549="","",IF($B$8=0,0,U549/$B$8*100))</f>
        <v>0</v>
      </c>
      <c r="Z549" s="18" t="n">
        <f aca="false">IF(D549="","",MAX(0,IF(P549&gt;=0,P549,IF(K549+P549&gt;=0,0,P549+K549))))</f>
        <v>0</v>
      </c>
      <c r="AA549" s="18" t="n">
        <f aca="false">IF(D549="","",IF(H549&lt;=$B$16,1,IF(H549&gt;=$B$17,$B$21,MATCH(H549,Aux_CAV!$A$2:$A$121,1))))</f>
        <v>1</v>
      </c>
      <c r="AB549" s="18" t="n">
        <f aca="false">IF(D549="","",IF(L549&lt;=$B$16,1,IF(L549&gt;=$B$17,$B$21,MATCH(L549,Aux_CAV!$A$2:$A$121,1))))</f>
        <v>1</v>
      </c>
      <c r="AC549" s="19" t="n">
        <f aca="false">IF(D549="","",COUNT($D$24:D549))</f>
        <v>514</v>
      </c>
    </row>
    <row r="550" customFormat="false" ht="12.75" hidden="false" customHeight="true" outlineLevel="0" collapsed="false">
      <c r="A550" s="14" t="n">
        <f aca="false">IF(D550="","",DATE(B550,C550,1))</f>
        <v>19664</v>
      </c>
      <c r="B550" s="15" t="n">
        <f aca="false" t="array" ref="B550:B550">IF(D550="","",IFERROR(VALUE(INDEX(Vazoes_COLAR!$A$2:$A$200,INT((ROW()-24)/12)+1)),""))</f>
        <v>1953</v>
      </c>
      <c r="C550" s="15" t="n">
        <f aca="false">IF(D550="","",MOD(ROW()-24,12)+1)</f>
        <v>11</v>
      </c>
      <c r="D550" s="16" t="n">
        <f aca="false" t="array" ref="D550: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0.0547535973872438</v>
      </c>
      <c r="E550" s="16" t="n">
        <f aca="false">IF(D550="","",D550*$B$15)</f>
        <v>0.141921324427736</v>
      </c>
      <c r="F550" s="16" t="n">
        <f aca="false" t="array" ref="F550:F550">IF(D550="","",IFERROR(INDEX(Dados_Evap!$C$2:$N$15,MATCH($B$9,Dados_Evap!$A$2:$A$15,0),C550),0))</f>
        <v>223.7</v>
      </c>
      <c r="G550" s="16" t="n">
        <f aca="false">IF(F550="","",F550/1000)</f>
        <v>0.2237</v>
      </c>
      <c r="H550" s="16" t="n">
        <f aca="false">IF(D550="","",MAX(0,MIN($B$8,IFERROR(LOOKUP(2,1/($U$24:U549&lt;&gt;""),$U$24:U549),$B$11))))</f>
        <v>0</v>
      </c>
      <c r="I550" s="16" t="n">
        <f aca="false" t="array" ref="I550: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>0</v>
      </c>
      <c r="J550" s="16" t="n">
        <f aca="false">IF(D550="","",$B$12)</f>
        <v>0.35</v>
      </c>
      <c r="K550" s="16" t="n">
        <f aca="false">IF(J550="","",J550*$B$15)</f>
        <v>0.9072</v>
      </c>
      <c r="L550" s="16" t="n">
        <f aca="false">IF(D550="","",H550+E550-K550-G550*I550)</f>
        <v>-0.765278675572264</v>
      </c>
      <c r="M550" s="16" t="n">
        <f aca="false" t="array" ref="M550: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>0</v>
      </c>
      <c r="N550" s="16" t="n">
        <f aca="false">IF(D550="","",(I550+M550)/2)</f>
        <v>0</v>
      </c>
      <c r="O550" s="16" t="n">
        <f aca="false">IF(D550="","",G550*N550)</f>
        <v>0</v>
      </c>
      <c r="P550" s="16" t="n">
        <f aca="false">IF(D550="","",H550+E550-K550-O550)</f>
        <v>-0.765278675572264</v>
      </c>
      <c r="Q550" s="16" t="n">
        <f aca="false">IF(D550="","",IF(P550&gt;=0,K550,MAX(0,K550+P550)))</f>
        <v>0.141921324427736</v>
      </c>
      <c r="R550" s="16" t="n">
        <f aca="false">IF(D550="","",Q550/$B$15)</f>
        <v>0.0547535973872438</v>
      </c>
      <c r="S550" s="16" t="n">
        <f aca="false">IF(D550="","",MAX(0,J550-R550))</f>
        <v>0.295246402612756</v>
      </c>
      <c r="T550" s="16" t="n">
        <f aca="false">IF(D550="","",MAX(0,Z550-$B$8))</f>
        <v>0</v>
      </c>
      <c r="U550" s="16" t="n">
        <f aca="false">IF(D550="","",MAX(0,MIN($B$8,Z550)))</f>
        <v>0</v>
      </c>
      <c r="V550" s="16" t="str">
        <f aca="false">IF(D550="","",IF(S550&gt;0.0000001,"Sim","Não"))</f>
        <v>Sim</v>
      </c>
      <c r="W550" s="16" t="n">
        <f aca="false">IF(D550="","",U550-(H550+E550-Q550-O550-T550))</f>
        <v>0</v>
      </c>
      <c r="X550" s="16" t="n">
        <f aca="false">IF(W550="","",ABS(W550))</f>
        <v>0</v>
      </c>
      <c r="Y550" s="16" t="n">
        <f aca="false">IF(U550="","",IF($B$8=0,0,U550/$B$8*100))</f>
        <v>0</v>
      </c>
      <c r="Z550" s="18" t="n">
        <f aca="false">IF(D550="","",MAX(0,IF(P550&gt;=0,P550,IF(K550+P550&gt;=0,0,P550+K550))))</f>
        <v>0</v>
      </c>
      <c r="AA550" s="18" t="n">
        <f aca="false">IF(D550="","",IF(H550&lt;=$B$16,1,IF(H550&gt;=$B$17,$B$21,MATCH(H550,Aux_CAV!$A$2:$A$121,1))))</f>
        <v>1</v>
      </c>
      <c r="AB550" s="18" t="n">
        <f aca="false">IF(D550="","",IF(L550&lt;=$B$16,1,IF(L550&gt;=$B$17,$B$21,MATCH(L550,Aux_CAV!$A$2:$A$121,1))))</f>
        <v>1</v>
      </c>
      <c r="AC550" s="19" t="n">
        <f aca="false">IF(D550="","",COUNT($D$24:D550))</f>
        <v>515</v>
      </c>
    </row>
    <row r="551" customFormat="false" ht="12.75" hidden="false" customHeight="true" outlineLevel="0" collapsed="false">
      <c r="A551" s="14" t="n">
        <f aca="false">IF(D551="","",DATE(B551,C551,1))</f>
        <v>19694</v>
      </c>
      <c r="B551" s="15" t="n">
        <f aca="false" t="array" ref="B551:B551">IF(D551="","",IFERROR(VALUE(INDEX(Vazoes_COLAR!$A$2:$A$200,INT((ROW()-24)/12)+1)),""))</f>
        <v>1953</v>
      </c>
      <c r="C551" s="15" t="n">
        <f aca="false">IF(D551="","",MOD(ROW()-24,12)+1)</f>
        <v>12</v>
      </c>
      <c r="D551" s="16" t="n">
        <f aca="false" t="array" ref="D551: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0.0137772660873225</v>
      </c>
      <c r="E551" s="16" t="n">
        <f aca="false">IF(D551="","",D551*$B$15)</f>
        <v>0.0357106736983399</v>
      </c>
      <c r="F551" s="16" t="n">
        <f aca="false" t="array" ref="F551:F551">IF(D551="","",IFERROR(INDEX(Dados_Evap!$C$2:$N$15,MATCH($B$9,Dados_Evap!$A$2:$A$15,0),C551),0))</f>
        <v>216.1</v>
      </c>
      <c r="G551" s="16" t="n">
        <f aca="false">IF(F551="","",F551/1000)</f>
        <v>0.2161</v>
      </c>
      <c r="H551" s="16" t="n">
        <f aca="false">IF(D551="","",MAX(0,MIN($B$8,IFERROR(LOOKUP(2,1/($U$24:U550&lt;&gt;""),$U$24:U550),$B$11))))</f>
        <v>0</v>
      </c>
      <c r="I551" s="16" t="n">
        <f aca="false" t="array" ref="I551: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>0</v>
      </c>
      <c r="J551" s="16" t="n">
        <f aca="false">IF(D551="","",$B$12)</f>
        <v>0.35</v>
      </c>
      <c r="K551" s="16" t="n">
        <f aca="false">IF(J551="","",J551*$B$15)</f>
        <v>0.9072</v>
      </c>
      <c r="L551" s="16" t="n">
        <f aca="false">IF(D551="","",H551+E551-K551-G551*I551)</f>
        <v>-0.87148932630166</v>
      </c>
      <c r="M551" s="16" t="n">
        <f aca="false" t="array" ref="M551: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>0</v>
      </c>
      <c r="N551" s="16" t="n">
        <f aca="false">IF(D551="","",(I551+M551)/2)</f>
        <v>0</v>
      </c>
      <c r="O551" s="16" t="n">
        <f aca="false">IF(D551="","",G551*N551)</f>
        <v>0</v>
      </c>
      <c r="P551" s="16" t="n">
        <f aca="false">IF(D551="","",H551+E551-K551-O551)</f>
        <v>-0.87148932630166</v>
      </c>
      <c r="Q551" s="16" t="n">
        <f aca="false">IF(D551="","",IF(P551&gt;=0,K551,MAX(0,K551+P551)))</f>
        <v>0.0357106736983399</v>
      </c>
      <c r="R551" s="16" t="n">
        <f aca="false">IF(D551="","",Q551/$B$15)</f>
        <v>0.0137772660873225</v>
      </c>
      <c r="S551" s="16" t="n">
        <f aca="false">IF(D551="","",MAX(0,J551-R551))</f>
        <v>0.336222733912678</v>
      </c>
      <c r="T551" s="16" t="n">
        <f aca="false">IF(D551="","",MAX(0,Z551-$B$8))</f>
        <v>0</v>
      </c>
      <c r="U551" s="16" t="n">
        <f aca="false">IF(D551="","",MAX(0,MIN($B$8,Z551)))</f>
        <v>0</v>
      </c>
      <c r="V551" s="16" t="str">
        <f aca="false">IF(D551="","",IF(S551&gt;0.0000001,"Sim","Não"))</f>
        <v>Sim</v>
      </c>
      <c r="W551" s="16" t="n">
        <f aca="false">IF(D551="","",U551-(H551+E551-Q551-O551-T551))</f>
        <v>0</v>
      </c>
      <c r="X551" s="16" t="n">
        <f aca="false">IF(W551="","",ABS(W551))</f>
        <v>0</v>
      </c>
      <c r="Y551" s="16" t="n">
        <f aca="false">IF(U551="","",IF($B$8=0,0,U551/$B$8*100))</f>
        <v>0</v>
      </c>
      <c r="Z551" s="18" t="n">
        <f aca="false">IF(D551="","",MAX(0,IF(P551&gt;=0,P551,IF(K551+P551&gt;=0,0,P551+K551))))</f>
        <v>0</v>
      </c>
      <c r="AA551" s="18" t="n">
        <f aca="false">IF(D551="","",IF(H551&lt;=$B$16,1,IF(H551&gt;=$B$17,$B$21,MATCH(H551,Aux_CAV!$A$2:$A$121,1))))</f>
        <v>1</v>
      </c>
      <c r="AB551" s="18" t="n">
        <f aca="false">IF(D551="","",IF(L551&lt;=$B$16,1,IF(L551&gt;=$B$17,$B$21,MATCH(L551,Aux_CAV!$A$2:$A$121,1))))</f>
        <v>1</v>
      </c>
      <c r="AC551" s="19" t="n">
        <f aca="false">IF(D551="","",COUNT($D$24:D551))</f>
        <v>516</v>
      </c>
    </row>
    <row r="552" customFormat="false" ht="12.75" hidden="false" customHeight="true" outlineLevel="0" collapsed="false">
      <c r="A552" s="14" t="n">
        <f aca="false">IF(D552="","",DATE(B552,C552,1))</f>
        <v>19725</v>
      </c>
      <c r="B552" s="15" t="n">
        <f aca="false" t="array" ref="B552:B552">IF(D552="","",IFERROR(VALUE(INDEX(Vazoes_COLAR!$A$2:$A$200,INT((ROW()-24)/12)+1)),""))</f>
        <v>1954</v>
      </c>
      <c r="C552" s="15" t="n">
        <f aca="false">IF(D552="","",MOD(ROW()-24,12)+1)</f>
        <v>1</v>
      </c>
      <c r="D552" s="16" t="n">
        <f aca="false" t="array" ref="D552: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0.0721666693869382</v>
      </c>
      <c r="E552" s="16" t="n">
        <f aca="false">IF(D552="","",D552*$B$15)</f>
        <v>0.187056007050944</v>
      </c>
      <c r="F552" s="16" t="n">
        <f aca="false" t="array" ref="F552:F552">IF(D552="","",IFERROR(INDEX(Dados_Evap!$C$2:$N$15,MATCH($B$9,Dados_Evap!$A$2:$A$15,0),C552),0))</f>
        <v>160</v>
      </c>
      <c r="G552" s="16" t="n">
        <f aca="false">IF(F552="","",F552/1000)</f>
        <v>0.16</v>
      </c>
      <c r="H552" s="16" t="n">
        <f aca="false">IF(D552="","",MAX(0,MIN($B$8,IFERROR(LOOKUP(2,1/($U$24:U551&lt;&gt;""),$U$24:U551),$B$11))))</f>
        <v>0</v>
      </c>
      <c r="I552" s="16" t="n">
        <f aca="false" t="array" ref="I552: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>0</v>
      </c>
      <c r="J552" s="16" t="n">
        <f aca="false">IF(D552="","",$B$12)</f>
        <v>0.35</v>
      </c>
      <c r="K552" s="16" t="n">
        <f aca="false">IF(J552="","",J552*$B$15)</f>
        <v>0.9072</v>
      </c>
      <c r="L552" s="16" t="n">
        <f aca="false">IF(D552="","",H552+E552-K552-G552*I552)</f>
        <v>-0.720143992949056</v>
      </c>
      <c r="M552" s="16" t="n">
        <f aca="false" t="array" ref="M552: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>0</v>
      </c>
      <c r="N552" s="16" t="n">
        <f aca="false">IF(D552="","",(I552+M552)/2)</f>
        <v>0</v>
      </c>
      <c r="O552" s="16" t="n">
        <f aca="false">IF(D552="","",G552*N552)</f>
        <v>0</v>
      </c>
      <c r="P552" s="16" t="n">
        <f aca="false">IF(D552="","",H552+E552-K552-O552)</f>
        <v>-0.720143992949056</v>
      </c>
      <c r="Q552" s="16" t="n">
        <f aca="false">IF(D552="","",IF(P552&gt;=0,K552,MAX(0,K552+P552)))</f>
        <v>0.187056007050944</v>
      </c>
      <c r="R552" s="16" t="n">
        <f aca="false">IF(D552="","",Q552/$B$15)</f>
        <v>0.0721666693869382</v>
      </c>
      <c r="S552" s="16" t="n">
        <f aca="false">IF(D552="","",MAX(0,J552-R552))</f>
        <v>0.277833330613062</v>
      </c>
      <c r="T552" s="16" t="n">
        <f aca="false">IF(D552="","",MAX(0,Z552-$B$8))</f>
        <v>0</v>
      </c>
      <c r="U552" s="16" t="n">
        <f aca="false">IF(D552="","",MAX(0,MIN($B$8,Z552)))</f>
        <v>0</v>
      </c>
      <c r="V552" s="16" t="str">
        <f aca="false">IF(D552="","",IF(S552&gt;0.0000001,"Sim","Não"))</f>
        <v>Sim</v>
      </c>
      <c r="W552" s="16" t="n">
        <f aca="false">IF(D552="","",U552-(H552+E552-Q552-O552-T552))</f>
        <v>0</v>
      </c>
      <c r="X552" s="16" t="n">
        <f aca="false">IF(W552="","",ABS(W552))</f>
        <v>0</v>
      </c>
      <c r="Y552" s="16" t="n">
        <f aca="false">IF(U552="","",IF($B$8=0,0,U552/$B$8*100))</f>
        <v>0</v>
      </c>
      <c r="Z552" s="18" t="n">
        <f aca="false">IF(D552="","",MAX(0,IF(P552&gt;=0,P552,IF(K552+P552&gt;=0,0,P552+K552))))</f>
        <v>0</v>
      </c>
      <c r="AA552" s="18" t="n">
        <f aca="false">IF(D552="","",IF(H552&lt;=$B$16,1,IF(H552&gt;=$B$17,$B$21,MATCH(H552,Aux_CAV!$A$2:$A$121,1))))</f>
        <v>1</v>
      </c>
      <c r="AB552" s="18" t="n">
        <f aca="false">IF(D552="","",IF(L552&lt;=$B$16,1,IF(L552&gt;=$B$17,$B$21,MATCH(L552,Aux_CAV!$A$2:$A$121,1))))</f>
        <v>1</v>
      </c>
      <c r="AC552" s="19" t="n">
        <f aca="false">IF(D552="","",COUNT($D$24:D552))</f>
        <v>517</v>
      </c>
    </row>
    <row r="553" customFormat="false" ht="12.75" hidden="false" customHeight="true" outlineLevel="0" collapsed="false">
      <c r="A553" s="14" t="n">
        <f aca="false">IF(D553="","",DATE(B553,C553,1))</f>
        <v>19756</v>
      </c>
      <c r="B553" s="15" t="n">
        <f aca="false" t="array" ref="B553:B553">IF(D553="","",IFERROR(VALUE(INDEX(Vazoes_COLAR!$A$2:$A$200,INT((ROW()-24)/12)+1)),""))</f>
        <v>1954</v>
      </c>
      <c r="C553" s="15" t="n">
        <f aca="false">IF(D553="","",MOD(ROW()-24,12)+1)</f>
        <v>2</v>
      </c>
      <c r="D553" s="16" t="n">
        <f aca="false" t="array" ref="D553: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0.238927677838089</v>
      </c>
      <c r="E553" s="16" t="n">
        <f aca="false">IF(D553="","",D553*$B$15)</f>
        <v>0.619300540956327</v>
      </c>
      <c r="F553" s="16" t="n">
        <f aca="false" t="array" ref="F553:F553">IF(D553="","",IFERROR(INDEX(Dados_Evap!$C$2:$N$15,MATCH($B$9,Dados_Evap!$A$2:$A$15,0),C553),0))</f>
        <v>124.3</v>
      </c>
      <c r="G553" s="16" t="n">
        <f aca="false">IF(F553="","",F553/1000)</f>
        <v>0.1243</v>
      </c>
      <c r="H553" s="16" t="n">
        <f aca="false">IF(D553="","",MAX(0,MIN($B$8,IFERROR(LOOKUP(2,1/($U$24:U552&lt;&gt;""),$U$24:U552),$B$11))))</f>
        <v>0</v>
      </c>
      <c r="I553" s="16" t="n">
        <f aca="false" t="array" ref="I553: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>0</v>
      </c>
      <c r="J553" s="16" t="n">
        <f aca="false">IF(D553="","",$B$12)</f>
        <v>0.35</v>
      </c>
      <c r="K553" s="16" t="n">
        <f aca="false">IF(J553="","",J553*$B$15)</f>
        <v>0.9072</v>
      </c>
      <c r="L553" s="16" t="n">
        <f aca="false">IF(D553="","",H553+E553-K553-G553*I553)</f>
        <v>-0.287899459043673</v>
      </c>
      <c r="M553" s="16" t="n">
        <f aca="false" t="array" ref="M553: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>0</v>
      </c>
      <c r="N553" s="16" t="n">
        <f aca="false">IF(D553="","",(I553+M553)/2)</f>
        <v>0</v>
      </c>
      <c r="O553" s="16" t="n">
        <f aca="false">IF(D553="","",G553*N553)</f>
        <v>0</v>
      </c>
      <c r="P553" s="16" t="n">
        <f aca="false">IF(D553="","",H553+E553-K553-O553)</f>
        <v>-0.287899459043673</v>
      </c>
      <c r="Q553" s="16" t="n">
        <f aca="false">IF(D553="","",IF(P553&gt;=0,K553,MAX(0,K553+P553)))</f>
        <v>0.619300540956327</v>
      </c>
      <c r="R553" s="16" t="n">
        <f aca="false">IF(D553="","",Q553/$B$15)</f>
        <v>0.238927677838089</v>
      </c>
      <c r="S553" s="16" t="n">
        <f aca="false">IF(D553="","",MAX(0,J553-R553))</f>
        <v>0.111072322161911</v>
      </c>
      <c r="T553" s="16" t="n">
        <f aca="false">IF(D553="","",MAX(0,Z553-$B$8))</f>
        <v>0</v>
      </c>
      <c r="U553" s="16" t="n">
        <f aca="false">IF(D553="","",MAX(0,MIN($B$8,Z553)))</f>
        <v>0</v>
      </c>
      <c r="V553" s="16" t="str">
        <f aca="false">IF(D553="","",IF(S553&gt;0.0000001,"Sim","Não"))</f>
        <v>Sim</v>
      </c>
      <c r="W553" s="16" t="n">
        <f aca="false">IF(D553="","",U553-(H553+E553-Q553-O553-T553))</f>
        <v>0</v>
      </c>
      <c r="X553" s="16" t="n">
        <f aca="false">IF(W553="","",ABS(W553))</f>
        <v>0</v>
      </c>
      <c r="Y553" s="16" t="n">
        <f aca="false">IF(U553="","",IF($B$8=0,0,U553/$B$8*100))</f>
        <v>0</v>
      </c>
      <c r="Z553" s="18" t="n">
        <f aca="false">IF(D553="","",MAX(0,IF(P553&gt;=0,P553,IF(K553+P553&gt;=0,0,P553+K553))))</f>
        <v>0</v>
      </c>
      <c r="AA553" s="18" t="n">
        <f aca="false">IF(D553="","",IF(H553&lt;=$B$16,1,IF(H553&gt;=$B$17,$B$21,MATCH(H553,Aux_CAV!$A$2:$A$121,1))))</f>
        <v>1</v>
      </c>
      <c r="AB553" s="18" t="n">
        <f aca="false">IF(D553="","",IF(L553&lt;=$B$16,1,IF(L553&gt;=$B$17,$B$21,MATCH(L553,Aux_CAV!$A$2:$A$121,1))))</f>
        <v>1</v>
      </c>
      <c r="AC553" s="19" t="n">
        <f aca="false">IF(D553="","",COUNT($D$24:D553))</f>
        <v>518</v>
      </c>
    </row>
    <row r="554" customFormat="false" ht="12.75" hidden="false" customHeight="true" outlineLevel="0" collapsed="false">
      <c r="A554" s="14" t="n">
        <f aca="false">IF(D554="","",DATE(B554,C554,1))</f>
        <v>19784</v>
      </c>
      <c r="B554" s="15" t="n">
        <f aca="false" t="array" ref="B554:B554">IF(D554="","",IFERROR(VALUE(INDEX(Vazoes_COLAR!$A$2:$A$200,INT((ROW()-24)/12)+1)),""))</f>
        <v>1954</v>
      </c>
      <c r="C554" s="15" t="n">
        <f aca="false">IF(D554="","",MOD(ROW()-24,12)+1)</f>
        <v>3</v>
      </c>
      <c r="D554" s="16" t="n">
        <f aca="false" t="array" ref="D554: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0.954930537244957</v>
      </c>
      <c r="E554" s="16" t="n">
        <f aca="false">IF(D554="","",D554*$B$15)</f>
        <v>2.47517995253893</v>
      </c>
      <c r="F554" s="16" t="n">
        <f aca="false" t="array" ref="F554:F554">IF(D554="","",IFERROR(INDEX(Dados_Evap!$C$2:$N$15,MATCH($B$9,Dados_Evap!$A$2:$A$15,0),C554),0))</f>
        <v>107.7</v>
      </c>
      <c r="G554" s="16" t="n">
        <f aca="false">IF(F554="","",F554/1000)</f>
        <v>0.1077</v>
      </c>
      <c r="H554" s="16" t="n">
        <f aca="false">IF(D554="","",MAX(0,MIN($B$8,IFERROR(LOOKUP(2,1/($U$24:U553&lt;&gt;""),$U$24:U553),$B$11))))</f>
        <v>0</v>
      </c>
      <c r="I554" s="16" t="n">
        <f aca="false" t="array" ref="I554: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>0</v>
      </c>
      <c r="J554" s="16" t="n">
        <f aca="false">IF(D554="","",$B$12)</f>
        <v>0.35</v>
      </c>
      <c r="K554" s="16" t="n">
        <f aca="false">IF(J554="","",J554*$B$15)</f>
        <v>0.9072</v>
      </c>
      <c r="L554" s="16" t="n">
        <f aca="false">IF(D554="","",H554+E554-K554-G554*I554)</f>
        <v>1.56797995253893</v>
      </c>
      <c r="M554" s="16" t="n">
        <f aca="false" t="array" ref="M554: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>0.846310513826034</v>
      </c>
      <c r="N554" s="16" t="n">
        <f aca="false">IF(D554="","",(I554+M554)/2)</f>
        <v>0.423155256913017</v>
      </c>
      <c r="O554" s="16" t="n">
        <f aca="false">IF(D554="","",G554*N554)</f>
        <v>0.0455738211695319</v>
      </c>
      <c r="P554" s="16" t="n">
        <f aca="false">IF(D554="","",H554+E554-K554-O554)</f>
        <v>1.5224061313694</v>
      </c>
      <c r="Q554" s="16" t="n">
        <f aca="false">IF(D554="","",IF(P554&gt;=0,K554,MAX(0,K554+P554)))</f>
        <v>0.9072</v>
      </c>
      <c r="R554" s="16" t="n">
        <f aca="false">IF(D554="","",Q554/$B$15)</f>
        <v>0.35</v>
      </c>
      <c r="S554" s="16" t="n">
        <f aca="false">IF(D554="","",MAX(0,J554-R554))</f>
        <v>0</v>
      </c>
      <c r="T554" s="16" t="n">
        <f aca="false">IF(D554="","",MAX(0,Z554-$B$8))</f>
        <v>0</v>
      </c>
      <c r="U554" s="16" t="n">
        <f aca="false">IF(D554="","",MAX(0,MIN($B$8,Z554)))</f>
        <v>1.5224061313694</v>
      </c>
      <c r="V554" s="16" t="str">
        <f aca="false">IF(D554="","",IF(S554&gt;0.0000001,"Sim","Não"))</f>
        <v>Não</v>
      </c>
      <c r="W554" s="16" t="n">
        <f aca="false">IF(D554="","",U554-(H554+E554-Q554-O554-T554))</f>
        <v>0</v>
      </c>
      <c r="X554" s="16" t="n">
        <f aca="false">IF(W554="","",ABS(W554))</f>
        <v>0</v>
      </c>
      <c r="Y554" s="16" t="n">
        <f aca="false">IF(U554="","",IF($B$8=0,0,U554/$B$8*100))</f>
        <v>3.22407058739813</v>
      </c>
      <c r="Z554" s="18" t="n">
        <f aca="false">IF(D554="","",MAX(0,IF(P554&gt;=0,P554,IF(K554+P554&gt;=0,0,P554+K554))))</f>
        <v>1.5224061313694</v>
      </c>
      <c r="AA554" s="18" t="n">
        <f aca="false">IF(D554="","",IF(H554&lt;=$B$16,1,IF(H554&gt;=$B$17,$B$21,MATCH(H554,Aux_CAV!$A$2:$A$121,1))))</f>
        <v>1</v>
      </c>
      <c r="AB554" s="18" t="n">
        <f aca="false">IF(D554="","",IF(L554&lt;=$B$16,1,IF(L554&gt;=$B$17,$B$21,MATCH(L554,Aux_CAV!$A$2:$A$121,1))))</f>
        <v>7</v>
      </c>
      <c r="AC554" s="19" t="n">
        <f aca="false">IF(D554="","",COUNT($D$24:D554))</f>
        <v>519</v>
      </c>
    </row>
    <row r="555" customFormat="false" ht="12.75" hidden="false" customHeight="true" outlineLevel="0" collapsed="false">
      <c r="A555" s="14" t="n">
        <f aca="false">IF(D555="","",DATE(B555,C555,1))</f>
        <v>19815</v>
      </c>
      <c r="B555" s="15" t="n">
        <f aca="false" t="array" ref="B555:B555">IF(D555="","",IFERROR(VALUE(INDEX(Vazoes_COLAR!$A$2:$A$200,INT((ROW()-24)/12)+1)),""))</f>
        <v>1954</v>
      </c>
      <c r="C555" s="15" t="n">
        <f aca="false">IF(D555="","",MOD(ROW()-24,12)+1)</f>
        <v>4</v>
      </c>
      <c r="D555" s="16" t="n">
        <f aca="false" t="array" ref="D555: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0.998885264171389</v>
      </c>
      <c r="E555" s="16" t="n">
        <f aca="false">IF(D555="","",D555*$B$15)</f>
        <v>2.58911060473224</v>
      </c>
      <c r="F555" s="16" t="n">
        <f aca="false" t="array" ref="F555:F555">IF(D555="","",IFERROR(INDEX(Dados_Evap!$C$2:$N$15,MATCH($B$9,Dados_Evap!$A$2:$A$15,0),C555),0))</f>
        <v>100.5</v>
      </c>
      <c r="G555" s="16" t="n">
        <f aca="false">IF(F555="","",F555/1000)</f>
        <v>0.1005</v>
      </c>
      <c r="H555" s="16" t="n">
        <f aca="false">IF(D555="","",MAX(0,MIN($B$8,IFERROR(LOOKUP(2,1/($U$24:U554&lt;&gt;""),$U$24:U554),$B$11))))</f>
        <v>1.5224061313694</v>
      </c>
      <c r="I555" s="16" t="n">
        <f aca="false" t="array" ref="I555: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>0.834317402991947</v>
      </c>
      <c r="J555" s="16" t="n">
        <f aca="false">IF(D555="","",$B$12)</f>
        <v>0.35</v>
      </c>
      <c r="K555" s="16" t="n">
        <f aca="false">IF(J555="","",J555*$B$15)</f>
        <v>0.9072</v>
      </c>
      <c r="L555" s="16" t="n">
        <f aca="false">IF(D555="","",H555+E555-K555-G555*I555)</f>
        <v>3.12046783710095</v>
      </c>
      <c r="M555" s="16" t="n">
        <f aca="false" t="array" ref="M555: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>1.26476725169146</v>
      </c>
      <c r="N555" s="16" t="n">
        <f aca="false">IF(D555="","",(I555+M555)/2)</f>
        <v>1.0495423273417</v>
      </c>
      <c r="O555" s="16" t="n">
        <f aca="false">IF(D555="","",G555*N555)</f>
        <v>0.105479003897841</v>
      </c>
      <c r="P555" s="16" t="n">
        <f aca="false">IF(D555="","",H555+E555-K555-O555)</f>
        <v>3.0988377322038</v>
      </c>
      <c r="Q555" s="16" t="n">
        <f aca="false">IF(D555="","",IF(P555&gt;=0,K555,MAX(0,K555+P555)))</f>
        <v>0.9072</v>
      </c>
      <c r="R555" s="16" t="n">
        <f aca="false">IF(D555="","",Q555/$B$15)</f>
        <v>0.35</v>
      </c>
      <c r="S555" s="16" t="n">
        <f aca="false">IF(D555="","",MAX(0,J555-R555))</f>
        <v>0</v>
      </c>
      <c r="T555" s="16" t="n">
        <f aca="false">IF(D555="","",MAX(0,Z555-$B$8))</f>
        <v>0</v>
      </c>
      <c r="U555" s="16" t="n">
        <f aca="false">IF(D555="","",MAX(0,MIN($B$8,Z555)))</f>
        <v>3.0988377322038</v>
      </c>
      <c r="V555" s="16" t="str">
        <f aca="false">IF(D555="","",IF(S555&gt;0.0000001,"Sim","Não"))</f>
        <v>Não</v>
      </c>
      <c r="W555" s="16" t="n">
        <f aca="false">IF(D555="","",U555-(H555+E555-Q555-O555-T555))</f>
        <v>0</v>
      </c>
      <c r="X555" s="16" t="n">
        <f aca="false">IF(W555="","",ABS(W555))</f>
        <v>0</v>
      </c>
      <c r="Y555" s="16" t="n">
        <f aca="false">IF(U555="","",IF($B$8=0,0,U555/$B$8*100))</f>
        <v>6.56255343541677</v>
      </c>
      <c r="Z555" s="18" t="n">
        <f aca="false">IF(D555="","",MAX(0,IF(P555&gt;=0,P555,IF(K555+P555&gt;=0,0,P555+K555))))</f>
        <v>3.0988377322038</v>
      </c>
      <c r="AA555" s="18" t="n">
        <f aca="false">IF(D555="","",IF(H555&lt;=$B$16,1,IF(H555&gt;=$B$17,$B$21,MATCH(H555,Aux_CAV!$A$2:$A$121,1))))</f>
        <v>7</v>
      </c>
      <c r="AB555" s="18" t="n">
        <f aca="false">IF(D555="","",IF(L555&lt;=$B$16,1,IF(L555&gt;=$B$17,$B$21,MATCH(L555,Aux_CAV!$A$2:$A$121,1))))</f>
        <v>8</v>
      </c>
      <c r="AC555" s="19" t="n">
        <f aca="false">IF(D555="","",COUNT($D$24:D555))</f>
        <v>520</v>
      </c>
    </row>
    <row r="556" customFormat="false" ht="12.75" hidden="false" customHeight="true" outlineLevel="0" collapsed="false">
      <c r="A556" s="14" t="n">
        <f aca="false">IF(D556="","",DATE(B556,C556,1))</f>
        <v>19845</v>
      </c>
      <c r="B556" s="15" t="n">
        <f aca="false" t="array" ref="B556:B556">IF(D556="","",IFERROR(VALUE(INDEX(Vazoes_COLAR!$A$2:$A$200,INT((ROW()-24)/12)+1)),""))</f>
        <v>1954</v>
      </c>
      <c r="C556" s="15" t="n">
        <f aca="false">IF(D556="","",MOD(ROW()-24,12)+1)</f>
        <v>5</v>
      </c>
      <c r="D556" s="16" t="n">
        <f aca="false" t="array" ref="D556: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0.6792464403696</v>
      </c>
      <c r="E556" s="16" t="n">
        <f aca="false">IF(D556="","",D556*$B$15)</f>
        <v>1.760606773438</v>
      </c>
      <c r="F556" s="16" t="n">
        <f aca="false" t="array" ref="F556:F556">IF(D556="","",IFERROR(INDEX(Dados_Evap!$C$2:$N$15,MATCH($B$9,Dados_Evap!$A$2:$A$15,0),C556),0))</f>
        <v>145.8</v>
      </c>
      <c r="G556" s="16" t="n">
        <f aca="false">IF(F556="","",F556/1000)</f>
        <v>0.1458</v>
      </c>
      <c r="H556" s="16" t="n">
        <f aca="false">IF(D556="","",MAX(0,MIN($B$8,IFERROR(LOOKUP(2,1/($U$24:U555&lt;&gt;""),$U$24:U555),$B$11))))</f>
        <v>3.0988377322038</v>
      </c>
      <c r="I556" s="16" t="n">
        <f aca="false" t="array" ref="I556: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>1.25888386315943</v>
      </c>
      <c r="J556" s="16" t="n">
        <f aca="false">IF(D556="","",$B$12)</f>
        <v>0.35</v>
      </c>
      <c r="K556" s="16" t="n">
        <f aca="false">IF(J556="","",J556*$B$15)</f>
        <v>0.9072</v>
      </c>
      <c r="L556" s="16" t="n">
        <f aca="false">IF(D556="","",H556+E556-K556-G556*I556)</f>
        <v>3.76869923839315</v>
      </c>
      <c r="M556" s="16" t="n">
        <f aca="false" t="array" ref="M556: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>1.44108619284294</v>
      </c>
      <c r="N556" s="16" t="n">
        <f aca="false">IF(D556="","",(I556+M556)/2)</f>
        <v>1.34998502800119</v>
      </c>
      <c r="O556" s="16" t="n">
        <f aca="false">IF(D556="","",G556*N556)</f>
        <v>0.196827817082573</v>
      </c>
      <c r="P556" s="16" t="n">
        <f aca="false">IF(D556="","",H556+E556-K556-O556)</f>
        <v>3.75541668855923</v>
      </c>
      <c r="Q556" s="16" t="n">
        <f aca="false">IF(D556="","",IF(P556&gt;=0,K556,MAX(0,K556+P556)))</f>
        <v>0.9072</v>
      </c>
      <c r="R556" s="16" t="n">
        <f aca="false">IF(D556="","",Q556/$B$15)</f>
        <v>0.35</v>
      </c>
      <c r="S556" s="16" t="n">
        <f aca="false">IF(D556="","",MAX(0,J556-R556))</f>
        <v>0</v>
      </c>
      <c r="T556" s="16" t="n">
        <f aca="false">IF(D556="","",MAX(0,Z556-$B$8))</f>
        <v>0</v>
      </c>
      <c r="U556" s="16" t="n">
        <f aca="false">IF(D556="","",MAX(0,MIN($B$8,Z556)))</f>
        <v>3.75541668855923</v>
      </c>
      <c r="V556" s="16" t="str">
        <f aca="false">IF(D556="","",IF(S556&gt;0.0000001,"Sim","Não"))</f>
        <v>Não</v>
      </c>
      <c r="W556" s="16" t="n">
        <f aca="false">IF(D556="","",U556-(H556+E556-Q556-O556-T556))</f>
        <v>0</v>
      </c>
      <c r="X556" s="16" t="n">
        <f aca="false">IF(W556="","",ABS(W556))</f>
        <v>0</v>
      </c>
      <c r="Y556" s="16" t="n">
        <f aca="false">IF(U556="","",IF($B$8=0,0,U556/$B$8*100))</f>
        <v>7.95302136501319</v>
      </c>
      <c r="Z556" s="18" t="n">
        <f aca="false">IF(D556="","",MAX(0,IF(P556&gt;=0,P556,IF(K556+P556&gt;=0,0,P556+K556))))</f>
        <v>3.75541668855923</v>
      </c>
      <c r="AA556" s="18" t="n">
        <f aca="false">IF(D556="","",IF(H556&lt;=$B$16,1,IF(H556&gt;=$B$17,$B$21,MATCH(H556,Aux_CAV!$A$2:$A$121,1))))</f>
        <v>8</v>
      </c>
      <c r="AB556" s="18" t="n">
        <f aca="false">IF(D556="","",IF(L556&lt;=$B$16,1,IF(L556&gt;=$B$17,$B$21,MATCH(L556,Aux_CAV!$A$2:$A$121,1))))</f>
        <v>8</v>
      </c>
      <c r="AC556" s="19" t="n">
        <f aca="false">IF(D556="","",COUNT($D$24:D556))</f>
        <v>521</v>
      </c>
    </row>
    <row r="557" customFormat="false" ht="12.75" hidden="false" customHeight="true" outlineLevel="0" collapsed="false">
      <c r="A557" s="14" t="n">
        <f aca="false">IF(D557="","",DATE(B557,C557,1))</f>
        <v>19876</v>
      </c>
      <c r="B557" s="15" t="n">
        <f aca="false" t="array" ref="B557:B557">IF(D557="","",IFERROR(VALUE(INDEX(Vazoes_COLAR!$A$2:$A$200,INT((ROW()-24)/12)+1)),""))</f>
        <v>1954</v>
      </c>
      <c r="C557" s="15" t="n">
        <f aca="false">IF(D557="","",MOD(ROW()-24,12)+1)</f>
        <v>6</v>
      </c>
      <c r="D557" s="16" t="n">
        <f aca="false" t="array" ref="D557: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0.0914086814880435</v>
      </c>
      <c r="E557" s="16" t="n">
        <f aca="false">IF(D557="","",D557*$B$15)</f>
        <v>0.236931302417009</v>
      </c>
      <c r="F557" s="16" t="n">
        <f aca="false" t="array" ref="F557:F557">IF(D557="","",IFERROR(INDEX(Dados_Evap!$C$2:$N$15,MATCH($B$9,Dados_Evap!$A$2:$A$15,0),C557),0))</f>
        <v>161.3</v>
      </c>
      <c r="G557" s="16" t="n">
        <f aca="false">IF(F557="","",F557/1000)</f>
        <v>0.1613</v>
      </c>
      <c r="H557" s="16" t="n">
        <f aca="false">IF(D557="","",MAX(0,MIN($B$8,IFERROR(LOOKUP(2,1/($U$24:U556&lt;&gt;""),$U$24:U556),$B$11))))</f>
        <v>3.75541668855923</v>
      </c>
      <c r="I557" s="16" t="n">
        <f aca="false" t="array" ref="I557: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>1.43747333928811</v>
      </c>
      <c r="J557" s="16" t="n">
        <f aca="false">IF(D557="","",$B$12)</f>
        <v>0.35</v>
      </c>
      <c r="K557" s="16" t="n">
        <f aca="false">IF(J557="","",J557*$B$15)</f>
        <v>0.9072</v>
      </c>
      <c r="L557" s="16" t="n">
        <f aca="false">IF(D557="","",H557+E557-K557-G557*I557)</f>
        <v>2.85328354134906</v>
      </c>
      <c r="M557" s="16" t="n">
        <f aca="false" t="array" ref="M557: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>1.19209312324695</v>
      </c>
      <c r="N557" s="16" t="n">
        <f aca="false">IF(D557="","",(I557+M557)/2)</f>
        <v>1.31478323126753</v>
      </c>
      <c r="O557" s="16" t="n">
        <f aca="false">IF(D557="","",G557*N557)</f>
        <v>0.212074535203452</v>
      </c>
      <c r="P557" s="16" t="n">
        <f aca="false">IF(D557="","",H557+E557-K557-O557)</f>
        <v>2.87307345577278</v>
      </c>
      <c r="Q557" s="16" t="n">
        <f aca="false">IF(D557="","",IF(P557&gt;=0,K557,MAX(0,K557+P557)))</f>
        <v>0.9072</v>
      </c>
      <c r="R557" s="16" t="n">
        <f aca="false">IF(D557="","",Q557/$B$15)</f>
        <v>0.35</v>
      </c>
      <c r="S557" s="16" t="n">
        <f aca="false">IF(D557="","",MAX(0,J557-R557))</f>
        <v>0</v>
      </c>
      <c r="T557" s="16" t="n">
        <f aca="false">IF(D557="","",MAX(0,Z557-$B$8))</f>
        <v>0</v>
      </c>
      <c r="U557" s="16" t="n">
        <f aca="false">IF(D557="","",MAX(0,MIN($B$8,Z557)))</f>
        <v>2.87307345577278</v>
      </c>
      <c r="V557" s="16" t="str">
        <f aca="false">IF(D557="","",IF(S557&gt;0.0000001,"Sim","Não"))</f>
        <v>Não</v>
      </c>
      <c r="W557" s="16" t="n">
        <f aca="false">IF(D557="","",U557-(H557+E557-Q557-O557-T557))</f>
        <v>0</v>
      </c>
      <c r="X557" s="16" t="n">
        <f aca="false">IF(W557="","",ABS(W557))</f>
        <v>0</v>
      </c>
      <c r="Y557" s="16" t="n">
        <f aca="false">IF(U557="","",IF($B$8=0,0,U557/$B$8*100))</f>
        <v>6.0844418800779</v>
      </c>
      <c r="Z557" s="18" t="n">
        <f aca="false">IF(D557="","",MAX(0,IF(P557&gt;=0,P557,IF(K557+P557&gt;=0,0,P557+K557))))</f>
        <v>2.87307345577278</v>
      </c>
      <c r="AA557" s="18" t="n">
        <f aca="false">IF(D557="","",IF(H557&lt;=$B$16,1,IF(H557&gt;=$B$17,$B$21,MATCH(H557,Aux_CAV!$A$2:$A$121,1))))</f>
        <v>8</v>
      </c>
      <c r="AB557" s="18" t="n">
        <f aca="false">IF(D557="","",IF(L557&lt;=$B$16,1,IF(L557&gt;=$B$17,$B$21,MATCH(L557,Aux_CAV!$A$2:$A$121,1))))</f>
        <v>8</v>
      </c>
      <c r="AC557" s="19" t="n">
        <f aca="false">IF(D557="","",COUNT($D$24:D557))</f>
        <v>522</v>
      </c>
    </row>
    <row r="558" customFormat="false" ht="12.75" hidden="false" customHeight="true" outlineLevel="0" collapsed="false">
      <c r="A558" s="14" t="n">
        <f aca="false">IF(D558="","",DATE(B558,C558,1))</f>
        <v>19906</v>
      </c>
      <c r="B558" s="15" t="n">
        <f aca="false" t="array" ref="B558:B558">IF(D558="","",IFERROR(VALUE(INDEX(Vazoes_COLAR!$A$2:$A$200,INT((ROW()-24)/12)+1)),""))</f>
        <v>1954</v>
      </c>
      <c r="C558" s="15" t="n">
        <f aca="false">IF(D558="","",MOD(ROW()-24,12)+1)</f>
        <v>7</v>
      </c>
      <c r="D558" s="16" t="n">
        <f aca="false" t="array" ref="D558: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0.0100214930288843</v>
      </c>
      <c r="E558" s="16" t="n">
        <f aca="false">IF(D558="","",D558*$B$15)</f>
        <v>0.0259757099308681</v>
      </c>
      <c r="F558" s="16" t="n">
        <f aca="false" t="array" ref="F558:F558">IF(D558="","",IFERROR(INDEX(Dados_Evap!$C$2:$N$15,MATCH($B$9,Dados_Evap!$A$2:$A$15,0),C558),0))</f>
        <v>224.8</v>
      </c>
      <c r="G558" s="16" t="n">
        <f aca="false">IF(F558="","",F558/1000)</f>
        <v>0.2248</v>
      </c>
      <c r="H558" s="16" t="n">
        <f aca="false">IF(D558="","",MAX(0,MIN($B$8,IFERROR(LOOKUP(2,1/($U$24:U557&lt;&gt;""),$U$24:U557),$B$11))))</f>
        <v>2.87307345577278</v>
      </c>
      <c r="I558" s="16" t="n">
        <f aca="false" t="array" ref="I558: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>1.1974759799702</v>
      </c>
      <c r="J558" s="16" t="n">
        <f aca="false">IF(D558="","",$B$12)</f>
        <v>0.35</v>
      </c>
      <c r="K558" s="16" t="n">
        <f aca="false">IF(J558="","",J558*$B$15)</f>
        <v>0.9072</v>
      </c>
      <c r="L558" s="16" t="n">
        <f aca="false">IF(D558="","",H558+E558-K558-G558*I558)</f>
        <v>1.72265656540635</v>
      </c>
      <c r="M558" s="16" t="n">
        <f aca="false" t="array" ref="M558: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>0.88701488563325</v>
      </c>
      <c r="N558" s="16" t="n">
        <f aca="false">IF(D558="","",(I558+M558)/2)</f>
        <v>1.04224543280172</v>
      </c>
      <c r="O558" s="16" t="n">
        <f aca="false">IF(D558="","",G558*N558)</f>
        <v>0.234296773293827</v>
      </c>
      <c r="P558" s="16" t="n">
        <f aca="false">IF(D558="","",H558+E558-K558-O558)</f>
        <v>1.75755239240982</v>
      </c>
      <c r="Q558" s="16" t="n">
        <f aca="false">IF(D558="","",IF(P558&gt;=0,K558,MAX(0,K558+P558)))</f>
        <v>0.9072</v>
      </c>
      <c r="R558" s="16" t="n">
        <f aca="false">IF(D558="","",Q558/$B$15)</f>
        <v>0.35</v>
      </c>
      <c r="S558" s="16" t="n">
        <f aca="false">IF(D558="","",MAX(0,J558-R558))</f>
        <v>0</v>
      </c>
      <c r="T558" s="16" t="n">
        <f aca="false">IF(D558="","",MAX(0,Z558-$B$8))</f>
        <v>0</v>
      </c>
      <c r="U558" s="16" t="n">
        <f aca="false">IF(D558="","",MAX(0,MIN($B$8,Z558)))</f>
        <v>1.75755239240982</v>
      </c>
      <c r="V558" s="16" t="str">
        <f aca="false">IF(D558="","",IF(S558&gt;0.0000001,"Sim","Não"))</f>
        <v>Não</v>
      </c>
      <c r="W558" s="16" t="n">
        <f aca="false">IF(D558="","",U558-(H558+E558-Q558-O558-T558))</f>
        <v>0</v>
      </c>
      <c r="X558" s="16" t="n">
        <f aca="false">IF(W558="","",ABS(W558))</f>
        <v>0</v>
      </c>
      <c r="Y558" s="16" t="n">
        <f aca="false">IF(U558="","",IF($B$8=0,0,U558/$B$8*100))</f>
        <v>3.72205080984715</v>
      </c>
      <c r="Z558" s="18" t="n">
        <f aca="false">IF(D558="","",MAX(0,IF(P558&gt;=0,P558,IF(K558+P558&gt;=0,0,P558+K558))))</f>
        <v>1.75755239240982</v>
      </c>
      <c r="AA558" s="18" t="n">
        <f aca="false">IF(D558="","",IF(H558&lt;=$B$16,1,IF(H558&gt;=$B$17,$B$21,MATCH(H558,Aux_CAV!$A$2:$A$121,1))))</f>
        <v>8</v>
      </c>
      <c r="AB558" s="18" t="n">
        <f aca="false">IF(D558="","",IF(L558&lt;=$B$16,1,IF(L558&gt;=$B$17,$B$21,MATCH(L558,Aux_CAV!$A$2:$A$121,1))))</f>
        <v>7</v>
      </c>
      <c r="AC558" s="19" t="n">
        <f aca="false">IF(D558="","",COUNT($D$24:D558))</f>
        <v>523</v>
      </c>
    </row>
    <row r="559" customFormat="false" ht="12.75" hidden="false" customHeight="true" outlineLevel="0" collapsed="false">
      <c r="A559" s="14" t="n">
        <f aca="false">IF(D559="","",DATE(B559,C559,1))</f>
        <v>19937</v>
      </c>
      <c r="B559" s="15" t="n">
        <f aca="false" t="array" ref="B559:B559">IF(D559="","",IFERROR(VALUE(INDEX(Vazoes_COLAR!$A$2:$A$200,INT((ROW()-24)/12)+1)),""))</f>
        <v>1954</v>
      </c>
      <c r="C559" s="15" t="n">
        <f aca="false">IF(D559="","",MOD(ROW()-24,12)+1)</f>
        <v>8</v>
      </c>
      <c r="D559" s="16" t="n">
        <f aca="false" t="array" ref="D559: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0.00661889863717007</v>
      </c>
      <c r="E559" s="16" t="n">
        <f aca="false">IF(D559="","",D559*$B$15)</f>
        <v>0.0171561852675448</v>
      </c>
      <c r="F559" s="16" t="n">
        <f aca="false" t="array" ref="F559:F559">IF(D559="","",IFERROR(INDEX(Dados_Evap!$C$2:$N$15,MATCH($B$9,Dados_Evap!$A$2:$A$15,0),C559),0))</f>
        <v>268.7</v>
      </c>
      <c r="G559" s="16" t="n">
        <f aca="false">IF(F559="","",F559/1000)</f>
        <v>0.2687</v>
      </c>
      <c r="H559" s="16" t="n">
        <f aca="false">IF(D559="","",MAX(0,MIN($B$8,IFERROR(LOOKUP(2,1/($U$24:U558&lt;&gt;""),$U$24:U558),$B$11))))</f>
        <v>1.75755239240982</v>
      </c>
      <c r="I559" s="16" t="n">
        <f aca="false" t="array" ref="I559: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>0.896197998002585</v>
      </c>
      <c r="J559" s="16" t="n">
        <f aca="false">IF(D559="","",$B$12)</f>
        <v>0.35</v>
      </c>
      <c r="K559" s="16" t="n">
        <f aca="false">IF(J559="","",J559*$B$15)</f>
        <v>0.9072</v>
      </c>
      <c r="L559" s="16" t="n">
        <f aca="false">IF(D559="","",H559+E559-K559-G559*I559)</f>
        <v>0.626700175614075</v>
      </c>
      <c r="M559" s="16" t="n">
        <f aca="false" t="array" ref="M559: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>0.492731063589525</v>
      </c>
      <c r="N559" s="16" t="n">
        <f aca="false">IF(D559="","",(I559+M559)/2)</f>
        <v>0.694464530796055</v>
      </c>
      <c r="O559" s="16" t="n">
        <f aca="false">IF(D559="","",G559*N559)</f>
        <v>0.1866026194249</v>
      </c>
      <c r="P559" s="16" t="n">
        <f aca="false">IF(D559="","",H559+E559-K559-O559)</f>
        <v>0.680905958252469</v>
      </c>
      <c r="Q559" s="16" t="n">
        <f aca="false">IF(D559="","",IF(P559&gt;=0,K559,MAX(0,K559+P559)))</f>
        <v>0.9072</v>
      </c>
      <c r="R559" s="16" t="n">
        <f aca="false">IF(D559="","",Q559/$B$15)</f>
        <v>0.35</v>
      </c>
      <c r="S559" s="16" t="n">
        <f aca="false">IF(D559="","",MAX(0,J559-R559))</f>
        <v>0</v>
      </c>
      <c r="T559" s="16" t="n">
        <f aca="false">IF(D559="","",MAX(0,Z559-$B$8))</f>
        <v>0</v>
      </c>
      <c r="U559" s="16" t="n">
        <f aca="false">IF(D559="","",MAX(0,MIN($B$8,Z559)))</f>
        <v>0.680905958252469</v>
      </c>
      <c r="V559" s="16" t="str">
        <f aca="false">IF(D559="","",IF(S559&gt;0.0000001,"Sim","Não"))</f>
        <v>Não</v>
      </c>
      <c r="W559" s="16" t="n">
        <f aca="false">IF(D559="","",U559-(H559+E559-Q559-O559-T559))</f>
        <v>0</v>
      </c>
      <c r="X559" s="16" t="n">
        <f aca="false">IF(W559="","",ABS(W559))</f>
        <v>0</v>
      </c>
      <c r="Y559" s="16" t="n">
        <f aca="false">IF(U559="","",IF($B$8=0,0,U559/$B$8*100))</f>
        <v>1.44198635801031</v>
      </c>
      <c r="Z559" s="18" t="n">
        <f aca="false">IF(D559="","",MAX(0,IF(P559&gt;=0,P559,IF(K559+P559&gt;=0,0,P559+K559))))</f>
        <v>0.680905958252469</v>
      </c>
      <c r="AA559" s="18" t="n">
        <f aca="false">IF(D559="","",IF(H559&lt;=$B$16,1,IF(H559&gt;=$B$17,$B$21,MATCH(H559,Aux_CAV!$A$2:$A$121,1))))</f>
        <v>7</v>
      </c>
      <c r="AB559" s="18" t="n">
        <f aca="false">IF(D559="","",IF(L559&lt;=$B$16,1,IF(L559&gt;=$B$17,$B$21,MATCH(L559,Aux_CAV!$A$2:$A$121,1))))</f>
        <v>6</v>
      </c>
      <c r="AC559" s="19" t="n">
        <f aca="false">IF(D559="","",COUNT($D$24:D559))</f>
        <v>524</v>
      </c>
    </row>
    <row r="560" customFormat="false" ht="12.75" hidden="false" customHeight="true" outlineLevel="0" collapsed="false">
      <c r="A560" s="14" t="n">
        <f aca="false">IF(D560="","",DATE(B560,C560,1))</f>
        <v>19968</v>
      </c>
      <c r="B560" s="15" t="n">
        <f aca="false" t="array" ref="B560:B560">IF(D560="","",IFERROR(VALUE(INDEX(Vazoes_COLAR!$A$2:$A$200,INT((ROW()-24)/12)+1)),""))</f>
        <v>1954</v>
      </c>
      <c r="C560" s="15" t="n">
        <f aca="false">IF(D560="","",MOD(ROW()-24,12)+1)</f>
        <v>9</v>
      </c>
      <c r="D560" s="16" t="n">
        <f aca="false" t="array" ref="D560: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0.0107450305749917</v>
      </c>
      <c r="E560" s="16" t="n">
        <f aca="false">IF(D560="","",D560*$B$15)</f>
        <v>0.0278511192503785</v>
      </c>
      <c r="F560" s="16" t="n">
        <f aca="false" t="array" ref="F560:F560">IF(D560="","",IFERROR(INDEX(Dados_Evap!$C$2:$N$15,MATCH($B$9,Dados_Evap!$A$2:$A$15,0),C560),0))</f>
        <v>292.8</v>
      </c>
      <c r="G560" s="16" t="n">
        <f aca="false">IF(F560="","",F560/1000)</f>
        <v>0.2928</v>
      </c>
      <c r="H560" s="16" t="n">
        <f aca="false">IF(D560="","",MAX(0,MIN($B$8,IFERROR(LOOKUP(2,1/($U$24:U559&lt;&gt;""),$U$24:U559),$B$11))))</f>
        <v>0.680905958252469</v>
      </c>
      <c r="I560" s="16" t="n">
        <f aca="false" t="array" ref="I560: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>0.520553500695958</v>
      </c>
      <c r="J560" s="16" t="n">
        <f aca="false">IF(D560="","",$B$12)</f>
        <v>0.35</v>
      </c>
      <c r="K560" s="16" t="n">
        <f aca="false">IF(J560="","",J560*$B$15)</f>
        <v>0.9072</v>
      </c>
      <c r="L560" s="16" t="n">
        <f aca="false">IF(D560="","",H560+E560-K560-G560*I560)</f>
        <v>-0.350860987500929</v>
      </c>
      <c r="M560" s="16" t="n">
        <f aca="false" t="array" ref="M560: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>0</v>
      </c>
      <c r="N560" s="16" t="n">
        <f aca="false">IF(D560="","",(I560+M560)/2)</f>
        <v>0.260276750347979</v>
      </c>
      <c r="O560" s="16" t="n">
        <f aca="false">IF(D560="","",G560*N560)</f>
        <v>0.0762090325018882</v>
      </c>
      <c r="P560" s="16" t="n">
        <f aca="false">IF(D560="","",H560+E560-K560-O560)</f>
        <v>-0.27465195499904</v>
      </c>
      <c r="Q560" s="16" t="n">
        <f aca="false">IF(D560="","",IF(P560&gt;=0,K560,MAX(0,K560+P560)))</f>
        <v>0.63254804500096</v>
      </c>
      <c r="R560" s="16" t="n">
        <f aca="false">IF(D560="","",Q560/$B$15)</f>
        <v>0.244038597608395</v>
      </c>
      <c r="S560" s="16" t="n">
        <f aca="false">IF(D560="","",MAX(0,J560-R560))</f>
        <v>0.105961402391605</v>
      </c>
      <c r="T560" s="16" t="n">
        <f aca="false">IF(D560="","",MAX(0,Z560-$B$8))</f>
        <v>0</v>
      </c>
      <c r="U560" s="16" t="n">
        <f aca="false">IF(D560="","",MAX(0,MIN($B$8,Z560)))</f>
        <v>0</v>
      </c>
      <c r="V560" s="16" t="str">
        <f aca="false">IF(D560="","",IF(S560&gt;0.0000001,"Sim","Não"))</f>
        <v>Sim</v>
      </c>
      <c r="W560" s="16" t="n">
        <f aca="false">IF(D560="","",U560-(H560+E560-Q560-O560-T560))</f>
        <v>0</v>
      </c>
      <c r="X560" s="16" t="n">
        <f aca="false">IF(W560="","",ABS(W560))</f>
        <v>0</v>
      </c>
      <c r="Y560" s="16" t="n">
        <f aca="false">IF(U560="","",IF($B$8=0,0,U560/$B$8*100))</f>
        <v>0</v>
      </c>
      <c r="Z560" s="18" t="n">
        <f aca="false">IF(D560="","",MAX(0,IF(P560&gt;=0,P560,IF(K560+P560&gt;=0,0,P560+K560))))</f>
        <v>0</v>
      </c>
      <c r="AA560" s="18" t="n">
        <f aca="false">IF(D560="","",IF(H560&lt;=$B$16,1,IF(H560&gt;=$B$17,$B$21,MATCH(H560,Aux_CAV!$A$2:$A$121,1))))</f>
        <v>6</v>
      </c>
      <c r="AB560" s="18" t="n">
        <f aca="false">IF(D560="","",IF(L560&lt;=$B$16,1,IF(L560&gt;=$B$17,$B$21,MATCH(L560,Aux_CAV!$A$2:$A$121,1))))</f>
        <v>1</v>
      </c>
      <c r="AC560" s="19" t="n">
        <f aca="false">IF(D560="","",COUNT($D$24:D560))</f>
        <v>525</v>
      </c>
    </row>
    <row r="561" customFormat="false" ht="12.75" hidden="false" customHeight="true" outlineLevel="0" collapsed="false">
      <c r="A561" s="14" t="n">
        <f aca="false">IF(D561="","",DATE(B561,C561,1))</f>
        <v>19998</v>
      </c>
      <c r="B561" s="15" t="n">
        <f aca="false" t="array" ref="B561:B561">IF(D561="","",IFERROR(VALUE(INDEX(Vazoes_COLAR!$A$2:$A$200,INT((ROW()-24)/12)+1)),""))</f>
        <v>1954</v>
      </c>
      <c r="C561" s="15" t="n">
        <f aca="false">IF(D561="","",MOD(ROW()-24,12)+1)</f>
        <v>10</v>
      </c>
      <c r="D561" s="16" t="n">
        <f aca="false" t="array" ref="D561: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0.00523442176325136</v>
      </c>
      <c r="E561" s="16" t="n">
        <f aca="false">IF(D561="","",D561*$B$15)</f>
        <v>0.0135676212103475</v>
      </c>
      <c r="F561" s="16" t="n">
        <f aca="false" t="array" ref="F561:F561">IF(D561="","",IFERROR(INDEX(Dados_Evap!$C$2:$N$15,MATCH($B$9,Dados_Evap!$A$2:$A$15,0),C561),0))</f>
        <v>262.9</v>
      </c>
      <c r="G561" s="16" t="n">
        <f aca="false">IF(F561="","",F561/1000)</f>
        <v>0.2629</v>
      </c>
      <c r="H561" s="16" t="n">
        <f aca="false">IF(D561="","",MAX(0,MIN($B$8,IFERROR(LOOKUP(2,1/($U$24:U560&lt;&gt;""),$U$24:U560),$B$11))))</f>
        <v>0</v>
      </c>
      <c r="I561" s="16" t="n">
        <f aca="false" t="array" ref="I561: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>0</v>
      </c>
      <c r="J561" s="16" t="n">
        <f aca="false">IF(D561="","",$B$12)</f>
        <v>0.35</v>
      </c>
      <c r="K561" s="16" t="n">
        <f aca="false">IF(J561="","",J561*$B$15)</f>
        <v>0.9072</v>
      </c>
      <c r="L561" s="16" t="n">
        <f aca="false">IF(D561="","",H561+E561-K561-G561*I561)</f>
        <v>-0.893632378789653</v>
      </c>
      <c r="M561" s="16" t="n">
        <f aca="false" t="array" ref="M561: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>0</v>
      </c>
      <c r="N561" s="16" t="n">
        <f aca="false">IF(D561="","",(I561+M561)/2)</f>
        <v>0</v>
      </c>
      <c r="O561" s="16" t="n">
        <f aca="false">IF(D561="","",G561*N561)</f>
        <v>0</v>
      </c>
      <c r="P561" s="16" t="n">
        <f aca="false">IF(D561="","",H561+E561-K561-O561)</f>
        <v>-0.893632378789653</v>
      </c>
      <c r="Q561" s="16" t="n">
        <f aca="false">IF(D561="","",IF(P561&gt;=0,K561,MAX(0,K561+P561)))</f>
        <v>0.0135676212103475</v>
      </c>
      <c r="R561" s="16" t="n">
        <f aca="false">IF(D561="","",Q561/$B$15)</f>
        <v>0.00523442176325135</v>
      </c>
      <c r="S561" s="16" t="n">
        <f aca="false">IF(D561="","",MAX(0,J561-R561))</f>
        <v>0.344765578236749</v>
      </c>
      <c r="T561" s="16" t="n">
        <f aca="false">IF(D561="","",MAX(0,Z561-$B$8))</f>
        <v>0</v>
      </c>
      <c r="U561" s="16" t="n">
        <f aca="false">IF(D561="","",MAX(0,MIN($B$8,Z561)))</f>
        <v>0</v>
      </c>
      <c r="V561" s="16" t="str">
        <f aca="false">IF(D561="","",IF(S561&gt;0.0000001,"Sim","Não"))</f>
        <v>Sim</v>
      </c>
      <c r="W561" s="16" t="n">
        <f aca="false">IF(D561="","",U561-(H561+E561-Q561-O561-T561))</f>
        <v>0</v>
      </c>
      <c r="X561" s="16" t="n">
        <f aca="false">IF(W561="","",ABS(W561))</f>
        <v>0</v>
      </c>
      <c r="Y561" s="16" t="n">
        <f aca="false">IF(U561="","",IF($B$8=0,0,U561/$B$8*100))</f>
        <v>0</v>
      </c>
      <c r="Z561" s="18" t="n">
        <f aca="false">IF(D561="","",MAX(0,IF(P561&gt;=0,P561,IF(K561+P561&gt;=0,0,P561+K561))))</f>
        <v>0</v>
      </c>
      <c r="AA561" s="18" t="n">
        <f aca="false">IF(D561="","",IF(H561&lt;=$B$16,1,IF(H561&gt;=$B$17,$B$21,MATCH(H561,Aux_CAV!$A$2:$A$121,1))))</f>
        <v>1</v>
      </c>
      <c r="AB561" s="18" t="n">
        <f aca="false">IF(D561="","",IF(L561&lt;=$B$16,1,IF(L561&gt;=$B$17,$B$21,MATCH(L561,Aux_CAV!$A$2:$A$121,1))))</f>
        <v>1</v>
      </c>
      <c r="AC561" s="19" t="n">
        <f aca="false">IF(D561="","",COUNT($D$24:D561))</f>
        <v>526</v>
      </c>
    </row>
    <row r="562" customFormat="false" ht="12.75" hidden="false" customHeight="true" outlineLevel="0" collapsed="false">
      <c r="A562" s="14" t="n">
        <f aca="false">IF(D562="","",DATE(B562,C562,1))</f>
        <v>20029</v>
      </c>
      <c r="B562" s="15" t="n">
        <f aca="false" t="array" ref="B562:B562">IF(D562="","",IFERROR(VALUE(INDEX(Vazoes_COLAR!$A$2:$A$200,INT((ROW()-24)/12)+1)),""))</f>
        <v>1954</v>
      </c>
      <c r="C562" s="15" t="n">
        <f aca="false">IF(D562="","",MOD(ROW()-24,12)+1)</f>
        <v>11</v>
      </c>
      <c r="D562" s="16" t="n">
        <f aca="false" t="array" ref="D562: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0.0129621642051134</v>
      </c>
      <c r="E562" s="16" t="n">
        <f aca="false">IF(D562="","",D562*$B$15)</f>
        <v>0.0335979296196539</v>
      </c>
      <c r="F562" s="16" t="n">
        <f aca="false" t="array" ref="F562:F562">IF(D562="","",IFERROR(INDEX(Dados_Evap!$C$2:$N$15,MATCH($B$9,Dados_Evap!$A$2:$A$15,0),C562),0))</f>
        <v>223.7</v>
      </c>
      <c r="G562" s="16" t="n">
        <f aca="false">IF(F562="","",F562/1000)</f>
        <v>0.2237</v>
      </c>
      <c r="H562" s="16" t="n">
        <f aca="false">IF(D562="","",MAX(0,MIN($B$8,IFERROR(LOOKUP(2,1/($U$24:U561&lt;&gt;""),$U$24:U561),$B$11))))</f>
        <v>0</v>
      </c>
      <c r="I562" s="16" t="n">
        <f aca="false" t="array" ref="I562: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>0</v>
      </c>
      <c r="J562" s="16" t="n">
        <f aca="false">IF(D562="","",$B$12)</f>
        <v>0.35</v>
      </c>
      <c r="K562" s="16" t="n">
        <f aca="false">IF(J562="","",J562*$B$15)</f>
        <v>0.9072</v>
      </c>
      <c r="L562" s="16" t="n">
        <f aca="false">IF(D562="","",H562+E562-K562-G562*I562)</f>
        <v>-0.873602070380346</v>
      </c>
      <c r="M562" s="16" t="n">
        <f aca="false" t="array" ref="M562: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>0</v>
      </c>
      <c r="N562" s="16" t="n">
        <f aca="false">IF(D562="","",(I562+M562)/2)</f>
        <v>0</v>
      </c>
      <c r="O562" s="16" t="n">
        <f aca="false">IF(D562="","",G562*N562)</f>
        <v>0</v>
      </c>
      <c r="P562" s="16" t="n">
        <f aca="false">IF(D562="","",H562+E562-K562-O562)</f>
        <v>-0.873602070380346</v>
      </c>
      <c r="Q562" s="16" t="n">
        <f aca="false">IF(D562="","",IF(P562&gt;=0,K562,MAX(0,K562+P562)))</f>
        <v>0.0335979296196539</v>
      </c>
      <c r="R562" s="16" t="n">
        <f aca="false">IF(D562="","",Q562/$B$15)</f>
        <v>0.0129621642051134</v>
      </c>
      <c r="S562" s="16" t="n">
        <f aca="false">IF(D562="","",MAX(0,J562-R562))</f>
        <v>0.337037835794887</v>
      </c>
      <c r="T562" s="16" t="n">
        <f aca="false">IF(D562="","",MAX(0,Z562-$B$8))</f>
        <v>0</v>
      </c>
      <c r="U562" s="16" t="n">
        <f aca="false">IF(D562="","",MAX(0,MIN($B$8,Z562)))</f>
        <v>0</v>
      </c>
      <c r="V562" s="16" t="str">
        <f aca="false">IF(D562="","",IF(S562&gt;0.0000001,"Sim","Não"))</f>
        <v>Sim</v>
      </c>
      <c r="W562" s="16" t="n">
        <f aca="false">IF(D562="","",U562-(H562+E562-Q562-O562-T562))</f>
        <v>0</v>
      </c>
      <c r="X562" s="16" t="n">
        <f aca="false">IF(W562="","",ABS(W562))</f>
        <v>0</v>
      </c>
      <c r="Y562" s="16" t="n">
        <f aca="false">IF(U562="","",IF($B$8=0,0,U562/$B$8*100))</f>
        <v>0</v>
      </c>
      <c r="Z562" s="18" t="n">
        <f aca="false">IF(D562="","",MAX(0,IF(P562&gt;=0,P562,IF(K562+P562&gt;=0,0,P562+K562))))</f>
        <v>0</v>
      </c>
      <c r="AA562" s="18" t="n">
        <f aca="false">IF(D562="","",IF(H562&lt;=$B$16,1,IF(H562&gt;=$B$17,$B$21,MATCH(H562,Aux_CAV!$A$2:$A$121,1))))</f>
        <v>1</v>
      </c>
      <c r="AB562" s="18" t="n">
        <f aca="false">IF(D562="","",IF(L562&lt;=$B$16,1,IF(L562&gt;=$B$17,$B$21,MATCH(L562,Aux_CAV!$A$2:$A$121,1))))</f>
        <v>1</v>
      </c>
      <c r="AC562" s="19" t="n">
        <f aca="false">IF(D562="","",COUNT($D$24:D562))</f>
        <v>527</v>
      </c>
    </row>
    <row r="563" customFormat="false" ht="12.75" hidden="false" customHeight="true" outlineLevel="0" collapsed="false">
      <c r="A563" s="14" t="n">
        <f aca="false">IF(D563="","",DATE(B563,C563,1))</f>
        <v>20059</v>
      </c>
      <c r="B563" s="15" t="n">
        <f aca="false" t="array" ref="B563:B563">IF(D563="","",IFERROR(VALUE(INDEX(Vazoes_COLAR!$A$2:$A$200,INT((ROW()-24)/12)+1)),""))</f>
        <v>1954</v>
      </c>
      <c r="C563" s="15" t="n">
        <f aca="false">IF(D563="","",MOD(ROW()-24,12)+1)</f>
        <v>12</v>
      </c>
      <c r="D563" s="16" t="n">
        <f aca="false" t="array" ref="D563: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0.0127739549400847</v>
      </c>
      <c r="E563" s="16" t="n">
        <f aca="false">IF(D563="","",D563*$B$15)</f>
        <v>0.0331100912046995</v>
      </c>
      <c r="F563" s="16" t="n">
        <f aca="false" t="array" ref="F563:F563">IF(D563="","",IFERROR(INDEX(Dados_Evap!$C$2:$N$15,MATCH($B$9,Dados_Evap!$A$2:$A$15,0),C563),0))</f>
        <v>216.1</v>
      </c>
      <c r="G563" s="16" t="n">
        <f aca="false">IF(F563="","",F563/1000)</f>
        <v>0.2161</v>
      </c>
      <c r="H563" s="16" t="n">
        <f aca="false">IF(D563="","",MAX(0,MIN($B$8,IFERROR(LOOKUP(2,1/($U$24:U562&lt;&gt;""),$U$24:U562),$B$11))))</f>
        <v>0</v>
      </c>
      <c r="I563" s="16" t="n">
        <f aca="false" t="array" ref="I563: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>0</v>
      </c>
      <c r="J563" s="16" t="n">
        <f aca="false">IF(D563="","",$B$12)</f>
        <v>0.35</v>
      </c>
      <c r="K563" s="16" t="n">
        <f aca="false">IF(J563="","",J563*$B$15)</f>
        <v>0.9072</v>
      </c>
      <c r="L563" s="16" t="n">
        <f aca="false">IF(D563="","",H563+E563-K563-G563*I563)</f>
        <v>-0.874089908795301</v>
      </c>
      <c r="M563" s="16" t="n">
        <f aca="false" t="array" ref="M563: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>0</v>
      </c>
      <c r="N563" s="16" t="n">
        <f aca="false">IF(D563="","",(I563+M563)/2)</f>
        <v>0</v>
      </c>
      <c r="O563" s="16" t="n">
        <f aca="false">IF(D563="","",G563*N563)</f>
        <v>0</v>
      </c>
      <c r="P563" s="16" t="n">
        <f aca="false">IF(D563="","",H563+E563-K563-O563)</f>
        <v>-0.874089908795301</v>
      </c>
      <c r="Q563" s="16" t="n">
        <f aca="false">IF(D563="","",IF(P563&gt;=0,K563,MAX(0,K563+P563)))</f>
        <v>0.0331100912046995</v>
      </c>
      <c r="R563" s="16" t="n">
        <f aca="false">IF(D563="","",Q563/$B$15)</f>
        <v>0.0127739549400847</v>
      </c>
      <c r="S563" s="16" t="n">
        <f aca="false">IF(D563="","",MAX(0,J563-R563))</f>
        <v>0.337226045059915</v>
      </c>
      <c r="T563" s="16" t="n">
        <f aca="false">IF(D563="","",MAX(0,Z563-$B$8))</f>
        <v>0</v>
      </c>
      <c r="U563" s="16" t="n">
        <f aca="false">IF(D563="","",MAX(0,MIN($B$8,Z563)))</f>
        <v>0</v>
      </c>
      <c r="V563" s="16" t="str">
        <f aca="false">IF(D563="","",IF(S563&gt;0.0000001,"Sim","Não"))</f>
        <v>Sim</v>
      </c>
      <c r="W563" s="16" t="n">
        <f aca="false">IF(D563="","",U563-(H563+E563-Q563-O563-T563))</f>
        <v>0</v>
      </c>
      <c r="X563" s="16" t="n">
        <f aca="false">IF(W563="","",ABS(W563))</f>
        <v>0</v>
      </c>
      <c r="Y563" s="16" t="n">
        <f aca="false">IF(U563="","",IF($B$8=0,0,U563/$B$8*100))</f>
        <v>0</v>
      </c>
      <c r="Z563" s="18" t="n">
        <f aca="false">IF(D563="","",MAX(0,IF(P563&gt;=0,P563,IF(K563+P563&gt;=0,0,P563+K563))))</f>
        <v>0</v>
      </c>
      <c r="AA563" s="18" t="n">
        <f aca="false">IF(D563="","",IF(H563&lt;=$B$16,1,IF(H563&gt;=$B$17,$B$21,MATCH(H563,Aux_CAV!$A$2:$A$121,1))))</f>
        <v>1</v>
      </c>
      <c r="AB563" s="18" t="n">
        <f aca="false">IF(D563="","",IF(L563&lt;=$B$16,1,IF(L563&gt;=$B$17,$B$21,MATCH(L563,Aux_CAV!$A$2:$A$121,1))))</f>
        <v>1</v>
      </c>
      <c r="AC563" s="19" t="n">
        <f aca="false">IF(D563="","",COUNT($D$24:D563))</f>
        <v>528</v>
      </c>
    </row>
    <row r="564" customFormat="false" ht="12.75" hidden="false" customHeight="true" outlineLevel="0" collapsed="false">
      <c r="A564" s="14" t="n">
        <f aca="false">IF(D564="","",DATE(B564,C564,1))</f>
        <v>20090</v>
      </c>
      <c r="B564" s="15" t="n">
        <f aca="false" t="array" ref="B564:B564">IF(D564="","",IFERROR(VALUE(INDEX(Vazoes_COLAR!$A$2:$A$200,INT((ROW()-24)/12)+1)),""))</f>
        <v>1955</v>
      </c>
      <c r="C564" s="15" t="n">
        <f aca="false">IF(D564="","",MOD(ROW()-24,12)+1)</f>
        <v>1</v>
      </c>
      <c r="D564" s="16" t="n">
        <f aca="false" t="array" ref="D564: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0.100070441992017</v>
      </c>
      <c r="E564" s="16" t="n">
        <f aca="false">IF(D564="","",D564*$B$15)</f>
        <v>0.259382585643308</v>
      </c>
      <c r="F564" s="16" t="n">
        <f aca="false" t="array" ref="F564:F564">IF(D564="","",IFERROR(INDEX(Dados_Evap!$C$2:$N$15,MATCH($B$9,Dados_Evap!$A$2:$A$15,0),C564),0))</f>
        <v>160</v>
      </c>
      <c r="G564" s="16" t="n">
        <f aca="false">IF(F564="","",F564/1000)</f>
        <v>0.16</v>
      </c>
      <c r="H564" s="16" t="n">
        <f aca="false">IF(D564="","",MAX(0,MIN($B$8,IFERROR(LOOKUP(2,1/($U$24:U563&lt;&gt;""),$U$24:U563),$B$11))))</f>
        <v>0</v>
      </c>
      <c r="I564" s="16" t="n">
        <f aca="false" t="array" ref="I564: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>0</v>
      </c>
      <c r="J564" s="16" t="n">
        <f aca="false">IF(D564="","",$B$12)</f>
        <v>0.35</v>
      </c>
      <c r="K564" s="16" t="n">
        <f aca="false">IF(J564="","",J564*$B$15)</f>
        <v>0.9072</v>
      </c>
      <c r="L564" s="16" t="n">
        <f aca="false">IF(D564="","",H564+E564-K564-G564*I564)</f>
        <v>-0.647817414356692</v>
      </c>
      <c r="M564" s="16" t="n">
        <f aca="false" t="array" ref="M564: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>0</v>
      </c>
      <c r="N564" s="16" t="n">
        <f aca="false">IF(D564="","",(I564+M564)/2)</f>
        <v>0</v>
      </c>
      <c r="O564" s="16" t="n">
        <f aca="false">IF(D564="","",G564*N564)</f>
        <v>0</v>
      </c>
      <c r="P564" s="16" t="n">
        <f aca="false">IF(D564="","",H564+E564-K564-O564)</f>
        <v>-0.647817414356692</v>
      </c>
      <c r="Q564" s="16" t="n">
        <f aca="false">IF(D564="","",IF(P564&gt;=0,K564,MAX(0,K564+P564)))</f>
        <v>0.259382585643308</v>
      </c>
      <c r="R564" s="16" t="n">
        <f aca="false">IF(D564="","",Q564/$B$15)</f>
        <v>0.100070441992017</v>
      </c>
      <c r="S564" s="16" t="n">
        <f aca="false">IF(D564="","",MAX(0,J564-R564))</f>
        <v>0.249929558007983</v>
      </c>
      <c r="T564" s="16" t="n">
        <f aca="false">IF(D564="","",MAX(0,Z564-$B$8))</f>
        <v>0</v>
      </c>
      <c r="U564" s="16" t="n">
        <f aca="false">IF(D564="","",MAX(0,MIN($B$8,Z564)))</f>
        <v>0</v>
      </c>
      <c r="V564" s="16" t="str">
        <f aca="false">IF(D564="","",IF(S564&gt;0.0000001,"Sim","Não"))</f>
        <v>Sim</v>
      </c>
      <c r="W564" s="16" t="n">
        <f aca="false">IF(D564="","",U564-(H564+E564-Q564-O564-T564))</f>
        <v>0</v>
      </c>
      <c r="X564" s="16" t="n">
        <f aca="false">IF(W564="","",ABS(W564))</f>
        <v>0</v>
      </c>
      <c r="Y564" s="16" t="n">
        <f aca="false">IF(U564="","",IF($B$8=0,0,U564/$B$8*100))</f>
        <v>0</v>
      </c>
      <c r="Z564" s="18" t="n">
        <f aca="false">IF(D564="","",MAX(0,IF(P564&gt;=0,P564,IF(K564+P564&gt;=0,0,P564+K564))))</f>
        <v>0</v>
      </c>
      <c r="AA564" s="18" t="n">
        <f aca="false">IF(D564="","",IF(H564&lt;=$B$16,1,IF(H564&gt;=$B$17,$B$21,MATCH(H564,Aux_CAV!$A$2:$A$121,1))))</f>
        <v>1</v>
      </c>
      <c r="AB564" s="18" t="n">
        <f aca="false">IF(D564="","",IF(L564&lt;=$B$16,1,IF(L564&gt;=$B$17,$B$21,MATCH(L564,Aux_CAV!$A$2:$A$121,1))))</f>
        <v>1</v>
      </c>
      <c r="AC564" s="19" t="n">
        <f aca="false">IF(D564="","",COUNT($D$24:D564))</f>
        <v>529</v>
      </c>
    </row>
    <row r="565" customFormat="false" ht="12.75" hidden="false" customHeight="true" outlineLevel="0" collapsed="false">
      <c r="A565" s="14" t="n">
        <f aca="false">IF(D565="","",DATE(B565,C565,1))</f>
        <v>20121</v>
      </c>
      <c r="B565" s="15" t="n">
        <f aca="false" t="array" ref="B565:B565">IF(D565="","",IFERROR(VALUE(INDEX(Vazoes_COLAR!$A$2:$A$200,INT((ROW()-24)/12)+1)),""))</f>
        <v>1955</v>
      </c>
      <c r="C565" s="15" t="n">
        <f aca="false">IF(D565="","",MOD(ROW()-24,12)+1)</f>
        <v>2</v>
      </c>
      <c r="D565" s="16" t="n">
        <f aca="false" t="array" ref="D565: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0.758296006100746</v>
      </c>
      <c r="E565" s="16" t="n">
        <f aca="false">IF(D565="","",D565*$B$15)</f>
        <v>1.96550324781313</v>
      </c>
      <c r="F565" s="16" t="n">
        <f aca="false" t="array" ref="F565:F565">IF(D565="","",IFERROR(INDEX(Dados_Evap!$C$2:$N$15,MATCH($B$9,Dados_Evap!$A$2:$A$15,0),C565),0))</f>
        <v>124.3</v>
      </c>
      <c r="G565" s="16" t="n">
        <f aca="false">IF(F565="","",F565/1000)</f>
        <v>0.1243</v>
      </c>
      <c r="H565" s="16" t="n">
        <f aca="false">IF(D565="","",MAX(0,MIN($B$8,IFERROR(LOOKUP(2,1/($U$24:U564&lt;&gt;""),$U$24:U564),$B$11))))</f>
        <v>0</v>
      </c>
      <c r="I565" s="16" t="n">
        <f aca="false" t="array" ref="I565: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>0</v>
      </c>
      <c r="J565" s="16" t="n">
        <f aca="false">IF(D565="","",$B$12)</f>
        <v>0.35</v>
      </c>
      <c r="K565" s="16" t="n">
        <f aca="false">IF(J565="","",J565*$B$15)</f>
        <v>0.9072</v>
      </c>
      <c r="L565" s="16" t="n">
        <f aca="false">IF(D565="","",H565+E565-K565-G565*I565)</f>
        <v>1.05830324781313</v>
      </c>
      <c r="M565" s="16" t="n">
        <f aca="false" t="array" ref="M565: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>0.712185065213983</v>
      </c>
      <c r="N565" s="16" t="n">
        <f aca="false">IF(D565="","",(I565+M565)/2)</f>
        <v>0.356092532606991</v>
      </c>
      <c r="O565" s="16" t="n">
        <f aca="false">IF(D565="","",G565*N565)</f>
        <v>0.044262301803049</v>
      </c>
      <c r="P565" s="16" t="n">
        <f aca="false">IF(D565="","",H565+E565-K565-O565)</f>
        <v>1.01404094601008</v>
      </c>
      <c r="Q565" s="16" t="n">
        <f aca="false">IF(D565="","",IF(P565&gt;=0,K565,MAX(0,K565+P565)))</f>
        <v>0.9072</v>
      </c>
      <c r="R565" s="16" t="n">
        <f aca="false">IF(D565="","",Q565/$B$15)</f>
        <v>0.35</v>
      </c>
      <c r="S565" s="16" t="n">
        <f aca="false">IF(D565="","",MAX(0,J565-R565))</f>
        <v>0</v>
      </c>
      <c r="T565" s="16" t="n">
        <f aca="false">IF(D565="","",MAX(0,Z565-$B$8))</f>
        <v>0</v>
      </c>
      <c r="U565" s="16" t="n">
        <f aca="false">IF(D565="","",MAX(0,MIN($B$8,Z565)))</f>
        <v>1.01404094601008</v>
      </c>
      <c r="V565" s="16" t="str">
        <f aca="false">IF(D565="","",IF(S565&gt;0.0000001,"Sim","Não"))</f>
        <v>Não</v>
      </c>
      <c r="W565" s="16" t="n">
        <f aca="false">IF(D565="","",U565-(H565+E565-Q565-O565-T565))</f>
        <v>0</v>
      </c>
      <c r="X565" s="16" t="n">
        <f aca="false">IF(W565="","",ABS(W565))</f>
        <v>0</v>
      </c>
      <c r="Y565" s="16" t="n">
        <f aca="false">IF(U565="","",IF($B$8=0,0,U565/$B$8*100))</f>
        <v>2.14748188481594</v>
      </c>
      <c r="Z565" s="18" t="n">
        <f aca="false">IF(D565="","",MAX(0,IF(P565&gt;=0,P565,IF(K565+P565&gt;=0,0,P565+K565))))</f>
        <v>1.01404094601008</v>
      </c>
      <c r="AA565" s="18" t="n">
        <f aca="false">IF(D565="","",IF(H565&lt;=$B$16,1,IF(H565&gt;=$B$17,$B$21,MATCH(H565,Aux_CAV!$A$2:$A$121,1))))</f>
        <v>1</v>
      </c>
      <c r="AB565" s="18" t="n">
        <f aca="false">IF(D565="","",IF(L565&lt;=$B$16,1,IF(L565&gt;=$B$17,$B$21,MATCH(L565,Aux_CAV!$A$2:$A$121,1))))</f>
        <v>7</v>
      </c>
      <c r="AC565" s="19" t="n">
        <f aca="false">IF(D565="","",COUNT($D$24:D565))</f>
        <v>530</v>
      </c>
    </row>
    <row r="566" customFormat="false" ht="12.75" hidden="false" customHeight="true" outlineLevel="0" collapsed="false">
      <c r="A566" s="14" t="n">
        <f aca="false">IF(D566="","",DATE(B566,C566,1))</f>
        <v>20149</v>
      </c>
      <c r="B566" s="15" t="n">
        <f aca="false" t="array" ref="B566:B566">IF(D566="","",IFERROR(VALUE(INDEX(Vazoes_COLAR!$A$2:$A$200,INT((ROW()-24)/12)+1)),""))</f>
        <v>1955</v>
      </c>
      <c r="C566" s="15" t="n">
        <f aca="false">IF(D566="","",MOD(ROW()-24,12)+1)</f>
        <v>3</v>
      </c>
      <c r="D566" s="16" t="n">
        <f aca="false" t="array" ref="D566: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5.36915102343066</v>
      </c>
      <c r="E566" s="16" t="n">
        <f aca="false">IF(D566="","",D566*$B$15)</f>
        <v>13.9168394527323</v>
      </c>
      <c r="F566" s="16" t="n">
        <f aca="false" t="array" ref="F566:F566">IF(D566="","",IFERROR(INDEX(Dados_Evap!$C$2:$N$15,MATCH($B$9,Dados_Evap!$A$2:$A$15,0),C566),0))</f>
        <v>107.7</v>
      </c>
      <c r="G566" s="16" t="n">
        <f aca="false">IF(F566="","",F566/1000)</f>
        <v>0.1077</v>
      </c>
      <c r="H566" s="16" t="n">
        <f aca="false">IF(D566="","",MAX(0,MIN($B$8,IFERROR(LOOKUP(2,1/($U$24:U565&lt;&gt;""),$U$24:U565),$B$11))))</f>
        <v>1.01404094601008</v>
      </c>
      <c r="I566" s="16" t="n">
        <f aca="false" t="array" ref="I566: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>0.691543140429955</v>
      </c>
      <c r="J566" s="16" t="n">
        <f aca="false">IF(D566="","",$B$12)</f>
        <v>0.35</v>
      </c>
      <c r="K566" s="16" t="n">
        <f aca="false">IF(J566="","",J566*$B$15)</f>
        <v>0.9072</v>
      </c>
      <c r="L566" s="16" t="n">
        <f aca="false">IF(D566="","",H566+E566-K566-G566*I566)</f>
        <v>13.949201202518</v>
      </c>
      <c r="M566" s="16" t="n">
        <f aca="false" t="array" ref="M566: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>3.47507892609713</v>
      </c>
      <c r="N566" s="16" t="n">
        <f aca="false">IF(D566="","",(I566+M566)/2)</f>
        <v>2.08331103326354</v>
      </c>
      <c r="O566" s="16" t="n">
        <f aca="false">IF(D566="","",G566*N566)</f>
        <v>0.224372598282483</v>
      </c>
      <c r="P566" s="16" t="n">
        <f aca="false">IF(D566="","",H566+E566-K566-O566)</f>
        <v>13.7993078004599</v>
      </c>
      <c r="Q566" s="16" t="n">
        <f aca="false">IF(D566="","",IF(P566&gt;=0,K566,MAX(0,K566+P566)))</f>
        <v>0.9072</v>
      </c>
      <c r="R566" s="16" t="n">
        <f aca="false">IF(D566="","",Q566/$B$15)</f>
        <v>0.35</v>
      </c>
      <c r="S566" s="16" t="n">
        <f aca="false">IF(D566="","",MAX(0,J566-R566))</f>
        <v>0</v>
      </c>
      <c r="T566" s="16" t="n">
        <f aca="false">IF(D566="","",MAX(0,Z566-$B$8))</f>
        <v>0</v>
      </c>
      <c r="U566" s="16" t="n">
        <f aca="false">IF(D566="","",MAX(0,MIN($B$8,Z566)))</f>
        <v>13.7993078004599</v>
      </c>
      <c r="V566" s="16" t="str">
        <f aca="false">IF(D566="","",IF(S566&gt;0.0000001,"Sim","Não"))</f>
        <v>Não</v>
      </c>
      <c r="W566" s="16" t="n">
        <f aca="false">IF(D566="","",U566-(H566+E566-Q566-O566-T566))</f>
        <v>0</v>
      </c>
      <c r="X566" s="16" t="n">
        <f aca="false">IF(W566="","",ABS(W566))</f>
        <v>0</v>
      </c>
      <c r="Y566" s="16" t="n">
        <f aca="false">IF(U566="","",IF($B$8=0,0,U566/$B$8*100))</f>
        <v>29.2234387980938</v>
      </c>
      <c r="Z566" s="18" t="n">
        <f aca="false">IF(D566="","",MAX(0,IF(P566&gt;=0,P566,IF(K566+P566&gt;=0,0,P566+K566))))</f>
        <v>13.7993078004599</v>
      </c>
      <c r="AA566" s="18" t="n">
        <f aca="false">IF(D566="","",IF(H566&lt;=$B$16,1,IF(H566&gt;=$B$17,$B$21,MATCH(H566,Aux_CAV!$A$2:$A$121,1))))</f>
        <v>6</v>
      </c>
      <c r="AB566" s="18" t="n">
        <f aca="false">IF(D566="","",IF(L566&lt;=$B$16,1,IF(L566&gt;=$B$17,$B$21,MATCH(L566,Aux_CAV!$A$2:$A$121,1))))</f>
        <v>10</v>
      </c>
      <c r="AC566" s="19" t="n">
        <f aca="false">IF(D566="","",COUNT($D$24:D566))</f>
        <v>531</v>
      </c>
    </row>
    <row r="567" customFormat="false" ht="12.75" hidden="false" customHeight="true" outlineLevel="0" collapsed="false">
      <c r="A567" s="14" t="n">
        <f aca="false">IF(D567="","",DATE(B567,C567,1))</f>
        <v>20180</v>
      </c>
      <c r="B567" s="15" t="n">
        <f aca="false" t="array" ref="B567:B567">IF(D567="","",IFERROR(VALUE(INDEX(Vazoes_COLAR!$A$2:$A$200,INT((ROW()-24)/12)+1)),""))</f>
        <v>1955</v>
      </c>
      <c r="C567" s="15" t="n">
        <f aca="false">IF(D567="","",MOD(ROW()-24,12)+1)</f>
        <v>4</v>
      </c>
      <c r="D567" s="16" t="n">
        <f aca="false" t="array" ref="D567: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8.83489105700853</v>
      </c>
      <c r="E567" s="16" t="n">
        <f aca="false">IF(D567="","",D567*$B$15)</f>
        <v>22.9000376197661</v>
      </c>
      <c r="F567" s="16" t="n">
        <f aca="false" t="array" ref="F567:F567">IF(D567="","",IFERROR(INDEX(Dados_Evap!$C$2:$N$15,MATCH($B$9,Dados_Evap!$A$2:$A$15,0),C567),0))</f>
        <v>100.5</v>
      </c>
      <c r="G567" s="16" t="n">
        <f aca="false">IF(F567="","",F567/1000)</f>
        <v>0.1005</v>
      </c>
      <c r="H567" s="16" t="n">
        <f aca="false">IF(D567="","",MAX(0,MIN($B$8,IFERROR(LOOKUP(2,1/($U$24:U566&lt;&gt;""),$U$24:U566),$B$11))))</f>
        <v>13.7993078004599</v>
      </c>
      <c r="I567" s="16" t="n">
        <f aca="false" t="array" ref="I567: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>3.46229390062746</v>
      </c>
      <c r="J567" s="16" t="n">
        <f aca="false">IF(D567="","",$B$12)</f>
        <v>0.35</v>
      </c>
      <c r="K567" s="16" t="n">
        <f aca="false">IF(J567="","",J567*$B$15)</f>
        <v>0.9072</v>
      </c>
      <c r="L567" s="16" t="n">
        <f aca="false">IF(D567="","",H567+E567-K567-G567*I567)</f>
        <v>35.4441848832129</v>
      </c>
      <c r="M567" s="16" t="n">
        <f aca="false" t="array" ref="M567: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>5.79427003157865</v>
      </c>
      <c r="N567" s="16" t="n">
        <f aca="false">IF(D567="","",(I567+M567)/2)</f>
        <v>4.62828196610305</v>
      </c>
      <c r="O567" s="16" t="n">
        <f aca="false">IF(D567="","",G567*N567)</f>
        <v>0.465142337593357</v>
      </c>
      <c r="P567" s="16" t="n">
        <f aca="false">IF(D567="","",H567+E567-K567-O567)</f>
        <v>35.3270030826326</v>
      </c>
      <c r="Q567" s="16" t="n">
        <f aca="false">IF(D567="","",IF(P567&gt;=0,K567,MAX(0,K567+P567)))</f>
        <v>0.9072</v>
      </c>
      <c r="R567" s="16" t="n">
        <f aca="false">IF(D567="","",Q567/$B$15)</f>
        <v>0.35</v>
      </c>
      <c r="S567" s="16" t="n">
        <f aca="false">IF(D567="","",MAX(0,J567-R567))</f>
        <v>0</v>
      </c>
      <c r="T567" s="16" t="n">
        <f aca="false">IF(D567="","",MAX(0,Z567-$B$8))</f>
        <v>0</v>
      </c>
      <c r="U567" s="16" t="n">
        <f aca="false">IF(D567="","",MAX(0,MIN($B$8,Z567)))</f>
        <v>35.3270030826326</v>
      </c>
      <c r="V567" s="16" t="str">
        <f aca="false">IF(D567="","",IF(S567&gt;0.0000001,"Sim","Não"))</f>
        <v>Não</v>
      </c>
      <c r="W567" s="16" t="n">
        <f aca="false">IF(D567="","",U567-(H567+E567-Q567-O567-T567))</f>
        <v>0</v>
      </c>
      <c r="X567" s="16" t="n">
        <f aca="false">IF(W567="","",ABS(W567))</f>
        <v>0</v>
      </c>
      <c r="Y567" s="16" t="n">
        <f aca="false">IF(U567="","",IF($B$8=0,0,U567/$B$8*100))</f>
        <v>74.8136448170958</v>
      </c>
      <c r="Z567" s="18" t="n">
        <f aca="false">IF(D567="","",MAX(0,IF(P567&gt;=0,P567,IF(K567+P567&gt;=0,0,P567+K567))))</f>
        <v>35.3270030826326</v>
      </c>
      <c r="AA567" s="18" t="n">
        <f aca="false">IF(D567="","",IF(H567&lt;=$B$16,1,IF(H567&gt;=$B$17,$B$21,MATCH(H567,Aux_CAV!$A$2:$A$121,1))))</f>
        <v>10</v>
      </c>
      <c r="AB567" s="18" t="n">
        <f aca="false">IF(D567="","",IF(L567&lt;=$B$16,1,IF(L567&gt;=$B$17,$B$21,MATCH(L567,Aux_CAV!$A$2:$A$121,1))))</f>
        <v>13</v>
      </c>
      <c r="AC567" s="19" t="n">
        <f aca="false">IF(D567="","",COUNT($D$24:D567))</f>
        <v>532</v>
      </c>
    </row>
    <row r="568" customFormat="false" ht="12.75" hidden="false" customHeight="true" outlineLevel="0" collapsed="false">
      <c r="A568" s="14" t="n">
        <f aca="false">IF(D568="","",DATE(B568,C568,1))</f>
        <v>20210</v>
      </c>
      <c r="B568" s="15" t="n">
        <f aca="false" t="array" ref="B568:B568">IF(D568="","",IFERROR(VALUE(INDEX(Vazoes_COLAR!$A$2:$A$200,INT((ROW()-24)/12)+1)),""))</f>
        <v>1955</v>
      </c>
      <c r="C568" s="15" t="n">
        <f aca="false">IF(D568="","",MOD(ROW()-24,12)+1)</f>
        <v>5</v>
      </c>
      <c r="D568" s="16" t="n">
        <f aca="false" t="array" ref="D568: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0.832526268129016</v>
      </c>
      <c r="E568" s="16" t="n">
        <f aca="false">IF(D568="","",D568*$B$15)</f>
        <v>2.15790808699041</v>
      </c>
      <c r="F568" s="16" t="n">
        <f aca="false" t="array" ref="F568:F568">IF(D568="","",IFERROR(INDEX(Dados_Evap!$C$2:$N$15,MATCH($B$9,Dados_Evap!$A$2:$A$15,0),C568),0))</f>
        <v>145.8</v>
      </c>
      <c r="G568" s="16" t="n">
        <f aca="false">IF(F568="","",F568/1000)</f>
        <v>0.1458</v>
      </c>
      <c r="H568" s="16" t="n">
        <f aca="false">IF(D568="","",MAX(0,MIN($B$8,IFERROR(LOOKUP(2,1/($U$24:U567&lt;&gt;""),$U$24:U567),$B$11))))</f>
        <v>35.3270030826326</v>
      </c>
      <c r="I568" s="16" t="n">
        <f aca="false" t="array" ref="I568: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>5.78257027633203</v>
      </c>
      <c r="J568" s="16" t="n">
        <f aca="false">IF(D568="","",$B$12)</f>
        <v>0.35</v>
      </c>
      <c r="K568" s="16" t="n">
        <f aca="false">IF(J568="","",J568*$B$15)</f>
        <v>0.9072</v>
      </c>
      <c r="L568" s="16" t="n">
        <f aca="false">IF(D568="","",H568+E568-K568-G568*I568)</f>
        <v>35.7346124233338</v>
      </c>
      <c r="M568" s="16" t="n">
        <f aca="false" t="array" ref="M568: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>5.82326712088317</v>
      </c>
      <c r="N568" s="16" t="n">
        <f aca="false">IF(D568="","",(I568+M568)/2)</f>
        <v>5.8029186986076</v>
      </c>
      <c r="O568" s="16" t="n">
        <f aca="false">IF(D568="","",G568*N568)</f>
        <v>0.846065546256989</v>
      </c>
      <c r="P568" s="16" t="n">
        <f aca="false">IF(D568="","",H568+E568-K568-O568)</f>
        <v>35.731645623366</v>
      </c>
      <c r="Q568" s="16" t="n">
        <f aca="false">IF(D568="","",IF(P568&gt;=0,K568,MAX(0,K568+P568)))</f>
        <v>0.9072</v>
      </c>
      <c r="R568" s="16" t="n">
        <f aca="false">IF(D568="","",Q568/$B$15)</f>
        <v>0.35</v>
      </c>
      <c r="S568" s="16" t="n">
        <f aca="false">IF(D568="","",MAX(0,J568-R568))</f>
        <v>0</v>
      </c>
      <c r="T568" s="16" t="n">
        <f aca="false">IF(D568="","",MAX(0,Z568-$B$8))</f>
        <v>0</v>
      </c>
      <c r="U568" s="16" t="n">
        <f aca="false">IF(D568="","",MAX(0,MIN($B$8,Z568)))</f>
        <v>35.731645623366</v>
      </c>
      <c r="V568" s="16" t="str">
        <f aca="false">IF(D568="","",IF(S568&gt;0.0000001,"Sim","Não"))</f>
        <v>Não</v>
      </c>
      <c r="W568" s="16" t="n">
        <f aca="false">IF(D568="","",U568-(H568+E568-Q568-O568-T568))</f>
        <v>0</v>
      </c>
      <c r="X568" s="16" t="n">
        <f aca="false">IF(W568="","",ABS(W568))</f>
        <v>0</v>
      </c>
      <c r="Y568" s="16" t="n">
        <f aca="false">IF(U568="","",IF($B$8=0,0,U568/$B$8*100))</f>
        <v>75.6705752294918</v>
      </c>
      <c r="Z568" s="18" t="n">
        <f aca="false">IF(D568="","",MAX(0,IF(P568&gt;=0,P568,IF(K568+P568&gt;=0,0,P568+K568))))</f>
        <v>35.731645623366</v>
      </c>
      <c r="AA568" s="18" t="n">
        <f aca="false">IF(D568="","",IF(H568&lt;=$B$16,1,IF(H568&gt;=$B$17,$B$21,MATCH(H568,Aux_CAV!$A$2:$A$121,1))))</f>
        <v>13</v>
      </c>
      <c r="AB568" s="18" t="n">
        <f aca="false">IF(D568="","",IF(L568&lt;=$B$16,1,IF(L568&gt;=$B$17,$B$21,MATCH(L568,Aux_CAV!$A$2:$A$121,1))))</f>
        <v>13</v>
      </c>
      <c r="AC568" s="19" t="n">
        <f aca="false">IF(D568="","",COUNT($D$24:D568))</f>
        <v>533</v>
      </c>
    </row>
    <row r="569" customFormat="false" ht="12.75" hidden="false" customHeight="true" outlineLevel="0" collapsed="false">
      <c r="A569" s="14" t="n">
        <f aca="false">IF(D569="","",DATE(B569,C569,1))</f>
        <v>20241</v>
      </c>
      <c r="B569" s="15" t="n">
        <f aca="false" t="array" ref="B569:B569">IF(D569="","",IFERROR(VALUE(INDEX(Vazoes_COLAR!$A$2:$A$200,INT((ROW()-24)/12)+1)),""))</f>
        <v>1955</v>
      </c>
      <c r="C569" s="15" t="n">
        <f aca="false">IF(D569="","",MOD(ROW()-24,12)+1)</f>
        <v>6</v>
      </c>
      <c r="D569" s="16" t="n">
        <f aca="false" t="array" ref="D569: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0.0465899009503788</v>
      </c>
      <c r="E569" s="16" t="n">
        <f aca="false">IF(D569="","",D569*$B$15)</f>
        <v>0.120761023263382</v>
      </c>
      <c r="F569" s="16" t="n">
        <f aca="false" t="array" ref="F569:F569">IF(D569="","",IFERROR(INDEX(Dados_Evap!$C$2:$N$15,MATCH($B$9,Dados_Evap!$A$2:$A$15,0),C569),0))</f>
        <v>161.3</v>
      </c>
      <c r="G569" s="16" t="n">
        <f aca="false">IF(F569="","",F569/1000)</f>
        <v>0.1613</v>
      </c>
      <c r="H569" s="16" t="n">
        <f aca="false">IF(D569="","",MAX(0,MIN($B$8,IFERROR(LOOKUP(2,1/($U$24:U568&lt;&gt;""),$U$24:U568),$B$11))))</f>
        <v>35.731645623366</v>
      </c>
      <c r="I569" s="16" t="n">
        <f aca="false" t="array" ref="I569: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>5.82297090736438</v>
      </c>
      <c r="J569" s="16" t="n">
        <f aca="false">IF(D569="","",$B$12)</f>
        <v>0.35</v>
      </c>
      <c r="K569" s="16" t="n">
        <f aca="false">IF(J569="","",J569*$B$15)</f>
        <v>0.9072</v>
      </c>
      <c r="L569" s="16" t="n">
        <f aca="false">IF(D569="","",H569+E569-K569-G569*I569)</f>
        <v>34.0059614392716</v>
      </c>
      <c r="M569" s="16" t="n">
        <f aca="false" t="array" ref="M569: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>5.64867754757481</v>
      </c>
      <c r="N569" s="16" t="n">
        <f aca="false">IF(D569="","",(I569+M569)/2)</f>
        <v>5.73582422746959</v>
      </c>
      <c r="O569" s="16" t="n">
        <f aca="false">IF(D569="","",G569*N569)</f>
        <v>0.925188447890846</v>
      </c>
      <c r="P569" s="16" t="n">
        <f aca="false">IF(D569="","",H569+E569-K569-O569)</f>
        <v>34.0200181987386</v>
      </c>
      <c r="Q569" s="16" t="n">
        <f aca="false">IF(D569="","",IF(P569&gt;=0,K569,MAX(0,K569+P569)))</f>
        <v>0.9072</v>
      </c>
      <c r="R569" s="16" t="n">
        <f aca="false">IF(D569="","",Q569/$B$15)</f>
        <v>0.35</v>
      </c>
      <c r="S569" s="16" t="n">
        <f aca="false">IF(D569="","",MAX(0,J569-R569))</f>
        <v>0</v>
      </c>
      <c r="T569" s="16" t="n">
        <f aca="false">IF(D569="","",MAX(0,Z569-$B$8))</f>
        <v>0</v>
      </c>
      <c r="U569" s="16" t="n">
        <f aca="false">IF(D569="","",MAX(0,MIN($B$8,Z569)))</f>
        <v>34.0200181987386</v>
      </c>
      <c r="V569" s="16" t="str">
        <f aca="false">IF(D569="","",IF(S569&gt;0.0000001,"Sim","Não"))</f>
        <v>Não</v>
      </c>
      <c r="W569" s="16" t="n">
        <f aca="false">IF(D569="","",U569-(H569+E569-Q569-O569-T569))</f>
        <v>0</v>
      </c>
      <c r="X569" s="16" t="n">
        <f aca="false">IF(W569="","",ABS(W569))</f>
        <v>0</v>
      </c>
      <c r="Y569" s="16" t="n">
        <f aca="false">IF(U569="","",IF($B$8=0,0,U569/$B$8*100))</f>
        <v>72.0457818694167</v>
      </c>
      <c r="Z569" s="18" t="n">
        <f aca="false">IF(D569="","",MAX(0,IF(P569&gt;=0,P569,IF(K569+P569&gt;=0,0,P569+K569))))</f>
        <v>34.0200181987386</v>
      </c>
      <c r="AA569" s="18" t="n">
        <f aca="false">IF(D569="","",IF(H569&lt;=$B$16,1,IF(H569&gt;=$B$17,$B$21,MATCH(H569,Aux_CAV!$A$2:$A$121,1))))</f>
        <v>13</v>
      </c>
      <c r="AB569" s="18" t="n">
        <f aca="false">IF(D569="","",IF(L569&lt;=$B$16,1,IF(L569&gt;=$B$17,$B$21,MATCH(L569,Aux_CAV!$A$2:$A$121,1))))</f>
        <v>12</v>
      </c>
      <c r="AC569" s="19" t="n">
        <f aca="false">IF(D569="","",COUNT($D$24:D569))</f>
        <v>534</v>
      </c>
    </row>
    <row r="570" customFormat="false" ht="12.75" hidden="false" customHeight="true" outlineLevel="0" collapsed="false">
      <c r="A570" s="14" t="n">
        <f aca="false">IF(D570="","",DATE(B570,C570,1))</f>
        <v>20271</v>
      </c>
      <c r="B570" s="15" t="n">
        <f aca="false" t="array" ref="B570:B570">IF(D570="","",IFERROR(VALUE(INDEX(Vazoes_COLAR!$A$2:$A$200,INT((ROW()-24)/12)+1)),""))</f>
        <v>1955</v>
      </c>
      <c r="C570" s="15" t="n">
        <f aca="false">IF(D570="","",MOD(ROW()-24,12)+1)</f>
        <v>7</v>
      </c>
      <c r="D570" s="16" t="n">
        <f aca="false" t="array" ref="D570: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0.0303503429594192</v>
      </c>
      <c r="E570" s="16" t="n">
        <f aca="false">IF(D570="","",D570*$B$15)</f>
        <v>0.0786680889508146</v>
      </c>
      <c r="F570" s="16" t="n">
        <f aca="false" t="array" ref="F570:F570">IF(D570="","",IFERROR(INDEX(Dados_Evap!$C$2:$N$15,MATCH($B$9,Dados_Evap!$A$2:$A$15,0),C570),0))</f>
        <v>224.8</v>
      </c>
      <c r="G570" s="16" t="n">
        <f aca="false">IF(F570="","",F570/1000)</f>
        <v>0.2248</v>
      </c>
      <c r="H570" s="16" t="n">
        <f aca="false">IF(D570="","",MAX(0,MIN($B$8,IFERROR(LOOKUP(2,1/($U$24:U569&lt;&gt;""),$U$24:U569),$B$11))))</f>
        <v>34.0200181987386</v>
      </c>
      <c r="I570" s="16" t="n">
        <f aca="false" t="array" ref="I570: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>5.65013781287867</v>
      </c>
      <c r="J570" s="16" t="n">
        <f aca="false">IF(D570="","",$B$12)</f>
        <v>0.35</v>
      </c>
      <c r="K570" s="16" t="n">
        <f aca="false">IF(J570="","",J570*$B$15)</f>
        <v>0.9072</v>
      </c>
      <c r="L570" s="16" t="n">
        <f aca="false">IF(D570="","",H570+E570-K570-G570*I570)</f>
        <v>31.9213353073543</v>
      </c>
      <c r="M570" s="16" t="n">
        <f aca="false" t="array" ref="M570: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>5.43211929891933</v>
      </c>
      <c r="N570" s="16" t="n">
        <f aca="false">IF(D570="","",(I570+M570)/2)</f>
        <v>5.541128555899</v>
      </c>
      <c r="O570" s="16" t="n">
        <f aca="false">IF(D570="","",G570*N570)</f>
        <v>1.24564569936609</v>
      </c>
      <c r="P570" s="16" t="n">
        <f aca="false">IF(D570="","",H570+E570-K570-O570)</f>
        <v>31.9458405883233</v>
      </c>
      <c r="Q570" s="16" t="n">
        <f aca="false">IF(D570="","",IF(P570&gt;=0,K570,MAX(0,K570+P570)))</f>
        <v>0.9072</v>
      </c>
      <c r="R570" s="16" t="n">
        <f aca="false">IF(D570="","",Q570/$B$15)</f>
        <v>0.35</v>
      </c>
      <c r="S570" s="16" t="n">
        <f aca="false">IF(D570="","",MAX(0,J570-R570))</f>
        <v>0</v>
      </c>
      <c r="T570" s="16" t="n">
        <f aca="false">IF(D570="","",MAX(0,Z570-$B$8))</f>
        <v>0</v>
      </c>
      <c r="U570" s="16" t="n">
        <f aca="false">IF(D570="","",MAX(0,MIN($B$8,Z570)))</f>
        <v>31.9458405883233</v>
      </c>
      <c r="V570" s="16" t="str">
        <f aca="false">IF(D570="","",IF(S570&gt;0.0000001,"Sim","Não"))</f>
        <v>Não</v>
      </c>
      <c r="W570" s="16" t="n">
        <f aca="false">IF(D570="","",U570-(H570+E570-Q570-O570-T570))</f>
        <v>0</v>
      </c>
      <c r="X570" s="16" t="n">
        <f aca="false">IF(W570="","",ABS(W570))</f>
        <v>0</v>
      </c>
      <c r="Y570" s="16" t="n">
        <f aca="false">IF(U570="","",IF($B$8=0,0,U570/$B$8*100))</f>
        <v>67.6531990434632</v>
      </c>
      <c r="Z570" s="18" t="n">
        <f aca="false">IF(D570="","",MAX(0,IF(P570&gt;=0,P570,IF(K570+P570&gt;=0,0,P570+K570))))</f>
        <v>31.9458405883233</v>
      </c>
      <c r="AA570" s="18" t="n">
        <f aca="false">IF(D570="","",IF(H570&lt;=$B$16,1,IF(H570&gt;=$B$17,$B$21,MATCH(H570,Aux_CAV!$A$2:$A$121,1))))</f>
        <v>12</v>
      </c>
      <c r="AB570" s="18" t="n">
        <f aca="false">IF(D570="","",IF(L570&lt;=$B$16,1,IF(L570&gt;=$B$17,$B$21,MATCH(L570,Aux_CAV!$A$2:$A$121,1))))</f>
        <v>12</v>
      </c>
      <c r="AC570" s="19" t="n">
        <f aca="false">IF(D570="","",COUNT($D$24:D570))</f>
        <v>535</v>
      </c>
    </row>
    <row r="571" customFormat="false" ht="12.75" hidden="false" customHeight="true" outlineLevel="0" collapsed="false">
      <c r="A571" s="14" t="n">
        <f aca="false">IF(D571="","",DATE(B571,C571,1))</f>
        <v>20302</v>
      </c>
      <c r="B571" s="15" t="n">
        <f aca="false" t="array" ref="B571:B571">IF(D571="","",IFERROR(VALUE(INDEX(Vazoes_COLAR!$A$2:$A$200,INT((ROW()-24)/12)+1)),""))</f>
        <v>1955</v>
      </c>
      <c r="C571" s="15" t="n">
        <f aca="false">IF(D571="","",MOD(ROW()-24,12)+1)</f>
        <v>8</v>
      </c>
      <c r="D571" s="16" t="n">
        <f aca="false" t="array" ref="D571: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0.0267824707843755</v>
      </c>
      <c r="E571" s="16" t="n">
        <f aca="false">IF(D571="","",D571*$B$15)</f>
        <v>0.0694201642731013</v>
      </c>
      <c r="F571" s="16" t="n">
        <f aca="false" t="array" ref="F571:F571">IF(D571="","",IFERROR(INDEX(Dados_Evap!$C$2:$N$15,MATCH($B$9,Dados_Evap!$A$2:$A$15,0),C571),0))</f>
        <v>268.7</v>
      </c>
      <c r="G571" s="16" t="n">
        <f aca="false">IF(F571="","",F571/1000)</f>
        <v>0.2687</v>
      </c>
      <c r="H571" s="16" t="n">
        <f aca="false">IF(D571="","",MAX(0,MIN($B$8,IFERROR(LOOKUP(2,1/($U$24:U570&lt;&gt;""),$U$24:U570),$B$11))))</f>
        <v>31.9458405883233</v>
      </c>
      <c r="I571" s="16" t="n">
        <f aca="false" t="array" ref="I571: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>5.43466499315592</v>
      </c>
      <c r="J571" s="16" t="n">
        <f aca="false">IF(D571="","",$B$12)</f>
        <v>0.35</v>
      </c>
      <c r="K571" s="16" t="n">
        <f aca="false">IF(J571="","",J571*$B$15)</f>
        <v>0.9072</v>
      </c>
      <c r="L571" s="16" t="n">
        <f aca="false">IF(D571="","",H571+E571-K571-G571*I571)</f>
        <v>29.6477662689354</v>
      </c>
      <c r="M571" s="16" t="n">
        <f aca="false" t="array" ref="M571: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>5.19593300075348</v>
      </c>
      <c r="N571" s="16" t="n">
        <f aca="false">IF(D571="","",(I571+M571)/2)</f>
        <v>5.3152989969547</v>
      </c>
      <c r="O571" s="16" t="n">
        <f aca="false">IF(D571="","",G571*N571)</f>
        <v>1.42822084048173</v>
      </c>
      <c r="P571" s="16" t="n">
        <f aca="false">IF(D571="","",H571+E571-K571-O571)</f>
        <v>29.6798399121147</v>
      </c>
      <c r="Q571" s="16" t="n">
        <f aca="false">IF(D571="","",IF(P571&gt;=0,K571,MAX(0,K571+P571)))</f>
        <v>0.9072</v>
      </c>
      <c r="R571" s="16" t="n">
        <f aca="false">IF(D571="","",Q571/$B$15)</f>
        <v>0.35</v>
      </c>
      <c r="S571" s="16" t="n">
        <f aca="false">IF(D571="","",MAX(0,J571-R571))</f>
        <v>0</v>
      </c>
      <c r="T571" s="16" t="n">
        <f aca="false">IF(D571="","",MAX(0,Z571-$B$8))</f>
        <v>0</v>
      </c>
      <c r="U571" s="16" t="n">
        <f aca="false">IF(D571="","",MAX(0,MIN($B$8,Z571)))</f>
        <v>29.6798399121147</v>
      </c>
      <c r="V571" s="16" t="str">
        <f aca="false">IF(D571="","",IF(S571&gt;0.0000001,"Sim","Não"))</f>
        <v>Não</v>
      </c>
      <c r="W571" s="16" t="n">
        <f aca="false">IF(D571="","",U571-(H571+E571-Q571-O571-T571))</f>
        <v>0</v>
      </c>
      <c r="X571" s="16" t="n">
        <f aca="false">IF(W571="","",ABS(W571))</f>
        <v>0</v>
      </c>
      <c r="Y571" s="16" t="n">
        <f aca="false">IF(U571="","",IF($B$8=0,0,U571/$B$8*100))</f>
        <v>62.8543835495863</v>
      </c>
      <c r="Z571" s="18" t="n">
        <f aca="false">IF(D571="","",MAX(0,IF(P571&gt;=0,P571,IF(K571+P571&gt;=0,0,P571+K571))))</f>
        <v>29.6798399121147</v>
      </c>
      <c r="AA571" s="18" t="n">
        <f aca="false">IF(D571="","",IF(H571&lt;=$B$16,1,IF(H571&gt;=$B$17,$B$21,MATCH(H571,Aux_CAV!$A$2:$A$121,1))))</f>
        <v>12</v>
      </c>
      <c r="AB571" s="18" t="n">
        <f aca="false">IF(D571="","",IF(L571&lt;=$B$16,1,IF(L571&gt;=$B$17,$B$21,MATCH(L571,Aux_CAV!$A$2:$A$121,1))))</f>
        <v>12</v>
      </c>
      <c r="AC571" s="19" t="n">
        <f aca="false">IF(D571="","",COUNT($D$24:D571))</f>
        <v>536</v>
      </c>
    </row>
    <row r="572" customFormat="false" ht="12.75" hidden="false" customHeight="true" outlineLevel="0" collapsed="false">
      <c r="A572" s="14" t="n">
        <f aca="false">IF(D572="","",DATE(B572,C572,1))</f>
        <v>20333</v>
      </c>
      <c r="B572" s="15" t="n">
        <f aca="false" t="array" ref="B572:B572">IF(D572="","",IFERROR(VALUE(INDEX(Vazoes_COLAR!$A$2:$A$200,INT((ROW()-24)/12)+1)),""))</f>
        <v>1955</v>
      </c>
      <c r="C572" s="15" t="n">
        <f aca="false">IF(D572="","",MOD(ROW()-24,12)+1)</f>
        <v>9</v>
      </c>
      <c r="D572" s="16" t="n">
        <f aca="false" t="array" ref="D572: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0.0183400600357624</v>
      </c>
      <c r="E572" s="16" t="n">
        <f aca="false">IF(D572="","",D572*$B$15)</f>
        <v>0.0475374356126961</v>
      </c>
      <c r="F572" s="16" t="n">
        <f aca="false" t="array" ref="F572:F572">IF(D572="","",IFERROR(INDEX(Dados_Evap!$C$2:$N$15,MATCH($B$9,Dados_Evap!$A$2:$A$15,0),C572),0))</f>
        <v>292.8</v>
      </c>
      <c r="G572" s="16" t="n">
        <f aca="false">IF(F572="","",F572/1000)</f>
        <v>0.2928</v>
      </c>
      <c r="H572" s="16" t="n">
        <f aca="false">IF(D572="","",MAX(0,MIN($B$8,IFERROR(LOOKUP(2,1/($U$24:U571&lt;&gt;""),$U$24:U571),$B$11))))</f>
        <v>29.6798399121147</v>
      </c>
      <c r="I572" s="16" t="n">
        <f aca="false" t="array" ref="I572: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>5.199264922909</v>
      </c>
      <c r="J572" s="16" t="n">
        <f aca="false">IF(D572="","",$B$12)</f>
        <v>0.35</v>
      </c>
      <c r="K572" s="16" t="n">
        <f aca="false">IF(J572="","",J572*$B$15)</f>
        <v>0.9072</v>
      </c>
      <c r="L572" s="16" t="n">
        <f aca="false">IF(D572="","",H572+E572-K572-G572*I572)</f>
        <v>27.2978325782996</v>
      </c>
      <c r="M572" s="16" t="n">
        <f aca="false" t="array" ref="M572: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>4.95181367560977</v>
      </c>
      <c r="N572" s="16" t="n">
        <f aca="false">IF(D572="","",(I572+M572)/2)</f>
        <v>5.07553929925938</v>
      </c>
      <c r="O572" s="16" t="n">
        <f aca="false">IF(D572="","",G572*N572)</f>
        <v>1.48611790682315</v>
      </c>
      <c r="P572" s="16" t="n">
        <f aca="false">IF(D572="","",H572+E572-K572-O572)</f>
        <v>27.3340594409042</v>
      </c>
      <c r="Q572" s="16" t="n">
        <f aca="false">IF(D572="","",IF(P572&gt;=0,K572,MAX(0,K572+P572)))</f>
        <v>0.9072</v>
      </c>
      <c r="R572" s="16" t="n">
        <f aca="false">IF(D572="","",Q572/$B$15)</f>
        <v>0.35</v>
      </c>
      <c r="S572" s="16" t="n">
        <f aca="false">IF(D572="","",MAX(0,J572-R572))</f>
        <v>0</v>
      </c>
      <c r="T572" s="16" t="n">
        <f aca="false">IF(D572="","",MAX(0,Z572-$B$8))</f>
        <v>0</v>
      </c>
      <c r="U572" s="16" t="n">
        <f aca="false">IF(D572="","",MAX(0,MIN($B$8,Z572)))</f>
        <v>27.3340594409042</v>
      </c>
      <c r="V572" s="16" t="str">
        <f aca="false">IF(D572="","",IF(S572&gt;0.0000001,"Sim","Não"))</f>
        <v>Não</v>
      </c>
      <c r="W572" s="16" t="n">
        <f aca="false">IF(D572="","",U572-(H572+E572-Q572-O572-T572))</f>
        <v>0</v>
      </c>
      <c r="X572" s="16" t="n">
        <f aca="false">IF(W572="","",ABS(W572))</f>
        <v>0</v>
      </c>
      <c r="Y572" s="16" t="n">
        <f aca="false">IF(U572="","",IF($B$8=0,0,U572/$B$8*100))</f>
        <v>57.8866146567222</v>
      </c>
      <c r="Z572" s="18" t="n">
        <f aca="false">IF(D572="","",MAX(0,IF(P572&gt;=0,P572,IF(K572+P572&gt;=0,0,P572+K572))))</f>
        <v>27.3340594409042</v>
      </c>
      <c r="AA572" s="18" t="n">
        <f aca="false">IF(D572="","",IF(H572&lt;=$B$16,1,IF(H572&gt;=$B$17,$B$21,MATCH(H572,Aux_CAV!$A$2:$A$121,1))))</f>
        <v>12</v>
      </c>
      <c r="AB572" s="18" t="n">
        <f aca="false">IF(D572="","",IF(L572&lt;=$B$16,1,IF(L572&gt;=$B$17,$B$21,MATCH(L572,Aux_CAV!$A$2:$A$121,1))))</f>
        <v>12</v>
      </c>
      <c r="AC572" s="19" t="n">
        <f aca="false">IF(D572="","",COUNT($D$24:D572))</f>
        <v>537</v>
      </c>
    </row>
    <row r="573" customFormat="false" ht="12.75" hidden="false" customHeight="true" outlineLevel="0" collapsed="false">
      <c r="A573" s="14" t="n">
        <f aca="false">IF(D573="","",DATE(B573,C573,1))</f>
        <v>20363</v>
      </c>
      <c r="B573" s="15" t="n">
        <f aca="false" t="array" ref="B573:B573">IF(D573="","",IFERROR(VALUE(INDEX(Vazoes_COLAR!$A$2:$A$200,INT((ROW()-24)/12)+1)),""))</f>
        <v>1955</v>
      </c>
      <c r="C573" s="15" t="n">
        <f aca="false">IF(D573="","",MOD(ROW()-24,12)+1)</f>
        <v>10</v>
      </c>
      <c r="D573" s="16" t="n">
        <f aca="false" t="array" ref="D573: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0.0406102674844443</v>
      </c>
      <c r="E573" s="16" t="n">
        <f aca="false">IF(D573="","",D573*$B$15)</f>
        <v>0.10526181331968</v>
      </c>
      <c r="F573" s="16" t="n">
        <f aca="false" t="array" ref="F573:F573">IF(D573="","",IFERROR(INDEX(Dados_Evap!$C$2:$N$15,MATCH($B$9,Dados_Evap!$A$2:$A$15,0),C573),0))</f>
        <v>262.9</v>
      </c>
      <c r="G573" s="16" t="n">
        <f aca="false">IF(F573="","",F573/1000)</f>
        <v>0.2629</v>
      </c>
      <c r="H573" s="16" t="n">
        <f aca="false">IF(D573="","",MAX(0,MIN($B$8,IFERROR(LOOKUP(2,1/($U$24:U572&lt;&gt;""),$U$24:U572),$B$11))))</f>
        <v>27.3340594409042</v>
      </c>
      <c r="I573" s="16" t="n">
        <f aca="false" t="array" ref="I573: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>4.95557704871529</v>
      </c>
      <c r="J573" s="16" t="n">
        <f aca="false">IF(D573="","",$B$12)</f>
        <v>0.35</v>
      </c>
      <c r="K573" s="16" t="n">
        <f aca="false">IF(J573="","",J573*$B$15)</f>
        <v>0.9072</v>
      </c>
      <c r="L573" s="16" t="n">
        <f aca="false">IF(D573="","",H573+E573-K573-G573*I573)</f>
        <v>25.2293000481167</v>
      </c>
      <c r="M573" s="16" t="n">
        <f aca="false" t="array" ref="M573: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>4.73692728655192</v>
      </c>
      <c r="N573" s="16" t="n">
        <f aca="false">IF(D573="","",(I573+M573)/2)</f>
        <v>4.84625216763361</v>
      </c>
      <c r="O573" s="16" t="n">
        <f aca="false">IF(D573="","",G573*N573)</f>
        <v>1.27407969487088</v>
      </c>
      <c r="P573" s="16" t="n">
        <f aca="false">IF(D573="","",H573+E573-K573-O573)</f>
        <v>25.258041559353</v>
      </c>
      <c r="Q573" s="16" t="n">
        <f aca="false">IF(D573="","",IF(P573&gt;=0,K573,MAX(0,K573+P573)))</f>
        <v>0.9072</v>
      </c>
      <c r="R573" s="16" t="n">
        <f aca="false">IF(D573="","",Q573/$B$15)</f>
        <v>0.35</v>
      </c>
      <c r="S573" s="16" t="n">
        <f aca="false">IF(D573="","",MAX(0,J573-R573))</f>
        <v>0</v>
      </c>
      <c r="T573" s="16" t="n">
        <f aca="false">IF(D573="","",MAX(0,Z573-$B$8))</f>
        <v>0</v>
      </c>
      <c r="U573" s="16" t="n">
        <f aca="false">IF(D573="","",MAX(0,MIN($B$8,Z573)))</f>
        <v>25.258041559353</v>
      </c>
      <c r="V573" s="16" t="str">
        <f aca="false">IF(D573="","",IF(S573&gt;0.0000001,"Sim","Não"))</f>
        <v>Não</v>
      </c>
      <c r="W573" s="16" t="n">
        <f aca="false">IF(D573="","",U573-(H573+E573-Q573-O573-T573))</f>
        <v>0</v>
      </c>
      <c r="X573" s="16" t="n">
        <f aca="false">IF(W573="","",ABS(W573))</f>
        <v>0</v>
      </c>
      <c r="Y573" s="16" t="n">
        <f aca="false">IF(U573="","",IF($B$8=0,0,U573/$B$8*100))</f>
        <v>53.4901346026112</v>
      </c>
      <c r="Z573" s="18" t="n">
        <f aca="false">IF(D573="","",MAX(0,IF(P573&gt;=0,P573,IF(K573+P573&gt;=0,0,P573+K573))))</f>
        <v>25.258041559353</v>
      </c>
      <c r="AA573" s="18" t="n">
        <f aca="false">IF(D573="","",IF(H573&lt;=$B$16,1,IF(H573&gt;=$B$17,$B$21,MATCH(H573,Aux_CAV!$A$2:$A$121,1))))</f>
        <v>12</v>
      </c>
      <c r="AB573" s="18" t="n">
        <f aca="false">IF(D573="","",IF(L573&lt;=$B$16,1,IF(L573&gt;=$B$17,$B$21,MATCH(L573,Aux_CAV!$A$2:$A$121,1))))</f>
        <v>12</v>
      </c>
      <c r="AC573" s="19" t="n">
        <f aca="false">IF(D573="","",COUNT($D$24:D573))</f>
        <v>538</v>
      </c>
    </row>
    <row r="574" customFormat="false" ht="12.75" hidden="false" customHeight="true" outlineLevel="0" collapsed="false">
      <c r="A574" s="14" t="n">
        <f aca="false">IF(D574="","",DATE(B574,C574,1))</f>
        <v>20394</v>
      </c>
      <c r="B574" s="15" t="n">
        <f aca="false" t="array" ref="B574:B574">IF(D574="","",IFERROR(VALUE(INDEX(Vazoes_COLAR!$A$2:$A$200,INT((ROW()-24)/12)+1)),""))</f>
        <v>1955</v>
      </c>
      <c r="C574" s="15" t="n">
        <f aca="false">IF(D574="","",MOD(ROW()-24,12)+1)</f>
        <v>11</v>
      </c>
      <c r="D574" s="16" t="n">
        <f aca="false" t="array" ref="D574: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0.0230190952335019</v>
      </c>
      <c r="E574" s="16" t="n">
        <f aca="false">IF(D574="","",D574*$B$15)</f>
        <v>0.0596654948452369</v>
      </c>
      <c r="F574" s="16" t="n">
        <f aca="false" t="array" ref="F574:F574">IF(D574="","",IFERROR(INDEX(Dados_Evap!$C$2:$N$15,MATCH($B$9,Dados_Evap!$A$2:$A$15,0),C574),0))</f>
        <v>223.7</v>
      </c>
      <c r="G574" s="16" t="n">
        <f aca="false">IF(F574="","",F574/1000)</f>
        <v>0.2237</v>
      </c>
      <c r="H574" s="16" t="n">
        <f aca="false">IF(D574="","",MAX(0,MIN($B$8,IFERROR(LOOKUP(2,1/($U$24:U573&lt;&gt;""),$U$24:U573),$B$11))))</f>
        <v>25.258041559353</v>
      </c>
      <c r="I574" s="16" t="n">
        <f aca="false" t="array" ref="I574: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>4.73991305519493</v>
      </c>
      <c r="J574" s="16" t="n">
        <f aca="false">IF(D574="","",$B$12)</f>
        <v>0.35</v>
      </c>
      <c r="K574" s="16" t="n">
        <f aca="false">IF(J574="","",J574*$B$15)</f>
        <v>0.9072</v>
      </c>
      <c r="L574" s="16" t="n">
        <f aca="false">IF(D574="","",H574+E574-K574-G574*I574)</f>
        <v>23.3501885037512</v>
      </c>
      <c r="M574" s="16" t="n">
        <f aca="false" t="array" ref="M574: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>4.52843716264343</v>
      </c>
      <c r="N574" s="16" t="n">
        <f aca="false">IF(D574="","",(I574+M574)/2)</f>
        <v>4.63417510891918</v>
      </c>
      <c r="O574" s="16" t="n">
        <f aca="false">IF(D574="","",G574*N574)</f>
        <v>1.03666497186522</v>
      </c>
      <c r="P574" s="16" t="n">
        <f aca="false">IF(D574="","",H574+E574-K574-O574)</f>
        <v>23.373842082333</v>
      </c>
      <c r="Q574" s="16" t="n">
        <f aca="false">IF(D574="","",IF(P574&gt;=0,K574,MAX(0,K574+P574)))</f>
        <v>0.9072</v>
      </c>
      <c r="R574" s="16" t="n">
        <f aca="false">IF(D574="","",Q574/$B$15)</f>
        <v>0.35</v>
      </c>
      <c r="S574" s="16" t="n">
        <f aca="false">IF(D574="","",MAX(0,J574-R574))</f>
        <v>0</v>
      </c>
      <c r="T574" s="16" t="n">
        <f aca="false">IF(D574="","",MAX(0,Z574-$B$8))</f>
        <v>0</v>
      </c>
      <c r="U574" s="16" t="n">
        <f aca="false">IF(D574="","",MAX(0,MIN($B$8,Z574)))</f>
        <v>23.373842082333</v>
      </c>
      <c r="V574" s="16" t="str">
        <f aca="false">IF(D574="","",IF(S574&gt;0.0000001,"Sim","Não"))</f>
        <v>Não</v>
      </c>
      <c r="W574" s="16" t="n">
        <f aca="false">IF(D574="","",U574-(H574+E574-Q574-O574-T574))</f>
        <v>0</v>
      </c>
      <c r="X574" s="16" t="n">
        <f aca="false">IF(W574="","",ABS(W574))</f>
        <v>0</v>
      </c>
      <c r="Y574" s="16" t="n">
        <f aca="false">IF(U574="","",IF($B$8=0,0,U574/$B$8*100))</f>
        <v>49.4998773450509</v>
      </c>
      <c r="Z574" s="18" t="n">
        <f aca="false">IF(D574="","",MAX(0,IF(P574&gt;=0,P574,IF(K574+P574&gt;=0,0,P574+K574))))</f>
        <v>23.373842082333</v>
      </c>
      <c r="AA574" s="18" t="n">
        <f aca="false">IF(D574="","",IF(H574&lt;=$B$16,1,IF(H574&gt;=$B$17,$B$21,MATCH(H574,Aux_CAV!$A$2:$A$121,1))))</f>
        <v>12</v>
      </c>
      <c r="AB574" s="18" t="n">
        <f aca="false">IF(D574="","",IF(L574&lt;=$B$16,1,IF(L574&gt;=$B$17,$B$21,MATCH(L574,Aux_CAV!$A$2:$A$121,1))))</f>
        <v>11</v>
      </c>
      <c r="AC574" s="19" t="n">
        <f aca="false">IF(D574="","",COUNT($D$24:D574))</f>
        <v>539</v>
      </c>
    </row>
    <row r="575" customFormat="false" ht="12.75" hidden="false" customHeight="true" outlineLevel="0" collapsed="false">
      <c r="A575" s="14" t="n">
        <f aca="false">IF(D575="","",DATE(B575,C575,1))</f>
        <v>20424</v>
      </c>
      <c r="B575" s="15" t="n">
        <f aca="false" t="array" ref="B575:B575">IF(D575="","",IFERROR(VALUE(INDEX(Vazoes_COLAR!$A$2:$A$200,INT((ROW()-24)/12)+1)),""))</f>
        <v>1955</v>
      </c>
      <c r="C575" s="15" t="n">
        <f aca="false">IF(D575="","",MOD(ROW()-24,12)+1)</f>
        <v>12</v>
      </c>
      <c r="D575" s="16" t="n">
        <f aca="false" t="array" ref="D575: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0.0359606344638057</v>
      </c>
      <c r="E575" s="16" t="n">
        <f aca="false">IF(D575="","",D575*$B$15)</f>
        <v>0.0932099645301844</v>
      </c>
      <c r="F575" s="16" t="n">
        <f aca="false" t="array" ref="F575:F575">IF(D575="","",IFERROR(INDEX(Dados_Evap!$C$2:$N$15,MATCH($B$9,Dados_Evap!$A$2:$A$15,0),C575),0))</f>
        <v>216.1</v>
      </c>
      <c r="G575" s="16" t="n">
        <f aca="false">IF(F575="","",F575/1000)</f>
        <v>0.2161</v>
      </c>
      <c r="H575" s="16" t="n">
        <f aca="false">IF(D575="","",MAX(0,MIN($B$8,IFERROR(LOOKUP(2,1/($U$24:U574&lt;&gt;""),$U$24:U574),$B$11))))</f>
        <v>23.373842082333</v>
      </c>
      <c r="I575" s="16" t="n">
        <f aca="false" t="array" ref="I575: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>4.53126405374224</v>
      </c>
      <c r="J575" s="16" t="n">
        <f aca="false">IF(D575="","",$B$12)</f>
        <v>0.35</v>
      </c>
      <c r="K575" s="16" t="n">
        <f aca="false">IF(J575="","",J575*$B$15)</f>
        <v>0.9072</v>
      </c>
      <c r="L575" s="16" t="n">
        <f aca="false">IF(D575="","",H575+E575-K575-G575*I575)</f>
        <v>21.5806458848495</v>
      </c>
      <c r="M575" s="16" t="n">
        <f aca="false" t="array" ref="M575: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>4.31695523989665</v>
      </c>
      <c r="N575" s="16" t="n">
        <f aca="false">IF(D575="","",(I575+M575)/2)</f>
        <v>4.42410964681945</v>
      </c>
      <c r="O575" s="16" t="n">
        <f aca="false">IF(D575="","",G575*N575)</f>
        <v>0.956050094677682</v>
      </c>
      <c r="P575" s="16" t="n">
        <f aca="false">IF(D575="","",H575+E575-K575-O575)</f>
        <v>21.6038019521855</v>
      </c>
      <c r="Q575" s="16" t="n">
        <f aca="false">IF(D575="","",IF(P575&gt;=0,K575,MAX(0,K575+P575)))</f>
        <v>0.9072</v>
      </c>
      <c r="R575" s="16" t="n">
        <f aca="false">IF(D575="","",Q575/$B$15)</f>
        <v>0.35</v>
      </c>
      <c r="S575" s="16" t="n">
        <f aca="false">IF(D575="","",MAX(0,J575-R575))</f>
        <v>0</v>
      </c>
      <c r="T575" s="16" t="n">
        <f aca="false">IF(D575="","",MAX(0,Z575-$B$8))</f>
        <v>0</v>
      </c>
      <c r="U575" s="16" t="n">
        <f aca="false">IF(D575="","",MAX(0,MIN($B$8,Z575)))</f>
        <v>21.6038019521855</v>
      </c>
      <c r="V575" s="16" t="str">
        <f aca="false">IF(D575="","",IF(S575&gt;0.0000001,"Sim","Não"))</f>
        <v>Não</v>
      </c>
      <c r="W575" s="16" t="n">
        <f aca="false">IF(D575="","",U575-(H575+E575-Q575-O575-T575))</f>
        <v>0</v>
      </c>
      <c r="X575" s="16" t="n">
        <f aca="false">IF(W575="","",ABS(W575))</f>
        <v>0</v>
      </c>
      <c r="Y575" s="16" t="n">
        <f aca="false">IF(U575="","",IF($B$8=0,0,U575/$B$8*100))</f>
        <v>45.7513806696009</v>
      </c>
      <c r="Z575" s="18" t="n">
        <f aca="false">IF(D575="","",MAX(0,IF(P575&gt;=0,P575,IF(K575+P575&gt;=0,0,P575+K575))))</f>
        <v>21.6038019521855</v>
      </c>
      <c r="AA575" s="18" t="n">
        <f aca="false">IF(D575="","",IF(H575&lt;=$B$16,1,IF(H575&gt;=$B$17,$B$21,MATCH(H575,Aux_CAV!$A$2:$A$121,1))))</f>
        <v>11</v>
      </c>
      <c r="AB575" s="18" t="n">
        <f aca="false">IF(D575="","",IF(L575&lt;=$B$16,1,IF(L575&gt;=$B$17,$B$21,MATCH(L575,Aux_CAV!$A$2:$A$121,1))))</f>
        <v>11</v>
      </c>
      <c r="AC575" s="19" t="n">
        <f aca="false">IF(D575="","",COUNT($D$24:D575))</f>
        <v>540</v>
      </c>
    </row>
    <row r="576" customFormat="false" ht="12.75" hidden="false" customHeight="true" outlineLevel="0" collapsed="false">
      <c r="A576" s="14" t="n">
        <f aca="false">IF(D576="","",DATE(B576,C576,1))</f>
        <v>20455</v>
      </c>
      <c r="B576" s="15" t="n">
        <f aca="false" t="array" ref="B576:B576">IF(D576="","",IFERROR(VALUE(INDEX(Vazoes_COLAR!$A$2:$A$200,INT((ROW()-24)/12)+1)),""))</f>
        <v>1956</v>
      </c>
      <c r="C576" s="15" t="n">
        <f aca="false">IF(D576="","",MOD(ROW()-24,12)+1)</f>
        <v>1</v>
      </c>
      <c r="D576" s="16" t="n">
        <f aca="false" t="array" ref="D576: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0.01825360872184</v>
      </c>
      <c r="E576" s="16" t="n">
        <f aca="false">IF(D576="","",D576*$B$15)</f>
        <v>0.0473133538070093</v>
      </c>
      <c r="F576" s="16" t="n">
        <f aca="false" t="array" ref="F576:F576">IF(D576="","",IFERROR(INDEX(Dados_Evap!$C$2:$N$15,MATCH($B$9,Dados_Evap!$A$2:$A$15,0),C576),0))</f>
        <v>160</v>
      </c>
      <c r="G576" s="16" t="n">
        <f aca="false">IF(F576="","",F576/1000)</f>
        <v>0.16</v>
      </c>
      <c r="H576" s="16" t="n">
        <f aca="false">IF(D576="","",MAX(0,MIN($B$8,IFERROR(LOOKUP(2,1/($U$24:U575&lt;&gt;""),$U$24:U575),$B$11))))</f>
        <v>21.6038019521855</v>
      </c>
      <c r="I576" s="16" t="n">
        <f aca="false" t="array" ref="I576: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>4.31972267233437</v>
      </c>
      <c r="J576" s="16" t="n">
        <f aca="false">IF(D576="","",$B$12)</f>
        <v>0.35</v>
      </c>
      <c r="K576" s="16" t="n">
        <f aca="false">IF(J576="","",J576*$B$15)</f>
        <v>0.9072</v>
      </c>
      <c r="L576" s="16" t="n">
        <f aca="false">IF(D576="","",H576+E576-K576-G576*I576)</f>
        <v>20.0527596784191</v>
      </c>
      <c r="M576" s="16" t="n">
        <f aca="false" t="array" ref="M576: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>4.13435420546959</v>
      </c>
      <c r="N576" s="16" t="n">
        <f aca="false">IF(D576="","",(I576+M576)/2)</f>
        <v>4.22703843890198</v>
      </c>
      <c r="O576" s="16" t="n">
        <f aca="false">IF(D576="","",G576*N576)</f>
        <v>0.676326150224317</v>
      </c>
      <c r="P576" s="16" t="n">
        <f aca="false">IF(D576="","",H576+E576-K576-O576)</f>
        <v>20.0675891557682</v>
      </c>
      <c r="Q576" s="16" t="n">
        <f aca="false">IF(D576="","",IF(P576&gt;=0,K576,MAX(0,K576+P576)))</f>
        <v>0.9072</v>
      </c>
      <c r="R576" s="16" t="n">
        <f aca="false">IF(D576="","",Q576/$B$15)</f>
        <v>0.35</v>
      </c>
      <c r="S576" s="16" t="n">
        <f aca="false">IF(D576="","",MAX(0,J576-R576))</f>
        <v>0</v>
      </c>
      <c r="T576" s="16" t="n">
        <f aca="false">IF(D576="","",MAX(0,Z576-$B$8))</f>
        <v>0</v>
      </c>
      <c r="U576" s="16" t="n">
        <f aca="false">IF(D576="","",MAX(0,MIN($B$8,Z576)))</f>
        <v>20.0675891557682</v>
      </c>
      <c r="V576" s="16" t="str">
        <f aca="false">IF(D576="","",IF(S576&gt;0.0000001,"Sim","Não"))</f>
        <v>Não</v>
      </c>
      <c r="W576" s="16" t="n">
        <f aca="false">IF(D576="","",U576-(H576+E576-Q576-O576-T576))</f>
        <v>0</v>
      </c>
      <c r="X576" s="16" t="n">
        <f aca="false">IF(W576="","",ABS(W576))</f>
        <v>0</v>
      </c>
      <c r="Y576" s="16" t="n">
        <f aca="false">IF(U576="","",IF($B$8=0,0,U576/$B$8*100))</f>
        <v>42.498071062618</v>
      </c>
      <c r="Z576" s="18" t="n">
        <f aca="false">IF(D576="","",MAX(0,IF(P576&gt;=0,P576,IF(K576+P576&gt;=0,0,P576+K576))))</f>
        <v>20.0675891557682</v>
      </c>
      <c r="AA576" s="18" t="n">
        <f aca="false">IF(D576="","",IF(H576&lt;=$B$16,1,IF(H576&gt;=$B$17,$B$21,MATCH(H576,Aux_CAV!$A$2:$A$121,1))))</f>
        <v>11</v>
      </c>
      <c r="AB576" s="18" t="n">
        <f aca="false">IF(D576="","",IF(L576&lt;=$B$16,1,IF(L576&gt;=$B$17,$B$21,MATCH(L576,Aux_CAV!$A$2:$A$121,1))))</f>
        <v>11</v>
      </c>
      <c r="AC576" s="19" t="n">
        <f aca="false">IF(D576="","",COUNT($D$24:D576))</f>
        <v>541</v>
      </c>
    </row>
    <row r="577" customFormat="false" ht="12.75" hidden="false" customHeight="true" outlineLevel="0" collapsed="false">
      <c r="A577" s="14" t="n">
        <f aca="false">IF(D577="","",DATE(B577,C577,1))</f>
        <v>20486</v>
      </c>
      <c r="B577" s="15" t="n">
        <f aca="false" t="array" ref="B577:B577">IF(D577="","",IFERROR(VALUE(INDEX(Vazoes_COLAR!$A$2:$A$200,INT((ROW()-24)/12)+1)),""))</f>
        <v>1956</v>
      </c>
      <c r="C577" s="15" t="n">
        <f aca="false">IF(D577="","",MOD(ROW()-24,12)+1)</f>
        <v>2</v>
      </c>
      <c r="D577" s="16" t="n">
        <f aca="false" t="array" ref="D577: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3.57829680293793</v>
      </c>
      <c r="E577" s="16" t="n">
        <f aca="false">IF(D577="","",D577*$B$15)</f>
        <v>9.27494531321512</v>
      </c>
      <c r="F577" s="16" t="n">
        <f aca="false" t="array" ref="F577:F577">IF(D577="","",IFERROR(INDEX(Dados_Evap!$C$2:$N$15,MATCH($B$9,Dados_Evap!$A$2:$A$15,0),C577),0))</f>
        <v>124.3</v>
      </c>
      <c r="G577" s="16" t="n">
        <f aca="false">IF(F577="","",F577/1000)</f>
        <v>0.1243</v>
      </c>
      <c r="H577" s="16" t="n">
        <f aca="false">IF(D577="","",MAX(0,MIN($B$8,IFERROR(LOOKUP(2,1/($U$24:U576&lt;&gt;""),$U$24:U576),$B$11))))</f>
        <v>20.0675891557682</v>
      </c>
      <c r="I577" s="16" t="n">
        <f aca="false" t="array" ref="I577: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>4.13612650886011</v>
      </c>
      <c r="J577" s="16" t="n">
        <f aca="false">IF(D577="","",$B$12)</f>
        <v>0.35</v>
      </c>
      <c r="K577" s="16" t="n">
        <f aca="false">IF(J577="","",J577*$B$15)</f>
        <v>0.9072</v>
      </c>
      <c r="L577" s="16" t="n">
        <f aca="false">IF(D577="","",H577+E577-K577-G577*I577)</f>
        <v>27.921213943932</v>
      </c>
      <c r="M577" s="16" t="n">
        <f aca="false" t="array" ref="M577: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>5.01657271068032</v>
      </c>
      <c r="N577" s="16" t="n">
        <f aca="false">IF(D577="","",(I577+M577)/2)</f>
        <v>4.57634960977021</v>
      </c>
      <c r="O577" s="16" t="n">
        <f aca="false">IF(D577="","",G577*N577)</f>
        <v>0.568840256494438</v>
      </c>
      <c r="P577" s="16" t="n">
        <f aca="false">IF(D577="","",H577+E577-K577-O577)</f>
        <v>27.8664942124889</v>
      </c>
      <c r="Q577" s="16" t="n">
        <f aca="false">IF(D577="","",IF(P577&gt;=0,K577,MAX(0,K577+P577)))</f>
        <v>0.9072</v>
      </c>
      <c r="R577" s="16" t="n">
        <f aca="false">IF(D577="","",Q577/$B$15)</f>
        <v>0.35</v>
      </c>
      <c r="S577" s="16" t="n">
        <f aca="false">IF(D577="","",MAX(0,J577-R577))</f>
        <v>0</v>
      </c>
      <c r="T577" s="16" t="n">
        <f aca="false">IF(D577="","",MAX(0,Z577-$B$8))</f>
        <v>0</v>
      </c>
      <c r="U577" s="16" t="n">
        <f aca="false">IF(D577="","",MAX(0,MIN($B$8,Z577)))</f>
        <v>27.8664942124889</v>
      </c>
      <c r="V577" s="16" t="str">
        <f aca="false">IF(D577="","",IF(S577&gt;0.0000001,"Sim","Não"))</f>
        <v>Não</v>
      </c>
      <c r="W577" s="16" t="n">
        <f aca="false">IF(D577="","",U577-(H577+E577-Q577-O577-T577))</f>
        <v>0</v>
      </c>
      <c r="X577" s="16" t="n">
        <f aca="false">IF(W577="","",ABS(W577))</f>
        <v>0</v>
      </c>
      <c r="Y577" s="16" t="n">
        <f aca="false">IF(U577="","",IF($B$8=0,0,U577/$B$8*100))</f>
        <v>59.0141766465246</v>
      </c>
      <c r="Z577" s="18" t="n">
        <f aca="false">IF(D577="","",MAX(0,IF(P577&gt;=0,P577,IF(K577+P577&gt;=0,0,P577+K577))))</f>
        <v>27.8664942124889</v>
      </c>
      <c r="AA577" s="18" t="n">
        <f aca="false">IF(D577="","",IF(H577&lt;=$B$16,1,IF(H577&gt;=$B$17,$B$21,MATCH(H577,Aux_CAV!$A$2:$A$121,1))))</f>
        <v>11</v>
      </c>
      <c r="AB577" s="18" t="n">
        <f aca="false">IF(D577="","",IF(L577&lt;=$B$16,1,IF(L577&gt;=$B$17,$B$21,MATCH(L577,Aux_CAV!$A$2:$A$121,1))))</f>
        <v>12</v>
      </c>
      <c r="AC577" s="19" t="n">
        <f aca="false">IF(D577="","",COUNT($D$24:D577))</f>
        <v>542</v>
      </c>
    </row>
    <row r="578" customFormat="false" ht="12.75" hidden="false" customHeight="true" outlineLevel="0" collapsed="false">
      <c r="A578" s="14" t="n">
        <f aca="false">IF(D578="","",DATE(B578,C578,1))</f>
        <v>20515</v>
      </c>
      <c r="B578" s="15" t="n">
        <f aca="false" t="array" ref="B578:B578">IF(D578="","",IFERROR(VALUE(INDEX(Vazoes_COLAR!$A$2:$A$200,INT((ROW()-24)/12)+1)),""))</f>
        <v>1956</v>
      </c>
      <c r="C578" s="15" t="n">
        <f aca="false">IF(D578="","",MOD(ROW()-24,12)+1)</f>
        <v>3</v>
      </c>
      <c r="D578" s="16" t="n">
        <f aca="false" t="array" ref="D578: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9.28823197499374</v>
      </c>
      <c r="E578" s="16" t="n">
        <f aca="false">IF(D578="","",D578*$B$15)</f>
        <v>24.0750972791838</v>
      </c>
      <c r="F578" s="16" t="n">
        <f aca="false" t="array" ref="F578:F578">IF(D578="","",IFERROR(INDEX(Dados_Evap!$C$2:$N$15,MATCH($B$9,Dados_Evap!$A$2:$A$15,0),C578),0))</f>
        <v>107.7</v>
      </c>
      <c r="G578" s="16" t="n">
        <f aca="false">IF(F578="","",F578/1000)</f>
        <v>0.1077</v>
      </c>
      <c r="H578" s="16" t="n">
        <f aca="false">IF(D578="","",MAX(0,MIN($B$8,IFERROR(LOOKUP(2,1/($U$24:U577&lt;&gt;""),$U$24:U577),$B$11))))</f>
        <v>27.8664942124889</v>
      </c>
      <c r="I578" s="16" t="n">
        <f aca="false" t="array" ref="I578: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>5.01088823372458</v>
      </c>
      <c r="J578" s="16" t="n">
        <f aca="false">IF(D578="","",$B$12)</f>
        <v>0.35</v>
      </c>
      <c r="K578" s="16" t="n">
        <f aca="false">IF(J578="","",J578*$B$15)</f>
        <v>0.9072</v>
      </c>
      <c r="L578" s="16" t="n">
        <f aca="false">IF(D578="","",H578+E578-K578-G578*I578)</f>
        <v>50.4947188289006</v>
      </c>
      <c r="M578" s="16" t="n">
        <f aca="false" t="array" ref="M578: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>7.35604408958584</v>
      </c>
      <c r="N578" s="16" t="n">
        <f aca="false">IF(D578="","",(I578+M578)/2)</f>
        <v>6.18346616165521</v>
      </c>
      <c r="O578" s="16" t="n">
        <f aca="false">IF(D578="","",G578*N578)</f>
        <v>0.665959305610266</v>
      </c>
      <c r="P578" s="16" t="n">
        <f aca="false">IF(D578="","",H578+E578-K578-O578)</f>
        <v>50.3684321860624</v>
      </c>
      <c r="Q578" s="16" t="n">
        <f aca="false">IF(D578="","",IF(P578&gt;=0,K578,MAX(0,K578+P578)))</f>
        <v>0.9072</v>
      </c>
      <c r="R578" s="16" t="n">
        <f aca="false">IF(D578="","",Q578/$B$15)</f>
        <v>0.35</v>
      </c>
      <c r="S578" s="16" t="n">
        <f aca="false">IF(D578="","",MAX(0,J578-R578))</f>
        <v>0</v>
      </c>
      <c r="T578" s="16" t="n">
        <f aca="false">IF(D578="","",MAX(0,Z578-$B$8))</f>
        <v>3.14843218606243</v>
      </c>
      <c r="U578" s="16" t="n">
        <f aca="false">IF(D578="","",MAX(0,MIN($B$8,Z578)))</f>
        <v>47.22</v>
      </c>
      <c r="V578" s="16" t="str">
        <f aca="false">IF(D578="","",IF(S578&gt;0.0000001,"Sim","Não"))</f>
        <v>Não</v>
      </c>
      <c r="W578" s="16" t="n">
        <f aca="false">IF(D578="","",U578-(H578+E578-Q578-O578-T578))</f>
        <v>0</v>
      </c>
      <c r="X578" s="16" t="n">
        <f aca="false">IF(W578="","",ABS(W578))</f>
        <v>0</v>
      </c>
      <c r="Y578" s="16" t="n">
        <f aca="false">IF(U578="","",IF($B$8=0,0,U578/$B$8*100))</f>
        <v>100</v>
      </c>
      <c r="Z578" s="18" t="n">
        <f aca="false">IF(D578="","",MAX(0,IF(P578&gt;=0,P578,IF(K578+P578&gt;=0,0,P578+K578))))</f>
        <v>50.3684321860624</v>
      </c>
      <c r="AA578" s="18" t="n">
        <f aca="false">IF(D578="","",IF(H578&lt;=$B$16,1,IF(H578&gt;=$B$17,$B$21,MATCH(H578,Aux_CAV!$A$2:$A$121,1))))</f>
        <v>12</v>
      </c>
      <c r="AB578" s="18" t="n">
        <f aca="false">IF(D578="","",IF(L578&lt;=$B$16,1,IF(L578&gt;=$B$17,$B$21,MATCH(L578,Aux_CAV!$A$2:$A$121,1))))</f>
        <v>14</v>
      </c>
      <c r="AC578" s="19" t="n">
        <f aca="false">IF(D578="","",COUNT($D$24:D578))</f>
        <v>543</v>
      </c>
    </row>
    <row r="579" customFormat="false" ht="12.75" hidden="false" customHeight="true" outlineLevel="0" collapsed="false">
      <c r="A579" s="14" t="n">
        <f aca="false">IF(D579="","",DATE(B579,C579,1))</f>
        <v>20546</v>
      </c>
      <c r="B579" s="15" t="n">
        <f aca="false" t="array" ref="B579:B579">IF(D579="","",IFERROR(VALUE(INDEX(Vazoes_COLAR!$A$2:$A$200,INT((ROW()-24)/12)+1)),""))</f>
        <v>1956</v>
      </c>
      <c r="C579" s="15" t="n">
        <f aca="false">IF(D579="","",MOD(ROW()-24,12)+1)</f>
        <v>4</v>
      </c>
      <c r="D579" s="16" t="n">
        <f aca="false" t="array" ref="D579: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8.99448043103957</v>
      </c>
      <c r="E579" s="16" t="n">
        <f aca="false">IF(D579="","",D579*$B$15)</f>
        <v>23.3136932772546</v>
      </c>
      <c r="F579" s="16" t="n">
        <f aca="false" t="array" ref="F579:F579">IF(D579="","",IFERROR(INDEX(Dados_Evap!$C$2:$N$15,MATCH($B$9,Dados_Evap!$A$2:$A$15,0),C579),0))</f>
        <v>100.5</v>
      </c>
      <c r="G579" s="16" t="n">
        <f aca="false">IF(F579="","",F579/1000)</f>
        <v>0.1005</v>
      </c>
      <c r="H579" s="16" t="n">
        <f aca="false">IF(D579="","",MAX(0,MIN($B$8,IFERROR(LOOKUP(2,1/($U$24:U578&lt;&gt;""),$U$24:U578),$B$11))))</f>
        <v>47.22</v>
      </c>
      <c r="I579" s="16" t="n">
        <f aca="false" t="array" ref="I579: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>6.97</v>
      </c>
      <c r="J579" s="16" t="n">
        <f aca="false">IF(D579="","",$B$12)</f>
        <v>0.35</v>
      </c>
      <c r="K579" s="16" t="n">
        <f aca="false">IF(J579="","",J579*$B$15)</f>
        <v>0.9072</v>
      </c>
      <c r="L579" s="16" t="n">
        <f aca="false">IF(D579="","",H579+E579-K579-G579*I579)</f>
        <v>68.9260082772546</v>
      </c>
      <c r="M579" s="16" t="n">
        <f aca="false" t="array" ref="M579: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>9.53704142946106</v>
      </c>
      <c r="N579" s="16" t="n">
        <f aca="false">IF(D579="","",(I579+M579)/2)</f>
        <v>8.25352071473053</v>
      </c>
      <c r="O579" s="16" t="n">
        <f aca="false">IF(D579="","",G579*N579)</f>
        <v>0.829478831830418</v>
      </c>
      <c r="P579" s="16" t="n">
        <f aca="false">IF(D579="","",H579+E579-K579-O579)</f>
        <v>68.7970144454242</v>
      </c>
      <c r="Q579" s="16" t="n">
        <f aca="false">IF(D579="","",IF(P579&gt;=0,K579,MAX(0,K579+P579)))</f>
        <v>0.9072</v>
      </c>
      <c r="R579" s="16" t="n">
        <f aca="false">IF(D579="","",Q579/$B$15)</f>
        <v>0.35</v>
      </c>
      <c r="S579" s="16" t="n">
        <f aca="false">IF(D579="","",MAX(0,J579-R579))</f>
        <v>0</v>
      </c>
      <c r="T579" s="16" t="n">
        <f aca="false">IF(D579="","",MAX(0,Z579-$B$8))</f>
        <v>21.5770144454242</v>
      </c>
      <c r="U579" s="16" t="n">
        <f aca="false">IF(D579="","",MAX(0,MIN($B$8,Z579)))</f>
        <v>47.22</v>
      </c>
      <c r="V579" s="16" t="str">
        <f aca="false">IF(D579="","",IF(S579&gt;0.0000001,"Sim","Não"))</f>
        <v>Não</v>
      </c>
      <c r="W579" s="16" t="n">
        <f aca="false">IF(D579="","",U579-(H579+E579-Q579-O579-T579))</f>
        <v>0</v>
      </c>
      <c r="X579" s="16" t="n">
        <f aca="false">IF(W579="","",ABS(W579))</f>
        <v>0</v>
      </c>
      <c r="Y579" s="16" t="n">
        <f aca="false">IF(U579="","",IF($B$8=0,0,U579/$B$8*100))</f>
        <v>100</v>
      </c>
      <c r="Z579" s="18" t="n">
        <f aca="false">IF(D579="","",MAX(0,IF(P579&gt;=0,P579,IF(K579+P579&gt;=0,0,P579+K579))))</f>
        <v>68.7970144454242</v>
      </c>
      <c r="AA579" s="18" t="n">
        <f aca="false">IF(D579="","",IF(H579&lt;=$B$16,1,IF(H579&gt;=$B$17,$B$21,MATCH(H579,Aux_CAV!$A$2:$A$121,1))))</f>
        <v>14</v>
      </c>
      <c r="AB579" s="18" t="n">
        <f aca="false">IF(D579="","",IF(L579&lt;=$B$16,1,IF(L579&gt;=$B$17,$B$21,MATCH(L579,Aux_CAV!$A$2:$A$121,1))))</f>
        <v>16</v>
      </c>
      <c r="AC579" s="19" t="n">
        <f aca="false">IF(D579="","",COUNT($D$24:D579))</f>
        <v>544</v>
      </c>
    </row>
    <row r="580" customFormat="false" ht="12.75" hidden="false" customHeight="true" outlineLevel="0" collapsed="false">
      <c r="A580" s="14" t="n">
        <f aca="false">IF(D580="","",DATE(B580,C580,1))</f>
        <v>20576</v>
      </c>
      <c r="B580" s="15" t="n">
        <f aca="false" t="array" ref="B580:B580">IF(D580="","",IFERROR(VALUE(INDEX(Vazoes_COLAR!$A$2:$A$200,INT((ROW()-24)/12)+1)),""))</f>
        <v>1956</v>
      </c>
      <c r="C580" s="15" t="n">
        <f aca="false">IF(D580="","",MOD(ROW()-24,12)+1)</f>
        <v>5</v>
      </c>
      <c r="D580" s="16" t="n">
        <f aca="false" t="array" ref="D580: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1.73095721167098</v>
      </c>
      <c r="E580" s="16" t="n">
        <f aca="false">IF(D580="","",D580*$B$15)</f>
        <v>4.48664109265118</v>
      </c>
      <c r="F580" s="16" t="n">
        <f aca="false" t="array" ref="F580:F580">IF(D580="","",IFERROR(INDEX(Dados_Evap!$C$2:$N$15,MATCH($B$9,Dados_Evap!$A$2:$A$15,0),C580),0))</f>
        <v>145.8</v>
      </c>
      <c r="G580" s="16" t="n">
        <f aca="false">IF(F580="","",F580/1000)</f>
        <v>0.1458</v>
      </c>
      <c r="H580" s="16" t="n">
        <f aca="false">IF(D580="","",MAX(0,MIN($B$8,IFERROR(LOOKUP(2,1/($U$24:U579&lt;&gt;""),$U$24:U579),$B$11))))</f>
        <v>47.22</v>
      </c>
      <c r="I580" s="16" t="n">
        <f aca="false" t="array" ref="I580: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>6.97</v>
      </c>
      <c r="J580" s="16" t="n">
        <f aca="false">IF(D580="","",$B$12)</f>
        <v>0.35</v>
      </c>
      <c r="K580" s="16" t="n">
        <f aca="false">IF(J580="","",J580*$B$15)</f>
        <v>0.9072</v>
      </c>
      <c r="L580" s="16" t="n">
        <f aca="false">IF(D580="","",H580+E580-K580-G580*I580)</f>
        <v>49.7832150926512</v>
      </c>
      <c r="M580" s="16" t="n">
        <f aca="false" t="array" ref="M580: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>7.27216763287351</v>
      </c>
      <c r="N580" s="16" t="n">
        <f aca="false">IF(D580="","",(I580+M580)/2)</f>
        <v>7.12108381643676</v>
      </c>
      <c r="O580" s="16" t="n">
        <f aca="false">IF(D580="","",G580*N580)</f>
        <v>1.03825402043648</v>
      </c>
      <c r="P580" s="16" t="n">
        <f aca="false">IF(D580="","",H580+E580-K580-O580)</f>
        <v>49.7611870722147</v>
      </c>
      <c r="Q580" s="16" t="n">
        <f aca="false">IF(D580="","",IF(P580&gt;=0,K580,MAX(0,K580+P580)))</f>
        <v>0.9072</v>
      </c>
      <c r="R580" s="16" t="n">
        <f aca="false">IF(D580="","",Q580/$B$15)</f>
        <v>0.35</v>
      </c>
      <c r="S580" s="16" t="n">
        <f aca="false">IF(D580="","",MAX(0,J580-R580))</f>
        <v>0</v>
      </c>
      <c r="T580" s="16" t="n">
        <f aca="false">IF(D580="","",MAX(0,Z580-$B$8))</f>
        <v>2.5411870722147</v>
      </c>
      <c r="U580" s="16" t="n">
        <f aca="false">IF(D580="","",MAX(0,MIN($B$8,Z580)))</f>
        <v>47.22</v>
      </c>
      <c r="V580" s="16" t="str">
        <f aca="false">IF(D580="","",IF(S580&gt;0.0000001,"Sim","Não"))</f>
        <v>Não</v>
      </c>
      <c r="W580" s="16" t="n">
        <f aca="false">IF(D580="","",U580-(H580+E580-Q580-O580-T580))</f>
        <v>0</v>
      </c>
      <c r="X580" s="16" t="n">
        <f aca="false">IF(W580="","",ABS(W580))</f>
        <v>0</v>
      </c>
      <c r="Y580" s="16" t="n">
        <f aca="false">IF(U580="","",IF($B$8=0,0,U580/$B$8*100))</f>
        <v>100</v>
      </c>
      <c r="Z580" s="18" t="n">
        <f aca="false">IF(D580="","",MAX(0,IF(P580&gt;=0,P580,IF(K580+P580&gt;=0,0,P580+K580))))</f>
        <v>49.7611870722147</v>
      </c>
      <c r="AA580" s="18" t="n">
        <f aca="false">IF(D580="","",IF(H580&lt;=$B$16,1,IF(H580&gt;=$B$17,$B$21,MATCH(H580,Aux_CAV!$A$2:$A$121,1))))</f>
        <v>14</v>
      </c>
      <c r="AB580" s="18" t="n">
        <f aca="false">IF(D580="","",IF(L580&lt;=$B$16,1,IF(L580&gt;=$B$17,$B$21,MATCH(L580,Aux_CAV!$A$2:$A$121,1))))</f>
        <v>14</v>
      </c>
      <c r="AC580" s="19" t="n">
        <f aca="false">IF(D580="","",COUNT($D$24:D580))</f>
        <v>545</v>
      </c>
    </row>
    <row r="581" customFormat="false" ht="12.75" hidden="false" customHeight="true" outlineLevel="0" collapsed="false">
      <c r="A581" s="14" t="n">
        <f aca="false">IF(D581="","",DATE(B581,C581,1))</f>
        <v>20607</v>
      </c>
      <c r="B581" s="15" t="n">
        <f aca="false" t="array" ref="B581:B581">IF(D581="","",IFERROR(VALUE(INDEX(Vazoes_COLAR!$A$2:$A$200,INT((ROW()-24)/12)+1)),""))</f>
        <v>1956</v>
      </c>
      <c r="C581" s="15" t="n">
        <f aca="false">IF(D581="","",MOD(ROW()-24,12)+1)</f>
        <v>6</v>
      </c>
      <c r="D581" s="16" t="n">
        <f aca="false" t="array" ref="D581: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0.31070306537644</v>
      </c>
      <c r="E581" s="16" t="n">
        <f aca="false">IF(D581="","",D581*$B$15)</f>
        <v>0.805342345455733</v>
      </c>
      <c r="F581" s="16" t="n">
        <f aca="false" t="array" ref="F581:F581">IF(D581="","",IFERROR(INDEX(Dados_Evap!$C$2:$N$15,MATCH($B$9,Dados_Evap!$A$2:$A$15,0),C581),0))</f>
        <v>161.3</v>
      </c>
      <c r="G581" s="16" t="n">
        <f aca="false">IF(F581="","",F581/1000)</f>
        <v>0.1613</v>
      </c>
      <c r="H581" s="16" t="n">
        <f aca="false">IF(D581="","",MAX(0,MIN($B$8,IFERROR(LOOKUP(2,1/($U$24:U580&lt;&gt;""),$U$24:U580),$B$11))))</f>
        <v>47.22</v>
      </c>
      <c r="I581" s="16" t="n">
        <f aca="false" t="array" ref="I581: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>6.97</v>
      </c>
      <c r="J581" s="16" t="n">
        <f aca="false">IF(D581="","",$B$12)</f>
        <v>0.35</v>
      </c>
      <c r="K581" s="16" t="n">
        <f aca="false">IF(J581="","",J581*$B$15)</f>
        <v>0.9072</v>
      </c>
      <c r="L581" s="16" t="n">
        <f aca="false">IF(D581="","",H581+E581-K581-G581*I581)</f>
        <v>45.9938813454557</v>
      </c>
      <c r="M581" s="16" t="n">
        <f aca="false" t="array" ref="M581: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>6.84758092049755</v>
      </c>
      <c r="N581" s="16" t="n">
        <f aca="false">IF(D581="","",(I581+M581)/2)</f>
        <v>6.90879046024877</v>
      </c>
      <c r="O581" s="16" t="n">
        <f aca="false">IF(D581="","",G581*N581)</f>
        <v>1.11438790123813</v>
      </c>
      <c r="P581" s="16" t="n">
        <f aca="false">IF(D581="","",H581+E581-K581-O581)</f>
        <v>46.0037544442176</v>
      </c>
      <c r="Q581" s="16" t="n">
        <f aca="false">IF(D581="","",IF(P581&gt;=0,K581,MAX(0,K581+P581)))</f>
        <v>0.9072</v>
      </c>
      <c r="R581" s="16" t="n">
        <f aca="false">IF(D581="","",Q581/$B$15)</f>
        <v>0.35</v>
      </c>
      <c r="S581" s="16" t="n">
        <f aca="false">IF(D581="","",MAX(0,J581-R581))</f>
        <v>0</v>
      </c>
      <c r="T581" s="16" t="n">
        <f aca="false">IF(D581="","",MAX(0,Z581-$B$8))</f>
        <v>0</v>
      </c>
      <c r="U581" s="16" t="n">
        <f aca="false">IF(D581="","",MAX(0,MIN($B$8,Z581)))</f>
        <v>46.0037544442176</v>
      </c>
      <c r="V581" s="16" t="str">
        <f aca="false">IF(D581="","",IF(S581&gt;0.0000001,"Sim","Não"))</f>
        <v>Não</v>
      </c>
      <c r="W581" s="16" t="n">
        <f aca="false">IF(D581="","",U581-(H581+E581-Q581-O581-T581))</f>
        <v>0</v>
      </c>
      <c r="X581" s="16" t="n">
        <f aca="false">IF(W581="","",ABS(W581))</f>
        <v>0</v>
      </c>
      <c r="Y581" s="16" t="n">
        <f aca="false">IF(U581="","",IF($B$8=0,0,U581/$B$8*100))</f>
        <v>97.4242999665769</v>
      </c>
      <c r="Z581" s="18" t="n">
        <f aca="false">IF(D581="","",MAX(0,IF(P581&gt;=0,P581,IF(K581+P581&gt;=0,0,P581+K581))))</f>
        <v>46.0037544442176</v>
      </c>
      <c r="AA581" s="18" t="n">
        <f aca="false">IF(D581="","",IF(H581&lt;=$B$16,1,IF(H581&gt;=$B$17,$B$21,MATCH(H581,Aux_CAV!$A$2:$A$121,1))))</f>
        <v>14</v>
      </c>
      <c r="AB581" s="18" t="n">
        <f aca="false">IF(D581="","",IF(L581&lt;=$B$16,1,IF(L581&gt;=$B$17,$B$21,MATCH(L581,Aux_CAV!$A$2:$A$121,1))))</f>
        <v>13</v>
      </c>
      <c r="AC581" s="19" t="n">
        <f aca="false">IF(D581="","",COUNT($D$24:D581))</f>
        <v>546</v>
      </c>
    </row>
    <row r="582" customFormat="false" ht="12.75" hidden="false" customHeight="true" outlineLevel="0" collapsed="false">
      <c r="A582" s="14" t="n">
        <f aca="false">IF(D582="","",DATE(B582,C582,1))</f>
        <v>20637</v>
      </c>
      <c r="B582" s="15" t="n">
        <f aca="false" t="array" ref="B582:B582">IF(D582="","",IFERROR(VALUE(INDEX(Vazoes_COLAR!$A$2:$A$200,INT((ROW()-24)/12)+1)),""))</f>
        <v>1956</v>
      </c>
      <c r="C582" s="15" t="n">
        <f aca="false">IF(D582="","",MOD(ROW()-24,12)+1)</f>
        <v>7</v>
      </c>
      <c r="D582" s="16" t="n">
        <f aca="false" t="array" ref="D582: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0.0784630266368466</v>
      </c>
      <c r="E582" s="16" t="n">
        <f aca="false">IF(D582="","",D582*$B$15)</f>
        <v>0.203376165042706</v>
      </c>
      <c r="F582" s="16" t="n">
        <f aca="false" t="array" ref="F582:F582">IF(D582="","",IFERROR(INDEX(Dados_Evap!$C$2:$N$15,MATCH($B$9,Dados_Evap!$A$2:$A$15,0),C582),0))</f>
        <v>224.8</v>
      </c>
      <c r="G582" s="16" t="n">
        <f aca="false">IF(F582="","",F582/1000)</f>
        <v>0.2248</v>
      </c>
      <c r="H582" s="16" t="n">
        <f aca="false">IF(D582="","",MAX(0,MIN($B$8,IFERROR(LOOKUP(2,1/($U$24:U581&lt;&gt;""),$U$24:U581),$B$11))))</f>
        <v>46.0037544442176</v>
      </c>
      <c r="I582" s="16" t="n">
        <f aca="false" t="array" ref="I582: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>6.84856667799971</v>
      </c>
      <c r="J582" s="16" t="n">
        <f aca="false">IF(D582="","",$B$12)</f>
        <v>0.35</v>
      </c>
      <c r="K582" s="16" t="n">
        <f aca="false">IF(J582="","",J582*$B$15)</f>
        <v>0.9072</v>
      </c>
      <c r="L582" s="16" t="n">
        <f aca="false">IF(D582="","",H582+E582-K582-G582*I582)</f>
        <v>43.760372820046</v>
      </c>
      <c r="M582" s="16" t="n">
        <f aca="false" t="array" ref="M582: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>6.62458124854233</v>
      </c>
      <c r="N582" s="16" t="n">
        <f aca="false">IF(D582="","",(I582+M582)/2)</f>
        <v>6.73657396327102</v>
      </c>
      <c r="O582" s="16" t="n">
        <f aca="false">IF(D582="","",G582*N582)</f>
        <v>1.51438182694333</v>
      </c>
      <c r="P582" s="16" t="n">
        <f aca="false">IF(D582="","",H582+E582-K582-O582)</f>
        <v>43.785548782317</v>
      </c>
      <c r="Q582" s="16" t="n">
        <f aca="false">IF(D582="","",IF(P582&gt;=0,K582,MAX(0,K582+P582)))</f>
        <v>0.9072</v>
      </c>
      <c r="R582" s="16" t="n">
        <f aca="false">IF(D582="","",Q582/$B$15)</f>
        <v>0.35</v>
      </c>
      <c r="S582" s="16" t="n">
        <f aca="false">IF(D582="","",MAX(0,J582-R582))</f>
        <v>0</v>
      </c>
      <c r="T582" s="16" t="n">
        <f aca="false">IF(D582="","",MAX(0,Z582-$B$8))</f>
        <v>0</v>
      </c>
      <c r="U582" s="16" t="n">
        <f aca="false">IF(D582="","",MAX(0,MIN($B$8,Z582)))</f>
        <v>43.785548782317</v>
      </c>
      <c r="V582" s="16" t="str">
        <f aca="false">IF(D582="","",IF(S582&gt;0.0000001,"Sim","Não"))</f>
        <v>Não</v>
      </c>
      <c r="W582" s="16" t="n">
        <f aca="false">IF(D582="","",U582-(H582+E582-Q582-O582-T582))</f>
        <v>0</v>
      </c>
      <c r="X582" s="16" t="n">
        <f aca="false">IF(W582="","",ABS(W582))</f>
        <v>0</v>
      </c>
      <c r="Y582" s="16" t="n">
        <f aca="false">IF(U582="","",IF($B$8=0,0,U582/$B$8*100))</f>
        <v>92.7267022073634</v>
      </c>
      <c r="Z582" s="18" t="n">
        <f aca="false">IF(D582="","",MAX(0,IF(P582&gt;=0,P582,IF(K582+P582&gt;=0,0,P582+K582))))</f>
        <v>43.785548782317</v>
      </c>
      <c r="AA582" s="18" t="n">
        <f aca="false">IF(D582="","",IF(H582&lt;=$B$16,1,IF(H582&gt;=$B$17,$B$21,MATCH(H582,Aux_CAV!$A$2:$A$121,1))))</f>
        <v>13</v>
      </c>
      <c r="AB582" s="18" t="n">
        <f aca="false">IF(D582="","",IF(L582&lt;=$B$16,1,IF(L582&gt;=$B$17,$B$21,MATCH(L582,Aux_CAV!$A$2:$A$121,1))))</f>
        <v>13</v>
      </c>
      <c r="AC582" s="19" t="n">
        <f aca="false">IF(D582="","",COUNT($D$24:D582))</f>
        <v>547</v>
      </c>
    </row>
    <row r="583" customFormat="false" ht="12.75" hidden="false" customHeight="true" outlineLevel="0" collapsed="false">
      <c r="A583" s="14" t="n">
        <f aca="false">IF(D583="","",DATE(B583,C583,1))</f>
        <v>20668</v>
      </c>
      <c r="B583" s="15" t="n">
        <f aca="false" t="array" ref="B583:B583">IF(D583="","",IFERROR(VALUE(INDEX(Vazoes_COLAR!$A$2:$A$200,INT((ROW()-24)/12)+1)),""))</f>
        <v>1956</v>
      </c>
      <c r="C583" s="15" t="n">
        <f aca="false">IF(D583="","",MOD(ROW()-24,12)+1)</f>
        <v>8</v>
      </c>
      <c r="D583" s="16" t="n">
        <f aca="false" t="array" ref="D583: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0.0458963281041172</v>
      </c>
      <c r="E583" s="16" t="n">
        <f aca="false">IF(D583="","",D583*$B$15)</f>
        <v>0.118963282445872</v>
      </c>
      <c r="F583" s="16" t="n">
        <f aca="false" t="array" ref="F583:F583">IF(D583="","",IFERROR(INDEX(Dados_Evap!$C$2:$N$15,MATCH($B$9,Dados_Evap!$A$2:$A$15,0),C583),0))</f>
        <v>268.7</v>
      </c>
      <c r="G583" s="16" t="n">
        <f aca="false">IF(F583="","",F583/1000)</f>
        <v>0.2687</v>
      </c>
      <c r="H583" s="16" t="n">
        <f aca="false">IF(D583="","",MAX(0,MIN($B$8,IFERROR(LOOKUP(2,1/($U$24:U582&lt;&gt;""),$U$24:U582),$B$11))))</f>
        <v>43.785548782317</v>
      </c>
      <c r="I583" s="16" t="n">
        <f aca="false" t="array" ref="I583: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>6.62709488628479</v>
      </c>
      <c r="J583" s="16" t="n">
        <f aca="false">IF(D583="","",$B$12)</f>
        <v>0.35</v>
      </c>
      <c r="K583" s="16" t="n">
        <f aca="false">IF(J583="","",J583*$B$15)</f>
        <v>0.9072</v>
      </c>
      <c r="L583" s="16" t="n">
        <f aca="false">IF(D583="","",H583+E583-K583-G583*I583)</f>
        <v>41.2166116688181</v>
      </c>
      <c r="M583" s="16" t="n">
        <f aca="false" t="array" ref="M583: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>6.3706050958647</v>
      </c>
      <c r="N583" s="16" t="n">
        <f aca="false">IF(D583="","",(I583+M583)/2)</f>
        <v>6.49884999107475</v>
      </c>
      <c r="O583" s="16" t="n">
        <f aca="false">IF(D583="","",G583*N583)</f>
        <v>1.74624099260178</v>
      </c>
      <c r="P583" s="16" t="n">
        <f aca="false">IF(D583="","",H583+E583-K583-O583)</f>
        <v>41.2510710721611</v>
      </c>
      <c r="Q583" s="16" t="n">
        <f aca="false">IF(D583="","",IF(P583&gt;=0,K583,MAX(0,K583+P583)))</f>
        <v>0.9072</v>
      </c>
      <c r="R583" s="16" t="n">
        <f aca="false">IF(D583="","",Q583/$B$15)</f>
        <v>0.35</v>
      </c>
      <c r="S583" s="16" t="n">
        <f aca="false">IF(D583="","",MAX(0,J583-R583))</f>
        <v>0</v>
      </c>
      <c r="T583" s="16" t="n">
        <f aca="false">IF(D583="","",MAX(0,Z583-$B$8))</f>
        <v>0</v>
      </c>
      <c r="U583" s="16" t="n">
        <f aca="false">IF(D583="","",MAX(0,MIN($B$8,Z583)))</f>
        <v>41.2510710721611</v>
      </c>
      <c r="V583" s="16" t="str">
        <f aca="false">IF(D583="","",IF(S583&gt;0.0000001,"Sim","Não"))</f>
        <v>Não</v>
      </c>
      <c r="W583" s="16" t="n">
        <f aca="false">IF(D583="","",U583-(H583+E583-Q583-O583-T583))</f>
        <v>0</v>
      </c>
      <c r="X583" s="16" t="n">
        <f aca="false">IF(W583="","",ABS(W583))</f>
        <v>0</v>
      </c>
      <c r="Y583" s="16" t="n">
        <f aca="false">IF(U583="","",IF($B$8=0,0,U583/$B$8*100))</f>
        <v>87.3593203561225</v>
      </c>
      <c r="Z583" s="18" t="n">
        <f aca="false">IF(D583="","",MAX(0,IF(P583&gt;=0,P583,IF(K583+P583&gt;=0,0,P583+K583))))</f>
        <v>41.2510710721611</v>
      </c>
      <c r="AA583" s="18" t="n">
        <f aca="false">IF(D583="","",IF(H583&lt;=$B$16,1,IF(H583&gt;=$B$17,$B$21,MATCH(H583,Aux_CAV!$A$2:$A$121,1))))</f>
        <v>13</v>
      </c>
      <c r="AB583" s="18" t="n">
        <f aca="false">IF(D583="","",IF(L583&lt;=$B$16,1,IF(L583&gt;=$B$17,$B$21,MATCH(L583,Aux_CAV!$A$2:$A$121,1))))</f>
        <v>13</v>
      </c>
      <c r="AC583" s="19" t="n">
        <f aca="false">IF(D583="","",COUNT($D$24:D583))</f>
        <v>548</v>
      </c>
    </row>
    <row r="584" customFormat="false" ht="12.75" hidden="false" customHeight="true" outlineLevel="0" collapsed="false">
      <c r="A584" s="14" t="n">
        <f aca="false">IF(D584="","",DATE(B584,C584,1))</f>
        <v>20699</v>
      </c>
      <c r="B584" s="15" t="n">
        <f aca="false" t="array" ref="B584:B584">IF(D584="","",IFERROR(VALUE(INDEX(Vazoes_COLAR!$A$2:$A$200,INT((ROW()-24)/12)+1)),""))</f>
        <v>1956</v>
      </c>
      <c r="C584" s="15" t="n">
        <f aca="false">IF(D584="","",MOD(ROW()-24,12)+1)</f>
        <v>9</v>
      </c>
      <c r="D584" s="16" t="n">
        <f aca="false" t="array" ref="D584: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0.026101468822129</v>
      </c>
      <c r="E584" s="16" t="n">
        <f aca="false">IF(D584="","",D584*$B$15)</f>
        <v>0.0676550071869584</v>
      </c>
      <c r="F584" s="16" t="n">
        <f aca="false" t="array" ref="F584:F584">IF(D584="","",IFERROR(INDEX(Dados_Evap!$C$2:$N$15,MATCH($B$9,Dados_Evap!$A$2:$A$15,0),C584),0))</f>
        <v>292.8</v>
      </c>
      <c r="G584" s="16" t="n">
        <f aca="false">IF(F584="","",F584/1000)</f>
        <v>0.2928</v>
      </c>
      <c r="H584" s="16" t="n">
        <f aca="false">IF(D584="","",MAX(0,MIN($B$8,IFERROR(LOOKUP(2,1/($U$24:U583&lt;&gt;""),$U$24:U583),$B$11))))</f>
        <v>41.2510710721611</v>
      </c>
      <c r="I584" s="16" t="n">
        <f aca="false" t="array" ref="I584: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>6.37404561805382</v>
      </c>
      <c r="J584" s="16" t="n">
        <f aca="false">IF(D584="","",$B$12)</f>
        <v>0.35</v>
      </c>
      <c r="K584" s="16" t="n">
        <f aca="false">IF(J584="","",J584*$B$15)</f>
        <v>0.9072</v>
      </c>
      <c r="L584" s="16" t="n">
        <f aca="false">IF(D584="","",H584+E584-K584-G584*I584)</f>
        <v>38.5452055223819</v>
      </c>
      <c r="M584" s="16" t="n">
        <f aca="false" t="array" ref="M584: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>6.10388451363404</v>
      </c>
      <c r="N584" s="16" t="n">
        <f aca="false">IF(D584="","",(I584+M584)/2)</f>
        <v>6.23896506584393</v>
      </c>
      <c r="O584" s="16" t="n">
        <f aca="false">IF(D584="","",G584*N584)</f>
        <v>1.8267689712791</v>
      </c>
      <c r="P584" s="16" t="n">
        <f aca="false">IF(D584="","",H584+E584-K584-O584)</f>
        <v>38.5847571080689</v>
      </c>
      <c r="Q584" s="16" t="n">
        <f aca="false">IF(D584="","",IF(P584&gt;=0,K584,MAX(0,K584+P584)))</f>
        <v>0.9072</v>
      </c>
      <c r="R584" s="16" t="n">
        <f aca="false">IF(D584="","",Q584/$B$15)</f>
        <v>0.35</v>
      </c>
      <c r="S584" s="16" t="n">
        <f aca="false">IF(D584="","",MAX(0,J584-R584))</f>
        <v>0</v>
      </c>
      <c r="T584" s="16" t="n">
        <f aca="false">IF(D584="","",MAX(0,Z584-$B$8))</f>
        <v>0</v>
      </c>
      <c r="U584" s="16" t="n">
        <f aca="false">IF(D584="","",MAX(0,MIN($B$8,Z584)))</f>
        <v>38.5847571080689</v>
      </c>
      <c r="V584" s="16" t="str">
        <f aca="false">IF(D584="","",IF(S584&gt;0.0000001,"Sim","Não"))</f>
        <v>Não</v>
      </c>
      <c r="W584" s="16" t="n">
        <f aca="false">IF(D584="","",U584-(H584+E584-Q584-O584-T584))</f>
        <v>0</v>
      </c>
      <c r="X584" s="16" t="n">
        <f aca="false">IF(W584="","",ABS(W584))</f>
        <v>0</v>
      </c>
      <c r="Y584" s="16" t="n">
        <f aca="false">IF(U584="","",IF($B$8=0,0,U584/$B$8*100))</f>
        <v>81.7127427108618</v>
      </c>
      <c r="Z584" s="18" t="n">
        <f aca="false">IF(D584="","",MAX(0,IF(P584&gt;=0,P584,IF(K584+P584&gt;=0,0,P584+K584))))</f>
        <v>38.5847571080689</v>
      </c>
      <c r="AA584" s="18" t="n">
        <f aca="false">IF(D584="","",IF(H584&lt;=$B$16,1,IF(H584&gt;=$B$17,$B$21,MATCH(H584,Aux_CAV!$A$2:$A$121,1))))</f>
        <v>13</v>
      </c>
      <c r="AB584" s="18" t="n">
        <f aca="false">IF(D584="","",IF(L584&lt;=$B$16,1,IF(L584&gt;=$B$17,$B$21,MATCH(L584,Aux_CAV!$A$2:$A$121,1))))</f>
        <v>13</v>
      </c>
      <c r="AC584" s="19" t="n">
        <f aca="false">IF(D584="","",COUNT($D$24:D584))</f>
        <v>549</v>
      </c>
    </row>
    <row r="585" customFormat="false" ht="12.75" hidden="false" customHeight="true" outlineLevel="0" collapsed="false">
      <c r="A585" s="14" t="n">
        <f aca="false">IF(D585="","",DATE(B585,C585,1))</f>
        <v>20729</v>
      </c>
      <c r="B585" s="15" t="n">
        <f aca="false" t="array" ref="B585:B585">IF(D585="","",IFERROR(VALUE(INDEX(Vazoes_COLAR!$A$2:$A$200,INT((ROW()-24)/12)+1)),""))</f>
        <v>1956</v>
      </c>
      <c r="C585" s="15" t="n">
        <f aca="false">IF(D585="","",MOD(ROW()-24,12)+1)</f>
        <v>10</v>
      </c>
      <c r="D585" s="16" t="n">
        <f aca="false" t="array" ref="D585: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0.110686510920492</v>
      </c>
      <c r="E585" s="16" t="n">
        <f aca="false">IF(D585="","",D585*$B$15)</f>
        <v>0.286899436305915</v>
      </c>
      <c r="F585" s="16" t="n">
        <f aca="false" t="array" ref="F585:F585">IF(D585="","",IFERROR(INDEX(Dados_Evap!$C$2:$N$15,MATCH($B$9,Dados_Evap!$A$2:$A$15,0),C585),0))</f>
        <v>262.9</v>
      </c>
      <c r="G585" s="16" t="n">
        <f aca="false">IF(F585="","",F585/1000)</f>
        <v>0.2629</v>
      </c>
      <c r="H585" s="16" t="n">
        <f aca="false">IF(D585="","",MAX(0,MIN($B$8,IFERROR(LOOKUP(2,1/($U$24:U584&lt;&gt;""),$U$24:U584),$B$11))))</f>
        <v>38.5847571080689</v>
      </c>
      <c r="I585" s="16" t="n">
        <f aca="false" t="array" ref="I585: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>6.10783345339996</v>
      </c>
      <c r="J585" s="16" t="n">
        <f aca="false">IF(D585="","",$B$12)</f>
        <v>0.35</v>
      </c>
      <c r="K585" s="16" t="n">
        <f aca="false">IF(J585="","",J585*$B$15)</f>
        <v>0.9072</v>
      </c>
      <c r="L585" s="16" t="n">
        <f aca="false">IF(D585="","",H585+E585-K585-G585*I585)</f>
        <v>36.358707129476</v>
      </c>
      <c r="M585" s="16" t="n">
        <f aca="false" t="array" ref="M585: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>5.88557846339894</v>
      </c>
      <c r="N585" s="16" t="n">
        <f aca="false">IF(D585="","",(I585+M585)/2)</f>
        <v>5.99670595839945</v>
      </c>
      <c r="O585" s="16" t="n">
        <f aca="false">IF(D585="","",G585*N585)</f>
        <v>1.57653399646322</v>
      </c>
      <c r="P585" s="16" t="n">
        <f aca="false">IF(D585="","",H585+E585-K585-O585)</f>
        <v>36.3879225479116</v>
      </c>
      <c r="Q585" s="16" t="n">
        <f aca="false">IF(D585="","",IF(P585&gt;=0,K585,MAX(0,K585+P585)))</f>
        <v>0.9072</v>
      </c>
      <c r="R585" s="16" t="n">
        <f aca="false">IF(D585="","",Q585/$B$15)</f>
        <v>0.35</v>
      </c>
      <c r="S585" s="16" t="n">
        <f aca="false">IF(D585="","",MAX(0,J585-R585))</f>
        <v>0</v>
      </c>
      <c r="T585" s="16" t="n">
        <f aca="false">IF(D585="","",MAX(0,Z585-$B$8))</f>
        <v>0</v>
      </c>
      <c r="U585" s="16" t="n">
        <f aca="false">IF(D585="","",MAX(0,MIN($B$8,Z585)))</f>
        <v>36.3879225479116</v>
      </c>
      <c r="V585" s="16" t="str">
        <f aca="false">IF(D585="","",IF(S585&gt;0.0000001,"Sim","Não"))</f>
        <v>Não</v>
      </c>
      <c r="W585" s="16" t="n">
        <f aca="false">IF(D585="","",U585-(H585+E585-Q585-O585-T585))</f>
        <v>0</v>
      </c>
      <c r="X585" s="16" t="n">
        <f aca="false">IF(W585="","",ABS(W585))</f>
        <v>0</v>
      </c>
      <c r="Y585" s="16" t="n">
        <f aca="false">IF(U585="","",IF($B$8=0,0,U585/$B$8*100))</f>
        <v>77.0604035322144</v>
      </c>
      <c r="Z585" s="18" t="n">
        <f aca="false">IF(D585="","",MAX(0,IF(P585&gt;=0,P585,IF(K585+P585&gt;=0,0,P585+K585))))</f>
        <v>36.3879225479116</v>
      </c>
      <c r="AA585" s="18" t="n">
        <f aca="false">IF(D585="","",IF(H585&lt;=$B$16,1,IF(H585&gt;=$B$17,$B$21,MATCH(H585,Aux_CAV!$A$2:$A$121,1))))</f>
        <v>13</v>
      </c>
      <c r="AB585" s="18" t="n">
        <f aca="false">IF(D585="","",IF(L585&lt;=$B$16,1,IF(L585&gt;=$B$17,$B$21,MATCH(L585,Aux_CAV!$A$2:$A$121,1))))</f>
        <v>13</v>
      </c>
      <c r="AC585" s="19" t="n">
        <f aca="false">IF(D585="","",COUNT($D$24:D585))</f>
        <v>550</v>
      </c>
    </row>
    <row r="586" customFormat="false" ht="12.75" hidden="false" customHeight="true" outlineLevel="0" collapsed="false">
      <c r="A586" s="14" t="n">
        <f aca="false">IF(D586="","",DATE(B586,C586,1))</f>
        <v>20760</v>
      </c>
      <c r="B586" s="15" t="n">
        <f aca="false" t="array" ref="B586:B586">IF(D586="","",IFERROR(VALUE(INDEX(Vazoes_COLAR!$A$2:$A$200,INT((ROW()-24)/12)+1)),""))</f>
        <v>1956</v>
      </c>
      <c r="C586" s="15" t="n">
        <f aca="false">IF(D586="","",MOD(ROW()-24,12)+1)</f>
        <v>11</v>
      </c>
      <c r="D586" s="16" t="n">
        <f aca="false" t="array" ref="D586: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0.029264364703541</v>
      </c>
      <c r="E586" s="16" t="n">
        <f aca="false">IF(D586="","",D586*$B$15)</f>
        <v>0.0758532333115783</v>
      </c>
      <c r="F586" s="16" t="n">
        <f aca="false" t="array" ref="F586:F586">IF(D586="","",IFERROR(INDEX(Dados_Evap!$C$2:$N$15,MATCH($B$9,Dados_Evap!$A$2:$A$15,0),C586),0))</f>
        <v>223.7</v>
      </c>
      <c r="G586" s="16" t="n">
        <f aca="false">IF(F586="","",F586/1000)</f>
        <v>0.2237</v>
      </c>
      <c r="H586" s="16" t="n">
        <f aca="false">IF(D586="","",MAX(0,MIN($B$8,IFERROR(LOOKUP(2,1/($U$24:U585&lt;&gt;""),$U$24:U585),$B$11))))</f>
        <v>36.3879225479116</v>
      </c>
      <c r="I586" s="16" t="n">
        <f aca="false" t="array" ref="I586: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>5.88849541162325</v>
      </c>
      <c r="J586" s="16" t="n">
        <f aca="false">IF(D586="","",$B$12)</f>
        <v>0.35</v>
      </c>
      <c r="K586" s="16" t="n">
        <f aca="false">IF(J586="","",J586*$B$15)</f>
        <v>0.9072</v>
      </c>
      <c r="L586" s="16" t="n">
        <f aca="false">IF(D586="","",H586+E586-K586-G586*I586)</f>
        <v>34.2393193576431</v>
      </c>
      <c r="M586" s="16" t="n">
        <f aca="false" t="array" ref="M586: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>5.67291958375515</v>
      </c>
      <c r="N586" s="16" t="n">
        <f aca="false">IF(D586="","",(I586+M586)/2)</f>
        <v>5.7807074976892</v>
      </c>
      <c r="O586" s="16" t="n">
        <f aca="false">IF(D586="","",G586*N586)</f>
        <v>1.29314426723307</v>
      </c>
      <c r="P586" s="16" t="n">
        <f aca="false">IF(D586="","",H586+E586-K586-O586)</f>
        <v>34.2634315139901</v>
      </c>
      <c r="Q586" s="16" t="n">
        <f aca="false">IF(D586="","",IF(P586&gt;=0,K586,MAX(0,K586+P586)))</f>
        <v>0.9072</v>
      </c>
      <c r="R586" s="16" t="n">
        <f aca="false">IF(D586="","",Q586/$B$15)</f>
        <v>0.35</v>
      </c>
      <c r="S586" s="16" t="n">
        <f aca="false">IF(D586="","",MAX(0,J586-R586))</f>
        <v>0</v>
      </c>
      <c r="T586" s="16" t="n">
        <f aca="false">IF(D586="","",MAX(0,Z586-$B$8))</f>
        <v>0</v>
      </c>
      <c r="U586" s="16" t="n">
        <f aca="false">IF(D586="","",MAX(0,MIN($B$8,Z586)))</f>
        <v>34.2634315139901</v>
      </c>
      <c r="V586" s="16" t="str">
        <f aca="false">IF(D586="","",IF(S586&gt;0.0000001,"Sim","Não"))</f>
        <v>Não</v>
      </c>
      <c r="W586" s="16" t="n">
        <f aca="false">IF(D586="","",U586-(H586+E586-Q586-O586-T586))</f>
        <v>0</v>
      </c>
      <c r="X586" s="16" t="n">
        <f aca="false">IF(W586="","",ABS(W586))</f>
        <v>0</v>
      </c>
      <c r="Y586" s="16" t="n">
        <f aca="false">IF(U586="","",IF($B$8=0,0,U586/$B$8*100))</f>
        <v>72.5612696187847</v>
      </c>
      <c r="Z586" s="18" t="n">
        <f aca="false">IF(D586="","",MAX(0,IF(P586&gt;=0,P586,IF(K586+P586&gt;=0,0,P586+K586))))</f>
        <v>34.2634315139901</v>
      </c>
      <c r="AA586" s="18" t="n">
        <f aca="false">IF(D586="","",IF(H586&lt;=$B$16,1,IF(H586&gt;=$B$17,$B$21,MATCH(H586,Aux_CAV!$A$2:$A$121,1))))</f>
        <v>13</v>
      </c>
      <c r="AB586" s="18" t="n">
        <f aca="false">IF(D586="","",IF(L586&lt;=$B$16,1,IF(L586&gt;=$B$17,$B$21,MATCH(L586,Aux_CAV!$A$2:$A$121,1))))</f>
        <v>12</v>
      </c>
      <c r="AC586" s="19" t="n">
        <f aca="false">IF(D586="","",COUNT($D$24:D586))</f>
        <v>551</v>
      </c>
    </row>
    <row r="587" customFormat="false" ht="12.75" hidden="false" customHeight="true" outlineLevel="0" collapsed="false">
      <c r="A587" s="14" t="n">
        <f aca="false">IF(D587="","",DATE(B587,C587,1))</f>
        <v>20790</v>
      </c>
      <c r="B587" s="15" t="n">
        <f aca="false" t="array" ref="B587:B587">IF(D587="","",IFERROR(VALUE(INDEX(Vazoes_COLAR!$A$2:$A$200,INT((ROW()-24)/12)+1)),""))</f>
        <v>1956</v>
      </c>
      <c r="C587" s="15" t="n">
        <f aca="false">IF(D587="","",MOD(ROW()-24,12)+1)</f>
        <v>12</v>
      </c>
      <c r="D587" s="16" t="n">
        <f aca="false" t="array" ref="D587: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0.0588053324113041</v>
      </c>
      <c r="E587" s="16" t="n">
        <f aca="false">IF(D587="","",D587*$B$15)</f>
        <v>0.1524234216101</v>
      </c>
      <c r="F587" s="16" t="n">
        <f aca="false" t="array" ref="F587:F587">IF(D587="","",IFERROR(INDEX(Dados_Evap!$C$2:$N$15,MATCH($B$9,Dados_Evap!$A$2:$A$15,0),C587),0))</f>
        <v>216.1</v>
      </c>
      <c r="G587" s="16" t="n">
        <f aca="false">IF(F587="","",F587/1000)</f>
        <v>0.2161</v>
      </c>
      <c r="H587" s="16" t="n">
        <f aca="false">IF(D587="","",MAX(0,MIN($B$8,IFERROR(LOOKUP(2,1/($U$24:U586&lt;&gt;""),$U$24:U586),$B$11))))</f>
        <v>34.2634315139901</v>
      </c>
      <c r="I587" s="16" t="n">
        <f aca="false" t="array" ref="I587: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>5.67542443883198</v>
      </c>
      <c r="J587" s="16" t="n">
        <f aca="false">IF(D587="","",$B$12)</f>
        <v>0.35</v>
      </c>
      <c r="K587" s="16" t="n">
        <f aca="false">IF(J587="","",J587*$B$15)</f>
        <v>0.9072</v>
      </c>
      <c r="L587" s="16" t="n">
        <f aca="false">IF(D587="","",H587+E587-K587-G587*I587)</f>
        <v>32.2821957143686</v>
      </c>
      <c r="M587" s="16" t="n">
        <f aca="false" t="array" ref="M587: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>5.46960673925965</v>
      </c>
      <c r="N587" s="16" t="n">
        <f aca="false">IF(D587="","",(I587+M587)/2)</f>
        <v>5.57251558904582</v>
      </c>
      <c r="O587" s="16" t="n">
        <f aca="false">IF(D587="","",G587*N587)</f>
        <v>1.2042206187928</v>
      </c>
      <c r="P587" s="16" t="n">
        <f aca="false">IF(D587="","",H587+E587-K587-O587)</f>
        <v>32.3044343168074</v>
      </c>
      <c r="Q587" s="16" t="n">
        <f aca="false">IF(D587="","",IF(P587&gt;=0,K587,MAX(0,K587+P587)))</f>
        <v>0.9072</v>
      </c>
      <c r="R587" s="16" t="n">
        <f aca="false">IF(D587="","",Q587/$B$15)</f>
        <v>0.35</v>
      </c>
      <c r="S587" s="16" t="n">
        <f aca="false">IF(D587="","",MAX(0,J587-R587))</f>
        <v>0</v>
      </c>
      <c r="T587" s="16" t="n">
        <f aca="false">IF(D587="","",MAX(0,Z587-$B$8))</f>
        <v>0</v>
      </c>
      <c r="U587" s="16" t="n">
        <f aca="false">IF(D587="","",MAX(0,MIN($B$8,Z587)))</f>
        <v>32.3044343168074</v>
      </c>
      <c r="V587" s="16" t="str">
        <f aca="false">IF(D587="","",IF(S587&gt;0.0000001,"Sim","Não"))</f>
        <v>Não</v>
      </c>
      <c r="W587" s="16" t="n">
        <f aca="false">IF(D587="","",U587-(H587+E587-Q587-O587-T587))</f>
        <v>0</v>
      </c>
      <c r="X587" s="16" t="n">
        <f aca="false">IF(W587="","",ABS(W587))</f>
        <v>0</v>
      </c>
      <c r="Y587" s="16" t="n">
        <f aca="false">IF(U587="","",IF($B$8=0,0,U587/$B$8*100))</f>
        <v>68.4126097348738</v>
      </c>
      <c r="Z587" s="18" t="n">
        <f aca="false">IF(D587="","",MAX(0,IF(P587&gt;=0,P587,IF(K587+P587&gt;=0,0,P587+K587))))</f>
        <v>32.3044343168074</v>
      </c>
      <c r="AA587" s="18" t="n">
        <f aca="false">IF(D587="","",IF(H587&lt;=$B$16,1,IF(H587&gt;=$B$17,$B$21,MATCH(H587,Aux_CAV!$A$2:$A$121,1))))</f>
        <v>12</v>
      </c>
      <c r="AB587" s="18" t="n">
        <f aca="false">IF(D587="","",IF(L587&lt;=$B$16,1,IF(L587&gt;=$B$17,$B$21,MATCH(L587,Aux_CAV!$A$2:$A$121,1))))</f>
        <v>12</v>
      </c>
      <c r="AC587" s="19" t="n">
        <f aca="false">IF(D587="","",COUNT($D$24:D587))</f>
        <v>552</v>
      </c>
    </row>
    <row r="588" customFormat="false" ht="12.75" hidden="false" customHeight="true" outlineLevel="0" collapsed="false">
      <c r="A588" s="14" t="n">
        <f aca="false">IF(D588="","",DATE(B588,C588,1))</f>
        <v>20821</v>
      </c>
      <c r="B588" s="15" t="n">
        <f aca="false" t="array" ref="B588:B588">IF(D588="","",IFERROR(VALUE(INDEX(Vazoes_COLAR!$A$2:$A$200,INT((ROW()-24)/12)+1)),""))</f>
        <v>1957</v>
      </c>
      <c r="C588" s="15" t="n">
        <f aca="false">IF(D588="","",MOD(ROW()-24,12)+1)</f>
        <v>1</v>
      </c>
      <c r="D588" s="16" t="n">
        <f aca="false" t="array" ref="D588: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0.124912308631774</v>
      </c>
      <c r="E588" s="16" t="n">
        <f aca="false">IF(D588="","",D588*$B$15)</f>
        <v>0.323772703973558</v>
      </c>
      <c r="F588" s="16" t="n">
        <f aca="false" t="array" ref="F588:F588">IF(D588="","",IFERROR(INDEX(Dados_Evap!$C$2:$N$15,MATCH($B$9,Dados_Evap!$A$2:$A$15,0),C588),0))</f>
        <v>160</v>
      </c>
      <c r="G588" s="16" t="n">
        <f aca="false">IF(F588="","",F588/1000)</f>
        <v>0.16</v>
      </c>
      <c r="H588" s="16" t="n">
        <f aca="false">IF(D588="","",MAX(0,MIN($B$8,IFERROR(LOOKUP(2,1/($U$24:U587&lt;&gt;""),$U$24:U587),$B$11))))</f>
        <v>32.3044343168074</v>
      </c>
      <c r="I588" s="16" t="n">
        <f aca="false" t="array" ref="I588: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>5.47191696300815</v>
      </c>
      <c r="J588" s="16" t="n">
        <f aca="false">IF(D588="","",$B$12)</f>
        <v>0.35</v>
      </c>
      <c r="K588" s="16" t="n">
        <f aca="false">IF(J588="","",J588*$B$15)</f>
        <v>0.9072</v>
      </c>
      <c r="L588" s="16" t="n">
        <f aca="false">IF(D588="","",H588+E588-K588-G588*I588)</f>
        <v>30.8455003066997</v>
      </c>
      <c r="M588" s="16" t="n">
        <f aca="false" t="array" ref="M588: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>5.32035779885132</v>
      </c>
      <c r="N588" s="16" t="n">
        <f aca="false">IF(D588="","",(I588+M588)/2)</f>
        <v>5.39613738092974</v>
      </c>
      <c r="O588" s="16" t="n">
        <f aca="false">IF(D588="","",G588*N588)</f>
        <v>0.863381980948758</v>
      </c>
      <c r="P588" s="16" t="n">
        <f aca="false">IF(D588="","",H588+E588-K588-O588)</f>
        <v>30.8576250398322</v>
      </c>
      <c r="Q588" s="16" t="n">
        <f aca="false">IF(D588="","",IF(P588&gt;=0,K588,MAX(0,K588+P588)))</f>
        <v>0.9072</v>
      </c>
      <c r="R588" s="16" t="n">
        <f aca="false">IF(D588="","",Q588/$B$15)</f>
        <v>0.35</v>
      </c>
      <c r="S588" s="16" t="n">
        <f aca="false">IF(D588="","",MAX(0,J588-R588))</f>
        <v>0</v>
      </c>
      <c r="T588" s="16" t="n">
        <f aca="false">IF(D588="","",MAX(0,Z588-$B$8))</f>
        <v>0</v>
      </c>
      <c r="U588" s="16" t="n">
        <f aca="false">IF(D588="","",MAX(0,MIN($B$8,Z588)))</f>
        <v>30.8576250398322</v>
      </c>
      <c r="V588" s="16" t="str">
        <f aca="false">IF(D588="","",IF(S588&gt;0.0000001,"Sim","Não"))</f>
        <v>Não</v>
      </c>
      <c r="W588" s="16" t="n">
        <f aca="false">IF(D588="","",U588-(H588+E588-Q588-O588-T588))</f>
        <v>0</v>
      </c>
      <c r="X588" s="16" t="n">
        <f aca="false">IF(W588="","",ABS(W588))</f>
        <v>0</v>
      </c>
      <c r="Y588" s="16" t="n">
        <f aca="false">IF(U588="","",IF($B$8=0,0,U588/$B$8*100))</f>
        <v>65.3486341377218</v>
      </c>
      <c r="Z588" s="18" t="n">
        <f aca="false">IF(D588="","",MAX(0,IF(P588&gt;=0,P588,IF(K588+P588&gt;=0,0,P588+K588))))</f>
        <v>30.8576250398322</v>
      </c>
      <c r="AA588" s="18" t="n">
        <f aca="false">IF(D588="","",IF(H588&lt;=$B$16,1,IF(H588&gt;=$B$17,$B$21,MATCH(H588,Aux_CAV!$A$2:$A$121,1))))</f>
        <v>12</v>
      </c>
      <c r="AB588" s="18" t="n">
        <f aca="false">IF(D588="","",IF(L588&lt;=$B$16,1,IF(L588&gt;=$B$17,$B$21,MATCH(L588,Aux_CAV!$A$2:$A$121,1))))</f>
        <v>12</v>
      </c>
      <c r="AC588" s="19" t="n">
        <f aca="false">IF(D588="","",COUNT($D$24:D588))</f>
        <v>553</v>
      </c>
    </row>
    <row r="589" customFormat="false" ht="12.75" hidden="false" customHeight="true" outlineLevel="0" collapsed="false">
      <c r="A589" s="14" t="n">
        <f aca="false">IF(D589="","",DATE(B589,C589,1))</f>
        <v>20852</v>
      </c>
      <c r="B589" s="15" t="n">
        <f aca="false" t="array" ref="B589:B589">IF(D589="","",IFERROR(VALUE(INDEX(Vazoes_COLAR!$A$2:$A$200,INT((ROW()-24)/12)+1)),""))</f>
        <v>1957</v>
      </c>
      <c r="C589" s="15" t="n">
        <f aca="false">IF(D589="","",MOD(ROW()-24,12)+1)</f>
        <v>2</v>
      </c>
      <c r="D589" s="16" t="n">
        <f aca="false" t="array" ref="D589: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0.190881024918818</v>
      </c>
      <c r="E589" s="16" t="n">
        <f aca="false">IF(D589="","",D589*$B$15)</f>
        <v>0.494763616589576</v>
      </c>
      <c r="F589" s="16" t="n">
        <f aca="false" t="array" ref="F589:F589">IF(D589="","",IFERROR(INDEX(Dados_Evap!$C$2:$N$15,MATCH($B$9,Dados_Evap!$A$2:$A$15,0),C589),0))</f>
        <v>124.3</v>
      </c>
      <c r="G589" s="16" t="n">
        <f aca="false">IF(F589="","",F589/1000)</f>
        <v>0.1243</v>
      </c>
      <c r="H589" s="16" t="n">
        <f aca="false">IF(D589="","",MAX(0,MIN($B$8,IFERROR(LOOKUP(2,1/($U$24:U588&lt;&gt;""),$U$24:U588),$B$11))))</f>
        <v>30.8576250398322</v>
      </c>
      <c r="I589" s="16" t="n">
        <f aca="false" t="array" ref="I589: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>5.32161735850684</v>
      </c>
      <c r="J589" s="16" t="n">
        <f aca="false">IF(D589="","",$B$12)</f>
        <v>0.35</v>
      </c>
      <c r="K589" s="16" t="n">
        <f aca="false">IF(J589="","",J589*$B$15)</f>
        <v>0.9072</v>
      </c>
      <c r="L589" s="16" t="n">
        <f aca="false">IF(D589="","",H589+E589-K589-G589*I589)</f>
        <v>29.7837116187594</v>
      </c>
      <c r="M589" s="16" t="n">
        <f aca="false" t="array" ref="M589: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>5.210055478842</v>
      </c>
      <c r="N589" s="16" t="n">
        <f aca="false">IF(D589="","",(I589+M589)/2)</f>
        <v>5.26583641867442</v>
      </c>
      <c r="O589" s="16" t="n">
        <f aca="false">IF(D589="","",G589*N589)</f>
        <v>0.65454346684123</v>
      </c>
      <c r="P589" s="16" t="n">
        <f aca="false">IF(D589="","",H589+E589-K589-O589)</f>
        <v>29.7906451895806</v>
      </c>
      <c r="Q589" s="16" t="n">
        <f aca="false">IF(D589="","",IF(P589&gt;=0,K589,MAX(0,K589+P589)))</f>
        <v>0.9072</v>
      </c>
      <c r="R589" s="16" t="n">
        <f aca="false">IF(D589="","",Q589/$B$15)</f>
        <v>0.35</v>
      </c>
      <c r="S589" s="16" t="n">
        <f aca="false">IF(D589="","",MAX(0,J589-R589))</f>
        <v>0</v>
      </c>
      <c r="T589" s="16" t="n">
        <f aca="false">IF(D589="","",MAX(0,Z589-$B$8))</f>
        <v>0</v>
      </c>
      <c r="U589" s="16" t="n">
        <f aca="false">IF(D589="","",MAX(0,MIN($B$8,Z589)))</f>
        <v>29.7906451895806</v>
      </c>
      <c r="V589" s="16" t="str">
        <f aca="false">IF(D589="","",IF(S589&gt;0.0000001,"Sim","Não"))</f>
        <v>Não</v>
      </c>
      <c r="W589" s="16" t="n">
        <f aca="false">IF(D589="","",U589-(H589+E589-Q589-O589-T589))</f>
        <v>0</v>
      </c>
      <c r="X589" s="16" t="n">
        <f aca="false">IF(W589="","",ABS(W589))</f>
        <v>0</v>
      </c>
      <c r="Y589" s="16" t="n">
        <f aca="false">IF(U589="","",IF($B$8=0,0,U589/$B$8*100))</f>
        <v>63.0890410622206</v>
      </c>
      <c r="Z589" s="18" t="n">
        <f aca="false">IF(D589="","",MAX(0,IF(P589&gt;=0,P589,IF(K589+P589&gt;=0,0,P589+K589))))</f>
        <v>29.7906451895806</v>
      </c>
      <c r="AA589" s="18" t="n">
        <f aca="false">IF(D589="","",IF(H589&lt;=$B$16,1,IF(H589&gt;=$B$17,$B$21,MATCH(H589,Aux_CAV!$A$2:$A$121,1))))</f>
        <v>12</v>
      </c>
      <c r="AB589" s="18" t="n">
        <f aca="false">IF(D589="","",IF(L589&lt;=$B$16,1,IF(L589&gt;=$B$17,$B$21,MATCH(L589,Aux_CAV!$A$2:$A$121,1))))</f>
        <v>12</v>
      </c>
      <c r="AC589" s="19" t="n">
        <f aca="false">IF(D589="","",COUNT($D$24:D589))</f>
        <v>554</v>
      </c>
    </row>
    <row r="590" customFormat="false" ht="12.75" hidden="false" customHeight="true" outlineLevel="0" collapsed="false">
      <c r="A590" s="14" t="n">
        <f aca="false">IF(D590="","",DATE(B590,C590,1))</f>
        <v>20880</v>
      </c>
      <c r="B590" s="15" t="n">
        <f aca="false" t="array" ref="B590:B590">IF(D590="","",IFERROR(VALUE(INDEX(Vazoes_COLAR!$A$2:$A$200,INT((ROW()-24)/12)+1)),""))</f>
        <v>1957</v>
      </c>
      <c r="C590" s="15" t="n">
        <f aca="false">IF(D590="","",MOD(ROW()-24,12)+1)</f>
        <v>3</v>
      </c>
      <c r="D590" s="16" t="n">
        <f aca="false" t="array" ref="D590: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3.34280828944723</v>
      </c>
      <c r="E590" s="16" t="n">
        <f aca="false">IF(D590="","",D590*$B$15)</f>
        <v>8.66455908624722</v>
      </c>
      <c r="F590" s="16" t="n">
        <f aca="false" t="array" ref="F590:F590">IF(D590="","",IFERROR(INDEX(Dados_Evap!$C$2:$N$15,MATCH($B$9,Dados_Evap!$A$2:$A$15,0),C590),0))</f>
        <v>107.7</v>
      </c>
      <c r="G590" s="16" t="n">
        <f aca="false">IF(F590="","",F590/1000)</f>
        <v>0.1077</v>
      </c>
      <c r="H590" s="16" t="n">
        <f aca="false">IF(D590="","",MAX(0,MIN($B$8,IFERROR(LOOKUP(2,1/($U$24:U589&lt;&gt;""),$U$24:U589),$B$11))))</f>
        <v>29.7906451895806</v>
      </c>
      <c r="I590" s="16" t="n">
        <f aca="false" t="array" ref="I590: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>5.21077576241274</v>
      </c>
      <c r="J590" s="16" t="n">
        <f aca="false">IF(D590="","",$B$12)</f>
        <v>0.35</v>
      </c>
      <c r="K590" s="16" t="n">
        <f aca="false">IF(J590="","",J590*$B$15)</f>
        <v>0.9072</v>
      </c>
      <c r="L590" s="16" t="n">
        <f aca="false">IF(D590="","",H590+E590-K590-G590*I590)</f>
        <v>36.9868037262159</v>
      </c>
      <c r="M590" s="16" t="n">
        <f aca="false" t="array" ref="M590: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>5.9482893657464</v>
      </c>
      <c r="N590" s="16" t="n">
        <f aca="false">IF(D590="","",(I590+M590)/2)</f>
        <v>5.57953256407957</v>
      </c>
      <c r="O590" s="16" t="n">
        <f aca="false">IF(D590="","",G590*N590)</f>
        <v>0.60091565715137</v>
      </c>
      <c r="P590" s="16" t="n">
        <f aca="false">IF(D590="","",H590+E590-K590-O590)</f>
        <v>36.9470886186764</v>
      </c>
      <c r="Q590" s="16" t="n">
        <f aca="false">IF(D590="","",IF(P590&gt;=0,K590,MAX(0,K590+P590)))</f>
        <v>0.9072</v>
      </c>
      <c r="R590" s="16" t="n">
        <f aca="false">IF(D590="","",Q590/$B$15)</f>
        <v>0.35</v>
      </c>
      <c r="S590" s="16" t="n">
        <f aca="false">IF(D590="","",MAX(0,J590-R590))</f>
        <v>0</v>
      </c>
      <c r="T590" s="16" t="n">
        <f aca="false">IF(D590="","",MAX(0,Z590-$B$8))</f>
        <v>0</v>
      </c>
      <c r="U590" s="16" t="n">
        <f aca="false">IF(D590="","",MAX(0,MIN($B$8,Z590)))</f>
        <v>36.9470886186764</v>
      </c>
      <c r="V590" s="16" t="str">
        <f aca="false">IF(D590="","",IF(S590&gt;0.0000001,"Sim","Não"))</f>
        <v>Não</v>
      </c>
      <c r="W590" s="16" t="n">
        <f aca="false">IF(D590="","",U590-(H590+E590-Q590-O590-T590))</f>
        <v>0</v>
      </c>
      <c r="X590" s="16" t="n">
        <f aca="false">IF(W590="","",ABS(W590))</f>
        <v>0</v>
      </c>
      <c r="Y590" s="16" t="n">
        <f aca="false">IF(U590="","",IF($B$8=0,0,U590/$B$8*100))</f>
        <v>78.2445756431097</v>
      </c>
      <c r="Z590" s="18" t="n">
        <f aca="false">IF(D590="","",MAX(0,IF(P590&gt;=0,P590,IF(K590+P590&gt;=0,0,P590+K590))))</f>
        <v>36.9470886186764</v>
      </c>
      <c r="AA590" s="18" t="n">
        <f aca="false">IF(D590="","",IF(H590&lt;=$B$16,1,IF(H590&gt;=$B$17,$B$21,MATCH(H590,Aux_CAV!$A$2:$A$121,1))))</f>
        <v>12</v>
      </c>
      <c r="AB590" s="18" t="n">
        <f aca="false">IF(D590="","",IF(L590&lt;=$B$16,1,IF(L590&gt;=$B$17,$B$21,MATCH(L590,Aux_CAV!$A$2:$A$121,1))))</f>
        <v>13</v>
      </c>
      <c r="AC590" s="19" t="n">
        <f aca="false">IF(D590="","",COUNT($D$24:D590))</f>
        <v>555</v>
      </c>
    </row>
    <row r="591" customFormat="false" ht="12.75" hidden="false" customHeight="true" outlineLevel="0" collapsed="false">
      <c r="A591" s="14" t="n">
        <f aca="false">IF(D591="","",DATE(B591,C591,1))</f>
        <v>20911</v>
      </c>
      <c r="B591" s="15" t="n">
        <f aca="false" t="array" ref="B591:B591">IF(D591="","",IFERROR(VALUE(INDEX(Vazoes_COLAR!$A$2:$A$200,INT((ROW()-24)/12)+1)),""))</f>
        <v>1957</v>
      </c>
      <c r="C591" s="15" t="n">
        <f aca="false">IF(D591="","",MOD(ROW()-24,12)+1)</f>
        <v>4</v>
      </c>
      <c r="D591" s="16" t="n">
        <f aca="false" t="array" ref="D591: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9.88126972071632</v>
      </c>
      <c r="E591" s="16" t="n">
        <f aca="false">IF(D591="","",D591*$B$15)</f>
        <v>25.6122511160967</v>
      </c>
      <c r="F591" s="16" t="n">
        <f aca="false" t="array" ref="F591:F591">IF(D591="","",IFERROR(INDEX(Dados_Evap!$C$2:$N$15,MATCH($B$9,Dados_Evap!$A$2:$A$15,0),C591),0))</f>
        <v>100.5</v>
      </c>
      <c r="G591" s="16" t="n">
        <f aca="false">IF(F591="","",F591/1000)</f>
        <v>0.1005</v>
      </c>
      <c r="H591" s="16" t="n">
        <f aca="false">IF(D591="","",MAX(0,MIN($B$8,IFERROR(LOOKUP(2,1/($U$24:U590&lt;&gt;""),$U$24:U590),$B$11))))</f>
        <v>36.9470886186764</v>
      </c>
      <c r="I591" s="16" t="n">
        <f aca="false" t="array" ref="I591: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>5.94432409950621</v>
      </c>
      <c r="J591" s="16" t="n">
        <f aca="false">IF(D591="","",$B$12)</f>
        <v>0.35</v>
      </c>
      <c r="K591" s="16" t="n">
        <f aca="false">IF(J591="","",J591*$B$15)</f>
        <v>0.9072</v>
      </c>
      <c r="L591" s="16" t="n">
        <f aca="false">IF(D591="","",H591+E591-K591-G591*I591)</f>
        <v>61.0547351627727</v>
      </c>
      <c r="M591" s="16" t="n">
        <f aca="false" t="array" ref="M591: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>8.63915768681948</v>
      </c>
      <c r="N591" s="16" t="n">
        <f aca="false">IF(D591="","",(I591+M591)/2)</f>
        <v>7.29174089316285</v>
      </c>
      <c r="O591" s="16" t="n">
        <f aca="false">IF(D591="","",G591*N591)</f>
        <v>0.732819959762866</v>
      </c>
      <c r="P591" s="16" t="n">
        <f aca="false">IF(D591="","",H591+E591-K591-O591)</f>
        <v>60.9193197750102</v>
      </c>
      <c r="Q591" s="16" t="n">
        <f aca="false">IF(D591="","",IF(P591&gt;=0,K591,MAX(0,K591+P591)))</f>
        <v>0.9072</v>
      </c>
      <c r="R591" s="16" t="n">
        <f aca="false">IF(D591="","",Q591/$B$15)</f>
        <v>0.35</v>
      </c>
      <c r="S591" s="16" t="n">
        <f aca="false">IF(D591="","",MAX(0,J591-R591))</f>
        <v>0</v>
      </c>
      <c r="T591" s="16" t="n">
        <f aca="false">IF(D591="","",MAX(0,Z591-$B$8))</f>
        <v>13.6993197750102</v>
      </c>
      <c r="U591" s="16" t="n">
        <f aca="false">IF(D591="","",MAX(0,MIN($B$8,Z591)))</f>
        <v>47.22</v>
      </c>
      <c r="V591" s="16" t="str">
        <f aca="false">IF(D591="","",IF(S591&gt;0.0000001,"Sim","Não"))</f>
        <v>Não</v>
      </c>
      <c r="W591" s="16" t="n">
        <f aca="false">IF(D591="","",U591-(H591+E591-Q591-O591-T591))</f>
        <v>0</v>
      </c>
      <c r="X591" s="16" t="n">
        <f aca="false">IF(W591="","",ABS(W591))</f>
        <v>0</v>
      </c>
      <c r="Y591" s="16" t="n">
        <f aca="false">IF(U591="","",IF($B$8=0,0,U591/$B$8*100))</f>
        <v>100</v>
      </c>
      <c r="Z591" s="18" t="n">
        <f aca="false">IF(D591="","",MAX(0,IF(P591&gt;=0,P591,IF(K591+P591&gt;=0,0,P591+K591))))</f>
        <v>60.9193197750102</v>
      </c>
      <c r="AA591" s="18" t="n">
        <f aca="false">IF(D591="","",IF(H591&lt;=$B$16,1,IF(H591&gt;=$B$17,$B$21,MATCH(H591,Aux_CAV!$A$2:$A$121,1))))</f>
        <v>13</v>
      </c>
      <c r="AB591" s="18" t="n">
        <f aca="false">IF(D591="","",IF(L591&lt;=$B$16,1,IF(L591&gt;=$B$17,$B$21,MATCH(L591,Aux_CAV!$A$2:$A$121,1))))</f>
        <v>15</v>
      </c>
      <c r="AC591" s="19" t="n">
        <f aca="false">IF(D591="","",COUNT($D$24:D591))</f>
        <v>556</v>
      </c>
    </row>
    <row r="592" customFormat="false" ht="12.75" hidden="false" customHeight="true" outlineLevel="0" collapsed="false">
      <c r="A592" s="14" t="n">
        <f aca="false">IF(D592="","",DATE(B592,C592,1))</f>
        <v>20941</v>
      </c>
      <c r="B592" s="15" t="n">
        <f aca="false" t="array" ref="B592:B592">IF(D592="","",IFERROR(VALUE(INDEX(Vazoes_COLAR!$A$2:$A$200,INT((ROW()-24)/12)+1)),""))</f>
        <v>1957</v>
      </c>
      <c r="C592" s="15" t="n">
        <f aca="false">IF(D592="","",MOD(ROW()-24,12)+1)</f>
        <v>5</v>
      </c>
      <c r="D592" s="16" t="n">
        <f aca="false" t="array" ref="D592: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0.277266657795837</v>
      </c>
      <c r="E592" s="16" t="n">
        <f aca="false">IF(D592="","",D592*$B$15)</f>
        <v>0.71867517700681</v>
      </c>
      <c r="F592" s="16" t="n">
        <f aca="false" t="array" ref="F592:F592">IF(D592="","",IFERROR(INDEX(Dados_Evap!$C$2:$N$15,MATCH($B$9,Dados_Evap!$A$2:$A$15,0),C592),0))</f>
        <v>145.8</v>
      </c>
      <c r="G592" s="16" t="n">
        <f aca="false">IF(F592="","",F592/1000)</f>
        <v>0.1458</v>
      </c>
      <c r="H592" s="16" t="n">
        <f aca="false">IF(D592="","",MAX(0,MIN($B$8,IFERROR(LOOKUP(2,1/($U$24:U591&lt;&gt;""),$U$24:U591),$B$11))))</f>
        <v>47.22</v>
      </c>
      <c r="I592" s="16" t="n">
        <f aca="false" t="array" ref="I592: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>6.97</v>
      </c>
      <c r="J592" s="16" t="n">
        <f aca="false">IF(D592="","",$B$12)</f>
        <v>0.35</v>
      </c>
      <c r="K592" s="16" t="n">
        <f aca="false">IF(J592="","",J592*$B$15)</f>
        <v>0.9072</v>
      </c>
      <c r="L592" s="16" t="n">
        <f aca="false">IF(D592="","",H592+E592-K592-G592*I592)</f>
        <v>46.0152491770068</v>
      </c>
      <c r="M592" s="16" t="n">
        <f aca="false" t="array" ref="M592: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>6.84971434393071</v>
      </c>
      <c r="N592" s="16" t="n">
        <f aca="false">IF(D592="","",(I592+M592)/2)</f>
        <v>6.90985717196535</v>
      </c>
      <c r="O592" s="16" t="n">
        <f aca="false">IF(D592="","",G592*N592)</f>
        <v>1.00745717567255</v>
      </c>
      <c r="P592" s="16" t="n">
        <f aca="false">IF(D592="","",H592+E592-K592-O592)</f>
        <v>46.0240180013343</v>
      </c>
      <c r="Q592" s="16" t="n">
        <f aca="false">IF(D592="","",IF(P592&gt;=0,K592,MAX(0,K592+P592)))</f>
        <v>0.9072</v>
      </c>
      <c r="R592" s="16" t="n">
        <f aca="false">IF(D592="","",Q592/$B$15)</f>
        <v>0.35</v>
      </c>
      <c r="S592" s="16" t="n">
        <f aca="false">IF(D592="","",MAX(0,J592-R592))</f>
        <v>0</v>
      </c>
      <c r="T592" s="16" t="n">
        <f aca="false">IF(D592="","",MAX(0,Z592-$B$8))</f>
        <v>0</v>
      </c>
      <c r="U592" s="16" t="n">
        <f aca="false">IF(D592="","",MAX(0,MIN($B$8,Z592)))</f>
        <v>46.0240180013343</v>
      </c>
      <c r="V592" s="16" t="str">
        <f aca="false">IF(D592="","",IF(S592&gt;0.0000001,"Sim","Não"))</f>
        <v>Não</v>
      </c>
      <c r="W592" s="16" t="n">
        <f aca="false">IF(D592="","",U592-(H592+E592-Q592-O592-T592))</f>
        <v>0</v>
      </c>
      <c r="X592" s="16" t="n">
        <f aca="false">IF(W592="","",ABS(W592))</f>
        <v>0</v>
      </c>
      <c r="Y592" s="16" t="n">
        <f aca="false">IF(U592="","",IF($B$8=0,0,U592/$B$8*100))</f>
        <v>97.4672130481454</v>
      </c>
      <c r="Z592" s="18" t="n">
        <f aca="false">IF(D592="","",MAX(0,IF(P592&gt;=0,P592,IF(K592+P592&gt;=0,0,P592+K592))))</f>
        <v>46.0240180013343</v>
      </c>
      <c r="AA592" s="18" t="n">
        <f aca="false">IF(D592="","",IF(H592&lt;=$B$16,1,IF(H592&gt;=$B$17,$B$21,MATCH(H592,Aux_CAV!$A$2:$A$121,1))))</f>
        <v>14</v>
      </c>
      <c r="AB592" s="18" t="n">
        <f aca="false">IF(D592="","",IF(L592&lt;=$B$16,1,IF(L592&gt;=$B$17,$B$21,MATCH(L592,Aux_CAV!$A$2:$A$121,1))))</f>
        <v>13</v>
      </c>
      <c r="AC592" s="19" t="n">
        <f aca="false">IF(D592="","",COUNT($D$24:D592))</f>
        <v>557</v>
      </c>
    </row>
    <row r="593" customFormat="false" ht="12.75" hidden="false" customHeight="true" outlineLevel="0" collapsed="false">
      <c r="A593" s="14" t="n">
        <f aca="false">IF(D593="","",DATE(B593,C593,1))</f>
        <v>20972</v>
      </c>
      <c r="B593" s="15" t="n">
        <f aca="false" t="array" ref="B593:B593">IF(D593="","",IFERROR(VALUE(INDEX(Vazoes_COLAR!$A$2:$A$200,INT((ROW()-24)/12)+1)),""))</f>
        <v>1957</v>
      </c>
      <c r="C593" s="15" t="n">
        <f aca="false">IF(D593="","",MOD(ROW()-24,12)+1)</f>
        <v>6</v>
      </c>
      <c r="D593" s="16" t="n">
        <f aca="false" t="array" ref="D593: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0.121814179144208</v>
      </c>
      <c r="E593" s="16" t="n">
        <f aca="false">IF(D593="","",D593*$B$15)</f>
        <v>0.315742352341787</v>
      </c>
      <c r="F593" s="16" t="n">
        <f aca="false" t="array" ref="F593:F593">IF(D593="","",IFERROR(INDEX(Dados_Evap!$C$2:$N$15,MATCH($B$9,Dados_Evap!$A$2:$A$15,0),C593),0))</f>
        <v>161.3</v>
      </c>
      <c r="G593" s="16" t="n">
        <f aca="false">IF(F593="","",F593/1000)</f>
        <v>0.1613</v>
      </c>
      <c r="H593" s="16" t="n">
        <f aca="false">IF(D593="","",MAX(0,MIN($B$8,IFERROR(LOOKUP(2,1/($U$24:U592&lt;&gt;""),$U$24:U592),$B$11))))</f>
        <v>46.0240180013343</v>
      </c>
      <c r="I593" s="16" t="n">
        <f aca="false" t="array" ref="I593: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>6.85058984761749</v>
      </c>
      <c r="J593" s="16" t="n">
        <f aca="false">IF(D593="","",$B$12)</f>
        <v>0.35</v>
      </c>
      <c r="K593" s="16" t="n">
        <f aca="false">IF(J593="","",J593*$B$15)</f>
        <v>0.9072</v>
      </c>
      <c r="L593" s="16" t="n">
        <f aca="false">IF(D593="","",H593+E593-K593-G593*I593)</f>
        <v>44.3275602112553</v>
      </c>
      <c r="M593" s="16" t="n">
        <f aca="false" t="array" ref="M593: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>6.68121080725584</v>
      </c>
      <c r="N593" s="16" t="n">
        <f aca="false">IF(D593="","",(I593+M593)/2)</f>
        <v>6.76590032743667</v>
      </c>
      <c r="O593" s="16" t="n">
        <f aca="false">IF(D593="","",G593*N593)</f>
        <v>1.09133972281553</v>
      </c>
      <c r="P593" s="16" t="n">
        <f aca="false">IF(D593="","",H593+E593-K593-O593)</f>
        <v>44.3412206308605</v>
      </c>
      <c r="Q593" s="16" t="n">
        <f aca="false">IF(D593="","",IF(P593&gt;=0,K593,MAX(0,K593+P593)))</f>
        <v>0.9072</v>
      </c>
      <c r="R593" s="16" t="n">
        <f aca="false">IF(D593="","",Q593/$B$15)</f>
        <v>0.35</v>
      </c>
      <c r="S593" s="16" t="n">
        <f aca="false">IF(D593="","",MAX(0,J593-R593))</f>
        <v>0</v>
      </c>
      <c r="T593" s="16" t="n">
        <f aca="false">IF(D593="","",MAX(0,Z593-$B$8))</f>
        <v>0</v>
      </c>
      <c r="U593" s="16" t="n">
        <f aca="false">IF(D593="","",MAX(0,MIN($B$8,Z593)))</f>
        <v>44.3412206308605</v>
      </c>
      <c r="V593" s="16" t="str">
        <f aca="false">IF(D593="","",IF(S593&gt;0.0000001,"Sim","Não"))</f>
        <v>Não</v>
      </c>
      <c r="W593" s="16" t="n">
        <f aca="false">IF(D593="","",U593-(H593+E593-Q593-O593-T593))</f>
        <v>0</v>
      </c>
      <c r="X593" s="16" t="n">
        <f aca="false">IF(W593="","",ABS(W593))</f>
        <v>0</v>
      </c>
      <c r="Y593" s="16" t="n">
        <f aca="false">IF(U593="","",IF($B$8=0,0,U593/$B$8*100))</f>
        <v>93.9034744406195</v>
      </c>
      <c r="Z593" s="18" t="n">
        <f aca="false">IF(D593="","",MAX(0,IF(P593&gt;=0,P593,IF(K593+P593&gt;=0,0,P593+K593))))</f>
        <v>44.3412206308605</v>
      </c>
      <c r="AA593" s="18" t="n">
        <f aca="false">IF(D593="","",IF(H593&lt;=$B$16,1,IF(H593&gt;=$B$17,$B$21,MATCH(H593,Aux_CAV!$A$2:$A$121,1))))</f>
        <v>13</v>
      </c>
      <c r="AB593" s="18" t="n">
        <f aca="false">IF(D593="","",IF(L593&lt;=$B$16,1,IF(L593&gt;=$B$17,$B$21,MATCH(L593,Aux_CAV!$A$2:$A$121,1))))</f>
        <v>13</v>
      </c>
      <c r="AC593" s="19" t="n">
        <f aca="false">IF(D593="","",COUNT($D$24:D593))</f>
        <v>558</v>
      </c>
    </row>
    <row r="594" customFormat="false" ht="12.75" hidden="false" customHeight="true" outlineLevel="0" collapsed="false">
      <c r="A594" s="14" t="n">
        <f aca="false">IF(D594="","",DATE(B594,C594,1))</f>
        <v>21002</v>
      </c>
      <c r="B594" s="15" t="n">
        <f aca="false" t="array" ref="B594:B594">IF(D594="","",IFERROR(VALUE(INDEX(Vazoes_COLAR!$A$2:$A$200,INT((ROW()-24)/12)+1)),""))</f>
        <v>1957</v>
      </c>
      <c r="C594" s="15" t="n">
        <f aca="false">IF(D594="","",MOD(ROW()-24,12)+1)</f>
        <v>7</v>
      </c>
      <c r="D594" s="16" t="n">
        <f aca="false" t="array" ref="D594: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0.0288035980253493</v>
      </c>
      <c r="E594" s="16" t="n">
        <f aca="false">IF(D594="","",D594*$B$15)</f>
        <v>0.0746589260817054</v>
      </c>
      <c r="F594" s="16" t="n">
        <f aca="false" t="array" ref="F594:F594">IF(D594="","",IFERROR(INDEX(Dados_Evap!$C$2:$N$15,MATCH($B$9,Dados_Evap!$A$2:$A$15,0),C594),0))</f>
        <v>224.8</v>
      </c>
      <c r="G594" s="16" t="n">
        <f aca="false">IF(F594="","",F594/1000)</f>
        <v>0.2248</v>
      </c>
      <c r="H594" s="16" t="n">
        <f aca="false">IF(D594="","",MAX(0,MIN($B$8,IFERROR(LOOKUP(2,1/($U$24:U593&lt;&gt;""),$U$24:U593),$B$11))))</f>
        <v>44.3412206308605</v>
      </c>
      <c r="I594" s="16" t="n">
        <f aca="false" t="array" ref="I594: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>6.68257470135164</v>
      </c>
      <c r="J594" s="16" t="n">
        <f aca="false">IF(D594="","",$B$12)</f>
        <v>0.35</v>
      </c>
      <c r="K594" s="16" t="n">
        <f aca="false">IF(J594="","",J594*$B$15)</f>
        <v>0.9072</v>
      </c>
      <c r="L594" s="16" t="n">
        <f aca="false">IF(D594="","",H594+E594-K594-G594*I594)</f>
        <v>42.0064367640784</v>
      </c>
      <c r="M594" s="16" t="n">
        <f aca="false" t="array" ref="M594: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>6.44946341905499</v>
      </c>
      <c r="N594" s="16" t="n">
        <f aca="false">IF(D594="","",(I594+M594)/2)</f>
        <v>6.56601906020332</v>
      </c>
      <c r="O594" s="16" t="n">
        <f aca="false">IF(D594="","",G594*N594)</f>
        <v>1.47604108473371</v>
      </c>
      <c r="P594" s="16" t="n">
        <f aca="false">IF(D594="","",H594+E594-K594-O594)</f>
        <v>42.0326384722085</v>
      </c>
      <c r="Q594" s="16" t="n">
        <f aca="false">IF(D594="","",IF(P594&gt;=0,K594,MAX(0,K594+P594)))</f>
        <v>0.9072</v>
      </c>
      <c r="R594" s="16" t="n">
        <f aca="false">IF(D594="","",Q594/$B$15)</f>
        <v>0.35</v>
      </c>
      <c r="S594" s="16" t="n">
        <f aca="false">IF(D594="","",MAX(0,J594-R594))</f>
        <v>0</v>
      </c>
      <c r="T594" s="16" t="n">
        <f aca="false">IF(D594="","",MAX(0,Z594-$B$8))</f>
        <v>0</v>
      </c>
      <c r="U594" s="16" t="n">
        <f aca="false">IF(D594="","",MAX(0,MIN($B$8,Z594)))</f>
        <v>42.0326384722085</v>
      </c>
      <c r="V594" s="16" t="str">
        <f aca="false">IF(D594="","",IF(S594&gt;0.0000001,"Sim","Não"))</f>
        <v>Não</v>
      </c>
      <c r="W594" s="16" t="n">
        <f aca="false">IF(D594="","",U594-(H594+E594-Q594-O594-T594))</f>
        <v>0</v>
      </c>
      <c r="X594" s="16" t="n">
        <f aca="false">IF(W594="","",ABS(W594))</f>
        <v>0</v>
      </c>
      <c r="Y594" s="16" t="n">
        <f aca="false">IF(U594="","",IF($B$8=0,0,U594/$B$8*100))</f>
        <v>89.0144821520722</v>
      </c>
      <c r="Z594" s="18" t="n">
        <f aca="false">IF(D594="","",MAX(0,IF(P594&gt;=0,P594,IF(K594+P594&gt;=0,0,P594+K594))))</f>
        <v>42.0326384722085</v>
      </c>
      <c r="AA594" s="18" t="n">
        <f aca="false">IF(D594="","",IF(H594&lt;=$B$16,1,IF(H594&gt;=$B$17,$B$21,MATCH(H594,Aux_CAV!$A$2:$A$121,1))))</f>
        <v>13</v>
      </c>
      <c r="AB594" s="18" t="n">
        <f aca="false">IF(D594="","",IF(L594&lt;=$B$16,1,IF(L594&gt;=$B$17,$B$21,MATCH(L594,Aux_CAV!$A$2:$A$121,1))))</f>
        <v>13</v>
      </c>
      <c r="AC594" s="19" t="n">
        <f aca="false">IF(D594="","",COUNT($D$24:D594))</f>
        <v>559</v>
      </c>
    </row>
    <row r="595" customFormat="false" ht="12.75" hidden="false" customHeight="true" outlineLevel="0" collapsed="false">
      <c r="A595" s="14" t="n">
        <f aca="false">IF(D595="","",DATE(B595,C595,1))</f>
        <v>21033</v>
      </c>
      <c r="B595" s="15" t="n">
        <f aca="false" t="array" ref="B595:B595">IF(D595="","",IFERROR(VALUE(INDEX(Vazoes_COLAR!$A$2:$A$200,INT((ROW()-24)/12)+1)),""))</f>
        <v>1957</v>
      </c>
      <c r="C595" s="15" t="n">
        <f aca="false">IF(D595="","",MOD(ROW()-24,12)+1)</f>
        <v>8</v>
      </c>
      <c r="D595" s="16" t="n">
        <f aca="false" t="array" ref="D595: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0.0215825232361975</v>
      </c>
      <c r="E595" s="16" t="n">
        <f aca="false">IF(D595="","",D595*$B$15)</f>
        <v>0.0559419002282239</v>
      </c>
      <c r="F595" s="16" t="n">
        <f aca="false" t="array" ref="F595:F595">IF(D595="","",IFERROR(INDEX(Dados_Evap!$C$2:$N$15,MATCH($B$9,Dados_Evap!$A$2:$A$15,0),C595),0))</f>
        <v>268.7</v>
      </c>
      <c r="G595" s="16" t="n">
        <f aca="false">IF(F595="","",F595/1000)</f>
        <v>0.2687</v>
      </c>
      <c r="H595" s="16" t="n">
        <f aca="false">IF(D595="","",MAX(0,MIN($B$8,IFERROR(LOOKUP(2,1/($U$24:U594&lt;&gt;""),$U$24:U594),$B$11))))</f>
        <v>42.0326384722085</v>
      </c>
      <c r="I595" s="16" t="n">
        <f aca="false" t="array" ref="I595: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>6.45207947010258</v>
      </c>
      <c r="J595" s="16" t="n">
        <f aca="false">IF(D595="","",$B$12)</f>
        <v>0.35</v>
      </c>
      <c r="K595" s="16" t="n">
        <f aca="false">IF(J595="","",J595*$B$15)</f>
        <v>0.9072</v>
      </c>
      <c r="L595" s="16" t="n">
        <f aca="false">IF(D595="","",H595+E595-K595-G595*I595)</f>
        <v>39.4477066188202</v>
      </c>
      <c r="M595" s="16" t="n">
        <f aca="false" t="array" ref="M595: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>6.19399272058975</v>
      </c>
      <c r="N595" s="16" t="n">
        <f aca="false">IF(D595="","",(I595+M595)/2)</f>
        <v>6.32303609534616</v>
      </c>
      <c r="O595" s="16" t="n">
        <f aca="false">IF(D595="","",G595*N595)</f>
        <v>1.69899979881951</v>
      </c>
      <c r="P595" s="16" t="n">
        <f aca="false">IF(D595="","",H595+E595-K595-O595)</f>
        <v>39.4823805736172</v>
      </c>
      <c r="Q595" s="16" t="n">
        <f aca="false">IF(D595="","",IF(P595&gt;=0,K595,MAX(0,K595+P595)))</f>
        <v>0.9072</v>
      </c>
      <c r="R595" s="16" t="n">
        <f aca="false">IF(D595="","",Q595/$B$15)</f>
        <v>0.35</v>
      </c>
      <c r="S595" s="16" t="n">
        <f aca="false">IF(D595="","",MAX(0,J595-R595))</f>
        <v>0</v>
      </c>
      <c r="T595" s="16" t="n">
        <f aca="false">IF(D595="","",MAX(0,Z595-$B$8))</f>
        <v>0</v>
      </c>
      <c r="U595" s="16" t="n">
        <f aca="false">IF(D595="","",MAX(0,MIN($B$8,Z595)))</f>
        <v>39.4823805736172</v>
      </c>
      <c r="V595" s="16" t="str">
        <f aca="false">IF(D595="","",IF(S595&gt;0.0000001,"Sim","Não"))</f>
        <v>Não</v>
      </c>
      <c r="W595" s="16" t="n">
        <f aca="false">IF(D595="","",U595-(H595+E595-Q595-O595-T595))</f>
        <v>0</v>
      </c>
      <c r="X595" s="16" t="n">
        <f aca="false">IF(W595="","",ABS(W595))</f>
        <v>0</v>
      </c>
      <c r="Y595" s="16" t="n">
        <f aca="false">IF(U595="","",IF($B$8=0,0,U595/$B$8*100))</f>
        <v>83.613681858571</v>
      </c>
      <c r="Z595" s="18" t="n">
        <f aca="false">IF(D595="","",MAX(0,IF(P595&gt;=0,P595,IF(K595+P595&gt;=0,0,P595+K595))))</f>
        <v>39.4823805736172</v>
      </c>
      <c r="AA595" s="18" t="n">
        <f aca="false">IF(D595="","",IF(H595&lt;=$B$16,1,IF(H595&gt;=$B$17,$B$21,MATCH(H595,Aux_CAV!$A$2:$A$121,1))))</f>
        <v>13</v>
      </c>
      <c r="AB595" s="18" t="n">
        <f aca="false">IF(D595="","",IF(L595&lt;=$B$16,1,IF(L595&gt;=$B$17,$B$21,MATCH(L595,Aux_CAV!$A$2:$A$121,1))))</f>
        <v>13</v>
      </c>
      <c r="AC595" s="19" t="n">
        <f aca="false">IF(D595="","",COUNT($D$24:D595))</f>
        <v>560</v>
      </c>
    </row>
    <row r="596" customFormat="false" ht="12.75" hidden="false" customHeight="true" outlineLevel="0" collapsed="false">
      <c r="A596" s="14" t="n">
        <f aca="false">IF(D596="","",DATE(B596,C596,1))</f>
        <v>21064</v>
      </c>
      <c r="B596" s="15" t="n">
        <f aca="false" t="array" ref="B596:B596">IF(D596="","",IFERROR(VALUE(INDEX(Vazoes_COLAR!$A$2:$A$200,INT((ROW()-24)/12)+1)),""))</f>
        <v>1957</v>
      </c>
      <c r="C596" s="15" t="n">
        <f aca="false">IF(D596="","",MOD(ROW()-24,12)+1)</f>
        <v>9</v>
      </c>
      <c r="D596" s="16" t="n">
        <f aca="false" t="array" ref="D596: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0.0190653008261331</v>
      </c>
      <c r="E596" s="16" t="n">
        <f aca="false">IF(D596="","",D596*$B$15)</f>
        <v>0.049417259741337</v>
      </c>
      <c r="F596" s="16" t="n">
        <f aca="false" t="array" ref="F596:F596">IF(D596="","",IFERROR(INDEX(Dados_Evap!$C$2:$N$15,MATCH($B$9,Dados_Evap!$A$2:$A$15,0),C596),0))</f>
        <v>292.8</v>
      </c>
      <c r="G596" s="16" t="n">
        <f aca="false">IF(F596="","",F596/1000)</f>
        <v>0.2928</v>
      </c>
      <c r="H596" s="16" t="n">
        <f aca="false">IF(D596="","",MAX(0,MIN($B$8,IFERROR(LOOKUP(2,1/($U$24:U595&lt;&gt;""),$U$24:U595),$B$11))))</f>
        <v>39.4823805736172</v>
      </c>
      <c r="I596" s="16" t="n">
        <f aca="false" t="array" ref="I596: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>6.19745466418977</v>
      </c>
      <c r="J596" s="16" t="n">
        <f aca="false">IF(D596="","",$B$12)</f>
        <v>0.35</v>
      </c>
      <c r="K596" s="16" t="n">
        <f aca="false">IF(J596="","",J596*$B$15)</f>
        <v>0.9072</v>
      </c>
      <c r="L596" s="16" t="n">
        <f aca="false">IF(D596="","",H596+E596-K596-G596*I596)</f>
        <v>36.8099831076838</v>
      </c>
      <c r="M596" s="16" t="n">
        <f aca="false" t="array" ref="M596: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>5.93063510587723</v>
      </c>
      <c r="N596" s="16" t="n">
        <f aca="false">IF(D596="","",(I596+M596)/2)</f>
        <v>6.0640448850335</v>
      </c>
      <c r="O596" s="16" t="n">
        <f aca="false">IF(D596="","",G596*N596)</f>
        <v>1.77555234233781</v>
      </c>
      <c r="P596" s="16" t="n">
        <f aca="false">IF(D596="","",H596+E596-K596-O596)</f>
        <v>36.8490454910207</v>
      </c>
      <c r="Q596" s="16" t="n">
        <f aca="false">IF(D596="","",IF(P596&gt;=0,K596,MAX(0,K596+P596)))</f>
        <v>0.9072</v>
      </c>
      <c r="R596" s="16" t="n">
        <f aca="false">IF(D596="","",Q596/$B$15)</f>
        <v>0.35</v>
      </c>
      <c r="S596" s="16" t="n">
        <f aca="false">IF(D596="","",MAX(0,J596-R596))</f>
        <v>0</v>
      </c>
      <c r="T596" s="16" t="n">
        <f aca="false">IF(D596="","",MAX(0,Z596-$B$8))</f>
        <v>0</v>
      </c>
      <c r="U596" s="16" t="n">
        <f aca="false">IF(D596="","",MAX(0,MIN($B$8,Z596)))</f>
        <v>36.8490454910207</v>
      </c>
      <c r="V596" s="16" t="str">
        <f aca="false">IF(D596="","",IF(S596&gt;0.0000001,"Sim","Não"))</f>
        <v>Não</v>
      </c>
      <c r="W596" s="16" t="n">
        <f aca="false">IF(D596="","",U596-(H596+E596-Q596-O596-T596))</f>
        <v>0</v>
      </c>
      <c r="X596" s="16" t="n">
        <f aca="false">IF(W596="","",ABS(W596))</f>
        <v>0</v>
      </c>
      <c r="Y596" s="16" t="n">
        <f aca="false">IF(U596="","",IF($B$8=0,0,U596/$B$8*100))</f>
        <v>78.0369451313442</v>
      </c>
      <c r="Z596" s="18" t="n">
        <f aca="false">IF(D596="","",MAX(0,IF(P596&gt;=0,P596,IF(K596+P596&gt;=0,0,P596+K596))))</f>
        <v>36.8490454910207</v>
      </c>
      <c r="AA596" s="18" t="n">
        <f aca="false">IF(D596="","",IF(H596&lt;=$B$16,1,IF(H596&gt;=$B$17,$B$21,MATCH(H596,Aux_CAV!$A$2:$A$121,1))))</f>
        <v>13</v>
      </c>
      <c r="AB596" s="18" t="n">
        <f aca="false">IF(D596="","",IF(L596&lt;=$B$16,1,IF(L596&gt;=$B$17,$B$21,MATCH(L596,Aux_CAV!$A$2:$A$121,1))))</f>
        <v>13</v>
      </c>
      <c r="AC596" s="19" t="n">
        <f aca="false">IF(D596="","",COUNT($D$24:D596))</f>
        <v>561</v>
      </c>
    </row>
    <row r="597" customFormat="false" ht="12.75" hidden="false" customHeight="true" outlineLevel="0" collapsed="false">
      <c r="A597" s="14" t="n">
        <f aca="false">IF(D597="","",DATE(B597,C597,1))</f>
        <v>21094</v>
      </c>
      <c r="B597" s="15" t="n">
        <f aca="false" t="array" ref="B597:B597">IF(D597="","",IFERROR(VALUE(INDEX(Vazoes_COLAR!$A$2:$A$200,INT((ROW()-24)/12)+1)),""))</f>
        <v>1957</v>
      </c>
      <c r="C597" s="15" t="n">
        <f aca="false">IF(D597="","",MOD(ROW()-24,12)+1)</f>
        <v>10</v>
      </c>
      <c r="D597" s="16" t="n">
        <f aca="false" t="array" ref="D597: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0.0167911962876624</v>
      </c>
      <c r="E597" s="16" t="n">
        <f aca="false">IF(D597="","",D597*$B$15)</f>
        <v>0.0435227807776209</v>
      </c>
      <c r="F597" s="16" t="n">
        <f aca="false" t="array" ref="F597:F597">IF(D597="","",IFERROR(INDEX(Dados_Evap!$C$2:$N$15,MATCH($B$9,Dados_Evap!$A$2:$A$15,0),C597),0))</f>
        <v>262.9</v>
      </c>
      <c r="G597" s="16" t="n">
        <f aca="false">IF(F597="","",F597/1000)</f>
        <v>0.2629</v>
      </c>
      <c r="H597" s="16" t="n">
        <f aca="false">IF(D597="","",MAX(0,MIN($B$8,IFERROR(LOOKUP(2,1/($U$24:U596&lt;&gt;""),$U$24:U596),$B$11))))</f>
        <v>36.8490454910207</v>
      </c>
      <c r="I597" s="16" t="n">
        <f aca="false" t="array" ref="I597: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>5.93453520232676</v>
      </c>
      <c r="J597" s="16" t="n">
        <f aca="false">IF(D597="","",$B$12)</f>
        <v>0.35</v>
      </c>
      <c r="K597" s="16" t="n">
        <f aca="false">IF(J597="","",J597*$B$15)</f>
        <v>0.9072</v>
      </c>
      <c r="L597" s="16" t="n">
        <f aca="false">IF(D597="","",H597+E597-K597-G597*I597)</f>
        <v>34.4251789671066</v>
      </c>
      <c r="M597" s="16" t="n">
        <f aca="false" t="array" ref="M597: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>5.69222732959263</v>
      </c>
      <c r="N597" s="16" t="n">
        <f aca="false">IF(D597="","",(I597+M597)/2)</f>
        <v>5.81338126595969</v>
      </c>
      <c r="O597" s="16" t="n">
        <f aca="false">IF(D597="","",G597*N597)</f>
        <v>1.5283379348208</v>
      </c>
      <c r="P597" s="16" t="n">
        <f aca="false">IF(D597="","",H597+E597-K597-O597)</f>
        <v>34.4570303369775</v>
      </c>
      <c r="Q597" s="16" t="n">
        <f aca="false">IF(D597="","",IF(P597&gt;=0,K597,MAX(0,K597+P597)))</f>
        <v>0.9072</v>
      </c>
      <c r="R597" s="16" t="n">
        <f aca="false">IF(D597="","",Q597/$B$15)</f>
        <v>0.35</v>
      </c>
      <c r="S597" s="16" t="n">
        <f aca="false">IF(D597="","",MAX(0,J597-R597))</f>
        <v>0</v>
      </c>
      <c r="T597" s="16" t="n">
        <f aca="false">IF(D597="","",MAX(0,Z597-$B$8))</f>
        <v>0</v>
      </c>
      <c r="U597" s="16" t="n">
        <f aca="false">IF(D597="","",MAX(0,MIN($B$8,Z597)))</f>
        <v>34.4570303369775</v>
      </c>
      <c r="V597" s="16" t="str">
        <f aca="false">IF(D597="","",IF(S597&gt;0.0000001,"Sim","Não"))</f>
        <v>Não</v>
      </c>
      <c r="W597" s="16" t="n">
        <f aca="false">IF(D597="","",U597-(H597+E597-Q597-O597-T597))</f>
        <v>0</v>
      </c>
      <c r="X597" s="16" t="n">
        <f aca="false">IF(W597="","",ABS(W597))</f>
        <v>0</v>
      </c>
      <c r="Y597" s="16" t="n">
        <f aca="false">IF(U597="","",IF($B$8=0,0,U597/$B$8*100))</f>
        <v>72.9712628906767</v>
      </c>
      <c r="Z597" s="18" t="n">
        <f aca="false">IF(D597="","",MAX(0,IF(P597&gt;=0,P597,IF(K597+P597&gt;=0,0,P597+K597))))</f>
        <v>34.4570303369775</v>
      </c>
      <c r="AA597" s="18" t="n">
        <f aca="false">IF(D597="","",IF(H597&lt;=$B$16,1,IF(H597&gt;=$B$17,$B$21,MATCH(H597,Aux_CAV!$A$2:$A$121,1))))</f>
        <v>13</v>
      </c>
      <c r="AB597" s="18" t="n">
        <f aca="false">IF(D597="","",IF(L597&lt;=$B$16,1,IF(L597&gt;=$B$17,$B$21,MATCH(L597,Aux_CAV!$A$2:$A$121,1))))</f>
        <v>12</v>
      </c>
      <c r="AC597" s="19" t="n">
        <f aca="false">IF(D597="","",COUNT($D$24:D597))</f>
        <v>562</v>
      </c>
    </row>
    <row r="598" customFormat="false" ht="12.75" hidden="false" customHeight="true" outlineLevel="0" collapsed="false">
      <c r="A598" s="14" t="n">
        <f aca="false">IF(D598="","",DATE(B598,C598,1))</f>
        <v>21125</v>
      </c>
      <c r="B598" s="15" t="n">
        <f aca="false" t="array" ref="B598:B598">IF(D598="","",IFERROR(VALUE(INDEX(Vazoes_COLAR!$A$2:$A$200,INT((ROW()-24)/12)+1)),""))</f>
        <v>1957</v>
      </c>
      <c r="C598" s="15" t="n">
        <f aca="false">IF(D598="","",MOD(ROW()-24,12)+1)</f>
        <v>11</v>
      </c>
      <c r="D598" s="16" t="n">
        <f aca="false" t="array" ref="D598: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0.0157348842201527</v>
      </c>
      <c r="E598" s="16" t="n">
        <f aca="false">IF(D598="","",D598*$B$15)</f>
        <v>0.0407848198986358</v>
      </c>
      <c r="F598" s="16" t="n">
        <f aca="false" t="array" ref="F598:F598">IF(D598="","",IFERROR(INDEX(Dados_Evap!$C$2:$N$15,MATCH($B$9,Dados_Evap!$A$2:$A$15,0),C598),0))</f>
        <v>223.7</v>
      </c>
      <c r="G598" s="16" t="n">
        <f aca="false">IF(F598="","",F598/1000)</f>
        <v>0.2237</v>
      </c>
      <c r="H598" s="16" t="n">
        <f aca="false">IF(D598="","",MAX(0,MIN($B$8,IFERROR(LOOKUP(2,1/($U$24:U597&lt;&gt;""),$U$24:U597),$B$11))))</f>
        <v>34.4570303369775</v>
      </c>
      <c r="I598" s="16" t="n">
        <f aca="false" t="array" ref="I598: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>5.69553616122</v>
      </c>
      <c r="J598" s="16" t="n">
        <f aca="false">IF(D598="","",$B$12)</f>
        <v>0.35</v>
      </c>
      <c r="K598" s="16" t="n">
        <f aca="false">IF(J598="","",J598*$B$15)</f>
        <v>0.9072</v>
      </c>
      <c r="L598" s="16" t="n">
        <f aca="false">IF(D598="","",H598+E598-K598-G598*I598)</f>
        <v>32.3165237176113</v>
      </c>
      <c r="M598" s="16" t="n">
        <f aca="false" t="array" ref="M598: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>5.47317285221787</v>
      </c>
      <c r="N598" s="16" t="n">
        <f aca="false">IF(D598="","",(I598+M598)/2)</f>
        <v>5.58435450671893</v>
      </c>
      <c r="O598" s="16" t="n">
        <f aca="false">IF(D598="","",G598*N598)</f>
        <v>1.24922010315303</v>
      </c>
      <c r="P598" s="16" t="n">
        <f aca="false">IF(D598="","",H598+E598-K598-O598)</f>
        <v>32.3413950537232</v>
      </c>
      <c r="Q598" s="16" t="n">
        <f aca="false">IF(D598="","",IF(P598&gt;=0,K598,MAX(0,K598+P598)))</f>
        <v>0.9072</v>
      </c>
      <c r="R598" s="16" t="n">
        <f aca="false">IF(D598="","",Q598/$B$15)</f>
        <v>0.35</v>
      </c>
      <c r="S598" s="16" t="n">
        <f aca="false">IF(D598="","",MAX(0,J598-R598))</f>
        <v>0</v>
      </c>
      <c r="T598" s="16" t="n">
        <f aca="false">IF(D598="","",MAX(0,Z598-$B$8))</f>
        <v>0</v>
      </c>
      <c r="U598" s="16" t="n">
        <f aca="false">IF(D598="","",MAX(0,MIN($B$8,Z598)))</f>
        <v>32.3413950537232</v>
      </c>
      <c r="V598" s="16" t="str">
        <f aca="false">IF(D598="","",IF(S598&gt;0.0000001,"Sim","Não"))</f>
        <v>Não</v>
      </c>
      <c r="W598" s="16" t="n">
        <f aca="false">IF(D598="","",U598-(H598+E598-Q598-O598-T598))</f>
        <v>0</v>
      </c>
      <c r="X598" s="16" t="n">
        <f aca="false">IF(W598="","",ABS(W598))</f>
        <v>0</v>
      </c>
      <c r="Y598" s="16" t="n">
        <f aca="false">IF(U598="","",IF($B$8=0,0,U598/$B$8*100))</f>
        <v>68.4908832141532</v>
      </c>
      <c r="Z598" s="18" t="n">
        <f aca="false">IF(D598="","",MAX(0,IF(P598&gt;=0,P598,IF(K598+P598&gt;=0,0,P598+K598))))</f>
        <v>32.3413950537232</v>
      </c>
      <c r="AA598" s="18" t="n">
        <f aca="false">IF(D598="","",IF(H598&lt;=$B$16,1,IF(H598&gt;=$B$17,$B$21,MATCH(H598,Aux_CAV!$A$2:$A$121,1))))</f>
        <v>12</v>
      </c>
      <c r="AB598" s="18" t="n">
        <f aca="false">IF(D598="","",IF(L598&lt;=$B$16,1,IF(L598&gt;=$B$17,$B$21,MATCH(L598,Aux_CAV!$A$2:$A$121,1))))</f>
        <v>12</v>
      </c>
      <c r="AC598" s="19" t="n">
        <f aca="false">IF(D598="","",COUNT($D$24:D598))</f>
        <v>563</v>
      </c>
    </row>
    <row r="599" customFormat="false" ht="12.75" hidden="false" customHeight="true" outlineLevel="0" collapsed="false">
      <c r="A599" s="14" t="n">
        <f aca="false">IF(D599="","",DATE(B599,C599,1))</f>
        <v>21155</v>
      </c>
      <c r="B599" s="15" t="n">
        <f aca="false" t="array" ref="B599:B599">IF(D599="","",IFERROR(VALUE(INDEX(Vazoes_COLAR!$A$2:$A$200,INT((ROW()-24)/12)+1)),""))</f>
        <v>1957</v>
      </c>
      <c r="C599" s="15" t="n">
        <f aca="false">IF(D599="","",MOD(ROW()-24,12)+1)</f>
        <v>12</v>
      </c>
      <c r="D599" s="16" t="n">
        <f aca="false" t="array" ref="D599: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0.0429814248500693</v>
      </c>
      <c r="E599" s="16" t="n">
        <f aca="false">IF(D599="","",D599*$B$15)</f>
        <v>0.11140785321138</v>
      </c>
      <c r="F599" s="16" t="n">
        <f aca="false" t="array" ref="F599:F599">IF(D599="","",IFERROR(INDEX(Dados_Evap!$C$2:$N$15,MATCH($B$9,Dados_Evap!$A$2:$A$15,0),C599),0))</f>
        <v>216.1</v>
      </c>
      <c r="G599" s="16" t="n">
        <f aca="false">IF(F599="","",F599/1000)</f>
        <v>0.2161</v>
      </c>
      <c r="H599" s="16" t="n">
        <f aca="false">IF(D599="","",MAX(0,MIN($B$8,IFERROR(LOOKUP(2,1/($U$24:U598&lt;&gt;""),$U$24:U598),$B$11))))</f>
        <v>32.3413950537232</v>
      </c>
      <c r="I599" s="16" t="n">
        <f aca="false" t="array" ref="I599: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>5.47575657354211</v>
      </c>
      <c r="J599" s="16" t="n">
        <f aca="false">IF(D599="","",$B$12)</f>
        <v>0.35</v>
      </c>
      <c r="K599" s="16" t="n">
        <f aca="false">IF(J599="","",J599*$B$15)</f>
        <v>0.9072</v>
      </c>
      <c r="L599" s="16" t="n">
        <f aca="false">IF(D599="","",H599+E599-K599-G599*I599)</f>
        <v>30.3622919113921</v>
      </c>
      <c r="M599" s="16" t="n">
        <f aca="false" t="array" ref="M599: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>5.27016042186306</v>
      </c>
      <c r="N599" s="16" t="n">
        <f aca="false">IF(D599="","",(I599+M599)/2)</f>
        <v>5.37295849770259</v>
      </c>
      <c r="O599" s="16" t="n">
        <f aca="false">IF(D599="","",G599*N599)</f>
        <v>1.16109633135353</v>
      </c>
      <c r="P599" s="16" t="n">
        <f aca="false">IF(D599="","",H599+E599-K599-O599)</f>
        <v>30.384506575581</v>
      </c>
      <c r="Q599" s="16" t="n">
        <f aca="false">IF(D599="","",IF(P599&gt;=0,K599,MAX(0,K599+P599)))</f>
        <v>0.9072</v>
      </c>
      <c r="R599" s="16" t="n">
        <f aca="false">IF(D599="","",Q599/$B$15)</f>
        <v>0.35</v>
      </c>
      <c r="S599" s="16" t="n">
        <f aca="false">IF(D599="","",MAX(0,J599-R599))</f>
        <v>0</v>
      </c>
      <c r="T599" s="16" t="n">
        <f aca="false">IF(D599="","",MAX(0,Z599-$B$8))</f>
        <v>0</v>
      </c>
      <c r="U599" s="16" t="n">
        <f aca="false">IF(D599="","",MAX(0,MIN($B$8,Z599)))</f>
        <v>30.384506575581</v>
      </c>
      <c r="V599" s="16" t="str">
        <f aca="false">IF(D599="","",IF(S599&gt;0.0000001,"Sim","Não"))</f>
        <v>Não</v>
      </c>
      <c r="W599" s="16" t="n">
        <f aca="false">IF(D599="","",U599-(H599+E599-Q599-O599-T599))</f>
        <v>0</v>
      </c>
      <c r="X599" s="16" t="n">
        <f aca="false">IF(W599="","",ABS(W599))</f>
        <v>0</v>
      </c>
      <c r="Y599" s="16" t="n">
        <f aca="false">IF(U599="","",IF($B$8=0,0,U599/$B$8*100))</f>
        <v>64.3466890630686</v>
      </c>
      <c r="Z599" s="18" t="n">
        <f aca="false">IF(D599="","",MAX(0,IF(P599&gt;=0,P599,IF(K599+P599&gt;=0,0,P599+K599))))</f>
        <v>30.384506575581</v>
      </c>
      <c r="AA599" s="18" t="n">
        <f aca="false">IF(D599="","",IF(H599&lt;=$B$16,1,IF(H599&gt;=$B$17,$B$21,MATCH(H599,Aux_CAV!$A$2:$A$121,1))))</f>
        <v>12</v>
      </c>
      <c r="AB599" s="18" t="n">
        <f aca="false">IF(D599="","",IF(L599&lt;=$B$16,1,IF(L599&gt;=$B$17,$B$21,MATCH(L599,Aux_CAV!$A$2:$A$121,1))))</f>
        <v>12</v>
      </c>
      <c r="AC599" s="19" t="n">
        <f aca="false">IF(D599="","",COUNT($D$24:D599))</f>
        <v>564</v>
      </c>
    </row>
    <row r="600" customFormat="false" ht="12.75" hidden="false" customHeight="true" outlineLevel="0" collapsed="false">
      <c r="A600" s="14" t="n">
        <f aca="false">IF(D600="","",DATE(B600,C600,1))</f>
        <v>21186</v>
      </c>
      <c r="B600" s="15" t="n">
        <f aca="false" t="array" ref="B600:B600">IF(D600="","",IFERROR(VALUE(INDEX(Vazoes_COLAR!$A$2:$A$200,INT((ROW()-24)/12)+1)),""))</f>
        <v>1958</v>
      </c>
      <c r="C600" s="15" t="n">
        <f aca="false">IF(D600="","",MOD(ROW()-24,12)+1)</f>
        <v>1</v>
      </c>
      <c r="D600" s="16" t="n">
        <f aca="false" t="array" ref="D600: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0.0427284833285946</v>
      </c>
      <c r="E600" s="16" t="n">
        <f aca="false">IF(D600="","",D600*$B$15)</f>
        <v>0.110752228787717</v>
      </c>
      <c r="F600" s="16" t="n">
        <f aca="false" t="array" ref="F600:F600">IF(D600="","",IFERROR(INDEX(Dados_Evap!$C$2:$N$15,MATCH($B$9,Dados_Evap!$A$2:$A$15,0),C600),0))</f>
        <v>160</v>
      </c>
      <c r="G600" s="16" t="n">
        <f aca="false">IF(F600="","",F600/1000)</f>
        <v>0.16</v>
      </c>
      <c r="H600" s="16" t="n">
        <f aca="false">IF(D600="","",MAX(0,MIN($B$8,IFERROR(LOOKUP(2,1/($U$24:U599&lt;&gt;""),$U$24:U599),$B$11))))</f>
        <v>30.384506575581</v>
      </c>
      <c r="I600" s="16" t="n">
        <f aca="false" t="array" ref="I600: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>5.27246815882249</v>
      </c>
      <c r="J600" s="16" t="n">
        <f aca="false">IF(D600="","",$B$12)</f>
        <v>0.35</v>
      </c>
      <c r="K600" s="16" t="n">
        <f aca="false">IF(J600="","",J600*$B$15)</f>
        <v>0.9072</v>
      </c>
      <c r="L600" s="16" t="n">
        <f aca="false">IF(D600="","",H600+E600-K600-G600*I600)</f>
        <v>28.7444638989571</v>
      </c>
      <c r="M600" s="16" t="n">
        <f aca="false" t="array" ref="M600: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>5.10209479338681</v>
      </c>
      <c r="N600" s="16" t="n">
        <f aca="false">IF(D600="","",(I600+M600)/2)</f>
        <v>5.18728147610465</v>
      </c>
      <c r="O600" s="16" t="n">
        <f aca="false">IF(D600="","",G600*N600)</f>
        <v>0.829965036176744</v>
      </c>
      <c r="P600" s="16" t="n">
        <f aca="false">IF(D600="","",H600+E600-K600-O600)</f>
        <v>28.758093768192</v>
      </c>
      <c r="Q600" s="16" t="n">
        <f aca="false">IF(D600="","",IF(P600&gt;=0,K600,MAX(0,K600+P600)))</f>
        <v>0.9072</v>
      </c>
      <c r="R600" s="16" t="n">
        <f aca="false">IF(D600="","",Q600/$B$15)</f>
        <v>0.35</v>
      </c>
      <c r="S600" s="16" t="n">
        <f aca="false">IF(D600="","",MAX(0,J600-R600))</f>
        <v>0</v>
      </c>
      <c r="T600" s="16" t="n">
        <f aca="false">IF(D600="","",MAX(0,Z600-$B$8))</f>
        <v>0</v>
      </c>
      <c r="U600" s="16" t="n">
        <f aca="false">IF(D600="","",MAX(0,MIN($B$8,Z600)))</f>
        <v>28.758093768192</v>
      </c>
      <c r="V600" s="16" t="str">
        <f aca="false">IF(D600="","",IF(S600&gt;0.0000001,"Sim","Não"))</f>
        <v>Não</v>
      </c>
      <c r="W600" s="16" t="n">
        <f aca="false">IF(D600="","",U600-(H600+E600-Q600-O600-T600))</f>
        <v>0</v>
      </c>
      <c r="X600" s="16" t="n">
        <f aca="false">IF(W600="","",ABS(W600))</f>
        <v>0</v>
      </c>
      <c r="Y600" s="16" t="n">
        <f aca="false">IF(U600="","",IF($B$8=0,0,U600/$B$8*100))</f>
        <v>60.9023586789326</v>
      </c>
      <c r="Z600" s="18" t="n">
        <f aca="false">IF(D600="","",MAX(0,IF(P600&gt;=0,P600,IF(K600+P600&gt;=0,0,P600+K600))))</f>
        <v>28.758093768192</v>
      </c>
      <c r="AA600" s="18" t="n">
        <f aca="false">IF(D600="","",IF(H600&lt;=$B$16,1,IF(H600&gt;=$B$17,$B$21,MATCH(H600,Aux_CAV!$A$2:$A$121,1))))</f>
        <v>12</v>
      </c>
      <c r="AB600" s="18" t="n">
        <f aca="false">IF(D600="","",IF(L600&lt;=$B$16,1,IF(L600&gt;=$B$17,$B$21,MATCH(L600,Aux_CAV!$A$2:$A$121,1))))</f>
        <v>12</v>
      </c>
      <c r="AC600" s="19" t="n">
        <f aca="false">IF(D600="","",COUNT($D$24:D600))</f>
        <v>565</v>
      </c>
    </row>
    <row r="601" customFormat="false" ht="12.75" hidden="false" customHeight="true" outlineLevel="0" collapsed="false">
      <c r="A601" s="14" t="n">
        <f aca="false">IF(D601="","",DATE(B601,C601,1))</f>
        <v>21217</v>
      </c>
      <c r="B601" s="15" t="n">
        <f aca="false" t="array" ref="B601:B601">IF(D601="","",IFERROR(VALUE(INDEX(Vazoes_COLAR!$A$2:$A$200,INT((ROW()-24)/12)+1)),""))</f>
        <v>1958</v>
      </c>
      <c r="C601" s="15" t="n">
        <f aca="false">IF(D601="","",MOD(ROW()-24,12)+1)</f>
        <v>2</v>
      </c>
      <c r="D601" s="16" t="n">
        <f aca="false" t="array" ref="D601: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0.0867342191778374</v>
      </c>
      <c r="E601" s="16" t="n">
        <f aca="false">IF(D601="","",D601*$B$15)</f>
        <v>0.224815096108955</v>
      </c>
      <c r="F601" s="16" t="n">
        <f aca="false" t="array" ref="F601:F601">IF(D601="","",IFERROR(INDEX(Dados_Evap!$C$2:$N$15,MATCH($B$9,Dados_Evap!$A$2:$A$15,0),C601),0))</f>
        <v>124.3</v>
      </c>
      <c r="G601" s="16" t="n">
        <f aca="false">IF(F601="","",F601/1000)</f>
        <v>0.1243</v>
      </c>
      <c r="H601" s="16" t="n">
        <f aca="false">IF(D601="","",MAX(0,MIN($B$8,IFERROR(LOOKUP(2,1/($U$24:U600&lt;&gt;""),$U$24:U600),$B$11))))</f>
        <v>28.758093768192</v>
      </c>
      <c r="I601" s="16" t="n">
        <f aca="false" t="array" ref="I601: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>5.1035107118413</v>
      </c>
      <c r="J601" s="16" t="n">
        <f aca="false">IF(D601="","",$B$12)</f>
        <v>0.35</v>
      </c>
      <c r="K601" s="16" t="n">
        <f aca="false">IF(J601="","",J601*$B$15)</f>
        <v>0.9072</v>
      </c>
      <c r="L601" s="16" t="n">
        <f aca="false">IF(D601="","",H601+E601-K601-G601*I601)</f>
        <v>27.4413424828191</v>
      </c>
      <c r="M601" s="16" t="n">
        <f aca="false" t="array" ref="M601: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>4.96672198607926</v>
      </c>
      <c r="N601" s="16" t="n">
        <f aca="false">IF(D601="","",(I601+M601)/2)</f>
        <v>5.03511634896028</v>
      </c>
      <c r="O601" s="16" t="n">
        <f aca="false">IF(D601="","",G601*N601)</f>
        <v>0.625864962175763</v>
      </c>
      <c r="P601" s="16" t="n">
        <f aca="false">IF(D601="","",H601+E601-K601-O601)</f>
        <v>27.4498439021252</v>
      </c>
      <c r="Q601" s="16" t="n">
        <f aca="false">IF(D601="","",IF(P601&gt;=0,K601,MAX(0,K601+P601)))</f>
        <v>0.9072</v>
      </c>
      <c r="R601" s="16" t="n">
        <f aca="false">IF(D601="","",Q601/$B$15)</f>
        <v>0.35</v>
      </c>
      <c r="S601" s="16" t="n">
        <f aca="false">IF(D601="","",MAX(0,J601-R601))</f>
        <v>0</v>
      </c>
      <c r="T601" s="16" t="n">
        <f aca="false">IF(D601="","",MAX(0,Z601-$B$8))</f>
        <v>0</v>
      </c>
      <c r="U601" s="16" t="n">
        <f aca="false">IF(D601="","",MAX(0,MIN($B$8,Z601)))</f>
        <v>27.4498439021252</v>
      </c>
      <c r="V601" s="16" t="str">
        <f aca="false">IF(D601="","",IF(S601&gt;0.0000001,"Sim","Não"))</f>
        <v>Não</v>
      </c>
      <c r="W601" s="16" t="n">
        <f aca="false">IF(D601="","",U601-(H601+E601-Q601-O601-T601))</f>
        <v>0</v>
      </c>
      <c r="X601" s="16" t="n">
        <f aca="false">IF(W601="","",ABS(W601))</f>
        <v>0</v>
      </c>
      <c r="Y601" s="16" t="n">
        <f aca="false">IF(U601="","",IF($B$8=0,0,U601/$B$8*100))</f>
        <v>58.1318168194095</v>
      </c>
      <c r="Z601" s="18" t="n">
        <f aca="false">IF(D601="","",MAX(0,IF(P601&gt;=0,P601,IF(K601+P601&gt;=0,0,P601+K601))))</f>
        <v>27.4498439021252</v>
      </c>
      <c r="AA601" s="18" t="n">
        <f aca="false">IF(D601="","",IF(H601&lt;=$B$16,1,IF(H601&gt;=$B$17,$B$21,MATCH(H601,Aux_CAV!$A$2:$A$121,1))))</f>
        <v>12</v>
      </c>
      <c r="AB601" s="18" t="n">
        <f aca="false">IF(D601="","",IF(L601&lt;=$B$16,1,IF(L601&gt;=$B$17,$B$21,MATCH(L601,Aux_CAV!$A$2:$A$121,1))))</f>
        <v>12</v>
      </c>
      <c r="AC601" s="19" t="n">
        <f aca="false">IF(D601="","",COUNT($D$24:D601))</f>
        <v>566</v>
      </c>
    </row>
    <row r="602" customFormat="false" ht="12.75" hidden="false" customHeight="true" outlineLevel="0" collapsed="false">
      <c r="A602" s="14" t="n">
        <f aca="false">IF(D602="","",DATE(B602,C602,1))</f>
        <v>21245</v>
      </c>
      <c r="B602" s="15" t="n">
        <f aca="false" t="array" ref="B602:B602">IF(D602="","",IFERROR(VALUE(INDEX(Vazoes_COLAR!$A$2:$A$200,INT((ROW()-24)/12)+1)),""))</f>
        <v>1958</v>
      </c>
      <c r="C602" s="15" t="n">
        <f aca="false">IF(D602="","",MOD(ROW()-24,12)+1)</f>
        <v>3</v>
      </c>
      <c r="D602" s="16" t="n">
        <f aca="false" t="array" ref="D602: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0.578158906375934</v>
      </c>
      <c r="E602" s="16" t="n">
        <f aca="false">IF(D602="","",D602*$B$15)</f>
        <v>1.49858788532642</v>
      </c>
      <c r="F602" s="16" t="n">
        <f aca="false" t="array" ref="F602:F602">IF(D602="","",IFERROR(INDEX(Dados_Evap!$C$2:$N$15,MATCH($B$9,Dados_Evap!$A$2:$A$15,0),C602),0))</f>
        <v>107.7</v>
      </c>
      <c r="G602" s="16" t="n">
        <f aca="false">IF(F602="","",F602/1000)</f>
        <v>0.1077</v>
      </c>
      <c r="H602" s="16" t="n">
        <f aca="false">IF(D602="","",MAX(0,MIN($B$8,IFERROR(LOOKUP(2,1/($U$24:U601&lt;&gt;""),$U$24:U601),$B$11))))</f>
        <v>27.4498439021252</v>
      </c>
      <c r="I602" s="16" t="n">
        <f aca="false" t="array" ref="I602: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>4.96760514323048</v>
      </c>
      <c r="J602" s="16" t="n">
        <f aca="false">IF(D602="","",$B$12)</f>
        <v>0.35</v>
      </c>
      <c r="K602" s="16" t="n">
        <f aca="false">IF(J602="","",J602*$B$15)</f>
        <v>0.9072</v>
      </c>
      <c r="L602" s="16" t="n">
        <f aca="false">IF(D602="","",H602+E602-K602-G602*I602)</f>
        <v>27.5062207135257</v>
      </c>
      <c r="M602" s="16" t="n">
        <f aca="false" t="array" ref="M602: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>4.97346176344393</v>
      </c>
      <c r="N602" s="16" t="n">
        <f aca="false">IF(D602="","",(I602+M602)/2)</f>
        <v>4.9705334533372</v>
      </c>
      <c r="O602" s="16" t="n">
        <f aca="false">IF(D602="","",G602*N602)</f>
        <v>0.535326452924417</v>
      </c>
      <c r="P602" s="16" t="n">
        <f aca="false">IF(D602="","",H602+E602-K602-O602)</f>
        <v>27.5059053345272</v>
      </c>
      <c r="Q602" s="16" t="n">
        <f aca="false">IF(D602="","",IF(P602&gt;=0,K602,MAX(0,K602+P602)))</f>
        <v>0.9072</v>
      </c>
      <c r="R602" s="16" t="n">
        <f aca="false">IF(D602="","",Q602/$B$15)</f>
        <v>0.35</v>
      </c>
      <c r="S602" s="16" t="n">
        <f aca="false">IF(D602="","",MAX(0,J602-R602))</f>
        <v>0</v>
      </c>
      <c r="T602" s="16" t="n">
        <f aca="false">IF(D602="","",MAX(0,Z602-$B$8))</f>
        <v>0</v>
      </c>
      <c r="U602" s="16" t="n">
        <f aca="false">IF(D602="","",MAX(0,MIN($B$8,Z602)))</f>
        <v>27.5059053345272</v>
      </c>
      <c r="V602" s="16" t="str">
        <f aca="false">IF(D602="","",IF(S602&gt;0.0000001,"Sim","Não"))</f>
        <v>Não</v>
      </c>
      <c r="W602" s="16" t="n">
        <f aca="false">IF(D602="","",U602-(H602+E602-Q602-O602-T602))</f>
        <v>0</v>
      </c>
      <c r="X602" s="16" t="n">
        <f aca="false">IF(W602="","",ABS(W602))</f>
        <v>0</v>
      </c>
      <c r="Y602" s="16" t="n">
        <f aca="false">IF(U602="","",IF($B$8=0,0,U602/$B$8*100))</f>
        <v>58.2505407338568</v>
      </c>
      <c r="Z602" s="18" t="n">
        <f aca="false">IF(D602="","",MAX(0,IF(P602&gt;=0,P602,IF(K602+P602&gt;=0,0,P602+K602))))</f>
        <v>27.5059053345272</v>
      </c>
      <c r="AA602" s="18" t="n">
        <f aca="false">IF(D602="","",IF(H602&lt;=$B$16,1,IF(H602&gt;=$B$17,$B$21,MATCH(H602,Aux_CAV!$A$2:$A$121,1))))</f>
        <v>12</v>
      </c>
      <c r="AB602" s="18" t="n">
        <f aca="false">IF(D602="","",IF(L602&lt;=$B$16,1,IF(L602&gt;=$B$17,$B$21,MATCH(L602,Aux_CAV!$A$2:$A$121,1))))</f>
        <v>12</v>
      </c>
      <c r="AC602" s="19" t="n">
        <f aca="false">IF(D602="","",COUNT($D$24:D602))</f>
        <v>567</v>
      </c>
    </row>
    <row r="603" customFormat="false" ht="12.75" hidden="false" customHeight="true" outlineLevel="0" collapsed="false">
      <c r="A603" s="14" t="n">
        <f aca="false">IF(D603="","",DATE(B603,C603,1))</f>
        <v>21276</v>
      </c>
      <c r="B603" s="15" t="n">
        <f aca="false" t="array" ref="B603:B603">IF(D603="","",IFERROR(VALUE(INDEX(Vazoes_COLAR!$A$2:$A$200,INT((ROW()-24)/12)+1)),""))</f>
        <v>1958</v>
      </c>
      <c r="C603" s="15" t="n">
        <f aca="false">IF(D603="","",MOD(ROW()-24,12)+1)</f>
        <v>4</v>
      </c>
      <c r="D603" s="16" t="n">
        <f aca="false" t="array" ref="D603: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0.160719267055367</v>
      </c>
      <c r="E603" s="16" t="n">
        <f aca="false">IF(D603="","",D603*$B$15)</f>
        <v>0.416584340207511</v>
      </c>
      <c r="F603" s="16" t="n">
        <f aca="false" t="array" ref="F603:F603">IF(D603="","",IFERROR(INDEX(Dados_Evap!$C$2:$N$15,MATCH($B$9,Dados_Evap!$A$2:$A$15,0),C603),0))</f>
        <v>100.5</v>
      </c>
      <c r="G603" s="16" t="n">
        <f aca="false">IF(F603="","",F603/1000)</f>
        <v>0.1005</v>
      </c>
      <c r="H603" s="16" t="n">
        <f aca="false">IF(D603="","",MAX(0,MIN($B$8,IFERROR(LOOKUP(2,1/($U$24:U602&lt;&gt;""),$U$24:U602),$B$11))))</f>
        <v>27.5059053345272</v>
      </c>
      <c r="I603" s="16" t="n">
        <f aca="false" t="array" ref="I603: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>4.97342900077127</v>
      </c>
      <c r="J603" s="16" t="n">
        <f aca="false">IF(D603="","",$B$12)</f>
        <v>0.35</v>
      </c>
      <c r="K603" s="16" t="n">
        <f aca="false">IF(J603="","",J603*$B$15)</f>
        <v>0.9072</v>
      </c>
      <c r="L603" s="16" t="n">
        <f aca="false">IF(D603="","",H603+E603-K603-G603*I603)</f>
        <v>26.5154600601572</v>
      </c>
      <c r="M603" s="16" t="n">
        <f aca="false" t="array" ref="M603: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>4.87053808391924</v>
      </c>
      <c r="N603" s="16" t="n">
        <f aca="false">IF(D603="","",(I603+M603)/2)</f>
        <v>4.92198354234526</v>
      </c>
      <c r="O603" s="16" t="n">
        <f aca="false">IF(D603="","",G603*N603)</f>
        <v>0.494659346005698</v>
      </c>
      <c r="P603" s="16" t="n">
        <f aca="false">IF(D603="","",H603+E603-K603-O603)</f>
        <v>26.520630328729</v>
      </c>
      <c r="Q603" s="16" t="n">
        <f aca="false">IF(D603="","",IF(P603&gt;=0,K603,MAX(0,K603+P603)))</f>
        <v>0.9072</v>
      </c>
      <c r="R603" s="16" t="n">
        <f aca="false">IF(D603="","",Q603/$B$15)</f>
        <v>0.35</v>
      </c>
      <c r="S603" s="16" t="n">
        <f aca="false">IF(D603="","",MAX(0,J603-R603))</f>
        <v>0</v>
      </c>
      <c r="T603" s="16" t="n">
        <f aca="false">IF(D603="","",MAX(0,Z603-$B$8))</f>
        <v>0</v>
      </c>
      <c r="U603" s="16" t="n">
        <f aca="false">IF(D603="","",MAX(0,MIN($B$8,Z603)))</f>
        <v>26.520630328729</v>
      </c>
      <c r="V603" s="16" t="str">
        <f aca="false">IF(D603="","",IF(S603&gt;0.0000001,"Sim","Não"))</f>
        <v>Não</v>
      </c>
      <c r="W603" s="16" t="n">
        <f aca="false">IF(D603="","",U603-(H603+E603-Q603-O603-T603))</f>
        <v>0</v>
      </c>
      <c r="X603" s="16" t="n">
        <f aca="false">IF(W603="","",ABS(W603))</f>
        <v>0</v>
      </c>
      <c r="Y603" s="16" t="n">
        <f aca="false">IF(U603="","",IF($B$8=0,0,U603/$B$8*100))</f>
        <v>56.1639778245002</v>
      </c>
      <c r="Z603" s="18" t="n">
        <f aca="false">IF(D603="","",MAX(0,IF(P603&gt;=0,P603,IF(K603+P603&gt;=0,0,P603+K603))))</f>
        <v>26.520630328729</v>
      </c>
      <c r="AA603" s="18" t="n">
        <f aca="false">IF(D603="","",IF(H603&lt;=$B$16,1,IF(H603&gt;=$B$17,$B$21,MATCH(H603,Aux_CAV!$A$2:$A$121,1))))</f>
        <v>12</v>
      </c>
      <c r="AB603" s="18" t="n">
        <f aca="false">IF(D603="","",IF(L603&lt;=$B$16,1,IF(L603&gt;=$B$17,$B$21,MATCH(L603,Aux_CAV!$A$2:$A$121,1))))</f>
        <v>12</v>
      </c>
      <c r="AC603" s="19" t="n">
        <f aca="false">IF(D603="","",COUNT($D$24:D603))</f>
        <v>568</v>
      </c>
    </row>
    <row r="604" customFormat="false" ht="12.75" hidden="false" customHeight="true" outlineLevel="0" collapsed="false">
      <c r="A604" s="14" t="n">
        <f aca="false">IF(D604="","",DATE(B604,C604,1))</f>
        <v>21306</v>
      </c>
      <c r="B604" s="15" t="n">
        <f aca="false" t="array" ref="B604:B604">IF(D604="","",IFERROR(VALUE(INDEX(Vazoes_COLAR!$A$2:$A$200,INT((ROW()-24)/12)+1)),""))</f>
        <v>1958</v>
      </c>
      <c r="C604" s="15" t="n">
        <f aca="false">IF(D604="","",MOD(ROW()-24,12)+1)</f>
        <v>5</v>
      </c>
      <c r="D604" s="16" t="n">
        <f aca="false" t="array" ref="D604: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0.276636624756193</v>
      </c>
      <c r="E604" s="16" t="n">
        <f aca="false">IF(D604="","",D604*$B$15)</f>
        <v>0.717042131368052</v>
      </c>
      <c r="F604" s="16" t="n">
        <f aca="false" t="array" ref="F604:F604">IF(D604="","",IFERROR(INDEX(Dados_Evap!$C$2:$N$15,MATCH($B$9,Dados_Evap!$A$2:$A$15,0),C604),0))</f>
        <v>145.8</v>
      </c>
      <c r="G604" s="16" t="n">
        <f aca="false">IF(F604="","",F604/1000)</f>
        <v>0.1458</v>
      </c>
      <c r="H604" s="16" t="n">
        <f aca="false">IF(D604="","",MAX(0,MIN($B$8,IFERROR(LOOKUP(2,1/($U$24:U603&lt;&gt;""),$U$24:U603),$B$11))))</f>
        <v>26.520630328729</v>
      </c>
      <c r="I604" s="16" t="n">
        <f aca="false" t="array" ref="I604: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>4.87107518948932</v>
      </c>
      <c r="J604" s="16" t="n">
        <f aca="false">IF(D604="","",$B$12)</f>
        <v>0.35</v>
      </c>
      <c r="K604" s="16" t="n">
        <f aca="false">IF(J604="","",J604*$B$15)</f>
        <v>0.9072</v>
      </c>
      <c r="L604" s="16" t="n">
        <f aca="false">IF(D604="","",H604+E604-K604-G604*I604)</f>
        <v>25.6202696974695</v>
      </c>
      <c r="M604" s="16" t="n">
        <f aca="false" t="array" ref="M604: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>4.77754258022256</v>
      </c>
      <c r="N604" s="16" t="n">
        <f aca="false">IF(D604="","",(I604+M604)/2)</f>
        <v>4.82430888485594</v>
      </c>
      <c r="O604" s="16" t="n">
        <f aca="false">IF(D604="","",G604*N604)</f>
        <v>0.703384235411996</v>
      </c>
      <c r="P604" s="16" t="n">
        <f aca="false">IF(D604="","",H604+E604-K604-O604)</f>
        <v>25.627088224685</v>
      </c>
      <c r="Q604" s="16" t="n">
        <f aca="false">IF(D604="","",IF(P604&gt;=0,K604,MAX(0,K604+P604)))</f>
        <v>0.9072</v>
      </c>
      <c r="R604" s="16" t="n">
        <f aca="false">IF(D604="","",Q604/$B$15)</f>
        <v>0.35</v>
      </c>
      <c r="S604" s="16" t="n">
        <f aca="false">IF(D604="","",MAX(0,J604-R604))</f>
        <v>0</v>
      </c>
      <c r="T604" s="16" t="n">
        <f aca="false">IF(D604="","",MAX(0,Z604-$B$8))</f>
        <v>0</v>
      </c>
      <c r="U604" s="16" t="n">
        <f aca="false">IF(D604="","",MAX(0,MIN($B$8,Z604)))</f>
        <v>25.627088224685</v>
      </c>
      <c r="V604" s="16" t="str">
        <f aca="false">IF(D604="","",IF(S604&gt;0.0000001,"Sim","Não"))</f>
        <v>Não</v>
      </c>
      <c r="W604" s="16" t="n">
        <f aca="false">IF(D604="","",U604-(H604+E604-Q604-O604-T604))</f>
        <v>0</v>
      </c>
      <c r="X604" s="16" t="n">
        <f aca="false">IF(W604="","",ABS(W604))</f>
        <v>0</v>
      </c>
      <c r="Y604" s="16" t="n">
        <f aca="false">IF(U604="","",IF($B$8=0,0,U604/$B$8*100))</f>
        <v>54.2716819667197</v>
      </c>
      <c r="Z604" s="18" t="n">
        <f aca="false">IF(D604="","",MAX(0,IF(P604&gt;=0,P604,IF(K604+P604&gt;=0,0,P604+K604))))</f>
        <v>25.627088224685</v>
      </c>
      <c r="AA604" s="18" t="n">
        <f aca="false">IF(D604="","",IF(H604&lt;=$B$16,1,IF(H604&gt;=$B$17,$B$21,MATCH(H604,Aux_CAV!$A$2:$A$121,1))))</f>
        <v>12</v>
      </c>
      <c r="AB604" s="18" t="n">
        <f aca="false">IF(D604="","",IF(L604&lt;=$B$16,1,IF(L604&gt;=$B$17,$B$21,MATCH(L604,Aux_CAV!$A$2:$A$121,1))))</f>
        <v>12</v>
      </c>
      <c r="AC604" s="19" t="n">
        <f aca="false">IF(D604="","",COUNT($D$24:D604))</f>
        <v>569</v>
      </c>
    </row>
    <row r="605" customFormat="false" ht="12.75" hidden="false" customHeight="true" outlineLevel="0" collapsed="false">
      <c r="A605" s="14" t="n">
        <f aca="false">IF(D605="","",DATE(B605,C605,1))</f>
        <v>21337</v>
      </c>
      <c r="B605" s="15" t="n">
        <f aca="false" t="array" ref="B605:B605">IF(D605="","",IFERROR(VALUE(INDEX(Vazoes_COLAR!$A$2:$A$200,INT((ROW()-24)/12)+1)),""))</f>
        <v>1958</v>
      </c>
      <c r="C605" s="15" t="n">
        <f aca="false">IF(D605="","",MOD(ROW()-24,12)+1)</f>
        <v>6</v>
      </c>
      <c r="D605" s="16" t="n">
        <f aca="false" t="array" ref="D605: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0.00975951950582853</v>
      </c>
      <c r="E605" s="16" t="n">
        <f aca="false">IF(D605="","",D605*$B$15)</f>
        <v>0.0252966745591076</v>
      </c>
      <c r="F605" s="16" t="n">
        <f aca="false" t="array" ref="F605:F605">IF(D605="","",IFERROR(INDEX(Dados_Evap!$C$2:$N$15,MATCH($B$9,Dados_Evap!$A$2:$A$15,0),C605),0))</f>
        <v>161.3</v>
      </c>
      <c r="G605" s="16" t="n">
        <f aca="false">IF(F605="","",F605/1000)</f>
        <v>0.1613</v>
      </c>
      <c r="H605" s="16" t="n">
        <f aca="false">IF(D605="","",MAX(0,MIN($B$8,IFERROR(LOOKUP(2,1/($U$24:U604&lt;&gt;""),$U$24:U604),$B$11))))</f>
        <v>25.627088224685</v>
      </c>
      <c r="I605" s="16" t="n">
        <f aca="false" t="array" ref="I605: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>4.77825091266146</v>
      </c>
      <c r="J605" s="16" t="n">
        <f aca="false">IF(D605="","",$B$12)</f>
        <v>0.35</v>
      </c>
      <c r="K605" s="16" t="n">
        <f aca="false">IF(J605="","",J605*$B$15)</f>
        <v>0.9072</v>
      </c>
      <c r="L605" s="16" t="n">
        <f aca="false">IF(D605="","",H605+E605-K605-G605*I605)</f>
        <v>23.9744530270319</v>
      </c>
      <c r="M605" s="16" t="n">
        <f aca="false" t="array" ref="M605: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>4.60304438615747</v>
      </c>
      <c r="N605" s="16" t="n">
        <f aca="false">IF(D605="","",(I605+M605)/2)</f>
        <v>4.69064764940946</v>
      </c>
      <c r="O605" s="16" t="n">
        <f aca="false">IF(D605="","",G605*N605)</f>
        <v>0.756601465849746</v>
      </c>
      <c r="P605" s="16" t="n">
        <f aca="false">IF(D605="","",H605+E605-K605-O605)</f>
        <v>23.9885834333944</v>
      </c>
      <c r="Q605" s="16" t="n">
        <f aca="false">IF(D605="","",IF(P605&gt;=0,K605,MAX(0,K605+P605)))</f>
        <v>0.9072</v>
      </c>
      <c r="R605" s="16" t="n">
        <f aca="false">IF(D605="","",Q605/$B$15)</f>
        <v>0.35</v>
      </c>
      <c r="S605" s="16" t="n">
        <f aca="false">IF(D605="","",MAX(0,J605-R605))</f>
        <v>0</v>
      </c>
      <c r="T605" s="16" t="n">
        <f aca="false">IF(D605="","",MAX(0,Z605-$B$8))</f>
        <v>0</v>
      </c>
      <c r="U605" s="16" t="n">
        <f aca="false">IF(D605="","",MAX(0,MIN($B$8,Z605)))</f>
        <v>23.9885834333944</v>
      </c>
      <c r="V605" s="16" t="str">
        <f aca="false">IF(D605="","",IF(S605&gt;0.0000001,"Sim","Não"))</f>
        <v>Não</v>
      </c>
      <c r="W605" s="16" t="n">
        <f aca="false">IF(D605="","",U605-(H605+E605-Q605-O605-T605))</f>
        <v>0</v>
      </c>
      <c r="X605" s="16" t="n">
        <f aca="false">IF(W605="","",ABS(W605))</f>
        <v>0</v>
      </c>
      <c r="Y605" s="16" t="n">
        <f aca="false">IF(U605="","",IF($B$8=0,0,U605/$B$8*100))</f>
        <v>50.8017438233681</v>
      </c>
      <c r="Z605" s="18" t="n">
        <f aca="false">IF(D605="","",MAX(0,IF(P605&gt;=0,P605,IF(K605+P605&gt;=0,0,P605+K605))))</f>
        <v>23.9885834333944</v>
      </c>
      <c r="AA605" s="18" t="n">
        <f aca="false">IF(D605="","",IF(H605&lt;=$B$16,1,IF(H605&gt;=$B$17,$B$21,MATCH(H605,Aux_CAV!$A$2:$A$121,1))))</f>
        <v>12</v>
      </c>
      <c r="AB605" s="18" t="n">
        <f aca="false">IF(D605="","",IF(L605&lt;=$B$16,1,IF(L605&gt;=$B$17,$B$21,MATCH(L605,Aux_CAV!$A$2:$A$121,1))))</f>
        <v>11</v>
      </c>
      <c r="AC605" s="19" t="n">
        <f aca="false">IF(D605="","",COUNT($D$24:D605))</f>
        <v>570</v>
      </c>
    </row>
    <row r="606" customFormat="false" ht="12.75" hidden="false" customHeight="true" outlineLevel="0" collapsed="false">
      <c r="A606" s="14" t="n">
        <f aca="false">IF(D606="","",DATE(B606,C606,1))</f>
        <v>21367</v>
      </c>
      <c r="B606" s="15" t="n">
        <f aca="false" t="array" ref="B606:B606">IF(D606="","",IFERROR(VALUE(INDEX(Vazoes_COLAR!$A$2:$A$200,INT((ROW()-24)/12)+1)),""))</f>
        <v>1958</v>
      </c>
      <c r="C606" s="15" t="n">
        <f aca="false">IF(D606="","",MOD(ROW()-24,12)+1)</f>
        <v>7</v>
      </c>
      <c r="D606" s="16" t="n">
        <f aca="false" t="array" ref="D606: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0.0425209942892559</v>
      </c>
      <c r="E606" s="16" t="n">
        <f aca="false">IF(D606="","",D606*$B$15)</f>
        <v>0.110214417197751</v>
      </c>
      <c r="F606" s="16" t="n">
        <f aca="false" t="array" ref="F606:F606">IF(D606="","",IFERROR(INDEX(Dados_Evap!$C$2:$N$15,MATCH($B$9,Dados_Evap!$A$2:$A$15,0),C606),0))</f>
        <v>224.8</v>
      </c>
      <c r="G606" s="16" t="n">
        <f aca="false">IF(F606="","",F606/1000)</f>
        <v>0.2248</v>
      </c>
      <c r="H606" s="16" t="n">
        <f aca="false">IF(D606="","",MAX(0,MIN($B$8,IFERROR(LOOKUP(2,1/($U$24:U605&lt;&gt;""),$U$24:U605),$B$11))))</f>
        <v>23.9885834333944</v>
      </c>
      <c r="I606" s="16" t="n">
        <f aca="false" t="array" ref="I606: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>4.60473314203982</v>
      </c>
      <c r="J606" s="16" t="n">
        <f aca="false">IF(D606="","",$B$12)</f>
        <v>0.35</v>
      </c>
      <c r="K606" s="16" t="n">
        <f aca="false">IF(J606="","",J606*$B$15)</f>
        <v>0.9072</v>
      </c>
      <c r="L606" s="16" t="n">
        <f aca="false">IF(D606="","",H606+E606-K606-G606*I606)</f>
        <v>22.1564538402616</v>
      </c>
      <c r="M606" s="16" t="n">
        <f aca="false" t="array" ref="M606: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>4.38577131261663</v>
      </c>
      <c r="N606" s="16" t="n">
        <f aca="false">IF(D606="","",(I606+M606)/2)</f>
        <v>4.49525222732823</v>
      </c>
      <c r="O606" s="16" t="n">
        <f aca="false">IF(D606="","",G606*N606)</f>
        <v>1.01053270070339</v>
      </c>
      <c r="P606" s="16" t="n">
        <f aca="false">IF(D606="","",H606+E606-K606-O606)</f>
        <v>22.1810651498888</v>
      </c>
      <c r="Q606" s="16" t="n">
        <f aca="false">IF(D606="","",IF(P606&gt;=0,K606,MAX(0,K606+P606)))</f>
        <v>0.9072</v>
      </c>
      <c r="R606" s="16" t="n">
        <f aca="false">IF(D606="","",Q606/$B$15)</f>
        <v>0.35</v>
      </c>
      <c r="S606" s="16" t="n">
        <f aca="false">IF(D606="","",MAX(0,J606-R606))</f>
        <v>0</v>
      </c>
      <c r="T606" s="16" t="n">
        <f aca="false">IF(D606="","",MAX(0,Z606-$B$8))</f>
        <v>0</v>
      </c>
      <c r="U606" s="16" t="n">
        <f aca="false">IF(D606="","",MAX(0,MIN($B$8,Z606)))</f>
        <v>22.1810651498888</v>
      </c>
      <c r="V606" s="16" t="str">
        <f aca="false">IF(D606="","",IF(S606&gt;0.0000001,"Sim","Não"))</f>
        <v>Não</v>
      </c>
      <c r="W606" s="16" t="n">
        <f aca="false">IF(D606="","",U606-(H606+E606-Q606-O606-T606))</f>
        <v>0</v>
      </c>
      <c r="X606" s="16" t="n">
        <f aca="false">IF(W606="","",ABS(W606))</f>
        <v>0</v>
      </c>
      <c r="Y606" s="16" t="n">
        <f aca="false">IF(U606="","",IF($B$8=0,0,U606/$B$8*100))</f>
        <v>46.9738779116662</v>
      </c>
      <c r="Z606" s="18" t="n">
        <f aca="false">IF(D606="","",MAX(0,IF(P606&gt;=0,P606,IF(K606+P606&gt;=0,0,P606+K606))))</f>
        <v>22.1810651498888</v>
      </c>
      <c r="AA606" s="18" t="n">
        <f aca="false">IF(D606="","",IF(H606&lt;=$B$16,1,IF(H606&gt;=$B$17,$B$21,MATCH(H606,Aux_CAV!$A$2:$A$121,1))))</f>
        <v>11</v>
      </c>
      <c r="AB606" s="18" t="n">
        <f aca="false">IF(D606="","",IF(L606&lt;=$B$16,1,IF(L606&gt;=$B$17,$B$21,MATCH(L606,Aux_CAV!$A$2:$A$121,1))))</f>
        <v>11</v>
      </c>
      <c r="AC606" s="19" t="n">
        <f aca="false">IF(D606="","",COUNT($D$24:D606))</f>
        <v>571</v>
      </c>
    </row>
    <row r="607" customFormat="false" ht="12.75" hidden="false" customHeight="true" outlineLevel="0" collapsed="false">
      <c r="A607" s="14" t="n">
        <f aca="false">IF(D607="","",DATE(B607,C607,1))</f>
        <v>21398</v>
      </c>
      <c r="B607" s="15" t="n">
        <f aca="false" t="array" ref="B607:B607">IF(D607="","",IFERROR(VALUE(INDEX(Vazoes_COLAR!$A$2:$A$200,INT((ROW()-24)/12)+1)),""))</f>
        <v>1958</v>
      </c>
      <c r="C607" s="15" t="n">
        <f aca="false">IF(D607="","",MOD(ROW()-24,12)+1)</f>
        <v>8</v>
      </c>
      <c r="D607" s="16" t="n">
        <f aca="false" t="array" ref="D607: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0.00562862136145187</v>
      </c>
      <c r="E607" s="16" t="n">
        <f aca="false">IF(D607="","",D607*$B$15)</f>
        <v>0.0145893865688832</v>
      </c>
      <c r="F607" s="16" t="n">
        <f aca="false" t="array" ref="F607:F607">IF(D607="","",IFERROR(INDEX(Dados_Evap!$C$2:$N$15,MATCH($B$9,Dados_Evap!$A$2:$A$15,0),C607),0))</f>
        <v>268.7</v>
      </c>
      <c r="G607" s="16" t="n">
        <f aca="false">IF(F607="","",F607/1000)</f>
        <v>0.2687</v>
      </c>
      <c r="H607" s="16" t="n">
        <f aca="false">IF(D607="","",MAX(0,MIN($B$8,IFERROR(LOOKUP(2,1/($U$24:U606&lt;&gt;""),$U$24:U606),$B$11))))</f>
        <v>22.1810651498888</v>
      </c>
      <c r="I607" s="16" t="n">
        <f aca="false" t="array" ref="I607: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>4.388712664255</v>
      </c>
      <c r="J607" s="16" t="n">
        <f aca="false">IF(D607="","",$B$12)</f>
        <v>0.35</v>
      </c>
      <c r="K607" s="16" t="n">
        <f aca="false">IF(J607="","",J607*$B$15)</f>
        <v>0.9072</v>
      </c>
      <c r="L607" s="16" t="n">
        <f aca="false">IF(D607="","",H607+E607-K607-G607*I607)</f>
        <v>20.1092074435723</v>
      </c>
      <c r="M607" s="16" t="n">
        <f aca="false" t="array" ref="M607: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>4.14110040179279</v>
      </c>
      <c r="N607" s="16" t="n">
        <f aca="false">IF(D607="","",(I607+M607)/2)</f>
        <v>4.2649065330239</v>
      </c>
      <c r="O607" s="16" t="n">
        <f aca="false">IF(D607="","",G607*N607)</f>
        <v>1.14598038542352</v>
      </c>
      <c r="P607" s="16" t="n">
        <f aca="false">IF(D607="","",H607+E607-K607-O607)</f>
        <v>20.1424741510341</v>
      </c>
      <c r="Q607" s="16" t="n">
        <f aca="false">IF(D607="","",IF(P607&gt;=0,K607,MAX(0,K607+P607)))</f>
        <v>0.9072</v>
      </c>
      <c r="R607" s="16" t="n">
        <f aca="false">IF(D607="","",Q607/$B$15)</f>
        <v>0.35</v>
      </c>
      <c r="S607" s="16" t="n">
        <f aca="false">IF(D607="","",MAX(0,J607-R607))</f>
        <v>0</v>
      </c>
      <c r="T607" s="16" t="n">
        <f aca="false">IF(D607="","",MAX(0,Z607-$B$8))</f>
        <v>0</v>
      </c>
      <c r="U607" s="16" t="n">
        <f aca="false">IF(D607="","",MAX(0,MIN($B$8,Z607)))</f>
        <v>20.1424741510341</v>
      </c>
      <c r="V607" s="16" t="str">
        <f aca="false">IF(D607="","",IF(S607&gt;0.0000001,"Sim","Não"))</f>
        <v>Não</v>
      </c>
      <c r="W607" s="16" t="n">
        <f aca="false">IF(D607="","",U607-(H607+E607-Q607-O607-T607))</f>
        <v>0</v>
      </c>
      <c r="X607" s="16" t="n">
        <f aca="false">IF(W607="","",ABS(W607))</f>
        <v>0</v>
      </c>
      <c r="Y607" s="16" t="n">
        <f aca="false">IF(U607="","",IF($B$8=0,0,U607/$B$8*100))</f>
        <v>42.6566585155319</v>
      </c>
      <c r="Z607" s="18" t="n">
        <f aca="false">IF(D607="","",MAX(0,IF(P607&gt;=0,P607,IF(K607+P607&gt;=0,0,P607+K607))))</f>
        <v>20.1424741510341</v>
      </c>
      <c r="AA607" s="18" t="n">
        <f aca="false">IF(D607="","",IF(H607&lt;=$B$16,1,IF(H607&gt;=$B$17,$B$21,MATCH(H607,Aux_CAV!$A$2:$A$121,1))))</f>
        <v>11</v>
      </c>
      <c r="AB607" s="18" t="n">
        <f aca="false">IF(D607="","",IF(L607&lt;=$B$16,1,IF(L607&gt;=$B$17,$B$21,MATCH(L607,Aux_CAV!$A$2:$A$121,1))))</f>
        <v>11</v>
      </c>
      <c r="AC607" s="19" t="n">
        <f aca="false">IF(D607="","",COUNT($D$24:D607))</f>
        <v>572</v>
      </c>
    </row>
    <row r="608" customFormat="false" ht="12.75" hidden="false" customHeight="true" outlineLevel="0" collapsed="false">
      <c r="A608" s="14" t="n">
        <f aca="false">IF(D608="","",DATE(B608,C608,1))</f>
        <v>21429</v>
      </c>
      <c r="B608" s="15" t="n">
        <f aca="false" t="array" ref="B608:B608">IF(D608="","",IFERROR(VALUE(INDEX(Vazoes_COLAR!$A$2:$A$200,INT((ROW()-24)/12)+1)),""))</f>
        <v>1958</v>
      </c>
      <c r="C608" s="15" t="n">
        <f aca="false">IF(D608="","",MOD(ROW()-24,12)+1)</f>
        <v>9</v>
      </c>
      <c r="D608" s="16" t="n">
        <f aca="false" t="array" ref="D608: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0.00494271139348698</v>
      </c>
      <c r="E608" s="16" t="n">
        <f aca="false">IF(D608="","",D608*$B$15)</f>
        <v>0.0128115079319183</v>
      </c>
      <c r="F608" s="16" t="n">
        <f aca="false" t="array" ref="F608:F608">IF(D608="","",IFERROR(INDEX(Dados_Evap!$C$2:$N$15,MATCH($B$9,Dados_Evap!$A$2:$A$15,0),C608),0))</f>
        <v>292.8</v>
      </c>
      <c r="G608" s="16" t="n">
        <f aca="false">IF(F608="","",F608/1000)</f>
        <v>0.2928</v>
      </c>
      <c r="H608" s="16" t="n">
        <f aca="false">IF(D608="","",MAX(0,MIN($B$8,IFERROR(LOOKUP(2,1/($U$24:U607&lt;&gt;""),$U$24:U607),$B$11))))</f>
        <v>20.1424741510341</v>
      </c>
      <c r="I608" s="16" t="n">
        <f aca="false" t="array" ref="I608: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>4.14507617902603</v>
      </c>
      <c r="J608" s="16" t="n">
        <f aca="false">IF(D608="","",$B$12)</f>
        <v>0.35</v>
      </c>
      <c r="K608" s="16" t="n">
        <f aca="false">IF(J608="","",J608*$B$15)</f>
        <v>0.9072</v>
      </c>
      <c r="L608" s="16" t="n">
        <f aca="false">IF(D608="","",H608+E608-K608-G608*I608)</f>
        <v>18.0344073537472</v>
      </c>
      <c r="M608" s="16" t="n">
        <f aca="false" t="array" ref="M608: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>3.89313648861857</v>
      </c>
      <c r="N608" s="16" t="n">
        <f aca="false">IF(D608="","",(I608+M608)/2)</f>
        <v>4.0191063338223</v>
      </c>
      <c r="O608" s="16" t="n">
        <f aca="false">IF(D608="","",G608*N608)</f>
        <v>1.17679433454317</v>
      </c>
      <c r="P608" s="16" t="n">
        <f aca="false">IF(D608="","",H608+E608-K608-O608)</f>
        <v>18.0712913244229</v>
      </c>
      <c r="Q608" s="16" t="n">
        <f aca="false">IF(D608="","",IF(P608&gt;=0,K608,MAX(0,K608+P608)))</f>
        <v>0.9072</v>
      </c>
      <c r="R608" s="16" t="n">
        <f aca="false">IF(D608="","",Q608/$B$15)</f>
        <v>0.35</v>
      </c>
      <c r="S608" s="16" t="n">
        <f aca="false">IF(D608="","",MAX(0,J608-R608))</f>
        <v>0</v>
      </c>
      <c r="T608" s="16" t="n">
        <f aca="false">IF(D608="","",MAX(0,Z608-$B$8))</f>
        <v>0</v>
      </c>
      <c r="U608" s="16" t="n">
        <f aca="false">IF(D608="","",MAX(0,MIN($B$8,Z608)))</f>
        <v>18.0712913244229</v>
      </c>
      <c r="V608" s="16" t="str">
        <f aca="false">IF(D608="","",IF(S608&gt;0.0000001,"Sim","Não"))</f>
        <v>Não</v>
      </c>
      <c r="W608" s="16" t="n">
        <f aca="false">IF(D608="","",U608-(H608+E608-Q608-O608-T608))</f>
        <v>0</v>
      </c>
      <c r="X608" s="16" t="n">
        <f aca="false">IF(W608="","",ABS(W608))</f>
        <v>0</v>
      </c>
      <c r="Y608" s="16" t="n">
        <f aca="false">IF(U608="","",IF($B$8=0,0,U608/$B$8*100))</f>
        <v>38.2704178831489</v>
      </c>
      <c r="Z608" s="18" t="n">
        <f aca="false">IF(D608="","",MAX(0,IF(P608&gt;=0,P608,IF(K608+P608&gt;=0,0,P608+K608))))</f>
        <v>18.0712913244229</v>
      </c>
      <c r="AA608" s="18" t="n">
        <f aca="false">IF(D608="","",IF(H608&lt;=$B$16,1,IF(H608&gt;=$B$17,$B$21,MATCH(H608,Aux_CAV!$A$2:$A$121,1))))</f>
        <v>11</v>
      </c>
      <c r="AB608" s="18" t="n">
        <f aca="false">IF(D608="","",IF(L608&lt;=$B$16,1,IF(L608&gt;=$B$17,$B$21,MATCH(L608,Aux_CAV!$A$2:$A$121,1))))</f>
        <v>11</v>
      </c>
      <c r="AC608" s="19" t="n">
        <f aca="false">IF(D608="","",COUNT($D$24:D608))</f>
        <v>573</v>
      </c>
    </row>
    <row r="609" customFormat="false" ht="12.75" hidden="false" customHeight="true" outlineLevel="0" collapsed="false">
      <c r="A609" s="14" t="n">
        <f aca="false">IF(D609="","",DATE(B609,C609,1))</f>
        <v>21459</v>
      </c>
      <c r="B609" s="15" t="n">
        <f aca="false" t="array" ref="B609:B609">IF(D609="","",IFERROR(VALUE(INDEX(Vazoes_COLAR!$A$2:$A$200,INT((ROW()-24)/12)+1)),""))</f>
        <v>1958</v>
      </c>
      <c r="C609" s="15" t="n">
        <f aca="false">IF(D609="","",MOD(ROW()-24,12)+1)</f>
        <v>10</v>
      </c>
      <c r="D609" s="16" t="n">
        <f aca="false" t="array" ref="D609: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0.00354427373244108</v>
      </c>
      <c r="E609" s="16" t="n">
        <f aca="false">IF(D609="","",D609*$B$15)</f>
        <v>0.00918675751448728</v>
      </c>
      <c r="F609" s="16" t="n">
        <f aca="false" t="array" ref="F609:F609">IF(D609="","",IFERROR(INDEX(Dados_Evap!$C$2:$N$15,MATCH($B$9,Dados_Evap!$A$2:$A$15,0),C609),0))</f>
        <v>262.9</v>
      </c>
      <c r="G609" s="16" t="n">
        <f aca="false">IF(F609="","",F609/1000)</f>
        <v>0.2629</v>
      </c>
      <c r="H609" s="16" t="n">
        <f aca="false">IF(D609="","",MAX(0,MIN($B$8,IFERROR(LOOKUP(2,1/($U$24:U608&lt;&gt;""),$U$24:U608),$B$11))))</f>
        <v>18.0712913244229</v>
      </c>
      <c r="I609" s="16" t="n">
        <f aca="false" t="array" ref="I609: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>3.89754457291883</v>
      </c>
      <c r="J609" s="16" t="n">
        <f aca="false">IF(D609="","",$B$12)</f>
        <v>0.35</v>
      </c>
      <c r="K609" s="16" t="n">
        <f aca="false">IF(J609="","",J609*$B$15)</f>
        <v>0.9072</v>
      </c>
      <c r="L609" s="16" t="n">
        <f aca="false">IF(D609="","",H609+E609-K609-G609*I609)</f>
        <v>16.148613613717</v>
      </c>
      <c r="M609" s="16" t="n">
        <f aca="false" t="array" ref="M609: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>3.66776113920033</v>
      </c>
      <c r="N609" s="16" t="n">
        <f aca="false">IF(D609="","",(I609+M609)/2)</f>
        <v>3.78265285605958</v>
      </c>
      <c r="O609" s="16" t="n">
        <f aca="false">IF(D609="","",G609*N609)</f>
        <v>0.994459435858063</v>
      </c>
      <c r="P609" s="16" t="n">
        <f aca="false">IF(D609="","",H609+E609-K609-O609)</f>
        <v>16.1788186460793</v>
      </c>
      <c r="Q609" s="16" t="n">
        <f aca="false">IF(D609="","",IF(P609&gt;=0,K609,MAX(0,K609+P609)))</f>
        <v>0.9072</v>
      </c>
      <c r="R609" s="16" t="n">
        <f aca="false">IF(D609="","",Q609/$B$15)</f>
        <v>0.35</v>
      </c>
      <c r="S609" s="16" t="n">
        <f aca="false">IF(D609="","",MAX(0,J609-R609))</f>
        <v>0</v>
      </c>
      <c r="T609" s="16" t="n">
        <f aca="false">IF(D609="","",MAX(0,Z609-$B$8))</f>
        <v>0</v>
      </c>
      <c r="U609" s="16" t="n">
        <f aca="false">IF(D609="","",MAX(0,MIN($B$8,Z609)))</f>
        <v>16.1788186460793</v>
      </c>
      <c r="V609" s="16" t="str">
        <f aca="false">IF(D609="","",IF(S609&gt;0.0000001,"Sim","Não"))</f>
        <v>Não</v>
      </c>
      <c r="W609" s="16" t="n">
        <f aca="false">IF(D609="","",U609-(H609+E609-Q609-O609-T609))</f>
        <v>0</v>
      </c>
      <c r="X609" s="16" t="n">
        <f aca="false">IF(W609="","",ABS(W609))</f>
        <v>0</v>
      </c>
      <c r="Y609" s="16" t="n">
        <f aca="false">IF(U609="","",IF($B$8=0,0,U609/$B$8*100))</f>
        <v>34.2626400806423</v>
      </c>
      <c r="Z609" s="18" t="n">
        <f aca="false">IF(D609="","",MAX(0,IF(P609&gt;=0,P609,IF(K609+P609&gt;=0,0,P609+K609))))</f>
        <v>16.1788186460793</v>
      </c>
      <c r="AA609" s="18" t="n">
        <f aca="false">IF(D609="","",IF(H609&lt;=$B$16,1,IF(H609&gt;=$B$17,$B$21,MATCH(H609,Aux_CAV!$A$2:$A$121,1))))</f>
        <v>11</v>
      </c>
      <c r="AB609" s="18" t="n">
        <f aca="false">IF(D609="","",IF(L609&lt;=$B$16,1,IF(L609&gt;=$B$17,$B$21,MATCH(L609,Aux_CAV!$A$2:$A$121,1))))</f>
        <v>11</v>
      </c>
      <c r="AC609" s="19" t="n">
        <f aca="false">IF(D609="","",COUNT($D$24:D609))</f>
        <v>574</v>
      </c>
    </row>
    <row r="610" customFormat="false" ht="12.75" hidden="false" customHeight="true" outlineLevel="0" collapsed="false">
      <c r="A610" s="14" t="n">
        <f aca="false">IF(D610="","",DATE(B610,C610,1))</f>
        <v>21490</v>
      </c>
      <c r="B610" s="15" t="n">
        <f aca="false" t="array" ref="B610:B610">IF(D610="","",IFERROR(VALUE(INDEX(Vazoes_COLAR!$A$2:$A$200,INT((ROW()-24)/12)+1)),""))</f>
        <v>1958</v>
      </c>
      <c r="C610" s="15" t="n">
        <f aca="false">IF(D610="","",MOD(ROW()-24,12)+1)</f>
        <v>11</v>
      </c>
      <c r="D610" s="16" t="n">
        <f aca="false" t="array" ref="D610: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0.00299490173252227</v>
      </c>
      <c r="E610" s="16" t="n">
        <f aca="false">IF(D610="","",D610*$B$15)</f>
        <v>0.00776278529069773</v>
      </c>
      <c r="F610" s="16" t="n">
        <f aca="false" t="array" ref="F610:F610">IF(D610="","",IFERROR(INDEX(Dados_Evap!$C$2:$N$15,MATCH($B$9,Dados_Evap!$A$2:$A$15,0),C610),0))</f>
        <v>223.7</v>
      </c>
      <c r="G610" s="16" t="n">
        <f aca="false">IF(F610="","",F610/1000)</f>
        <v>0.2237</v>
      </c>
      <c r="H610" s="16" t="n">
        <f aca="false">IF(D610="","",MAX(0,MIN($B$8,IFERROR(LOOKUP(2,1/($U$24:U609&lt;&gt;""),$U$24:U609),$B$11))))</f>
        <v>16.1788186460793</v>
      </c>
      <c r="I610" s="16" t="n">
        <f aca="false" t="array" ref="I610: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>3.67137100892167</v>
      </c>
      <c r="J610" s="16" t="n">
        <f aca="false">IF(D610="","",$B$12)</f>
        <v>0.35</v>
      </c>
      <c r="K610" s="16" t="n">
        <f aca="false">IF(J610="","",J610*$B$15)</f>
        <v>0.9072</v>
      </c>
      <c r="L610" s="16" t="n">
        <f aca="false">IF(D610="","",H610+E610-K610-G610*I610)</f>
        <v>14.4580957366742</v>
      </c>
      <c r="M610" s="16" t="n">
        <f aca="false" t="array" ref="M610: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>3.51848463636339</v>
      </c>
      <c r="N610" s="16" t="n">
        <f aca="false">IF(D610="","",(I610+M610)/2)</f>
        <v>3.59492782264253</v>
      </c>
      <c r="O610" s="16" t="n">
        <f aca="false">IF(D610="","",G610*N610)</f>
        <v>0.804185353925134</v>
      </c>
      <c r="P610" s="16" t="n">
        <f aca="false">IF(D610="","",H610+E610-K610-O610)</f>
        <v>14.4751960774449</v>
      </c>
      <c r="Q610" s="16" t="n">
        <f aca="false">IF(D610="","",IF(P610&gt;=0,K610,MAX(0,K610+P610)))</f>
        <v>0.9072</v>
      </c>
      <c r="R610" s="16" t="n">
        <f aca="false">IF(D610="","",Q610/$B$15)</f>
        <v>0.35</v>
      </c>
      <c r="S610" s="16" t="n">
        <f aca="false">IF(D610="","",MAX(0,J610-R610))</f>
        <v>0</v>
      </c>
      <c r="T610" s="16" t="n">
        <f aca="false">IF(D610="","",MAX(0,Z610-$B$8))</f>
        <v>0</v>
      </c>
      <c r="U610" s="16" t="n">
        <f aca="false">IF(D610="","",MAX(0,MIN($B$8,Z610)))</f>
        <v>14.4751960774449</v>
      </c>
      <c r="V610" s="16" t="str">
        <f aca="false">IF(D610="","",IF(S610&gt;0.0000001,"Sim","Não"))</f>
        <v>Não</v>
      </c>
      <c r="W610" s="16" t="n">
        <f aca="false">IF(D610="","",U610-(H610+E610-Q610-O610-T610))</f>
        <v>0</v>
      </c>
      <c r="X610" s="16" t="n">
        <f aca="false">IF(W610="","",ABS(W610))</f>
        <v>0</v>
      </c>
      <c r="Y610" s="16" t="n">
        <f aca="false">IF(U610="","",IF($B$8=0,0,U610/$B$8*100))</f>
        <v>30.6547989780705</v>
      </c>
      <c r="Z610" s="18" t="n">
        <f aca="false">IF(D610="","",MAX(0,IF(P610&gt;=0,P610,IF(K610+P610&gt;=0,0,P610+K610))))</f>
        <v>14.4751960774449</v>
      </c>
      <c r="AA610" s="18" t="n">
        <f aca="false">IF(D610="","",IF(H610&lt;=$B$16,1,IF(H610&gt;=$B$17,$B$21,MATCH(H610,Aux_CAV!$A$2:$A$121,1))))</f>
        <v>11</v>
      </c>
      <c r="AB610" s="18" t="n">
        <f aca="false">IF(D610="","",IF(L610&lt;=$B$16,1,IF(L610&gt;=$B$17,$B$21,MATCH(L610,Aux_CAV!$A$2:$A$121,1))))</f>
        <v>10</v>
      </c>
      <c r="AC610" s="19" t="n">
        <f aca="false">IF(D610="","",COUNT($D$24:D610))</f>
        <v>575</v>
      </c>
    </row>
    <row r="611" customFormat="false" ht="12.75" hidden="false" customHeight="true" outlineLevel="0" collapsed="false">
      <c r="A611" s="14" t="n">
        <f aca="false">IF(D611="","",DATE(B611,C611,1))</f>
        <v>21520</v>
      </c>
      <c r="B611" s="15" t="n">
        <f aca="false" t="array" ref="B611:B611">IF(D611="","",IFERROR(VALUE(INDEX(Vazoes_COLAR!$A$2:$A$200,INT((ROW()-24)/12)+1)),""))</f>
        <v>1958</v>
      </c>
      <c r="C611" s="15" t="n">
        <f aca="false">IF(D611="","",MOD(ROW()-24,12)+1)</f>
        <v>12</v>
      </c>
      <c r="D611" s="16" t="n">
        <f aca="false" t="array" ref="D611: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0.00635487438480934</v>
      </c>
      <c r="E611" s="16" t="n">
        <f aca="false">IF(D611="","",D611*$B$15)</f>
        <v>0.0164718344054258</v>
      </c>
      <c r="F611" s="16" t="n">
        <f aca="false" t="array" ref="F611:F611">IF(D611="","",IFERROR(INDEX(Dados_Evap!$C$2:$N$15,MATCH($B$9,Dados_Evap!$A$2:$A$15,0),C611),0))</f>
        <v>216.1</v>
      </c>
      <c r="G611" s="16" t="n">
        <f aca="false">IF(F611="","",F611/1000)</f>
        <v>0.2161</v>
      </c>
      <c r="H611" s="16" t="n">
        <f aca="false">IF(D611="","",MAX(0,MIN($B$8,IFERROR(LOOKUP(2,1/($U$24:U610&lt;&gt;""),$U$24:U610),$B$11))))</f>
        <v>14.4751960774449</v>
      </c>
      <c r="I611" s="16" t="n">
        <f aca="false" t="array" ref="I611: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>3.51994319484089</v>
      </c>
      <c r="J611" s="16" t="n">
        <f aca="false">IF(D611="","",$B$12)</f>
        <v>0.35</v>
      </c>
      <c r="K611" s="16" t="n">
        <f aca="false">IF(J611="","",J611*$B$15)</f>
        <v>0.9072</v>
      </c>
      <c r="L611" s="16" t="n">
        <f aca="false">IF(D611="","",H611+E611-K611-G611*I611)</f>
        <v>12.8238081874452</v>
      </c>
      <c r="M611" s="16" t="n">
        <f aca="false" t="array" ref="M611: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>3.37908952187032</v>
      </c>
      <c r="N611" s="16" t="n">
        <f aca="false">IF(D611="","",(I611+M611)/2)</f>
        <v>3.44951635835561</v>
      </c>
      <c r="O611" s="16" t="n">
        <f aca="false">IF(D611="","",G611*N611)</f>
        <v>0.745440485040646</v>
      </c>
      <c r="P611" s="16" t="n">
        <f aca="false">IF(D611="","",H611+E611-K611-O611)</f>
        <v>12.8390274268097</v>
      </c>
      <c r="Q611" s="16" t="n">
        <f aca="false">IF(D611="","",IF(P611&gt;=0,K611,MAX(0,K611+P611)))</f>
        <v>0.9072</v>
      </c>
      <c r="R611" s="16" t="n">
        <f aca="false">IF(D611="","",Q611/$B$15)</f>
        <v>0.35</v>
      </c>
      <c r="S611" s="16" t="n">
        <f aca="false">IF(D611="","",MAX(0,J611-R611))</f>
        <v>0</v>
      </c>
      <c r="T611" s="16" t="n">
        <f aca="false">IF(D611="","",MAX(0,Z611-$B$8))</f>
        <v>0</v>
      </c>
      <c r="U611" s="16" t="n">
        <f aca="false">IF(D611="","",MAX(0,MIN($B$8,Z611)))</f>
        <v>12.8390274268097</v>
      </c>
      <c r="V611" s="16" t="str">
        <f aca="false">IF(D611="","",IF(S611&gt;0.0000001,"Sim","Não"))</f>
        <v>Não</v>
      </c>
      <c r="W611" s="16" t="n">
        <f aca="false">IF(D611="","",U611-(H611+E611-Q611-O611-T611))</f>
        <v>0</v>
      </c>
      <c r="X611" s="16" t="n">
        <f aca="false">IF(W611="","",ABS(W611))</f>
        <v>0</v>
      </c>
      <c r="Y611" s="16" t="n">
        <f aca="false">IF(U611="","",IF($B$8=0,0,U611/$B$8*100))</f>
        <v>27.1898081889235</v>
      </c>
      <c r="Z611" s="18" t="n">
        <f aca="false">IF(D611="","",MAX(0,IF(P611&gt;=0,P611,IF(K611+P611&gt;=0,0,P611+K611))))</f>
        <v>12.8390274268097</v>
      </c>
      <c r="AA611" s="18" t="n">
        <f aca="false">IF(D611="","",IF(H611&lt;=$B$16,1,IF(H611&gt;=$B$17,$B$21,MATCH(H611,Aux_CAV!$A$2:$A$121,1))))</f>
        <v>10</v>
      </c>
      <c r="AB611" s="18" t="n">
        <f aca="false">IF(D611="","",IF(L611&lt;=$B$16,1,IF(L611&gt;=$B$17,$B$21,MATCH(L611,Aux_CAV!$A$2:$A$121,1))))</f>
        <v>10</v>
      </c>
      <c r="AC611" s="19" t="n">
        <f aca="false">IF(D611="","",COUNT($D$24:D611))</f>
        <v>576</v>
      </c>
    </row>
    <row r="612" customFormat="false" ht="12.75" hidden="false" customHeight="true" outlineLevel="0" collapsed="false">
      <c r="A612" s="14" t="n">
        <f aca="false">IF(D612="","",DATE(B612,C612,1))</f>
        <v>21551</v>
      </c>
      <c r="B612" s="15" t="n">
        <f aca="false" t="array" ref="B612:B612">IF(D612="","",IFERROR(VALUE(INDEX(Vazoes_COLAR!$A$2:$A$200,INT((ROW()-24)/12)+1)),""))</f>
        <v>1959</v>
      </c>
      <c r="C612" s="15" t="n">
        <f aca="false">IF(D612="","",MOD(ROW()-24,12)+1)</f>
        <v>1</v>
      </c>
      <c r="D612" s="16" t="n">
        <f aca="false" t="array" ref="D612: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0.205034371438787</v>
      </c>
      <c r="E612" s="16" t="n">
        <f aca="false">IF(D612="","",D612*$B$15)</f>
        <v>0.531449090769336</v>
      </c>
      <c r="F612" s="16" t="n">
        <f aca="false" t="array" ref="F612:F612">IF(D612="","",IFERROR(INDEX(Dados_Evap!$C$2:$N$15,MATCH($B$9,Dados_Evap!$A$2:$A$15,0),C612),0))</f>
        <v>160</v>
      </c>
      <c r="G612" s="16" t="n">
        <f aca="false">IF(F612="","",F612/1000)</f>
        <v>0.16</v>
      </c>
      <c r="H612" s="16" t="n">
        <f aca="false">IF(D612="","",MAX(0,MIN($B$8,IFERROR(LOOKUP(2,1/($U$24:U611&lt;&gt;""),$U$24:U611),$B$11))))</f>
        <v>12.8390274268097</v>
      </c>
      <c r="I612" s="16" t="n">
        <f aca="false" t="array" ref="I612: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>3.38038763346318</v>
      </c>
      <c r="J612" s="16" t="n">
        <f aca="false">IF(D612="","",$B$12)</f>
        <v>0.35</v>
      </c>
      <c r="K612" s="16" t="n">
        <f aca="false">IF(J612="","",J612*$B$15)</f>
        <v>0.9072</v>
      </c>
      <c r="L612" s="16" t="n">
        <f aca="false">IF(D612="","",H612+E612-K612-G612*I612)</f>
        <v>11.9224144962249</v>
      </c>
      <c r="M612" s="16" t="n">
        <f aca="false" t="array" ref="M612: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>3.30220594232506</v>
      </c>
      <c r="N612" s="16" t="n">
        <f aca="false">IF(D612="","",(I612+M612)/2)</f>
        <v>3.34129678789412</v>
      </c>
      <c r="O612" s="16" t="n">
        <f aca="false">IF(D612="","",G612*N612)</f>
        <v>0.534607486063059</v>
      </c>
      <c r="P612" s="16" t="n">
        <f aca="false">IF(D612="","",H612+E612-K612-O612)</f>
        <v>11.9286690315159</v>
      </c>
      <c r="Q612" s="16" t="n">
        <f aca="false">IF(D612="","",IF(P612&gt;=0,K612,MAX(0,K612+P612)))</f>
        <v>0.9072</v>
      </c>
      <c r="R612" s="16" t="n">
        <f aca="false">IF(D612="","",Q612/$B$15)</f>
        <v>0.35</v>
      </c>
      <c r="S612" s="16" t="n">
        <f aca="false">IF(D612="","",MAX(0,J612-R612))</f>
        <v>0</v>
      </c>
      <c r="T612" s="16" t="n">
        <f aca="false">IF(D612="","",MAX(0,Z612-$B$8))</f>
        <v>0</v>
      </c>
      <c r="U612" s="16" t="n">
        <f aca="false">IF(D612="","",MAX(0,MIN($B$8,Z612)))</f>
        <v>11.9286690315159</v>
      </c>
      <c r="V612" s="16" t="str">
        <f aca="false">IF(D612="","",IF(S612&gt;0.0000001,"Sim","Não"))</f>
        <v>Não</v>
      </c>
      <c r="W612" s="16" t="n">
        <f aca="false">IF(D612="","",U612-(H612+E612-Q612-O612-T612))</f>
        <v>0</v>
      </c>
      <c r="X612" s="16" t="n">
        <f aca="false">IF(W612="","",ABS(W612))</f>
        <v>0</v>
      </c>
      <c r="Y612" s="16" t="n">
        <f aca="false">IF(U612="","",IF($B$8=0,0,U612/$B$8*100))</f>
        <v>25.2618996855484</v>
      </c>
      <c r="Z612" s="18" t="n">
        <f aca="false">IF(D612="","",MAX(0,IF(P612&gt;=0,P612,IF(K612+P612&gt;=0,0,P612+K612))))</f>
        <v>11.9286690315159</v>
      </c>
      <c r="AA612" s="18" t="n">
        <f aca="false">IF(D612="","",IF(H612&lt;=$B$16,1,IF(H612&gt;=$B$17,$B$21,MATCH(H612,Aux_CAV!$A$2:$A$121,1))))</f>
        <v>10</v>
      </c>
      <c r="AB612" s="18" t="n">
        <f aca="false">IF(D612="","",IF(L612&lt;=$B$16,1,IF(L612&gt;=$B$17,$B$21,MATCH(L612,Aux_CAV!$A$2:$A$121,1))))</f>
        <v>10</v>
      </c>
      <c r="AC612" s="19" t="n">
        <f aca="false">IF(D612="","",COUNT($D$24:D612))</f>
        <v>577</v>
      </c>
    </row>
    <row r="613" customFormat="false" ht="12.75" hidden="false" customHeight="true" outlineLevel="0" collapsed="false">
      <c r="A613" s="14" t="n">
        <f aca="false">IF(D613="","",DATE(B613,C613,1))</f>
        <v>21582</v>
      </c>
      <c r="B613" s="15" t="n">
        <f aca="false" t="array" ref="B613:B613">IF(D613="","",IFERROR(VALUE(INDEX(Vazoes_COLAR!$A$2:$A$200,INT((ROW()-24)/12)+1)),""))</f>
        <v>1959</v>
      </c>
      <c r="C613" s="15" t="n">
        <f aca="false">IF(D613="","",MOD(ROW()-24,12)+1)</f>
        <v>2</v>
      </c>
      <c r="D613" s="16" t="n">
        <f aca="false" t="array" ref="D613: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1.27657496135909</v>
      </c>
      <c r="E613" s="16" t="n">
        <f aca="false">IF(D613="","",D613*$B$15)</f>
        <v>3.30888229984276</v>
      </c>
      <c r="F613" s="16" t="n">
        <f aca="false" t="array" ref="F613:F613">IF(D613="","",IFERROR(INDEX(Dados_Evap!$C$2:$N$15,MATCH($B$9,Dados_Evap!$A$2:$A$15,0),C613),0))</f>
        <v>124.3</v>
      </c>
      <c r="G613" s="16" t="n">
        <f aca="false">IF(F613="","",F613/1000)</f>
        <v>0.1243</v>
      </c>
      <c r="H613" s="16" t="n">
        <f aca="false">IF(D613="","",MAX(0,MIN($B$8,IFERROR(LOOKUP(2,1/($U$24:U612&lt;&gt;""),$U$24:U612),$B$11))))</f>
        <v>11.9286690315159</v>
      </c>
      <c r="I613" s="16" t="n">
        <f aca="false" t="array" ref="I613: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>3.30273941739401</v>
      </c>
      <c r="J613" s="16" t="n">
        <f aca="false">IF(D613="","",$B$12)</f>
        <v>0.35</v>
      </c>
      <c r="K613" s="16" t="n">
        <f aca="false">IF(J613="","",J613*$B$15)</f>
        <v>0.9072</v>
      </c>
      <c r="L613" s="16" t="n">
        <f aca="false">IF(D613="","",H613+E613-K613-G613*I613)</f>
        <v>13.9198208217766</v>
      </c>
      <c r="M613" s="16" t="n">
        <f aca="false" t="array" ref="M613: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>3.47257295244565</v>
      </c>
      <c r="N613" s="16" t="n">
        <f aca="false">IF(D613="","",(I613+M613)/2)</f>
        <v>3.38765618491983</v>
      </c>
      <c r="O613" s="16" t="n">
        <f aca="false">IF(D613="","",G613*N613)</f>
        <v>0.421085663785535</v>
      </c>
      <c r="P613" s="16" t="n">
        <f aca="false">IF(D613="","",H613+E613-K613-O613)</f>
        <v>13.9092656675732</v>
      </c>
      <c r="Q613" s="16" t="n">
        <f aca="false">IF(D613="","",IF(P613&gt;=0,K613,MAX(0,K613+P613)))</f>
        <v>0.9072</v>
      </c>
      <c r="R613" s="16" t="n">
        <f aca="false">IF(D613="","",Q613/$B$15)</f>
        <v>0.35</v>
      </c>
      <c r="S613" s="16" t="n">
        <f aca="false">IF(D613="","",MAX(0,J613-R613))</f>
        <v>0</v>
      </c>
      <c r="T613" s="16" t="n">
        <f aca="false">IF(D613="","",MAX(0,Z613-$B$8))</f>
        <v>0</v>
      </c>
      <c r="U613" s="16" t="n">
        <f aca="false">IF(D613="","",MAX(0,MIN($B$8,Z613)))</f>
        <v>13.9092656675732</v>
      </c>
      <c r="V613" s="16" t="str">
        <f aca="false">IF(D613="","",IF(S613&gt;0.0000001,"Sim","Não"))</f>
        <v>Não</v>
      </c>
      <c r="W613" s="16" t="n">
        <f aca="false">IF(D613="","",U613-(H613+E613-Q613-O613-T613))</f>
        <v>0</v>
      </c>
      <c r="X613" s="16" t="n">
        <f aca="false">IF(W613="","",ABS(W613))</f>
        <v>0</v>
      </c>
      <c r="Y613" s="16" t="n">
        <f aca="false">IF(U613="","",IF($B$8=0,0,U613/$B$8*100))</f>
        <v>29.4563017102354</v>
      </c>
      <c r="Z613" s="18" t="n">
        <f aca="false">IF(D613="","",MAX(0,IF(P613&gt;=0,P613,IF(K613+P613&gt;=0,0,P613+K613))))</f>
        <v>13.9092656675732</v>
      </c>
      <c r="AA613" s="18" t="n">
        <f aca="false">IF(D613="","",IF(H613&lt;=$B$16,1,IF(H613&gt;=$B$17,$B$21,MATCH(H613,Aux_CAV!$A$2:$A$121,1))))</f>
        <v>10</v>
      </c>
      <c r="AB613" s="18" t="n">
        <f aca="false">IF(D613="","",IF(L613&lt;=$B$16,1,IF(L613&gt;=$B$17,$B$21,MATCH(L613,Aux_CAV!$A$2:$A$121,1))))</f>
        <v>10</v>
      </c>
      <c r="AC613" s="19" t="n">
        <f aca="false">IF(D613="","",COUNT($D$24:D613))</f>
        <v>578</v>
      </c>
    </row>
    <row r="614" customFormat="false" ht="12.75" hidden="false" customHeight="true" outlineLevel="0" collapsed="false">
      <c r="A614" s="14" t="n">
        <f aca="false">IF(D614="","",DATE(B614,C614,1))</f>
        <v>21610</v>
      </c>
      <c r="B614" s="15" t="n">
        <f aca="false" t="array" ref="B614:B614">IF(D614="","",IFERROR(VALUE(INDEX(Vazoes_COLAR!$A$2:$A$200,INT((ROW()-24)/12)+1)),""))</f>
        <v>1959</v>
      </c>
      <c r="C614" s="15" t="n">
        <f aca="false">IF(D614="","",MOD(ROW()-24,12)+1)</f>
        <v>3</v>
      </c>
      <c r="D614" s="16" t="n">
        <f aca="false" t="array" ref="D614: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2.29439217338697</v>
      </c>
      <c r="E614" s="16" t="n">
        <f aca="false">IF(D614="","",D614*$B$15)</f>
        <v>5.94706451341903</v>
      </c>
      <c r="F614" s="16" t="n">
        <f aca="false" t="array" ref="F614:F614">IF(D614="","",IFERROR(INDEX(Dados_Evap!$C$2:$N$15,MATCH($B$9,Dados_Evap!$A$2:$A$15,0),C614),0))</f>
        <v>107.7</v>
      </c>
      <c r="G614" s="16" t="n">
        <f aca="false">IF(F614="","",F614/1000)</f>
        <v>0.1077</v>
      </c>
      <c r="H614" s="16" t="n">
        <f aca="false">IF(D614="","",MAX(0,MIN($B$8,IFERROR(LOOKUP(2,1/($U$24:U613&lt;&gt;""),$U$24:U613),$B$11))))</f>
        <v>13.9092656675732</v>
      </c>
      <c r="I614" s="16" t="n">
        <f aca="false" t="array" ref="I614: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>3.47167265988124</v>
      </c>
      <c r="J614" s="16" t="n">
        <f aca="false">IF(D614="","",$B$12)</f>
        <v>0.35</v>
      </c>
      <c r="K614" s="16" t="n">
        <f aca="false">IF(J614="","",J614*$B$15)</f>
        <v>0.9072</v>
      </c>
      <c r="L614" s="16" t="n">
        <f aca="false">IF(D614="","",H614+E614-K614-G614*I614)</f>
        <v>18.575231035523</v>
      </c>
      <c r="M614" s="16" t="n">
        <f aca="false" t="array" ref="M614: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>3.95777151400153</v>
      </c>
      <c r="N614" s="16" t="n">
        <f aca="false">IF(D614="","",(I614+M614)/2)</f>
        <v>3.71472208694138</v>
      </c>
      <c r="O614" s="16" t="n">
        <f aca="false">IF(D614="","",G614*N614)</f>
        <v>0.400075568763587</v>
      </c>
      <c r="P614" s="16" t="n">
        <f aca="false">IF(D614="","",H614+E614-K614-O614)</f>
        <v>18.5490546122286</v>
      </c>
      <c r="Q614" s="16" t="n">
        <f aca="false">IF(D614="","",IF(P614&gt;=0,K614,MAX(0,K614+P614)))</f>
        <v>0.9072</v>
      </c>
      <c r="R614" s="16" t="n">
        <f aca="false">IF(D614="","",Q614/$B$15)</f>
        <v>0.35</v>
      </c>
      <c r="S614" s="16" t="n">
        <f aca="false">IF(D614="","",MAX(0,J614-R614))</f>
        <v>0</v>
      </c>
      <c r="T614" s="16" t="n">
        <f aca="false">IF(D614="","",MAX(0,Z614-$B$8))</f>
        <v>0</v>
      </c>
      <c r="U614" s="16" t="n">
        <f aca="false">IF(D614="","",MAX(0,MIN($B$8,Z614)))</f>
        <v>18.5490546122286</v>
      </c>
      <c r="V614" s="16" t="str">
        <f aca="false">IF(D614="","",IF(S614&gt;0.0000001,"Sim","Não"))</f>
        <v>Não</v>
      </c>
      <c r="W614" s="16" t="n">
        <f aca="false">IF(D614="","",U614-(H614+E614-Q614-O614-T614))</f>
        <v>0</v>
      </c>
      <c r="X614" s="16" t="n">
        <f aca="false">IF(W614="","",ABS(W614))</f>
        <v>0</v>
      </c>
      <c r="Y614" s="16" t="n">
        <f aca="false">IF(U614="","",IF($B$8=0,0,U614/$B$8*100))</f>
        <v>39.2821995176379</v>
      </c>
      <c r="Z614" s="18" t="n">
        <f aca="false">IF(D614="","",MAX(0,IF(P614&gt;=0,P614,IF(K614+P614&gt;=0,0,P614+K614))))</f>
        <v>18.5490546122286</v>
      </c>
      <c r="AA614" s="18" t="n">
        <f aca="false">IF(D614="","",IF(H614&lt;=$B$16,1,IF(H614&gt;=$B$17,$B$21,MATCH(H614,Aux_CAV!$A$2:$A$121,1))))</f>
        <v>10</v>
      </c>
      <c r="AB614" s="18" t="n">
        <f aca="false">IF(D614="","",IF(L614&lt;=$B$16,1,IF(L614&gt;=$B$17,$B$21,MATCH(L614,Aux_CAV!$A$2:$A$121,1))))</f>
        <v>11</v>
      </c>
      <c r="AC614" s="19" t="n">
        <f aca="false">IF(D614="","",COUNT($D$24:D614))</f>
        <v>579</v>
      </c>
    </row>
    <row r="615" customFormat="false" ht="12.75" hidden="false" customHeight="true" outlineLevel="0" collapsed="false">
      <c r="A615" s="14" t="n">
        <f aca="false">IF(D615="","",DATE(B615,C615,1))</f>
        <v>21641</v>
      </c>
      <c r="B615" s="15" t="n">
        <f aca="false" t="array" ref="B615:B615">IF(D615="","",IFERROR(VALUE(INDEX(Vazoes_COLAR!$A$2:$A$200,INT((ROW()-24)/12)+1)),""))</f>
        <v>1959</v>
      </c>
      <c r="C615" s="15" t="n">
        <f aca="false">IF(D615="","",MOD(ROW()-24,12)+1)</f>
        <v>4</v>
      </c>
      <c r="D615" s="16" t="n">
        <f aca="false" t="array" ref="D615: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1.85620211391542</v>
      </c>
      <c r="E615" s="16" t="n">
        <f aca="false">IF(D615="","",D615*$B$15)</f>
        <v>4.81127587926877</v>
      </c>
      <c r="F615" s="16" t="n">
        <f aca="false" t="array" ref="F615:F615">IF(D615="","",IFERROR(INDEX(Dados_Evap!$C$2:$N$15,MATCH($B$9,Dados_Evap!$A$2:$A$15,0),C615),0))</f>
        <v>100.5</v>
      </c>
      <c r="G615" s="16" t="n">
        <f aca="false">IF(F615="","",F615/1000)</f>
        <v>0.1005</v>
      </c>
      <c r="H615" s="16" t="n">
        <f aca="false">IF(D615="","",MAX(0,MIN($B$8,IFERROR(LOOKUP(2,1/($U$24:U614&lt;&gt;""),$U$24:U614),$B$11))))</f>
        <v>18.5490546122286</v>
      </c>
      <c r="I615" s="16" t="n">
        <f aca="false" t="array" ref="I615: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>3.95464311219317</v>
      </c>
      <c r="J615" s="16" t="n">
        <f aca="false">IF(D615="","",$B$12)</f>
        <v>0.35</v>
      </c>
      <c r="K615" s="16" t="n">
        <f aca="false">IF(J615="","",J615*$B$15)</f>
        <v>0.9072</v>
      </c>
      <c r="L615" s="16" t="n">
        <f aca="false">IF(D615="","",H615+E615-K615-G615*I615)</f>
        <v>22.055688858722</v>
      </c>
      <c r="M615" s="16" t="n">
        <f aca="false" t="array" ref="M615: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>4.37372866848141</v>
      </c>
      <c r="N615" s="16" t="n">
        <f aca="false">IF(D615="","",(I615+M615)/2)</f>
        <v>4.16418589033729</v>
      </c>
      <c r="O615" s="16" t="n">
        <f aca="false">IF(D615="","",G615*N615)</f>
        <v>0.418500681978898</v>
      </c>
      <c r="P615" s="16" t="n">
        <f aca="false">IF(D615="","",H615+E615-K615-O615)</f>
        <v>22.0346298095185</v>
      </c>
      <c r="Q615" s="16" t="n">
        <f aca="false">IF(D615="","",IF(P615&gt;=0,K615,MAX(0,K615+P615)))</f>
        <v>0.9072</v>
      </c>
      <c r="R615" s="16" t="n">
        <f aca="false">IF(D615="","",Q615/$B$15)</f>
        <v>0.35</v>
      </c>
      <c r="S615" s="16" t="n">
        <f aca="false">IF(D615="","",MAX(0,J615-R615))</f>
        <v>0</v>
      </c>
      <c r="T615" s="16" t="n">
        <f aca="false">IF(D615="","",MAX(0,Z615-$B$8))</f>
        <v>0</v>
      </c>
      <c r="U615" s="16" t="n">
        <f aca="false">IF(D615="","",MAX(0,MIN($B$8,Z615)))</f>
        <v>22.0346298095185</v>
      </c>
      <c r="V615" s="16" t="str">
        <f aca="false">IF(D615="","",IF(S615&gt;0.0000001,"Sim","Não"))</f>
        <v>Não</v>
      </c>
      <c r="W615" s="16" t="n">
        <f aca="false">IF(D615="","",U615-(H615+E615-Q615-O615-T615))</f>
        <v>0</v>
      </c>
      <c r="X615" s="16" t="n">
        <f aca="false">IF(W615="","",ABS(W615))</f>
        <v>0</v>
      </c>
      <c r="Y615" s="16" t="n">
        <f aca="false">IF(U615="","",IF($B$8=0,0,U615/$B$8*100))</f>
        <v>46.6637649502721</v>
      </c>
      <c r="Z615" s="18" t="n">
        <f aca="false">IF(D615="","",MAX(0,IF(P615&gt;=0,P615,IF(K615+P615&gt;=0,0,P615+K615))))</f>
        <v>22.0346298095185</v>
      </c>
      <c r="AA615" s="18" t="n">
        <f aca="false">IF(D615="","",IF(H615&lt;=$B$16,1,IF(H615&gt;=$B$17,$B$21,MATCH(H615,Aux_CAV!$A$2:$A$121,1))))</f>
        <v>11</v>
      </c>
      <c r="AB615" s="18" t="n">
        <f aca="false">IF(D615="","",IF(L615&lt;=$B$16,1,IF(L615&gt;=$B$17,$B$21,MATCH(L615,Aux_CAV!$A$2:$A$121,1))))</f>
        <v>11</v>
      </c>
      <c r="AC615" s="19" t="n">
        <f aca="false">IF(D615="","",COUNT($D$24:D615))</f>
        <v>580</v>
      </c>
    </row>
    <row r="616" customFormat="false" ht="12.75" hidden="false" customHeight="true" outlineLevel="0" collapsed="false">
      <c r="A616" s="14" t="n">
        <f aca="false">IF(D616="","",DATE(B616,C616,1))</f>
        <v>21671</v>
      </c>
      <c r="B616" s="15" t="n">
        <f aca="false" t="array" ref="B616:B616">IF(D616="","",IFERROR(VALUE(INDEX(Vazoes_COLAR!$A$2:$A$200,INT((ROW()-24)/12)+1)),""))</f>
        <v>1959</v>
      </c>
      <c r="C616" s="15" t="n">
        <f aca="false">IF(D616="","",MOD(ROW()-24,12)+1)</f>
        <v>5</v>
      </c>
      <c r="D616" s="16" t="n">
        <f aca="false" t="array" ref="D616: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0.816107363651894</v>
      </c>
      <c r="E616" s="16" t="n">
        <f aca="false">IF(D616="","",D616*$B$15)</f>
        <v>2.11535028658571</v>
      </c>
      <c r="F616" s="16" t="n">
        <f aca="false" t="array" ref="F616:F616">IF(D616="","",IFERROR(INDEX(Dados_Evap!$C$2:$N$15,MATCH($B$9,Dados_Evap!$A$2:$A$15,0),C616),0))</f>
        <v>145.8</v>
      </c>
      <c r="G616" s="16" t="n">
        <f aca="false">IF(F616="","",F616/1000)</f>
        <v>0.1458</v>
      </c>
      <c r="H616" s="16" t="n">
        <f aca="false">IF(D616="","",MAX(0,MIN($B$8,IFERROR(LOOKUP(2,1/($U$24:U615&lt;&gt;""),$U$24:U615),$B$11))))</f>
        <v>22.0346298095185</v>
      </c>
      <c r="I616" s="16" t="n">
        <f aca="false" t="array" ref="I616: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>4.37121185528392</v>
      </c>
      <c r="J616" s="16" t="n">
        <f aca="false">IF(D616="","",$B$12)</f>
        <v>0.35</v>
      </c>
      <c r="K616" s="16" t="n">
        <f aca="false">IF(J616="","",J616*$B$15)</f>
        <v>0.9072</v>
      </c>
      <c r="L616" s="16" t="n">
        <f aca="false">IF(D616="","",H616+E616-K616-G616*I616)</f>
        <v>22.6054574076038</v>
      </c>
      <c r="M616" s="16" t="n">
        <f aca="false" t="array" ref="M616: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>4.43943271456728</v>
      </c>
      <c r="N616" s="16" t="n">
        <f aca="false">IF(D616="","",(I616+M616)/2)</f>
        <v>4.4053222849256</v>
      </c>
      <c r="O616" s="16" t="n">
        <f aca="false">IF(D616="","",G616*N616)</f>
        <v>0.642295989142152</v>
      </c>
      <c r="P616" s="16" t="n">
        <f aca="false">IF(D616="","",H616+E616-K616-O616)</f>
        <v>22.600484106962</v>
      </c>
      <c r="Q616" s="16" t="n">
        <f aca="false">IF(D616="","",IF(P616&gt;=0,K616,MAX(0,K616+P616)))</f>
        <v>0.9072</v>
      </c>
      <c r="R616" s="16" t="n">
        <f aca="false">IF(D616="","",Q616/$B$15)</f>
        <v>0.35</v>
      </c>
      <c r="S616" s="16" t="n">
        <f aca="false">IF(D616="","",MAX(0,J616-R616))</f>
        <v>0</v>
      </c>
      <c r="T616" s="16" t="n">
        <f aca="false">IF(D616="","",MAX(0,Z616-$B$8))</f>
        <v>0</v>
      </c>
      <c r="U616" s="16" t="n">
        <f aca="false">IF(D616="","",MAX(0,MIN($B$8,Z616)))</f>
        <v>22.600484106962</v>
      </c>
      <c r="V616" s="16" t="str">
        <f aca="false">IF(D616="","",IF(S616&gt;0.0000001,"Sim","Não"))</f>
        <v>Não</v>
      </c>
      <c r="W616" s="16" t="n">
        <f aca="false">IF(D616="","",U616-(H616+E616-Q616-O616-T616))</f>
        <v>0</v>
      </c>
      <c r="X616" s="16" t="n">
        <f aca="false">IF(W616="","",ABS(W616))</f>
        <v>0</v>
      </c>
      <c r="Y616" s="16" t="n">
        <f aca="false">IF(U616="","",IF($B$8=0,0,U616/$B$8*100))</f>
        <v>47.8621010312622</v>
      </c>
      <c r="Z616" s="18" t="n">
        <f aca="false">IF(D616="","",MAX(0,IF(P616&gt;=0,P616,IF(K616+P616&gt;=0,0,P616+K616))))</f>
        <v>22.600484106962</v>
      </c>
      <c r="AA616" s="18" t="n">
        <f aca="false">IF(D616="","",IF(H616&lt;=$B$16,1,IF(H616&gt;=$B$17,$B$21,MATCH(H616,Aux_CAV!$A$2:$A$121,1))))</f>
        <v>11</v>
      </c>
      <c r="AB616" s="18" t="n">
        <f aca="false">IF(D616="","",IF(L616&lt;=$B$16,1,IF(L616&gt;=$B$17,$B$21,MATCH(L616,Aux_CAV!$A$2:$A$121,1))))</f>
        <v>11</v>
      </c>
      <c r="AC616" s="19" t="n">
        <f aca="false">IF(D616="","",COUNT($D$24:D616))</f>
        <v>581</v>
      </c>
    </row>
    <row r="617" customFormat="false" ht="12.75" hidden="false" customHeight="true" outlineLevel="0" collapsed="false">
      <c r="A617" s="14" t="n">
        <f aca="false">IF(D617="","",DATE(B617,C617,1))</f>
        <v>21702</v>
      </c>
      <c r="B617" s="15" t="n">
        <f aca="false" t="array" ref="B617:B617">IF(D617="","",IFERROR(VALUE(INDEX(Vazoes_COLAR!$A$2:$A$200,INT((ROW()-24)/12)+1)),""))</f>
        <v>1959</v>
      </c>
      <c r="C617" s="15" t="n">
        <f aca="false">IF(D617="","",MOD(ROW()-24,12)+1)</f>
        <v>6</v>
      </c>
      <c r="D617" s="16" t="n">
        <f aca="false" t="array" ref="D617: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0.826601123912112</v>
      </c>
      <c r="E617" s="16" t="n">
        <f aca="false">IF(D617="","",D617*$B$15)</f>
        <v>2.14255011318019</v>
      </c>
      <c r="F617" s="16" t="n">
        <f aca="false" t="array" ref="F617:F617">IF(D617="","",IFERROR(INDEX(Dados_Evap!$C$2:$N$15,MATCH($B$9,Dados_Evap!$A$2:$A$15,0),C617),0))</f>
        <v>161.3</v>
      </c>
      <c r="G617" s="16" t="n">
        <f aca="false">IF(F617="","",F617/1000)</f>
        <v>0.1613</v>
      </c>
      <c r="H617" s="16" t="n">
        <f aca="false">IF(D617="","",MAX(0,MIN($B$8,IFERROR(LOOKUP(2,1/($U$24:U616&lt;&gt;""),$U$24:U616),$B$11))))</f>
        <v>22.600484106962</v>
      </c>
      <c r="I617" s="16" t="n">
        <f aca="false" t="array" ref="I617: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>4.43883834449058</v>
      </c>
      <c r="J617" s="16" t="n">
        <f aca="false">IF(D617="","",$B$12)</f>
        <v>0.35</v>
      </c>
      <c r="K617" s="16" t="n">
        <f aca="false">IF(J617="","",J617*$B$15)</f>
        <v>0.9072</v>
      </c>
      <c r="L617" s="16" t="n">
        <f aca="false">IF(D617="","",H617+E617-K617-G617*I617)</f>
        <v>23.1198495951759</v>
      </c>
      <c r="M617" s="16" t="n">
        <f aca="false" t="array" ref="M617: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>4.50090885405761</v>
      </c>
      <c r="N617" s="16" t="n">
        <f aca="false">IF(D617="","",(I617+M617)/2)</f>
        <v>4.4698735992741</v>
      </c>
      <c r="O617" s="16" t="n">
        <f aca="false">IF(D617="","",G617*N617)</f>
        <v>0.720990611562912</v>
      </c>
      <c r="P617" s="16" t="n">
        <f aca="false">IF(D617="","",H617+E617-K617-O617)</f>
        <v>23.1148436085793</v>
      </c>
      <c r="Q617" s="16" t="n">
        <f aca="false">IF(D617="","",IF(P617&gt;=0,K617,MAX(0,K617+P617)))</f>
        <v>0.9072</v>
      </c>
      <c r="R617" s="16" t="n">
        <f aca="false">IF(D617="","",Q617/$B$15)</f>
        <v>0.35</v>
      </c>
      <c r="S617" s="16" t="n">
        <f aca="false">IF(D617="","",MAX(0,J617-R617))</f>
        <v>0</v>
      </c>
      <c r="T617" s="16" t="n">
        <f aca="false">IF(D617="","",MAX(0,Z617-$B$8))</f>
        <v>0</v>
      </c>
      <c r="U617" s="16" t="n">
        <f aca="false">IF(D617="","",MAX(0,MIN($B$8,Z617)))</f>
        <v>23.1148436085793</v>
      </c>
      <c r="V617" s="16" t="str">
        <f aca="false">IF(D617="","",IF(S617&gt;0.0000001,"Sim","Não"))</f>
        <v>Não</v>
      </c>
      <c r="W617" s="16" t="n">
        <f aca="false">IF(D617="","",U617-(H617+E617-Q617-O617-T617))</f>
        <v>0</v>
      </c>
      <c r="X617" s="16" t="n">
        <f aca="false">IF(W617="","",ABS(W617))</f>
        <v>0</v>
      </c>
      <c r="Y617" s="16" t="n">
        <f aca="false">IF(U617="","",IF($B$8=0,0,U617/$B$8*100))</f>
        <v>48.9513841774234</v>
      </c>
      <c r="Z617" s="18" t="n">
        <f aca="false">IF(D617="","",MAX(0,IF(P617&gt;=0,P617,IF(K617+P617&gt;=0,0,P617+K617))))</f>
        <v>23.1148436085793</v>
      </c>
      <c r="AA617" s="18" t="n">
        <f aca="false">IF(D617="","",IF(H617&lt;=$B$16,1,IF(H617&gt;=$B$17,$B$21,MATCH(H617,Aux_CAV!$A$2:$A$121,1))))</f>
        <v>11</v>
      </c>
      <c r="AB617" s="18" t="n">
        <f aca="false">IF(D617="","",IF(L617&lt;=$B$16,1,IF(L617&gt;=$B$17,$B$21,MATCH(L617,Aux_CAV!$A$2:$A$121,1))))</f>
        <v>11</v>
      </c>
      <c r="AC617" s="19" t="n">
        <f aca="false">IF(D617="","",COUNT($D$24:D617))</f>
        <v>582</v>
      </c>
    </row>
    <row r="618" customFormat="false" ht="12.75" hidden="false" customHeight="true" outlineLevel="0" collapsed="false">
      <c r="A618" s="14" t="n">
        <f aca="false">IF(D618="","",DATE(B618,C618,1))</f>
        <v>21732</v>
      </c>
      <c r="B618" s="15" t="n">
        <f aca="false" t="array" ref="B618:B618">IF(D618="","",IFERROR(VALUE(INDEX(Vazoes_COLAR!$A$2:$A$200,INT((ROW()-24)/12)+1)),""))</f>
        <v>1959</v>
      </c>
      <c r="C618" s="15" t="n">
        <f aca="false">IF(D618="","",MOD(ROW()-24,12)+1)</f>
        <v>7</v>
      </c>
      <c r="D618" s="16" t="n">
        <f aca="false" t="array" ref="D618: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0.0216954026817497</v>
      </c>
      <c r="E618" s="16" t="n">
        <f aca="false">IF(D618="","",D618*$B$15)</f>
        <v>0.0562344837510952</v>
      </c>
      <c r="F618" s="16" t="n">
        <f aca="false" t="array" ref="F618:F618">IF(D618="","",IFERROR(INDEX(Dados_Evap!$C$2:$N$15,MATCH($B$9,Dados_Evap!$A$2:$A$15,0),C618),0))</f>
        <v>224.8</v>
      </c>
      <c r="G618" s="16" t="n">
        <f aca="false">IF(F618="","",F618/1000)</f>
        <v>0.2248</v>
      </c>
      <c r="H618" s="16" t="n">
        <f aca="false">IF(D618="","",MAX(0,MIN($B$8,IFERROR(LOOKUP(2,1/($U$24:U617&lt;&gt;""),$U$24:U617),$B$11))))</f>
        <v>23.1148436085793</v>
      </c>
      <c r="I618" s="16" t="n">
        <f aca="false" t="array" ref="I618: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>4.5003105776107</v>
      </c>
      <c r="J618" s="16" t="n">
        <f aca="false">IF(D618="","",$B$12)</f>
        <v>0.35</v>
      </c>
      <c r="K618" s="16" t="n">
        <f aca="false">IF(J618="","",J618*$B$15)</f>
        <v>0.9072</v>
      </c>
      <c r="L618" s="16" t="n">
        <f aca="false">IF(D618="","",H618+E618-K618-G618*I618)</f>
        <v>21.2522082744835</v>
      </c>
      <c r="M618" s="16" t="n">
        <f aca="false" t="array" ref="M618: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>4.2777029401212</v>
      </c>
      <c r="N618" s="16" t="n">
        <f aca="false">IF(D618="","",(I618+M618)/2)</f>
        <v>4.38900675886595</v>
      </c>
      <c r="O618" s="16" t="n">
        <f aca="false">IF(D618="","",G618*N618)</f>
        <v>0.986648719393066</v>
      </c>
      <c r="P618" s="16" t="n">
        <f aca="false">IF(D618="","",H618+E618-K618-O618)</f>
        <v>21.2772293729373</v>
      </c>
      <c r="Q618" s="16" t="n">
        <f aca="false">IF(D618="","",IF(P618&gt;=0,K618,MAX(0,K618+P618)))</f>
        <v>0.9072</v>
      </c>
      <c r="R618" s="16" t="n">
        <f aca="false">IF(D618="","",Q618/$B$15)</f>
        <v>0.35</v>
      </c>
      <c r="S618" s="16" t="n">
        <f aca="false">IF(D618="","",MAX(0,J618-R618))</f>
        <v>0</v>
      </c>
      <c r="T618" s="16" t="n">
        <f aca="false">IF(D618="","",MAX(0,Z618-$B$8))</f>
        <v>0</v>
      </c>
      <c r="U618" s="16" t="n">
        <f aca="false">IF(D618="","",MAX(0,MIN($B$8,Z618)))</f>
        <v>21.2772293729373</v>
      </c>
      <c r="V618" s="16" t="str">
        <f aca="false">IF(D618="","",IF(S618&gt;0.0000001,"Sim","Não"))</f>
        <v>Não</v>
      </c>
      <c r="W618" s="16" t="n">
        <f aca="false">IF(D618="","",U618-(H618+E618-Q618-O618-T618))</f>
        <v>0</v>
      </c>
      <c r="X618" s="16" t="n">
        <f aca="false">IF(W618="","",ABS(W618))</f>
        <v>0</v>
      </c>
      <c r="Y618" s="16" t="n">
        <f aca="false">IF(U618="","",IF($B$8=0,0,U618/$B$8*100))</f>
        <v>45.0597826618749</v>
      </c>
      <c r="Z618" s="18" t="n">
        <f aca="false">IF(D618="","",MAX(0,IF(P618&gt;=0,P618,IF(K618+P618&gt;=0,0,P618+K618))))</f>
        <v>21.2772293729373</v>
      </c>
      <c r="AA618" s="18" t="n">
        <f aca="false">IF(D618="","",IF(H618&lt;=$B$16,1,IF(H618&gt;=$B$17,$B$21,MATCH(H618,Aux_CAV!$A$2:$A$121,1))))</f>
        <v>11</v>
      </c>
      <c r="AB618" s="18" t="n">
        <f aca="false">IF(D618="","",IF(L618&lt;=$B$16,1,IF(L618&gt;=$B$17,$B$21,MATCH(L618,Aux_CAV!$A$2:$A$121,1))))</f>
        <v>11</v>
      </c>
      <c r="AC618" s="19" t="n">
        <f aca="false">IF(D618="","",COUNT($D$24:D618))</f>
        <v>583</v>
      </c>
    </row>
    <row r="619" customFormat="false" ht="12.75" hidden="false" customHeight="true" outlineLevel="0" collapsed="false">
      <c r="A619" s="14" t="n">
        <f aca="false">IF(D619="","",DATE(B619,C619,1))</f>
        <v>21763</v>
      </c>
      <c r="B619" s="15" t="n">
        <f aca="false" t="array" ref="B619:B619">IF(D619="","",IFERROR(VALUE(INDEX(Vazoes_COLAR!$A$2:$A$200,INT((ROW()-24)/12)+1)),""))</f>
        <v>1959</v>
      </c>
      <c r="C619" s="15" t="n">
        <f aca="false">IF(D619="","",MOD(ROW()-24,12)+1)</f>
        <v>8</v>
      </c>
      <c r="D619" s="16" t="n">
        <f aca="false" t="array" ref="D619: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0.0514914260143993</v>
      </c>
      <c r="E619" s="16" t="n">
        <f aca="false">IF(D619="","",D619*$B$15)</f>
        <v>0.133465776229323</v>
      </c>
      <c r="F619" s="16" t="n">
        <f aca="false" t="array" ref="F619:F619">IF(D619="","",IFERROR(INDEX(Dados_Evap!$C$2:$N$15,MATCH($B$9,Dados_Evap!$A$2:$A$15,0),C619),0))</f>
        <v>268.7</v>
      </c>
      <c r="G619" s="16" t="n">
        <f aca="false">IF(F619="","",F619/1000)</f>
        <v>0.2687</v>
      </c>
      <c r="H619" s="16" t="n">
        <f aca="false">IF(D619="","",MAX(0,MIN($B$8,IFERROR(LOOKUP(2,1/($U$24:U618&lt;&gt;""),$U$24:U618),$B$11))))</f>
        <v>21.2772293729373</v>
      </c>
      <c r="I619" s="16" t="n">
        <f aca="false" t="array" ref="I619: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>4.28069326652178</v>
      </c>
      <c r="J619" s="16" t="n">
        <f aca="false">IF(D619="","",$B$12)</f>
        <v>0.35</v>
      </c>
      <c r="K619" s="16" t="n">
        <f aca="false">IF(J619="","",J619*$B$15)</f>
        <v>0.9072</v>
      </c>
      <c r="L619" s="16" t="n">
        <f aca="false">IF(D619="","",H619+E619-K619-G619*I619)</f>
        <v>19.3532728684523</v>
      </c>
      <c r="M619" s="16" t="n">
        <f aca="false" t="array" ref="M619: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>4.05075700135161</v>
      </c>
      <c r="N619" s="16" t="n">
        <f aca="false">IF(D619="","",(I619+M619)/2)</f>
        <v>4.1657251339367</v>
      </c>
      <c r="O619" s="16" t="n">
        <f aca="false">IF(D619="","",G619*N619)</f>
        <v>1.11933034348879</v>
      </c>
      <c r="P619" s="16" t="n">
        <f aca="false">IF(D619="","",H619+E619-K619-O619)</f>
        <v>19.3841648056779</v>
      </c>
      <c r="Q619" s="16" t="n">
        <f aca="false">IF(D619="","",IF(P619&gt;=0,K619,MAX(0,K619+P619)))</f>
        <v>0.9072</v>
      </c>
      <c r="R619" s="16" t="n">
        <f aca="false">IF(D619="","",Q619/$B$15)</f>
        <v>0.35</v>
      </c>
      <c r="S619" s="16" t="n">
        <f aca="false">IF(D619="","",MAX(0,J619-R619))</f>
        <v>0</v>
      </c>
      <c r="T619" s="16" t="n">
        <f aca="false">IF(D619="","",MAX(0,Z619-$B$8))</f>
        <v>0</v>
      </c>
      <c r="U619" s="16" t="n">
        <f aca="false">IF(D619="","",MAX(0,MIN($B$8,Z619)))</f>
        <v>19.3841648056779</v>
      </c>
      <c r="V619" s="16" t="str">
        <f aca="false">IF(D619="","",IF(S619&gt;0.0000001,"Sim","Não"))</f>
        <v>Não</v>
      </c>
      <c r="W619" s="16" t="n">
        <f aca="false">IF(D619="","",U619-(H619+E619-Q619-O619-T619))</f>
        <v>0</v>
      </c>
      <c r="X619" s="16" t="n">
        <f aca="false">IF(W619="","",ABS(W619))</f>
        <v>0</v>
      </c>
      <c r="Y619" s="16" t="n">
        <f aca="false">IF(U619="","",IF($B$8=0,0,U619/$B$8*100))</f>
        <v>41.0507513885597</v>
      </c>
      <c r="Z619" s="18" t="n">
        <f aca="false">IF(D619="","",MAX(0,IF(P619&gt;=0,P619,IF(K619+P619&gt;=0,0,P619+K619))))</f>
        <v>19.3841648056779</v>
      </c>
      <c r="AA619" s="18" t="n">
        <f aca="false">IF(D619="","",IF(H619&lt;=$B$16,1,IF(H619&gt;=$B$17,$B$21,MATCH(H619,Aux_CAV!$A$2:$A$121,1))))</f>
        <v>11</v>
      </c>
      <c r="AB619" s="18" t="n">
        <f aca="false">IF(D619="","",IF(L619&lt;=$B$16,1,IF(L619&gt;=$B$17,$B$21,MATCH(L619,Aux_CAV!$A$2:$A$121,1))))</f>
        <v>11</v>
      </c>
      <c r="AC619" s="19" t="n">
        <f aca="false">IF(D619="","",COUNT($D$24:D619))</f>
        <v>584</v>
      </c>
    </row>
    <row r="620" customFormat="false" ht="12.75" hidden="false" customHeight="true" outlineLevel="0" collapsed="false">
      <c r="A620" s="14" t="n">
        <f aca="false">IF(D620="","",DATE(B620,C620,1))</f>
        <v>21794</v>
      </c>
      <c r="B620" s="15" t="n">
        <f aca="false" t="array" ref="B620:B620">IF(D620="","",IFERROR(VALUE(INDEX(Vazoes_COLAR!$A$2:$A$200,INT((ROW()-24)/12)+1)),""))</f>
        <v>1959</v>
      </c>
      <c r="C620" s="15" t="n">
        <f aca="false">IF(D620="","",MOD(ROW()-24,12)+1)</f>
        <v>9</v>
      </c>
      <c r="D620" s="16" t="n">
        <f aca="false" t="array" ref="D620: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0.0191149521824883</v>
      </c>
      <c r="E620" s="16" t="n">
        <f aca="false">IF(D620="","",D620*$B$15)</f>
        <v>0.0495459560570097</v>
      </c>
      <c r="F620" s="16" t="n">
        <f aca="false" t="array" ref="F620:F620">IF(D620="","",IFERROR(INDEX(Dados_Evap!$C$2:$N$15,MATCH($B$9,Dados_Evap!$A$2:$A$15,0),C620),0))</f>
        <v>292.8</v>
      </c>
      <c r="G620" s="16" t="n">
        <f aca="false">IF(F620="","",F620/1000)</f>
        <v>0.2928</v>
      </c>
      <c r="H620" s="16" t="n">
        <f aca="false">IF(D620="","",MAX(0,MIN($B$8,IFERROR(LOOKUP(2,1/($U$24:U619&lt;&gt;""),$U$24:U619),$B$11))))</f>
        <v>19.3841648056779</v>
      </c>
      <c r="I620" s="16" t="n">
        <f aca="false" t="array" ref="I620: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>4.05444896458102</v>
      </c>
      <c r="J620" s="16" t="n">
        <f aca="false">IF(D620="","",$B$12)</f>
        <v>0.35</v>
      </c>
      <c r="K620" s="16" t="n">
        <f aca="false">IF(J620="","",J620*$B$15)</f>
        <v>0.9072</v>
      </c>
      <c r="L620" s="16" t="n">
        <f aca="false">IF(D620="","",H620+E620-K620-G620*I620)</f>
        <v>17.3393681049056</v>
      </c>
      <c r="M620" s="16" t="n">
        <f aca="false" t="array" ref="M620: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>3.81007082229359</v>
      </c>
      <c r="N620" s="16" t="n">
        <f aca="false">IF(D620="","",(I620+M620)/2)</f>
        <v>3.9322598934373</v>
      </c>
      <c r="O620" s="16" t="n">
        <f aca="false">IF(D620="","",G620*N620)</f>
        <v>1.15136569679844</v>
      </c>
      <c r="P620" s="16" t="n">
        <f aca="false">IF(D620="","",H620+E620-K620-O620)</f>
        <v>17.3751450649364</v>
      </c>
      <c r="Q620" s="16" t="n">
        <f aca="false">IF(D620="","",IF(P620&gt;=0,K620,MAX(0,K620+P620)))</f>
        <v>0.9072</v>
      </c>
      <c r="R620" s="16" t="n">
        <f aca="false">IF(D620="","",Q620/$B$15)</f>
        <v>0.35</v>
      </c>
      <c r="S620" s="16" t="n">
        <f aca="false">IF(D620="","",MAX(0,J620-R620))</f>
        <v>0</v>
      </c>
      <c r="T620" s="16" t="n">
        <f aca="false">IF(D620="","",MAX(0,Z620-$B$8))</f>
        <v>0</v>
      </c>
      <c r="U620" s="16" t="n">
        <f aca="false">IF(D620="","",MAX(0,MIN($B$8,Z620)))</f>
        <v>17.3751450649364</v>
      </c>
      <c r="V620" s="16" t="str">
        <f aca="false">IF(D620="","",IF(S620&gt;0.0000001,"Sim","Não"))</f>
        <v>Não</v>
      </c>
      <c r="W620" s="16" t="n">
        <f aca="false">IF(D620="","",U620-(H620+E620-Q620-O620-T620))</f>
        <v>0</v>
      </c>
      <c r="X620" s="16" t="n">
        <f aca="false">IF(W620="","",ABS(W620))</f>
        <v>0</v>
      </c>
      <c r="Y620" s="16" t="n">
        <f aca="false">IF(U620="","",IF($B$8=0,0,U620/$B$8*100))</f>
        <v>36.7961564272267</v>
      </c>
      <c r="Z620" s="18" t="n">
        <f aca="false">IF(D620="","",MAX(0,IF(P620&gt;=0,P620,IF(K620+P620&gt;=0,0,P620+K620))))</f>
        <v>17.3751450649364</v>
      </c>
      <c r="AA620" s="18" t="n">
        <f aca="false">IF(D620="","",IF(H620&lt;=$B$16,1,IF(H620&gt;=$B$17,$B$21,MATCH(H620,Aux_CAV!$A$2:$A$121,1))))</f>
        <v>11</v>
      </c>
      <c r="AB620" s="18" t="n">
        <f aca="false">IF(D620="","",IF(L620&lt;=$B$16,1,IF(L620&gt;=$B$17,$B$21,MATCH(L620,Aux_CAV!$A$2:$A$121,1))))</f>
        <v>11</v>
      </c>
      <c r="AC620" s="19" t="n">
        <f aca="false">IF(D620="","",COUNT($D$24:D620))</f>
        <v>585</v>
      </c>
    </row>
    <row r="621" customFormat="false" ht="12.75" hidden="false" customHeight="true" outlineLevel="0" collapsed="false">
      <c r="A621" s="14" t="n">
        <f aca="false">IF(D621="","",DATE(B621,C621,1))</f>
        <v>21824</v>
      </c>
      <c r="B621" s="15" t="n">
        <f aca="false" t="array" ref="B621:B621">IF(D621="","",IFERROR(VALUE(INDEX(Vazoes_COLAR!$A$2:$A$200,INT((ROW()-24)/12)+1)),""))</f>
        <v>1959</v>
      </c>
      <c r="C621" s="15" t="n">
        <f aca="false">IF(D621="","",MOD(ROW()-24,12)+1)</f>
        <v>10</v>
      </c>
      <c r="D621" s="16" t="n">
        <f aca="false" t="array" ref="D621: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0.011237851962117</v>
      </c>
      <c r="E621" s="16" t="n">
        <f aca="false">IF(D621="","",D621*$B$15)</f>
        <v>0.0291285122858073</v>
      </c>
      <c r="F621" s="16" t="n">
        <f aca="false" t="array" ref="F621:F621">IF(D621="","",IFERROR(INDEX(Dados_Evap!$C$2:$N$15,MATCH($B$9,Dados_Evap!$A$2:$A$15,0),C621),0))</f>
        <v>262.9</v>
      </c>
      <c r="G621" s="16" t="n">
        <f aca="false">IF(F621="","",F621/1000)</f>
        <v>0.2629</v>
      </c>
      <c r="H621" s="16" t="n">
        <f aca="false">IF(D621="","",MAX(0,MIN($B$8,IFERROR(LOOKUP(2,1/($U$24:U620&lt;&gt;""),$U$24:U620),$B$11))))</f>
        <v>17.3751450649364</v>
      </c>
      <c r="I621" s="16" t="n">
        <f aca="false" t="array" ref="I621: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>3.81434660532167</v>
      </c>
      <c r="J621" s="16" t="n">
        <f aca="false">IF(D621="","",$B$12)</f>
        <v>0.35</v>
      </c>
      <c r="K621" s="16" t="n">
        <f aca="false">IF(J621="","",J621*$B$15)</f>
        <v>0.9072</v>
      </c>
      <c r="L621" s="16" t="n">
        <f aca="false">IF(D621="","",H621+E621-K621-G621*I621)</f>
        <v>15.4942818546832</v>
      </c>
      <c r="M621" s="16" t="n">
        <f aca="false" t="array" ref="M621: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>3.6068652170171</v>
      </c>
      <c r="N621" s="16" t="n">
        <f aca="false">IF(D621="","",(I621+M621)/2)</f>
        <v>3.71060591116938</v>
      </c>
      <c r="O621" s="16" t="n">
        <f aca="false">IF(D621="","",G621*N621)</f>
        <v>0.975518294046431</v>
      </c>
      <c r="P621" s="16" t="n">
        <f aca="false">IF(D621="","",H621+E621-K621-O621)</f>
        <v>15.5215552831758</v>
      </c>
      <c r="Q621" s="16" t="n">
        <f aca="false">IF(D621="","",IF(P621&gt;=0,K621,MAX(0,K621+P621)))</f>
        <v>0.9072</v>
      </c>
      <c r="R621" s="16" t="n">
        <f aca="false">IF(D621="","",Q621/$B$15)</f>
        <v>0.35</v>
      </c>
      <c r="S621" s="16" t="n">
        <f aca="false">IF(D621="","",MAX(0,J621-R621))</f>
        <v>0</v>
      </c>
      <c r="T621" s="16" t="n">
        <f aca="false">IF(D621="","",MAX(0,Z621-$B$8))</f>
        <v>0</v>
      </c>
      <c r="U621" s="16" t="n">
        <f aca="false">IF(D621="","",MAX(0,MIN($B$8,Z621)))</f>
        <v>15.5215552831758</v>
      </c>
      <c r="V621" s="16" t="str">
        <f aca="false">IF(D621="","",IF(S621&gt;0.0000001,"Sim","Não"))</f>
        <v>Não</v>
      </c>
      <c r="W621" s="16" t="n">
        <f aca="false">IF(D621="","",U621-(H621+E621-Q621-O621-T621))</f>
        <v>0</v>
      </c>
      <c r="X621" s="16" t="n">
        <f aca="false">IF(W621="","",ABS(W621))</f>
        <v>0</v>
      </c>
      <c r="Y621" s="16" t="n">
        <f aca="false">IF(U621="","",IF($B$8=0,0,U621/$B$8*100))</f>
        <v>32.8707227513253</v>
      </c>
      <c r="Z621" s="18" t="n">
        <f aca="false">IF(D621="","",MAX(0,IF(P621&gt;=0,P621,IF(K621+P621&gt;=0,0,P621+K621))))</f>
        <v>15.5215552831758</v>
      </c>
      <c r="AA621" s="18" t="n">
        <f aca="false">IF(D621="","",IF(H621&lt;=$B$16,1,IF(H621&gt;=$B$17,$B$21,MATCH(H621,Aux_CAV!$A$2:$A$121,1))))</f>
        <v>11</v>
      </c>
      <c r="AB621" s="18" t="n">
        <f aca="false">IF(D621="","",IF(L621&lt;=$B$16,1,IF(L621&gt;=$B$17,$B$21,MATCH(L621,Aux_CAV!$A$2:$A$121,1))))</f>
        <v>10</v>
      </c>
      <c r="AC621" s="19" t="n">
        <f aca="false">IF(D621="","",COUNT($D$24:D621))</f>
        <v>586</v>
      </c>
    </row>
    <row r="622" customFormat="false" ht="12.75" hidden="false" customHeight="true" outlineLevel="0" collapsed="false">
      <c r="A622" s="14" t="n">
        <f aca="false">IF(D622="","",DATE(B622,C622,1))</f>
        <v>21855</v>
      </c>
      <c r="B622" s="15" t="n">
        <f aca="false" t="array" ref="B622:B622">IF(D622="","",IFERROR(VALUE(INDEX(Vazoes_COLAR!$A$2:$A$200,INT((ROW()-24)/12)+1)),""))</f>
        <v>1959</v>
      </c>
      <c r="C622" s="15" t="n">
        <f aca="false">IF(D622="","",MOD(ROW()-24,12)+1)</f>
        <v>11</v>
      </c>
      <c r="D622" s="16" t="n">
        <f aca="false" t="array" ref="D622: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0.0289073933933072</v>
      </c>
      <c r="E622" s="16" t="n">
        <f aca="false">IF(D622="","",D622*$B$15)</f>
        <v>0.0749279636754523</v>
      </c>
      <c r="F622" s="16" t="n">
        <f aca="false" t="array" ref="F622:F622">IF(D622="","",IFERROR(INDEX(Dados_Evap!$C$2:$N$15,MATCH($B$9,Dados_Evap!$A$2:$A$15,0),C622),0))</f>
        <v>223.7</v>
      </c>
      <c r="G622" s="16" t="n">
        <f aca="false">IF(F622="","",F622/1000)</f>
        <v>0.2237</v>
      </c>
      <c r="H622" s="16" t="n">
        <f aca="false">IF(D622="","",MAX(0,MIN($B$8,IFERROR(LOOKUP(2,1/($U$24:U621&lt;&gt;""),$U$24:U621),$B$11))))</f>
        <v>15.5215552831758</v>
      </c>
      <c r="I622" s="16" t="n">
        <f aca="false" t="array" ref="I622: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>3.60919148003558</v>
      </c>
      <c r="J622" s="16" t="n">
        <f aca="false">IF(D622="","",$B$12)</f>
        <v>0.35</v>
      </c>
      <c r="K622" s="16" t="n">
        <f aca="false">IF(J622="","",J622*$B$15)</f>
        <v>0.9072</v>
      </c>
      <c r="L622" s="16" t="n">
        <f aca="false">IF(D622="","",H622+E622-K622-G622*I622)</f>
        <v>13.8819071127673</v>
      </c>
      <c r="M622" s="16" t="n">
        <f aca="false" t="array" ref="M622: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>3.46933913608898</v>
      </c>
      <c r="N622" s="16" t="n">
        <f aca="false">IF(D622="","",(I622+M622)/2)</f>
        <v>3.53926530806228</v>
      </c>
      <c r="O622" s="16" t="n">
        <f aca="false">IF(D622="","",G622*N622)</f>
        <v>0.791733649413532</v>
      </c>
      <c r="P622" s="16" t="n">
        <f aca="false">IF(D622="","",H622+E622-K622-O622)</f>
        <v>13.8975495974377</v>
      </c>
      <c r="Q622" s="16" t="n">
        <f aca="false">IF(D622="","",IF(P622&gt;=0,K622,MAX(0,K622+P622)))</f>
        <v>0.9072</v>
      </c>
      <c r="R622" s="16" t="n">
        <f aca="false">IF(D622="","",Q622/$B$15)</f>
        <v>0.35</v>
      </c>
      <c r="S622" s="16" t="n">
        <f aca="false">IF(D622="","",MAX(0,J622-R622))</f>
        <v>0</v>
      </c>
      <c r="T622" s="16" t="n">
        <f aca="false">IF(D622="","",MAX(0,Z622-$B$8))</f>
        <v>0</v>
      </c>
      <c r="U622" s="16" t="n">
        <f aca="false">IF(D622="","",MAX(0,MIN($B$8,Z622)))</f>
        <v>13.8975495974377</v>
      </c>
      <c r="V622" s="16" t="str">
        <f aca="false">IF(D622="","",IF(S622&gt;0.0000001,"Sim","Não"))</f>
        <v>Não</v>
      </c>
      <c r="W622" s="16" t="n">
        <f aca="false">IF(D622="","",U622-(H622+E622-Q622-O622-T622))</f>
        <v>0</v>
      </c>
      <c r="X622" s="16" t="n">
        <f aca="false">IF(W622="","",ABS(W622))</f>
        <v>0</v>
      </c>
      <c r="Y622" s="16" t="n">
        <f aca="false">IF(U622="","",IF($B$8=0,0,U622/$B$8*100))</f>
        <v>29.4314900411642</v>
      </c>
      <c r="Z622" s="18" t="n">
        <f aca="false">IF(D622="","",MAX(0,IF(P622&gt;=0,P622,IF(K622+P622&gt;=0,0,P622+K622))))</f>
        <v>13.8975495974377</v>
      </c>
      <c r="AA622" s="18" t="n">
        <f aca="false">IF(D622="","",IF(H622&lt;=$B$16,1,IF(H622&gt;=$B$17,$B$21,MATCH(H622,Aux_CAV!$A$2:$A$121,1))))</f>
        <v>10</v>
      </c>
      <c r="AB622" s="18" t="n">
        <f aca="false">IF(D622="","",IF(L622&lt;=$B$16,1,IF(L622&gt;=$B$17,$B$21,MATCH(L622,Aux_CAV!$A$2:$A$121,1))))</f>
        <v>10</v>
      </c>
      <c r="AC622" s="19" t="n">
        <f aca="false">IF(D622="","",COUNT($D$24:D622))</f>
        <v>587</v>
      </c>
    </row>
    <row r="623" customFormat="false" ht="12.75" hidden="false" customHeight="true" outlineLevel="0" collapsed="false">
      <c r="A623" s="14" t="n">
        <f aca="false">IF(D623="","",DATE(B623,C623,1))</f>
        <v>21885</v>
      </c>
      <c r="B623" s="15" t="n">
        <f aca="false" t="array" ref="B623:B623">IF(D623="","",IFERROR(VALUE(INDEX(Vazoes_COLAR!$A$2:$A$200,INT((ROW()-24)/12)+1)),""))</f>
        <v>1959</v>
      </c>
      <c r="C623" s="15" t="n">
        <f aca="false">IF(D623="","",MOD(ROW()-24,12)+1)</f>
        <v>12</v>
      </c>
      <c r="D623" s="16" t="n">
        <f aca="false" t="array" ref="D623: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0.00735881462217718</v>
      </c>
      <c r="E623" s="16" t="n">
        <f aca="false">IF(D623="","",D623*$B$15)</f>
        <v>0.0190740475006833</v>
      </c>
      <c r="F623" s="16" t="n">
        <f aca="false" t="array" ref="F623:F623">IF(D623="","",IFERROR(INDEX(Dados_Evap!$C$2:$N$15,MATCH($B$9,Dados_Evap!$A$2:$A$15,0),C623),0))</f>
        <v>216.1</v>
      </c>
      <c r="G623" s="16" t="n">
        <f aca="false">IF(F623="","",F623/1000)</f>
        <v>0.2161</v>
      </c>
      <c r="H623" s="16" t="n">
        <f aca="false">IF(D623="","",MAX(0,MIN($B$8,IFERROR(LOOKUP(2,1/($U$24:U622&lt;&gt;""),$U$24:U622),$B$11))))</f>
        <v>13.8975495974377</v>
      </c>
      <c r="I623" s="16" t="n">
        <f aca="false" t="array" ref="I623: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>3.47067334801675</v>
      </c>
      <c r="J623" s="16" t="n">
        <f aca="false">IF(D623="","",$B$12)</f>
        <v>0.35</v>
      </c>
      <c r="K623" s="16" t="n">
        <f aca="false">IF(J623="","",J623*$B$15)</f>
        <v>0.9072</v>
      </c>
      <c r="L623" s="16" t="n">
        <f aca="false">IF(D623="","",H623+E623-K623-G623*I623)</f>
        <v>12.259411134432</v>
      </c>
      <c r="M623" s="16" t="n">
        <f aca="false" t="array" ref="M623: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>3.33094977323097</v>
      </c>
      <c r="N623" s="16" t="n">
        <f aca="false">IF(D623="","",(I623+M623)/2)</f>
        <v>3.40081156062386</v>
      </c>
      <c r="O623" s="16" t="n">
        <f aca="false">IF(D623="","",G623*N623)</f>
        <v>0.734915378250815</v>
      </c>
      <c r="P623" s="16" t="n">
        <f aca="false">IF(D623="","",H623+E623-K623-O623)</f>
        <v>12.2745082666876</v>
      </c>
      <c r="Q623" s="16" t="n">
        <f aca="false">IF(D623="","",IF(P623&gt;=0,K623,MAX(0,K623+P623)))</f>
        <v>0.9072</v>
      </c>
      <c r="R623" s="16" t="n">
        <f aca="false">IF(D623="","",Q623/$B$15)</f>
        <v>0.35</v>
      </c>
      <c r="S623" s="16" t="n">
        <f aca="false">IF(D623="","",MAX(0,J623-R623))</f>
        <v>0</v>
      </c>
      <c r="T623" s="16" t="n">
        <f aca="false">IF(D623="","",MAX(0,Z623-$B$8))</f>
        <v>0</v>
      </c>
      <c r="U623" s="16" t="n">
        <f aca="false">IF(D623="","",MAX(0,MIN($B$8,Z623)))</f>
        <v>12.2745082666876</v>
      </c>
      <c r="V623" s="16" t="str">
        <f aca="false">IF(D623="","",IF(S623&gt;0.0000001,"Sim","Não"))</f>
        <v>Não</v>
      </c>
      <c r="W623" s="16" t="n">
        <f aca="false">IF(D623="","",U623-(H623+E623-Q623-O623-T623))</f>
        <v>0</v>
      </c>
      <c r="X623" s="16" t="n">
        <f aca="false">IF(W623="","",ABS(W623))</f>
        <v>0</v>
      </c>
      <c r="Y623" s="16" t="n">
        <f aca="false">IF(U623="","",IF($B$8=0,0,U623/$B$8*100))</f>
        <v>25.9942995906133</v>
      </c>
      <c r="Z623" s="18" t="n">
        <f aca="false">IF(D623="","",MAX(0,IF(P623&gt;=0,P623,IF(K623+P623&gt;=0,0,P623+K623))))</f>
        <v>12.2745082666876</v>
      </c>
      <c r="AA623" s="18" t="n">
        <f aca="false">IF(D623="","",IF(H623&lt;=$B$16,1,IF(H623&gt;=$B$17,$B$21,MATCH(H623,Aux_CAV!$A$2:$A$121,1))))</f>
        <v>10</v>
      </c>
      <c r="AB623" s="18" t="n">
        <f aca="false">IF(D623="","",IF(L623&lt;=$B$16,1,IF(L623&gt;=$B$17,$B$21,MATCH(L623,Aux_CAV!$A$2:$A$121,1))))</f>
        <v>10</v>
      </c>
      <c r="AC623" s="19" t="n">
        <f aca="false">IF(D623="","",COUNT($D$24:D623))</f>
        <v>588</v>
      </c>
    </row>
    <row r="624" customFormat="false" ht="12.75" hidden="false" customHeight="true" outlineLevel="0" collapsed="false">
      <c r="A624" s="14" t="n">
        <f aca="false">IF(D624="","",DATE(B624,C624,1))</f>
        <v>21916</v>
      </c>
      <c r="B624" s="15" t="n">
        <f aca="false" t="array" ref="B624:B624">IF(D624="","",IFERROR(VALUE(INDEX(Vazoes_COLAR!$A$2:$A$200,INT((ROW()-24)/12)+1)),""))</f>
        <v>1960</v>
      </c>
      <c r="C624" s="15" t="n">
        <f aca="false">IF(D624="","",MOD(ROW()-24,12)+1)</f>
        <v>1</v>
      </c>
      <c r="D624" s="16" t="n">
        <f aca="false" t="array" ref="D624: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0.0216150724964372</v>
      </c>
      <c r="E624" s="16" t="n">
        <f aca="false">IF(D624="","",D624*$B$15)</f>
        <v>0.0560262679107652</v>
      </c>
      <c r="F624" s="16" t="n">
        <f aca="false" t="array" ref="F624:F624">IF(D624="","",IFERROR(INDEX(Dados_Evap!$C$2:$N$15,MATCH($B$9,Dados_Evap!$A$2:$A$15,0),C624),0))</f>
        <v>160</v>
      </c>
      <c r="G624" s="16" t="n">
        <f aca="false">IF(F624="","",F624/1000)</f>
        <v>0.16</v>
      </c>
      <c r="H624" s="16" t="n">
        <f aca="false">IF(D624="","",MAX(0,MIN($B$8,IFERROR(LOOKUP(2,1/($U$24:U623&lt;&gt;""),$U$24:U623),$B$11))))</f>
        <v>12.2745082666876</v>
      </c>
      <c r="I624" s="16" t="n">
        <f aca="false" t="array" ref="I624: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>3.33223746980571</v>
      </c>
      <c r="J624" s="16" t="n">
        <f aca="false">IF(D624="","",$B$12)</f>
        <v>0.35</v>
      </c>
      <c r="K624" s="16" t="n">
        <f aca="false">IF(J624="","",J624*$B$15)</f>
        <v>0.9072</v>
      </c>
      <c r="L624" s="16" t="n">
        <f aca="false">IF(D624="","",H624+E624-K624-G624*I624)</f>
        <v>10.8901765394295</v>
      </c>
      <c r="M624" s="16" t="n">
        <f aca="false" t="array" ref="M624: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>3.2141621165984</v>
      </c>
      <c r="N624" s="16" t="n">
        <f aca="false">IF(D624="","",(I624+M624)/2)</f>
        <v>3.27319979320205</v>
      </c>
      <c r="O624" s="16" t="n">
        <f aca="false">IF(D624="","",G624*N624)</f>
        <v>0.523711966912328</v>
      </c>
      <c r="P624" s="16" t="n">
        <f aca="false">IF(D624="","",H624+E624-K624-O624)</f>
        <v>10.8996225676861</v>
      </c>
      <c r="Q624" s="16" t="n">
        <f aca="false">IF(D624="","",IF(P624&gt;=0,K624,MAX(0,K624+P624)))</f>
        <v>0.9072</v>
      </c>
      <c r="R624" s="16" t="n">
        <f aca="false">IF(D624="","",Q624/$B$15)</f>
        <v>0.35</v>
      </c>
      <c r="S624" s="16" t="n">
        <f aca="false">IF(D624="","",MAX(0,J624-R624))</f>
        <v>0</v>
      </c>
      <c r="T624" s="16" t="n">
        <f aca="false">IF(D624="","",MAX(0,Z624-$B$8))</f>
        <v>0</v>
      </c>
      <c r="U624" s="16" t="n">
        <f aca="false">IF(D624="","",MAX(0,MIN($B$8,Z624)))</f>
        <v>10.8996225676861</v>
      </c>
      <c r="V624" s="16" t="str">
        <f aca="false">IF(D624="","",IF(S624&gt;0.0000001,"Sim","Não"))</f>
        <v>Não</v>
      </c>
      <c r="W624" s="16" t="n">
        <f aca="false">IF(D624="","",U624-(H624+E624-Q624-O624-T624))</f>
        <v>0</v>
      </c>
      <c r="X624" s="16" t="n">
        <f aca="false">IF(W624="","",ABS(W624))</f>
        <v>0</v>
      </c>
      <c r="Y624" s="16" t="n">
        <f aca="false">IF(U624="","",IF($B$8=0,0,U624/$B$8*100))</f>
        <v>23.0826399146253</v>
      </c>
      <c r="Z624" s="18" t="n">
        <f aca="false">IF(D624="","",MAX(0,IF(P624&gt;=0,P624,IF(K624+P624&gt;=0,0,P624+K624))))</f>
        <v>10.8996225676861</v>
      </c>
      <c r="AA624" s="18" t="n">
        <f aca="false">IF(D624="","",IF(H624&lt;=$B$16,1,IF(H624&gt;=$B$17,$B$21,MATCH(H624,Aux_CAV!$A$2:$A$121,1))))</f>
        <v>10</v>
      </c>
      <c r="AB624" s="18" t="n">
        <f aca="false">IF(D624="","",IF(L624&lt;=$B$16,1,IF(L624&gt;=$B$17,$B$21,MATCH(L624,Aux_CAV!$A$2:$A$121,1))))</f>
        <v>10</v>
      </c>
      <c r="AC624" s="19" t="n">
        <f aca="false">IF(D624="","",COUNT($D$24:D624))</f>
        <v>589</v>
      </c>
    </row>
    <row r="625" customFormat="false" ht="12.75" hidden="false" customHeight="true" outlineLevel="0" collapsed="false">
      <c r="A625" s="14" t="n">
        <f aca="false">IF(D625="","",DATE(B625,C625,1))</f>
        <v>21947</v>
      </c>
      <c r="B625" s="15" t="n">
        <f aca="false" t="array" ref="B625:B625">IF(D625="","",IFERROR(VALUE(INDEX(Vazoes_COLAR!$A$2:$A$200,INT((ROW()-24)/12)+1)),""))</f>
        <v>1960</v>
      </c>
      <c r="C625" s="15" t="n">
        <f aca="false">IF(D625="","",MOD(ROW()-24,12)+1)</f>
        <v>2</v>
      </c>
      <c r="D625" s="16" t="n">
        <f aca="false" t="array" ref="D625: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0.0184541900413772</v>
      </c>
      <c r="E625" s="16" t="n">
        <f aca="false">IF(D625="","",D625*$B$15)</f>
        <v>0.0478332605872497</v>
      </c>
      <c r="F625" s="16" t="n">
        <f aca="false" t="array" ref="F625:F625">IF(D625="","",IFERROR(INDEX(Dados_Evap!$C$2:$N$15,MATCH($B$9,Dados_Evap!$A$2:$A$15,0),C625),0))</f>
        <v>124.3</v>
      </c>
      <c r="G625" s="16" t="n">
        <f aca="false">IF(F625="","",F625/1000)</f>
        <v>0.1243</v>
      </c>
      <c r="H625" s="16" t="n">
        <f aca="false">IF(D625="","",MAX(0,MIN($B$8,IFERROR(LOOKUP(2,1/($U$24:U624&lt;&gt;""),$U$24:U624),$B$11))))</f>
        <v>10.8996225676861</v>
      </c>
      <c r="I625" s="16" t="n">
        <f aca="false" t="array" ref="I625: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>3.21496780724381</v>
      </c>
      <c r="J625" s="16" t="n">
        <f aca="false">IF(D625="","",$B$12)</f>
        <v>0.35</v>
      </c>
      <c r="K625" s="16" t="n">
        <f aca="false">IF(J625="","",J625*$B$15)</f>
        <v>0.9072</v>
      </c>
      <c r="L625" s="16" t="n">
        <f aca="false">IF(D625="","",H625+E625-K625-G625*I625)</f>
        <v>9.6406353298329</v>
      </c>
      <c r="M625" s="16" t="n">
        <f aca="false" t="array" ref="M625: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>3.10758360166222</v>
      </c>
      <c r="N625" s="16" t="n">
        <f aca="false">IF(D625="","",(I625+M625)/2)</f>
        <v>3.16127570445301</v>
      </c>
      <c r="O625" s="16" t="n">
        <f aca="false">IF(D625="","",G625*N625)</f>
        <v>0.39294657006351</v>
      </c>
      <c r="P625" s="16" t="n">
        <f aca="false">IF(D625="","",H625+E625-K625-O625)</f>
        <v>9.64730925820979</v>
      </c>
      <c r="Q625" s="16" t="n">
        <f aca="false">IF(D625="","",IF(P625&gt;=0,K625,MAX(0,K625+P625)))</f>
        <v>0.9072</v>
      </c>
      <c r="R625" s="16" t="n">
        <f aca="false">IF(D625="","",Q625/$B$15)</f>
        <v>0.35</v>
      </c>
      <c r="S625" s="16" t="n">
        <f aca="false">IF(D625="","",MAX(0,J625-R625))</f>
        <v>0</v>
      </c>
      <c r="T625" s="16" t="n">
        <f aca="false">IF(D625="","",MAX(0,Z625-$B$8))</f>
        <v>0</v>
      </c>
      <c r="U625" s="16" t="n">
        <f aca="false">IF(D625="","",MAX(0,MIN($B$8,Z625)))</f>
        <v>9.64730925820979</v>
      </c>
      <c r="V625" s="16" t="str">
        <f aca="false">IF(D625="","",IF(S625&gt;0.0000001,"Sim","Não"))</f>
        <v>Não</v>
      </c>
      <c r="W625" s="16" t="n">
        <f aca="false">IF(D625="","",U625-(H625+E625-Q625-O625-T625))</f>
        <v>0</v>
      </c>
      <c r="X625" s="16" t="n">
        <f aca="false">IF(W625="","",ABS(W625))</f>
        <v>0</v>
      </c>
      <c r="Y625" s="16" t="n">
        <f aca="false">IF(U625="","",IF($B$8=0,0,U625/$B$8*100))</f>
        <v>20.4305575142096</v>
      </c>
      <c r="Z625" s="18" t="n">
        <f aca="false">IF(D625="","",MAX(0,IF(P625&gt;=0,P625,IF(K625+P625&gt;=0,0,P625+K625))))</f>
        <v>9.64730925820979</v>
      </c>
      <c r="AA625" s="18" t="n">
        <f aca="false">IF(D625="","",IF(H625&lt;=$B$16,1,IF(H625&gt;=$B$17,$B$21,MATCH(H625,Aux_CAV!$A$2:$A$121,1))))</f>
        <v>10</v>
      </c>
      <c r="AB625" s="18" t="n">
        <f aca="false">IF(D625="","",IF(L625&lt;=$B$16,1,IF(L625&gt;=$B$17,$B$21,MATCH(L625,Aux_CAV!$A$2:$A$121,1))))</f>
        <v>10</v>
      </c>
      <c r="AC625" s="19" t="n">
        <f aca="false">IF(D625="","",COUNT($D$24:D625))</f>
        <v>590</v>
      </c>
    </row>
    <row r="626" customFormat="false" ht="12.75" hidden="false" customHeight="true" outlineLevel="0" collapsed="false">
      <c r="A626" s="14" t="n">
        <f aca="false">IF(D626="","",DATE(B626,C626,1))</f>
        <v>21976</v>
      </c>
      <c r="B626" s="15" t="n">
        <f aca="false" t="array" ref="B626:B626">IF(D626="","",IFERROR(VALUE(INDEX(Vazoes_COLAR!$A$2:$A$200,INT((ROW()-24)/12)+1)),""))</f>
        <v>1960</v>
      </c>
      <c r="C626" s="15" t="n">
        <f aca="false">IF(D626="","",MOD(ROW()-24,12)+1)</f>
        <v>3</v>
      </c>
      <c r="D626" s="16" t="n">
        <f aca="false" t="array" ref="D626: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0.578564085235382</v>
      </c>
      <c r="E626" s="16" t="n">
        <f aca="false">IF(D626="","",D626*$B$15)</f>
        <v>1.49963810893011</v>
      </c>
      <c r="F626" s="16" t="n">
        <f aca="false" t="array" ref="F626:F626">IF(D626="","",IFERROR(INDEX(Dados_Evap!$C$2:$N$15,MATCH($B$9,Dados_Evap!$A$2:$A$15,0),C626),0))</f>
        <v>107.7</v>
      </c>
      <c r="G626" s="16" t="n">
        <f aca="false">IF(F626="","",F626/1000)</f>
        <v>0.1077</v>
      </c>
      <c r="H626" s="16" t="n">
        <f aca="false">IF(D626="","",MAX(0,MIN($B$8,IFERROR(LOOKUP(2,1/($U$24:U625&lt;&gt;""),$U$24:U625),$B$11))))</f>
        <v>9.64730925820979</v>
      </c>
      <c r="I626" s="16" t="n">
        <f aca="false" t="array" ref="I626: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>3.10815284849436</v>
      </c>
      <c r="J626" s="16" t="n">
        <f aca="false">IF(D626="","",$B$12)</f>
        <v>0.35</v>
      </c>
      <c r="K626" s="16" t="n">
        <f aca="false">IF(J626="","",J626*$B$15)</f>
        <v>0.9072</v>
      </c>
      <c r="L626" s="16" t="n">
        <f aca="false">IF(D626="","",H626+E626-K626-G626*I626)</f>
        <v>9.90499930535706</v>
      </c>
      <c r="M626" s="16" t="n">
        <f aca="false" t="array" ref="M626: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>3.13013229369222</v>
      </c>
      <c r="N626" s="16" t="n">
        <f aca="false">IF(D626="","",(I626+M626)/2)</f>
        <v>3.11914257109329</v>
      </c>
      <c r="O626" s="16" t="n">
        <f aca="false">IF(D626="","",G626*N626)</f>
        <v>0.335931654906748</v>
      </c>
      <c r="P626" s="16" t="n">
        <f aca="false">IF(D626="","",H626+E626-K626-O626)</f>
        <v>9.90381571223315</v>
      </c>
      <c r="Q626" s="16" t="n">
        <f aca="false">IF(D626="","",IF(P626&gt;=0,K626,MAX(0,K626+P626)))</f>
        <v>0.9072</v>
      </c>
      <c r="R626" s="16" t="n">
        <f aca="false">IF(D626="","",Q626/$B$15)</f>
        <v>0.35</v>
      </c>
      <c r="S626" s="16" t="n">
        <f aca="false">IF(D626="","",MAX(0,J626-R626))</f>
        <v>0</v>
      </c>
      <c r="T626" s="16" t="n">
        <f aca="false">IF(D626="","",MAX(0,Z626-$B$8))</f>
        <v>0</v>
      </c>
      <c r="U626" s="16" t="n">
        <f aca="false">IF(D626="","",MAX(0,MIN($B$8,Z626)))</f>
        <v>9.90381571223315</v>
      </c>
      <c r="V626" s="16" t="str">
        <f aca="false">IF(D626="","",IF(S626&gt;0.0000001,"Sim","Não"))</f>
        <v>Não</v>
      </c>
      <c r="W626" s="16" t="n">
        <f aca="false">IF(D626="","",U626-(H626+E626-Q626-O626-T626))</f>
        <v>0</v>
      </c>
      <c r="X626" s="16" t="n">
        <f aca="false">IF(W626="","",ABS(W626))</f>
        <v>0</v>
      </c>
      <c r="Y626" s="16" t="n">
        <f aca="false">IF(U626="","",IF($B$8=0,0,U626/$B$8*100))</f>
        <v>20.9737732152333</v>
      </c>
      <c r="Z626" s="18" t="n">
        <f aca="false">IF(D626="","",MAX(0,IF(P626&gt;=0,P626,IF(K626+P626&gt;=0,0,P626+K626))))</f>
        <v>9.90381571223315</v>
      </c>
      <c r="AA626" s="18" t="n">
        <f aca="false">IF(D626="","",IF(H626&lt;=$B$16,1,IF(H626&gt;=$B$17,$B$21,MATCH(H626,Aux_CAV!$A$2:$A$121,1))))</f>
        <v>10</v>
      </c>
      <c r="AB626" s="18" t="n">
        <f aca="false">IF(D626="","",IF(L626&lt;=$B$16,1,IF(L626&gt;=$B$17,$B$21,MATCH(L626,Aux_CAV!$A$2:$A$121,1))))</f>
        <v>10</v>
      </c>
      <c r="AC626" s="19" t="n">
        <f aca="false">IF(D626="","",COUNT($D$24:D626))</f>
        <v>591</v>
      </c>
    </row>
    <row r="627" customFormat="false" ht="12.75" hidden="false" customHeight="true" outlineLevel="0" collapsed="false">
      <c r="A627" s="14" t="n">
        <f aca="false">IF(D627="","",DATE(B627,C627,1))</f>
        <v>22007</v>
      </c>
      <c r="B627" s="15" t="n">
        <f aca="false" t="array" ref="B627:B627">IF(D627="","",IFERROR(VALUE(INDEX(Vazoes_COLAR!$A$2:$A$200,INT((ROW()-24)/12)+1)),""))</f>
        <v>1960</v>
      </c>
      <c r="C627" s="15" t="n">
        <f aca="false">IF(D627="","",MOD(ROW()-24,12)+1)</f>
        <v>4</v>
      </c>
      <c r="D627" s="16" t="n">
        <f aca="false" t="array" ref="D627: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0.327271024680241</v>
      </c>
      <c r="E627" s="16" t="n">
        <f aca="false">IF(D627="","",D627*$B$15)</f>
        <v>0.848286495971185</v>
      </c>
      <c r="F627" s="16" t="n">
        <f aca="false" t="array" ref="F627:F627">IF(D627="","",IFERROR(INDEX(Dados_Evap!$C$2:$N$15,MATCH($B$9,Dados_Evap!$A$2:$A$15,0),C627),0))</f>
        <v>100.5</v>
      </c>
      <c r="G627" s="16" t="n">
        <f aca="false">IF(F627="","",F627/1000)</f>
        <v>0.1005</v>
      </c>
      <c r="H627" s="16" t="n">
        <f aca="false">IF(D627="","",MAX(0,MIN($B$8,IFERROR(LOOKUP(2,1/($U$24:U626&lt;&gt;""),$U$24:U626),$B$11))))</f>
        <v>9.90381571223315</v>
      </c>
      <c r="I627" s="16" t="n">
        <f aca="false" t="array" ref="I627: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>3.13003134016106</v>
      </c>
      <c r="J627" s="16" t="n">
        <f aca="false">IF(D627="","",$B$12)</f>
        <v>0.35</v>
      </c>
      <c r="K627" s="16" t="n">
        <f aca="false">IF(J627="","",J627*$B$15)</f>
        <v>0.9072</v>
      </c>
      <c r="L627" s="16" t="n">
        <f aca="false">IF(D627="","",H627+E627-K627-G627*I627)</f>
        <v>9.53033405851815</v>
      </c>
      <c r="M627" s="16" t="n">
        <f aca="false" t="array" ref="M627: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>3.09817555205008</v>
      </c>
      <c r="N627" s="16" t="n">
        <f aca="false">IF(D627="","",(I627+M627)/2)</f>
        <v>3.11410344610557</v>
      </c>
      <c r="O627" s="16" t="n">
        <f aca="false">IF(D627="","",G627*N627)</f>
        <v>0.31296739633361</v>
      </c>
      <c r="P627" s="16" t="n">
        <f aca="false">IF(D627="","",H627+E627-K627-O627)</f>
        <v>9.53193481187073</v>
      </c>
      <c r="Q627" s="16" t="n">
        <f aca="false">IF(D627="","",IF(P627&gt;=0,K627,MAX(0,K627+P627)))</f>
        <v>0.9072</v>
      </c>
      <c r="R627" s="16" t="n">
        <f aca="false">IF(D627="","",Q627/$B$15)</f>
        <v>0.35</v>
      </c>
      <c r="S627" s="16" t="n">
        <f aca="false">IF(D627="","",MAX(0,J627-R627))</f>
        <v>0</v>
      </c>
      <c r="T627" s="16" t="n">
        <f aca="false">IF(D627="","",MAX(0,Z627-$B$8))</f>
        <v>0</v>
      </c>
      <c r="U627" s="16" t="n">
        <f aca="false">IF(D627="","",MAX(0,MIN($B$8,Z627)))</f>
        <v>9.53193481187073</v>
      </c>
      <c r="V627" s="16" t="str">
        <f aca="false">IF(D627="","",IF(S627&gt;0.0000001,"Sim","Não"))</f>
        <v>Não</v>
      </c>
      <c r="W627" s="16" t="n">
        <f aca="false">IF(D627="","",U627-(H627+E627-Q627-O627-T627))</f>
        <v>0</v>
      </c>
      <c r="X627" s="16" t="n">
        <f aca="false">IF(W627="","",ABS(W627))</f>
        <v>0</v>
      </c>
      <c r="Y627" s="16" t="n">
        <f aca="false">IF(U627="","",IF($B$8=0,0,U627/$B$8*100))</f>
        <v>20.1862236591926</v>
      </c>
      <c r="Z627" s="18" t="n">
        <f aca="false">IF(D627="","",MAX(0,IF(P627&gt;=0,P627,IF(K627+P627&gt;=0,0,P627+K627))))</f>
        <v>9.53193481187073</v>
      </c>
      <c r="AA627" s="18" t="n">
        <f aca="false">IF(D627="","",IF(H627&lt;=$B$16,1,IF(H627&gt;=$B$17,$B$21,MATCH(H627,Aux_CAV!$A$2:$A$121,1))))</f>
        <v>10</v>
      </c>
      <c r="AB627" s="18" t="n">
        <f aca="false">IF(D627="","",IF(L627&lt;=$B$16,1,IF(L627&gt;=$B$17,$B$21,MATCH(L627,Aux_CAV!$A$2:$A$121,1))))</f>
        <v>10</v>
      </c>
      <c r="AC627" s="19" t="n">
        <f aca="false">IF(D627="","",COUNT($D$24:D627))</f>
        <v>592</v>
      </c>
    </row>
    <row r="628" customFormat="false" ht="12.75" hidden="false" customHeight="true" outlineLevel="0" collapsed="false">
      <c r="A628" s="14" t="n">
        <f aca="false">IF(D628="","",DATE(B628,C628,1))</f>
        <v>22037</v>
      </c>
      <c r="B628" s="15" t="n">
        <f aca="false" t="array" ref="B628:B628">IF(D628="","",IFERROR(VALUE(INDEX(Vazoes_COLAR!$A$2:$A$200,INT((ROW()-24)/12)+1)),""))</f>
        <v>1960</v>
      </c>
      <c r="C628" s="15" t="n">
        <f aca="false">IF(D628="","",MOD(ROW()-24,12)+1)</f>
        <v>5</v>
      </c>
      <c r="D628" s="16" t="n">
        <f aca="false" t="array" ref="D628: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0.139784058204797</v>
      </c>
      <c r="E628" s="16" t="n">
        <f aca="false">IF(D628="","",D628*$B$15)</f>
        <v>0.362320278866834</v>
      </c>
      <c r="F628" s="16" t="n">
        <f aca="false" t="array" ref="F628:F628">IF(D628="","",IFERROR(INDEX(Dados_Evap!$C$2:$N$15,MATCH($B$9,Dados_Evap!$A$2:$A$15,0),C628),0))</f>
        <v>145.8</v>
      </c>
      <c r="G628" s="16" t="n">
        <f aca="false">IF(F628="","",F628/1000)</f>
        <v>0.1458</v>
      </c>
      <c r="H628" s="16" t="n">
        <f aca="false">IF(D628="","",MAX(0,MIN($B$8,IFERROR(LOOKUP(2,1/($U$24:U627&lt;&gt;""),$U$24:U627),$B$11))))</f>
        <v>9.53193481187073</v>
      </c>
      <c r="I628" s="16" t="n">
        <f aca="false" t="array" ref="I628: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>3.09831208689486</v>
      </c>
      <c r="J628" s="16" t="n">
        <f aca="false">IF(D628="","",$B$12)</f>
        <v>0.35</v>
      </c>
      <c r="K628" s="16" t="n">
        <f aca="false">IF(J628="","",J628*$B$15)</f>
        <v>0.9072</v>
      </c>
      <c r="L628" s="16" t="n">
        <f aca="false">IF(D628="","",H628+E628-K628-G628*I628)</f>
        <v>8.53532118846829</v>
      </c>
      <c r="M628" s="16" t="n">
        <f aca="false" t="array" ref="M628: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>2.86776793606589</v>
      </c>
      <c r="N628" s="16" t="n">
        <f aca="false">IF(D628="","",(I628+M628)/2)</f>
        <v>2.98304001148037</v>
      </c>
      <c r="O628" s="16" t="n">
        <f aca="false">IF(D628="","",G628*N628)</f>
        <v>0.434927233673838</v>
      </c>
      <c r="P628" s="16" t="n">
        <f aca="false">IF(D628="","",H628+E628-K628-O628)</f>
        <v>8.55212785706373</v>
      </c>
      <c r="Q628" s="16" t="n">
        <f aca="false">IF(D628="","",IF(P628&gt;=0,K628,MAX(0,K628+P628)))</f>
        <v>0.9072</v>
      </c>
      <c r="R628" s="16" t="n">
        <f aca="false">IF(D628="","",Q628/$B$15)</f>
        <v>0.35</v>
      </c>
      <c r="S628" s="16" t="n">
        <f aca="false">IF(D628="","",MAX(0,J628-R628))</f>
        <v>0</v>
      </c>
      <c r="T628" s="16" t="n">
        <f aca="false">IF(D628="","",MAX(0,Z628-$B$8))</f>
        <v>0</v>
      </c>
      <c r="U628" s="16" t="n">
        <f aca="false">IF(D628="","",MAX(0,MIN($B$8,Z628)))</f>
        <v>8.55212785706373</v>
      </c>
      <c r="V628" s="16" t="str">
        <f aca="false">IF(D628="","",IF(S628&gt;0.0000001,"Sim","Não"))</f>
        <v>Não</v>
      </c>
      <c r="W628" s="16" t="n">
        <f aca="false">IF(D628="","",U628-(H628+E628-Q628-O628-T628))</f>
        <v>0</v>
      </c>
      <c r="X628" s="16" t="n">
        <f aca="false">IF(W628="","",ABS(W628))</f>
        <v>0</v>
      </c>
      <c r="Y628" s="16" t="n">
        <f aca="false">IF(U628="","",IF($B$8=0,0,U628/$B$8*100))</f>
        <v>18.1112406968736</v>
      </c>
      <c r="Z628" s="18" t="n">
        <f aca="false">IF(D628="","",MAX(0,IF(P628&gt;=0,P628,IF(K628+P628&gt;=0,0,P628+K628))))</f>
        <v>8.55212785706373</v>
      </c>
      <c r="AA628" s="18" t="n">
        <f aca="false">IF(D628="","",IF(H628&lt;=$B$16,1,IF(H628&gt;=$B$17,$B$21,MATCH(H628,Aux_CAV!$A$2:$A$121,1))))</f>
        <v>10</v>
      </c>
      <c r="AB628" s="18" t="n">
        <f aca="false">IF(D628="","",IF(L628&lt;=$B$16,1,IF(L628&gt;=$B$17,$B$21,MATCH(L628,Aux_CAV!$A$2:$A$121,1))))</f>
        <v>9</v>
      </c>
      <c r="AC628" s="19" t="n">
        <f aca="false">IF(D628="","",COUNT($D$24:D628))</f>
        <v>593</v>
      </c>
    </row>
    <row r="629" customFormat="false" ht="12.75" hidden="false" customHeight="true" outlineLevel="0" collapsed="false">
      <c r="A629" s="14" t="n">
        <f aca="false">IF(D629="","",DATE(B629,C629,1))</f>
        <v>22068</v>
      </c>
      <c r="B629" s="15" t="n">
        <f aca="false" t="array" ref="B629:B629">IF(D629="","",IFERROR(VALUE(INDEX(Vazoes_COLAR!$A$2:$A$200,INT((ROW()-24)/12)+1)),""))</f>
        <v>1960</v>
      </c>
      <c r="C629" s="15" t="n">
        <f aca="false">IF(D629="","",MOD(ROW()-24,12)+1)</f>
        <v>6</v>
      </c>
      <c r="D629" s="16" t="n">
        <f aca="false" t="array" ref="D629: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0.0281260553138905</v>
      </c>
      <c r="E629" s="16" t="n">
        <f aca="false">IF(D629="","",D629*$B$15)</f>
        <v>0.0729027353736042</v>
      </c>
      <c r="F629" s="16" t="n">
        <f aca="false" t="array" ref="F629:F629">IF(D629="","",IFERROR(INDEX(Dados_Evap!$C$2:$N$15,MATCH($B$9,Dados_Evap!$A$2:$A$15,0),C629),0))</f>
        <v>161.3</v>
      </c>
      <c r="G629" s="16" t="n">
        <f aca="false">IF(F629="","",F629/1000)</f>
        <v>0.1613</v>
      </c>
      <c r="H629" s="16" t="n">
        <f aca="false">IF(D629="","",MAX(0,MIN($B$8,IFERROR(LOOKUP(2,1/($U$24:U628&lt;&gt;""),$U$24:U628),$B$11))))</f>
        <v>8.55212785706373</v>
      </c>
      <c r="I629" s="16" t="n">
        <f aca="false" t="array" ref="I629: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>2.87288145438322</v>
      </c>
      <c r="J629" s="16" t="n">
        <f aca="false">IF(D629="","",$B$12)</f>
        <v>0.35</v>
      </c>
      <c r="K629" s="16" t="n">
        <f aca="false">IF(J629="","",J629*$B$15)</f>
        <v>0.9072</v>
      </c>
      <c r="L629" s="16" t="n">
        <f aca="false">IF(D629="","",H629+E629-K629-G629*I629)</f>
        <v>7.25443481384532</v>
      </c>
      <c r="M629" s="16" t="n">
        <f aca="false" t="array" ref="M629: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>2.47805144336145</v>
      </c>
      <c r="N629" s="16" t="n">
        <f aca="false">IF(D629="","",(I629+M629)/2)</f>
        <v>2.67546644887233</v>
      </c>
      <c r="O629" s="16" t="n">
        <f aca="false">IF(D629="","",G629*N629)</f>
        <v>0.431552738203107</v>
      </c>
      <c r="P629" s="16" t="n">
        <f aca="false">IF(D629="","",H629+E629-K629-O629)</f>
        <v>7.28627785423422</v>
      </c>
      <c r="Q629" s="16" t="n">
        <f aca="false">IF(D629="","",IF(P629&gt;=0,K629,MAX(0,K629+P629)))</f>
        <v>0.9072</v>
      </c>
      <c r="R629" s="16" t="n">
        <f aca="false">IF(D629="","",Q629/$B$15)</f>
        <v>0.35</v>
      </c>
      <c r="S629" s="16" t="n">
        <f aca="false">IF(D629="","",MAX(0,J629-R629))</f>
        <v>0</v>
      </c>
      <c r="T629" s="16" t="n">
        <f aca="false">IF(D629="","",MAX(0,Z629-$B$8))</f>
        <v>0</v>
      </c>
      <c r="U629" s="16" t="n">
        <f aca="false">IF(D629="","",MAX(0,MIN($B$8,Z629)))</f>
        <v>7.28627785423422</v>
      </c>
      <c r="V629" s="16" t="str">
        <f aca="false">IF(D629="","",IF(S629&gt;0.0000001,"Sim","Não"))</f>
        <v>Não</v>
      </c>
      <c r="W629" s="16" t="n">
        <f aca="false">IF(D629="","",U629-(H629+E629-Q629-O629-T629))</f>
        <v>0</v>
      </c>
      <c r="X629" s="16" t="n">
        <f aca="false">IF(W629="","",ABS(W629))</f>
        <v>0</v>
      </c>
      <c r="Y629" s="16" t="n">
        <f aca="false">IF(U629="","",IF($B$8=0,0,U629/$B$8*100))</f>
        <v>15.4304910085435</v>
      </c>
      <c r="Z629" s="18" t="n">
        <f aca="false">IF(D629="","",MAX(0,IF(P629&gt;=0,P629,IF(K629+P629&gt;=0,0,P629+K629))))</f>
        <v>7.28627785423422</v>
      </c>
      <c r="AA629" s="18" t="n">
        <f aca="false">IF(D629="","",IF(H629&lt;=$B$16,1,IF(H629&gt;=$B$17,$B$21,MATCH(H629,Aux_CAV!$A$2:$A$121,1))))</f>
        <v>9</v>
      </c>
      <c r="AB629" s="18" t="n">
        <f aca="false">IF(D629="","",IF(L629&lt;=$B$16,1,IF(L629&gt;=$B$17,$B$21,MATCH(L629,Aux_CAV!$A$2:$A$121,1))))</f>
        <v>9</v>
      </c>
      <c r="AC629" s="19" t="n">
        <f aca="false">IF(D629="","",COUNT($D$24:D629))</f>
        <v>594</v>
      </c>
    </row>
    <row r="630" customFormat="false" ht="12.75" hidden="false" customHeight="true" outlineLevel="0" collapsed="false">
      <c r="A630" s="14" t="n">
        <f aca="false">IF(D630="","",DATE(B630,C630,1))</f>
        <v>22098</v>
      </c>
      <c r="B630" s="15" t="n">
        <f aca="false" t="array" ref="B630:B630">IF(D630="","",IFERROR(VALUE(INDEX(Vazoes_COLAR!$A$2:$A$200,INT((ROW()-24)/12)+1)),""))</f>
        <v>1960</v>
      </c>
      <c r="C630" s="15" t="n">
        <f aca="false">IF(D630="","",MOD(ROW()-24,12)+1)</f>
        <v>7</v>
      </c>
      <c r="D630" s="16" t="n">
        <f aca="false" t="array" ref="D630: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0.00800464530601224</v>
      </c>
      <c r="E630" s="16" t="n">
        <f aca="false">IF(D630="","",D630*$B$15)</f>
        <v>0.0207480406331837</v>
      </c>
      <c r="F630" s="16" t="n">
        <f aca="false" t="array" ref="F630:F630">IF(D630="","",IFERROR(INDEX(Dados_Evap!$C$2:$N$15,MATCH($B$9,Dados_Evap!$A$2:$A$15,0),C630),0))</f>
        <v>224.8</v>
      </c>
      <c r="G630" s="16" t="n">
        <f aca="false">IF(F630="","",F630/1000)</f>
        <v>0.2248</v>
      </c>
      <c r="H630" s="16" t="n">
        <f aca="false">IF(D630="","",MAX(0,MIN($B$8,IFERROR(LOOKUP(2,1/($U$24:U629&lt;&gt;""),$U$24:U629),$B$11))))</f>
        <v>7.28627785423422</v>
      </c>
      <c r="I630" s="16" t="n">
        <f aca="false" t="array" ref="I630: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>2.48773985777765</v>
      </c>
      <c r="J630" s="16" t="n">
        <f aca="false">IF(D630="","",$B$12)</f>
        <v>0.35</v>
      </c>
      <c r="K630" s="16" t="n">
        <f aca="false">IF(J630="","",J630*$B$15)</f>
        <v>0.9072</v>
      </c>
      <c r="L630" s="16" t="n">
        <f aca="false">IF(D630="","",H630+E630-K630-G630*I630)</f>
        <v>5.84058197483899</v>
      </c>
      <c r="M630" s="16" t="n">
        <f aca="false" t="array" ref="M630: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>2.04787919659995</v>
      </c>
      <c r="N630" s="16" t="n">
        <f aca="false">IF(D630="","",(I630+M630)/2)</f>
        <v>2.2678095271888</v>
      </c>
      <c r="O630" s="16" t="n">
        <f aca="false">IF(D630="","",G630*N630)</f>
        <v>0.509803581712042</v>
      </c>
      <c r="P630" s="16" t="n">
        <f aca="false">IF(D630="","",H630+E630-K630-O630)</f>
        <v>5.89002231315537</v>
      </c>
      <c r="Q630" s="16" t="n">
        <f aca="false">IF(D630="","",IF(P630&gt;=0,K630,MAX(0,K630+P630)))</f>
        <v>0.9072</v>
      </c>
      <c r="R630" s="16" t="n">
        <f aca="false">IF(D630="","",Q630/$B$15)</f>
        <v>0.35</v>
      </c>
      <c r="S630" s="16" t="n">
        <f aca="false">IF(D630="","",MAX(0,J630-R630))</f>
        <v>0</v>
      </c>
      <c r="T630" s="16" t="n">
        <f aca="false">IF(D630="","",MAX(0,Z630-$B$8))</f>
        <v>0</v>
      </c>
      <c r="U630" s="16" t="n">
        <f aca="false">IF(D630="","",MAX(0,MIN($B$8,Z630)))</f>
        <v>5.89002231315537</v>
      </c>
      <c r="V630" s="16" t="str">
        <f aca="false">IF(D630="","",IF(S630&gt;0.0000001,"Sim","Não"))</f>
        <v>Não</v>
      </c>
      <c r="W630" s="16" t="n">
        <f aca="false">IF(D630="","",U630-(H630+E630-Q630-O630-T630))</f>
        <v>0</v>
      </c>
      <c r="X630" s="16" t="n">
        <f aca="false">IF(W630="","",ABS(W630))</f>
        <v>0</v>
      </c>
      <c r="Y630" s="16" t="n">
        <f aca="false">IF(U630="","",IF($B$8=0,0,U630/$B$8*100))</f>
        <v>12.4735754196429</v>
      </c>
      <c r="Z630" s="18" t="n">
        <f aca="false">IF(D630="","",MAX(0,IF(P630&gt;=0,P630,IF(K630+P630&gt;=0,0,P630+K630))))</f>
        <v>5.89002231315537</v>
      </c>
      <c r="AA630" s="18" t="n">
        <f aca="false">IF(D630="","",IF(H630&lt;=$B$16,1,IF(H630&gt;=$B$17,$B$21,MATCH(H630,Aux_CAV!$A$2:$A$121,1))))</f>
        <v>9</v>
      </c>
      <c r="AB630" s="18" t="n">
        <f aca="false">IF(D630="","",IF(L630&lt;=$B$16,1,IF(L630&gt;=$B$17,$B$21,MATCH(L630,Aux_CAV!$A$2:$A$121,1))))</f>
        <v>9</v>
      </c>
      <c r="AC630" s="19" t="n">
        <f aca="false">IF(D630="","",COUNT($D$24:D630))</f>
        <v>595</v>
      </c>
    </row>
    <row r="631" customFormat="false" ht="12.75" hidden="false" customHeight="true" outlineLevel="0" collapsed="false">
      <c r="A631" s="14" t="n">
        <f aca="false">IF(D631="","",DATE(B631,C631,1))</f>
        <v>22129</v>
      </c>
      <c r="B631" s="15" t="n">
        <f aca="false" t="array" ref="B631:B631">IF(D631="","",IFERROR(VALUE(INDEX(Vazoes_COLAR!$A$2:$A$200,INT((ROW()-24)/12)+1)),""))</f>
        <v>1960</v>
      </c>
      <c r="C631" s="15" t="n">
        <f aca="false">IF(D631="","",MOD(ROW()-24,12)+1)</f>
        <v>8</v>
      </c>
      <c r="D631" s="16" t="n">
        <f aca="false" t="array" ref="D631: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0.00460389993329478</v>
      </c>
      <c r="E631" s="16" t="n">
        <f aca="false">IF(D631="","",D631*$B$15)</f>
        <v>0.0119333086271001</v>
      </c>
      <c r="F631" s="16" t="n">
        <f aca="false" t="array" ref="F631:F631">IF(D631="","",IFERROR(INDEX(Dados_Evap!$C$2:$N$15,MATCH($B$9,Dados_Evap!$A$2:$A$15,0),C631),0))</f>
        <v>268.7</v>
      </c>
      <c r="G631" s="16" t="n">
        <f aca="false">IF(F631="","",F631/1000)</f>
        <v>0.2687</v>
      </c>
      <c r="H631" s="16" t="n">
        <f aca="false">IF(D631="","",MAX(0,MIN($B$8,IFERROR(LOOKUP(2,1/($U$24:U630&lt;&gt;""),$U$24:U630),$B$11))))</f>
        <v>5.89002231315537</v>
      </c>
      <c r="I631" s="16" t="n">
        <f aca="false" t="array" ref="I631: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>2.06292168251323</v>
      </c>
      <c r="J631" s="16" t="n">
        <f aca="false">IF(D631="","",$B$12)</f>
        <v>0.35</v>
      </c>
      <c r="K631" s="16" t="n">
        <f aca="false">IF(J631="","",J631*$B$15)</f>
        <v>0.9072</v>
      </c>
      <c r="L631" s="16" t="n">
        <f aca="false">IF(D631="","",H631+E631-K631-G631*I631)</f>
        <v>4.44044856569116</v>
      </c>
      <c r="M631" s="16" t="n">
        <f aca="false" t="array" ref="M631: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>1.623802009868</v>
      </c>
      <c r="N631" s="16" t="n">
        <f aca="false">IF(D631="","",(I631+M631)/2)</f>
        <v>1.84336184619061</v>
      </c>
      <c r="O631" s="16" t="n">
        <f aca="false">IF(D631="","",G631*N631)</f>
        <v>0.495311328071417</v>
      </c>
      <c r="P631" s="16" t="n">
        <f aca="false">IF(D631="","",H631+E631-K631-O631)</f>
        <v>4.49944429371105</v>
      </c>
      <c r="Q631" s="16" t="n">
        <f aca="false">IF(D631="","",IF(P631&gt;=0,K631,MAX(0,K631+P631)))</f>
        <v>0.9072</v>
      </c>
      <c r="R631" s="16" t="n">
        <f aca="false">IF(D631="","",Q631/$B$15)</f>
        <v>0.35</v>
      </c>
      <c r="S631" s="16" t="n">
        <f aca="false">IF(D631="","",MAX(0,J631-R631))</f>
        <v>0</v>
      </c>
      <c r="T631" s="16" t="n">
        <f aca="false">IF(D631="","",MAX(0,Z631-$B$8))</f>
        <v>0</v>
      </c>
      <c r="U631" s="16" t="n">
        <f aca="false">IF(D631="","",MAX(0,MIN($B$8,Z631)))</f>
        <v>4.49944429371105</v>
      </c>
      <c r="V631" s="16" t="str">
        <f aca="false">IF(D631="","",IF(S631&gt;0.0000001,"Sim","Não"))</f>
        <v>Não</v>
      </c>
      <c r="W631" s="16" t="n">
        <f aca="false">IF(D631="","",U631-(H631+E631-Q631-O631-T631))</f>
        <v>0</v>
      </c>
      <c r="X631" s="16" t="n">
        <f aca="false">IF(W631="","",ABS(W631))</f>
        <v>0</v>
      </c>
      <c r="Y631" s="16" t="n">
        <f aca="false">IF(U631="","",IF($B$8=0,0,U631/$B$8*100))</f>
        <v>9.52868338354733</v>
      </c>
      <c r="Z631" s="18" t="n">
        <f aca="false">IF(D631="","",MAX(0,IF(P631&gt;=0,P631,IF(K631+P631&gt;=0,0,P631+K631))))</f>
        <v>4.49944429371105</v>
      </c>
      <c r="AA631" s="18" t="n">
        <f aca="false">IF(D631="","",IF(H631&lt;=$B$16,1,IF(H631&gt;=$B$17,$B$21,MATCH(H631,Aux_CAV!$A$2:$A$121,1))))</f>
        <v>9</v>
      </c>
      <c r="AB631" s="18" t="n">
        <f aca="false">IF(D631="","",IF(L631&lt;=$B$16,1,IF(L631&gt;=$B$17,$B$21,MATCH(L631,Aux_CAV!$A$2:$A$121,1))))</f>
        <v>8</v>
      </c>
      <c r="AC631" s="19" t="n">
        <f aca="false">IF(D631="","",COUNT($D$24:D631))</f>
        <v>596</v>
      </c>
    </row>
    <row r="632" customFormat="false" ht="12.75" hidden="false" customHeight="true" outlineLevel="0" collapsed="false">
      <c r="A632" s="14" t="n">
        <f aca="false">IF(D632="","",DATE(B632,C632,1))</f>
        <v>22160</v>
      </c>
      <c r="B632" s="15" t="n">
        <f aca="false" t="array" ref="B632:B632">IF(D632="","",IFERROR(VALUE(INDEX(Vazoes_COLAR!$A$2:$A$200,INT((ROW()-24)/12)+1)),""))</f>
        <v>1960</v>
      </c>
      <c r="C632" s="15" t="n">
        <f aca="false">IF(D632="","",MOD(ROW()-24,12)+1)</f>
        <v>9</v>
      </c>
      <c r="D632" s="16" t="n">
        <f aca="false" t="array" ref="D632: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0.00340154455766901</v>
      </c>
      <c r="E632" s="16" t="n">
        <f aca="false">IF(D632="","",D632*$B$15)</f>
        <v>0.00881680349347807</v>
      </c>
      <c r="F632" s="16" t="n">
        <f aca="false" t="array" ref="F632:F632">IF(D632="","",IFERROR(INDEX(Dados_Evap!$C$2:$N$15,MATCH($B$9,Dados_Evap!$A$2:$A$15,0),C632),0))</f>
        <v>292.8</v>
      </c>
      <c r="G632" s="16" t="n">
        <f aca="false">IF(F632="","",F632/1000)</f>
        <v>0.2928</v>
      </c>
      <c r="H632" s="16" t="n">
        <f aca="false">IF(D632="","",MAX(0,MIN($B$8,IFERROR(LOOKUP(2,1/($U$24:U631&lt;&gt;""),$U$24:U631),$B$11))))</f>
        <v>4.49944429371105</v>
      </c>
      <c r="I632" s="16" t="n">
        <f aca="false" t="array" ref="I632: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>1.6398488478894</v>
      </c>
      <c r="J632" s="16" t="n">
        <f aca="false">IF(D632="","",$B$12)</f>
        <v>0.35</v>
      </c>
      <c r="K632" s="16" t="n">
        <f aca="false">IF(J632="","",J632*$B$15)</f>
        <v>0.9072</v>
      </c>
      <c r="L632" s="16" t="n">
        <f aca="false">IF(D632="","",H632+E632-K632-G632*I632)</f>
        <v>3.12091335454251</v>
      </c>
      <c r="M632" s="16" t="n">
        <f aca="false" t="array" ref="M632: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>1.26488843243556</v>
      </c>
      <c r="N632" s="16" t="n">
        <f aca="false">IF(D632="","",(I632+M632)/2)</f>
        <v>1.45236864016248</v>
      </c>
      <c r="O632" s="16" t="n">
        <f aca="false">IF(D632="","",G632*N632)</f>
        <v>0.425253537839575</v>
      </c>
      <c r="P632" s="16" t="n">
        <f aca="false">IF(D632="","",H632+E632-K632-O632)</f>
        <v>3.17580755936495</v>
      </c>
      <c r="Q632" s="16" t="n">
        <f aca="false">IF(D632="","",IF(P632&gt;=0,K632,MAX(0,K632+P632)))</f>
        <v>0.9072</v>
      </c>
      <c r="R632" s="16" t="n">
        <f aca="false">IF(D632="","",Q632/$B$15)</f>
        <v>0.35</v>
      </c>
      <c r="S632" s="16" t="n">
        <f aca="false">IF(D632="","",MAX(0,J632-R632))</f>
        <v>0</v>
      </c>
      <c r="T632" s="16" t="n">
        <f aca="false">IF(D632="","",MAX(0,Z632-$B$8))</f>
        <v>0</v>
      </c>
      <c r="U632" s="16" t="n">
        <f aca="false">IF(D632="","",MAX(0,MIN($B$8,Z632)))</f>
        <v>3.17580755936495</v>
      </c>
      <c r="V632" s="16" t="str">
        <f aca="false">IF(D632="","",IF(S632&gt;0.0000001,"Sim","Não"))</f>
        <v>Não</v>
      </c>
      <c r="W632" s="16" t="n">
        <f aca="false">IF(D632="","",U632-(H632+E632-Q632-O632-T632))</f>
        <v>0</v>
      </c>
      <c r="X632" s="16" t="n">
        <f aca="false">IF(W632="","",ABS(W632))</f>
        <v>0</v>
      </c>
      <c r="Y632" s="16" t="n">
        <f aca="false">IF(U632="","",IF($B$8=0,0,U632/$B$8*100))</f>
        <v>6.72555603423327</v>
      </c>
      <c r="Z632" s="18" t="n">
        <f aca="false">IF(D632="","",MAX(0,IF(P632&gt;=0,P632,IF(K632+P632&gt;=0,0,P632+K632))))</f>
        <v>3.17580755936495</v>
      </c>
      <c r="AA632" s="18" t="n">
        <f aca="false">IF(D632="","",IF(H632&lt;=$B$16,1,IF(H632&gt;=$B$17,$B$21,MATCH(H632,Aux_CAV!$A$2:$A$121,1))))</f>
        <v>8</v>
      </c>
      <c r="AB632" s="18" t="n">
        <f aca="false">IF(D632="","",IF(L632&lt;=$B$16,1,IF(L632&gt;=$B$17,$B$21,MATCH(L632,Aux_CAV!$A$2:$A$121,1))))</f>
        <v>8</v>
      </c>
      <c r="AC632" s="19" t="n">
        <f aca="false">IF(D632="","",COUNT($D$24:D632))</f>
        <v>597</v>
      </c>
    </row>
    <row r="633" customFormat="false" ht="12.75" hidden="false" customHeight="true" outlineLevel="0" collapsed="false">
      <c r="A633" s="14" t="n">
        <f aca="false">IF(D633="","",DATE(B633,C633,1))</f>
        <v>22190</v>
      </c>
      <c r="B633" s="15" t="n">
        <f aca="false" t="array" ref="B633:B633">IF(D633="","",IFERROR(VALUE(INDEX(Vazoes_COLAR!$A$2:$A$200,INT((ROW()-24)/12)+1)),""))</f>
        <v>1960</v>
      </c>
      <c r="C633" s="15" t="n">
        <f aca="false">IF(D633="","",MOD(ROW()-24,12)+1)</f>
        <v>10</v>
      </c>
      <c r="D633" s="16" t="n">
        <f aca="false" t="array" ref="D633: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0.00406675755189699</v>
      </c>
      <c r="E633" s="16" t="n">
        <f aca="false">IF(D633="","",D633*$B$15)</f>
        <v>0.010541035574517</v>
      </c>
      <c r="F633" s="16" t="n">
        <f aca="false" t="array" ref="F633:F633">IF(D633="","",IFERROR(INDEX(Dados_Evap!$C$2:$N$15,MATCH($B$9,Dados_Evap!$A$2:$A$15,0),C633),0))</f>
        <v>262.9</v>
      </c>
      <c r="G633" s="16" t="n">
        <f aca="false">IF(F633="","",F633/1000)</f>
        <v>0.2629</v>
      </c>
      <c r="H633" s="16" t="n">
        <f aca="false">IF(D633="","",MAX(0,MIN($B$8,IFERROR(LOOKUP(2,1/($U$24:U632&lt;&gt;""),$U$24:U632),$B$11))))</f>
        <v>3.17580755936495</v>
      </c>
      <c r="I633" s="16" t="n">
        <f aca="false" t="array" ref="I633: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>1.27981965614727</v>
      </c>
      <c r="J633" s="16" t="n">
        <f aca="false">IF(D633="","",$B$12)</f>
        <v>0.35</v>
      </c>
      <c r="K633" s="16" t="n">
        <f aca="false">IF(J633="","",J633*$B$15)</f>
        <v>0.9072</v>
      </c>
      <c r="L633" s="16" t="n">
        <f aca="false">IF(D633="","",H633+E633-K633-G633*I633)</f>
        <v>1.94268400733835</v>
      </c>
      <c r="M633" s="16" t="n">
        <f aca="false" t="array" ref="M633: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>0.944916844036408</v>
      </c>
      <c r="N633" s="16" t="n">
        <f aca="false">IF(D633="","",(I633+M633)/2)</f>
        <v>1.11236825009184</v>
      </c>
      <c r="O633" s="16" t="n">
        <f aca="false">IF(D633="","",G633*N633)</f>
        <v>0.292441612949144</v>
      </c>
      <c r="P633" s="16" t="n">
        <f aca="false">IF(D633="","",H633+E633-K633-O633)</f>
        <v>1.98670698199032</v>
      </c>
      <c r="Q633" s="16" t="n">
        <f aca="false">IF(D633="","",IF(P633&gt;=0,K633,MAX(0,K633+P633)))</f>
        <v>0.9072</v>
      </c>
      <c r="R633" s="16" t="n">
        <f aca="false">IF(D633="","",Q633/$B$15)</f>
        <v>0.35</v>
      </c>
      <c r="S633" s="16" t="n">
        <f aca="false">IF(D633="","",MAX(0,J633-R633))</f>
        <v>0</v>
      </c>
      <c r="T633" s="16" t="n">
        <f aca="false">IF(D633="","",MAX(0,Z633-$B$8))</f>
        <v>0</v>
      </c>
      <c r="U633" s="16" t="n">
        <f aca="false">IF(D633="","",MAX(0,MIN($B$8,Z633)))</f>
        <v>1.98670698199032</v>
      </c>
      <c r="V633" s="16" t="str">
        <f aca="false">IF(D633="","",IF(S633&gt;0.0000001,"Sim","Não"))</f>
        <v>Não</v>
      </c>
      <c r="W633" s="16" t="n">
        <f aca="false">IF(D633="","",U633-(H633+E633-Q633-O633-T633))</f>
        <v>0</v>
      </c>
      <c r="X633" s="16" t="n">
        <f aca="false">IF(W633="","",ABS(W633))</f>
        <v>0</v>
      </c>
      <c r="Y633" s="16" t="n">
        <f aca="false">IF(U633="","",IF($B$8=0,0,U633/$B$8*100))</f>
        <v>4.20734218972962</v>
      </c>
      <c r="Z633" s="18" t="n">
        <f aca="false">IF(D633="","",MAX(0,IF(P633&gt;=0,P633,IF(K633+P633&gt;=0,0,P633+K633))))</f>
        <v>1.98670698199032</v>
      </c>
      <c r="AA633" s="18" t="n">
        <f aca="false">IF(D633="","",IF(H633&lt;=$B$16,1,IF(H633&gt;=$B$17,$B$21,MATCH(H633,Aux_CAV!$A$2:$A$121,1))))</f>
        <v>8</v>
      </c>
      <c r="AB633" s="18" t="n">
        <f aca="false">IF(D633="","",IF(L633&lt;=$B$16,1,IF(L633&gt;=$B$17,$B$21,MATCH(L633,Aux_CAV!$A$2:$A$121,1))))</f>
        <v>7</v>
      </c>
      <c r="AC633" s="19" t="n">
        <f aca="false">IF(D633="","",COUNT($D$24:D633))</f>
        <v>598</v>
      </c>
    </row>
    <row r="634" customFormat="false" ht="12.75" hidden="false" customHeight="true" outlineLevel="0" collapsed="false">
      <c r="A634" s="14" t="n">
        <f aca="false">IF(D634="","",DATE(B634,C634,1))</f>
        <v>22221</v>
      </c>
      <c r="B634" s="15" t="n">
        <f aca="false" t="array" ref="B634:B634">IF(D634="","",IFERROR(VALUE(INDEX(Vazoes_COLAR!$A$2:$A$200,INT((ROW()-24)/12)+1)),""))</f>
        <v>1960</v>
      </c>
      <c r="C634" s="15" t="n">
        <f aca="false">IF(D634="","",MOD(ROW()-24,12)+1)</f>
        <v>11</v>
      </c>
      <c r="D634" s="16" t="n">
        <f aca="false" t="array" ref="D634: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0.00327969519238245</v>
      </c>
      <c r="E634" s="16" t="n">
        <f aca="false">IF(D634="","",D634*$B$15)</f>
        <v>0.00850096993865531</v>
      </c>
      <c r="F634" s="16" t="n">
        <f aca="false" t="array" ref="F634:F634">IF(D634="","",IFERROR(INDEX(Dados_Evap!$C$2:$N$15,MATCH($B$9,Dados_Evap!$A$2:$A$15,0),C634),0))</f>
        <v>223.7</v>
      </c>
      <c r="G634" s="16" t="n">
        <f aca="false">IF(F634="","",F634/1000)</f>
        <v>0.2237</v>
      </c>
      <c r="H634" s="16" t="n">
        <f aca="false">IF(D634="","",MAX(0,MIN($B$8,IFERROR(LOOKUP(2,1/($U$24:U633&lt;&gt;""),$U$24:U633),$B$11))))</f>
        <v>1.98670698199032</v>
      </c>
      <c r="I634" s="16" t="n">
        <f aca="false" t="array" ref="I634: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>0.956501837365875</v>
      </c>
      <c r="J634" s="16" t="n">
        <f aca="false">IF(D634="","",$B$12)</f>
        <v>0.35</v>
      </c>
      <c r="K634" s="16" t="n">
        <f aca="false">IF(J634="","",J634*$B$15)</f>
        <v>0.9072</v>
      </c>
      <c r="L634" s="16" t="n">
        <f aca="false">IF(D634="","",H634+E634-K634-G634*I634)</f>
        <v>0.874038490910233</v>
      </c>
      <c r="M634" s="16" t="n">
        <f aca="false" t="array" ref="M634: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>0.619683473210562</v>
      </c>
      <c r="N634" s="16" t="n">
        <f aca="false">IF(D634="","",(I634+M634)/2)</f>
        <v>0.788092655288218</v>
      </c>
      <c r="O634" s="16" t="n">
        <f aca="false">IF(D634="","",G634*N634)</f>
        <v>0.176296326987974</v>
      </c>
      <c r="P634" s="16" t="n">
        <f aca="false">IF(D634="","",H634+E634-K634-O634)</f>
        <v>0.911711624941005</v>
      </c>
      <c r="Q634" s="16" t="n">
        <f aca="false">IF(D634="","",IF(P634&gt;=0,K634,MAX(0,K634+P634)))</f>
        <v>0.9072</v>
      </c>
      <c r="R634" s="16" t="n">
        <f aca="false">IF(D634="","",Q634/$B$15)</f>
        <v>0.35</v>
      </c>
      <c r="S634" s="16" t="n">
        <f aca="false">IF(D634="","",MAX(0,J634-R634))</f>
        <v>0</v>
      </c>
      <c r="T634" s="16" t="n">
        <f aca="false">IF(D634="","",MAX(0,Z634-$B$8))</f>
        <v>0</v>
      </c>
      <c r="U634" s="16" t="n">
        <f aca="false">IF(D634="","",MAX(0,MIN($B$8,Z634)))</f>
        <v>0.911711624941005</v>
      </c>
      <c r="V634" s="16" t="str">
        <f aca="false">IF(D634="","",IF(S634&gt;0.0000001,"Sim","Não"))</f>
        <v>Não</v>
      </c>
      <c r="W634" s="16" t="n">
        <f aca="false">IF(D634="","",U634-(H634+E634-Q634-O634-T634))</f>
        <v>0</v>
      </c>
      <c r="X634" s="16" t="n">
        <f aca="false">IF(W634="","",ABS(W634))</f>
        <v>0</v>
      </c>
      <c r="Y634" s="16" t="n">
        <f aca="false">IF(U634="","",IF($B$8=0,0,U634/$B$8*100))</f>
        <v>1.93077430101865</v>
      </c>
      <c r="Z634" s="18" t="n">
        <f aca="false">IF(D634="","",MAX(0,IF(P634&gt;=0,P634,IF(K634+P634&gt;=0,0,P634+K634))))</f>
        <v>0.911711624941005</v>
      </c>
      <c r="AA634" s="18" t="n">
        <f aca="false">IF(D634="","",IF(H634&lt;=$B$16,1,IF(H634&gt;=$B$17,$B$21,MATCH(H634,Aux_CAV!$A$2:$A$121,1))))</f>
        <v>7</v>
      </c>
      <c r="AB634" s="18" t="n">
        <f aca="false">IF(D634="","",IF(L634&lt;=$B$16,1,IF(L634&gt;=$B$17,$B$21,MATCH(L634,Aux_CAV!$A$2:$A$121,1))))</f>
        <v>6</v>
      </c>
      <c r="AC634" s="19" t="n">
        <f aca="false">IF(D634="","",COUNT($D$24:D634))</f>
        <v>599</v>
      </c>
    </row>
    <row r="635" customFormat="false" ht="12.75" hidden="false" customHeight="true" outlineLevel="0" collapsed="false">
      <c r="A635" s="14" t="n">
        <f aca="false">IF(D635="","",DATE(B635,C635,1))</f>
        <v>22251</v>
      </c>
      <c r="B635" s="15" t="n">
        <f aca="false" t="array" ref="B635:B635">IF(D635="","",IFERROR(VALUE(INDEX(Vazoes_COLAR!$A$2:$A$200,INT((ROW()-24)/12)+1)),""))</f>
        <v>1960</v>
      </c>
      <c r="C635" s="15" t="n">
        <f aca="false">IF(D635="","",MOD(ROW()-24,12)+1)</f>
        <v>12</v>
      </c>
      <c r="D635" s="16" t="n">
        <f aca="false" t="array" ref="D635: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0.00655244817909266</v>
      </c>
      <c r="E635" s="16" t="n">
        <f aca="false">IF(D635="","",D635*$B$15)</f>
        <v>0.0169839456802082</v>
      </c>
      <c r="F635" s="16" t="n">
        <f aca="false" t="array" ref="F635:F635">IF(D635="","",IFERROR(INDEX(Dados_Evap!$C$2:$N$15,MATCH($B$9,Dados_Evap!$A$2:$A$15,0),C635),0))</f>
        <v>216.1</v>
      </c>
      <c r="G635" s="16" t="n">
        <f aca="false">IF(F635="","",F635/1000)</f>
        <v>0.2161</v>
      </c>
      <c r="H635" s="16" t="n">
        <f aca="false">IF(D635="","",MAX(0,MIN($B$8,IFERROR(LOOKUP(2,1/($U$24:U634&lt;&gt;""),$U$24:U634),$B$11))))</f>
        <v>0.911711624941005</v>
      </c>
      <c r="I635" s="16" t="n">
        <f aca="false" t="array" ref="I635: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>0.639020126075914</v>
      </c>
      <c r="J635" s="16" t="n">
        <f aca="false">IF(D635="","",$B$12)</f>
        <v>0.35</v>
      </c>
      <c r="K635" s="16" t="n">
        <f aca="false">IF(J635="","",J635*$B$15)</f>
        <v>0.9072</v>
      </c>
      <c r="L635" s="16" t="n">
        <f aca="false">IF(D635="","",H635+E635-K635-G635*I635)</f>
        <v>-0.116596678623792</v>
      </c>
      <c r="M635" s="16" t="n">
        <f aca="false" t="array" ref="M635: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>0</v>
      </c>
      <c r="N635" s="16" t="n">
        <f aca="false">IF(D635="","",(I635+M635)/2)</f>
        <v>0.319510063037957</v>
      </c>
      <c r="O635" s="16" t="n">
        <f aca="false">IF(D635="","",G635*N635)</f>
        <v>0.0690461246225025</v>
      </c>
      <c r="P635" s="16" t="n">
        <f aca="false">IF(D635="","",H635+E635-K635-O635)</f>
        <v>-0.0475505540012894</v>
      </c>
      <c r="Q635" s="16" t="n">
        <f aca="false">IF(D635="","",IF(P635&gt;=0,K635,MAX(0,K635+P635)))</f>
        <v>0.859649445998711</v>
      </c>
      <c r="R635" s="16" t="n">
        <f aca="false">IF(D635="","",Q635/$B$15)</f>
        <v>0.331654878857527</v>
      </c>
      <c r="S635" s="16" t="n">
        <f aca="false">IF(D635="","",MAX(0,J635-R635))</f>
        <v>0.0183451211424727</v>
      </c>
      <c r="T635" s="16" t="n">
        <f aca="false">IF(D635="","",MAX(0,Z635-$B$8))</f>
        <v>0</v>
      </c>
      <c r="U635" s="16" t="n">
        <f aca="false">IF(D635="","",MAX(0,MIN($B$8,Z635)))</f>
        <v>0</v>
      </c>
      <c r="V635" s="16" t="str">
        <f aca="false">IF(D635="","",IF(S635&gt;0.0000001,"Sim","Não"))</f>
        <v>Sim</v>
      </c>
      <c r="W635" s="16" t="n">
        <f aca="false">IF(D635="","",U635-(H635+E635-Q635-O635-T635))</f>
        <v>0</v>
      </c>
      <c r="X635" s="16" t="n">
        <f aca="false">IF(W635="","",ABS(W635))</f>
        <v>0</v>
      </c>
      <c r="Y635" s="16" t="n">
        <f aca="false">IF(U635="","",IF($B$8=0,0,U635/$B$8*100))</f>
        <v>0</v>
      </c>
      <c r="Z635" s="18" t="n">
        <f aca="false">IF(D635="","",MAX(0,IF(P635&gt;=0,P635,IF(K635+P635&gt;=0,0,P635+K635))))</f>
        <v>0</v>
      </c>
      <c r="AA635" s="18" t="n">
        <f aca="false">IF(D635="","",IF(H635&lt;=$B$16,1,IF(H635&gt;=$B$17,$B$21,MATCH(H635,Aux_CAV!$A$2:$A$121,1))))</f>
        <v>6</v>
      </c>
      <c r="AB635" s="18" t="n">
        <f aca="false">IF(D635="","",IF(L635&lt;=$B$16,1,IF(L635&gt;=$B$17,$B$21,MATCH(L635,Aux_CAV!$A$2:$A$121,1))))</f>
        <v>1</v>
      </c>
      <c r="AC635" s="19" t="n">
        <f aca="false">IF(D635="","",COUNT($D$24:D635))</f>
        <v>600</v>
      </c>
    </row>
    <row r="636" customFormat="false" ht="12.75" hidden="false" customHeight="true" outlineLevel="0" collapsed="false">
      <c r="A636" s="14" t="n">
        <f aca="false">IF(D636="","",DATE(B636,C636,1))</f>
        <v>22282</v>
      </c>
      <c r="B636" s="15" t="n">
        <f aca="false" t="array" ref="B636:B636">IF(D636="","",IFERROR(VALUE(INDEX(Vazoes_COLAR!$A$2:$A$200,INT((ROW()-24)/12)+1)),""))</f>
        <v>1961</v>
      </c>
      <c r="C636" s="15" t="n">
        <f aca="false">IF(D636="","",MOD(ROW()-24,12)+1)</f>
        <v>1</v>
      </c>
      <c r="D636" s="16" t="n">
        <f aca="false" t="array" ref="D636: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0.0737256976655271</v>
      </c>
      <c r="E636" s="16" t="n">
        <f aca="false">IF(D636="","",D636*$B$15)</f>
        <v>0.191097008349046</v>
      </c>
      <c r="F636" s="16" t="n">
        <f aca="false" t="array" ref="F636:F636">IF(D636="","",IFERROR(INDEX(Dados_Evap!$C$2:$N$15,MATCH($B$9,Dados_Evap!$A$2:$A$15,0),C636),0))</f>
        <v>160</v>
      </c>
      <c r="G636" s="16" t="n">
        <f aca="false">IF(F636="","",F636/1000)</f>
        <v>0.16</v>
      </c>
      <c r="H636" s="16" t="n">
        <f aca="false">IF(D636="","",MAX(0,MIN($B$8,IFERROR(LOOKUP(2,1/($U$24:U635&lt;&gt;""),$U$24:U635),$B$11))))</f>
        <v>0</v>
      </c>
      <c r="I636" s="16" t="n">
        <f aca="false" t="array" ref="I636: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>0</v>
      </c>
      <c r="J636" s="16" t="n">
        <f aca="false">IF(D636="","",$B$12)</f>
        <v>0.35</v>
      </c>
      <c r="K636" s="16" t="n">
        <f aca="false">IF(J636="","",J636*$B$15)</f>
        <v>0.9072</v>
      </c>
      <c r="L636" s="16" t="n">
        <f aca="false">IF(D636="","",H636+E636-K636-G636*I636)</f>
        <v>-0.716102991650954</v>
      </c>
      <c r="M636" s="16" t="n">
        <f aca="false" t="array" ref="M636: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>0</v>
      </c>
      <c r="N636" s="16" t="n">
        <f aca="false">IF(D636="","",(I636+M636)/2)</f>
        <v>0</v>
      </c>
      <c r="O636" s="16" t="n">
        <f aca="false">IF(D636="","",G636*N636)</f>
        <v>0</v>
      </c>
      <c r="P636" s="16" t="n">
        <f aca="false">IF(D636="","",H636+E636-K636-O636)</f>
        <v>-0.716102991650954</v>
      </c>
      <c r="Q636" s="16" t="n">
        <f aca="false">IF(D636="","",IF(P636&gt;=0,K636,MAX(0,K636+P636)))</f>
        <v>0.191097008349046</v>
      </c>
      <c r="R636" s="16" t="n">
        <f aca="false">IF(D636="","",Q636/$B$15)</f>
        <v>0.0737256976655271</v>
      </c>
      <c r="S636" s="16" t="n">
        <f aca="false">IF(D636="","",MAX(0,J636-R636))</f>
        <v>0.276274302334473</v>
      </c>
      <c r="T636" s="16" t="n">
        <f aca="false">IF(D636="","",MAX(0,Z636-$B$8))</f>
        <v>0</v>
      </c>
      <c r="U636" s="16" t="n">
        <f aca="false">IF(D636="","",MAX(0,MIN($B$8,Z636)))</f>
        <v>0</v>
      </c>
      <c r="V636" s="16" t="str">
        <f aca="false">IF(D636="","",IF(S636&gt;0.0000001,"Sim","Não"))</f>
        <v>Sim</v>
      </c>
      <c r="W636" s="16" t="n">
        <f aca="false">IF(D636="","",U636-(H636+E636-Q636-O636-T636))</f>
        <v>0</v>
      </c>
      <c r="X636" s="16" t="n">
        <f aca="false">IF(W636="","",ABS(W636))</f>
        <v>0</v>
      </c>
      <c r="Y636" s="16" t="n">
        <f aca="false">IF(U636="","",IF($B$8=0,0,U636/$B$8*100))</f>
        <v>0</v>
      </c>
      <c r="Z636" s="18" t="n">
        <f aca="false">IF(D636="","",MAX(0,IF(P636&gt;=0,P636,IF(K636+P636&gt;=0,0,P636+K636))))</f>
        <v>0</v>
      </c>
      <c r="AA636" s="18" t="n">
        <f aca="false">IF(D636="","",IF(H636&lt;=$B$16,1,IF(H636&gt;=$B$17,$B$21,MATCH(H636,Aux_CAV!$A$2:$A$121,1))))</f>
        <v>1</v>
      </c>
      <c r="AB636" s="18" t="n">
        <f aca="false">IF(D636="","",IF(L636&lt;=$B$16,1,IF(L636&gt;=$B$17,$B$21,MATCH(L636,Aux_CAV!$A$2:$A$121,1))))</f>
        <v>1</v>
      </c>
      <c r="AC636" s="19" t="n">
        <f aca="false">IF(D636="","",COUNT($D$24:D636))</f>
        <v>601</v>
      </c>
    </row>
    <row r="637" customFormat="false" ht="12.75" hidden="false" customHeight="true" outlineLevel="0" collapsed="false">
      <c r="A637" s="14" t="n">
        <f aca="false">IF(D637="","",DATE(B637,C637,1))</f>
        <v>22313</v>
      </c>
      <c r="B637" s="15" t="n">
        <f aca="false" t="array" ref="B637:B637">IF(D637="","",IFERROR(VALUE(INDEX(Vazoes_COLAR!$A$2:$A$200,INT((ROW()-24)/12)+1)),""))</f>
        <v>1961</v>
      </c>
      <c r="C637" s="15" t="n">
        <f aca="false">IF(D637="","",MOD(ROW()-24,12)+1)</f>
        <v>2</v>
      </c>
      <c r="D637" s="16" t="n">
        <f aca="false" t="array" ref="D637: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1.04028344808333</v>
      </c>
      <c r="E637" s="16" t="n">
        <f aca="false">IF(D637="","",D637*$B$15)</f>
        <v>2.69641469743199</v>
      </c>
      <c r="F637" s="16" t="n">
        <f aca="false" t="array" ref="F637:F637">IF(D637="","",IFERROR(INDEX(Dados_Evap!$C$2:$N$15,MATCH($B$9,Dados_Evap!$A$2:$A$15,0),C637),0))</f>
        <v>124.3</v>
      </c>
      <c r="G637" s="16" t="n">
        <f aca="false">IF(F637="","",F637/1000)</f>
        <v>0.1243</v>
      </c>
      <c r="H637" s="16" t="n">
        <f aca="false">IF(D637="","",MAX(0,MIN($B$8,IFERROR(LOOKUP(2,1/($U$24:U636&lt;&gt;""),$U$24:U636),$B$11))))</f>
        <v>0</v>
      </c>
      <c r="I637" s="16" t="n">
        <f aca="false" t="array" ref="I637: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>0</v>
      </c>
      <c r="J637" s="16" t="n">
        <f aca="false">IF(D637="","",$B$12)</f>
        <v>0.35</v>
      </c>
      <c r="K637" s="16" t="n">
        <f aca="false">IF(J637="","",J637*$B$15)</f>
        <v>0.9072</v>
      </c>
      <c r="L637" s="16" t="n">
        <f aca="false">IF(D637="","",H637+E637-K637-G637*I637)</f>
        <v>1.78921469743199</v>
      </c>
      <c r="M637" s="16" t="n">
        <f aca="false" t="array" ref="M637: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>0.904530183534735</v>
      </c>
      <c r="N637" s="16" t="n">
        <f aca="false">IF(D637="","",(I637+M637)/2)</f>
        <v>0.452265091767367</v>
      </c>
      <c r="O637" s="16" t="n">
        <f aca="false">IF(D637="","",G637*N637)</f>
        <v>0.0562165509066838</v>
      </c>
      <c r="P637" s="16" t="n">
        <f aca="false">IF(D637="","",H637+E637-K637-O637)</f>
        <v>1.73299814652531</v>
      </c>
      <c r="Q637" s="16" t="n">
        <f aca="false">IF(D637="","",IF(P637&gt;=0,K637,MAX(0,K637+P637)))</f>
        <v>0.9072</v>
      </c>
      <c r="R637" s="16" t="n">
        <f aca="false">IF(D637="","",Q637/$B$15)</f>
        <v>0.35</v>
      </c>
      <c r="S637" s="16" t="n">
        <f aca="false">IF(D637="","",MAX(0,J637-R637))</f>
        <v>0</v>
      </c>
      <c r="T637" s="16" t="n">
        <f aca="false">IF(D637="","",MAX(0,Z637-$B$8))</f>
        <v>0</v>
      </c>
      <c r="U637" s="16" t="n">
        <f aca="false">IF(D637="","",MAX(0,MIN($B$8,Z637)))</f>
        <v>1.73299814652531</v>
      </c>
      <c r="V637" s="16" t="str">
        <f aca="false">IF(D637="","",IF(S637&gt;0.0000001,"Sim","Não"))</f>
        <v>Não</v>
      </c>
      <c r="W637" s="16" t="n">
        <f aca="false">IF(D637="","",U637-(H637+E637-Q637-O637-T637))</f>
        <v>0</v>
      </c>
      <c r="X637" s="16" t="n">
        <f aca="false">IF(W637="","",ABS(W637))</f>
        <v>0</v>
      </c>
      <c r="Y637" s="16" t="n">
        <f aca="false">IF(U637="","",IF($B$8=0,0,U637/$B$8*100))</f>
        <v>3.67005113622471</v>
      </c>
      <c r="Z637" s="18" t="n">
        <f aca="false">IF(D637="","",MAX(0,IF(P637&gt;=0,P637,IF(K637+P637&gt;=0,0,P637+K637))))</f>
        <v>1.73299814652531</v>
      </c>
      <c r="AA637" s="18" t="n">
        <f aca="false">IF(D637="","",IF(H637&lt;=$B$16,1,IF(H637&gt;=$B$17,$B$21,MATCH(H637,Aux_CAV!$A$2:$A$121,1))))</f>
        <v>1</v>
      </c>
      <c r="AB637" s="18" t="n">
        <f aca="false">IF(D637="","",IF(L637&lt;=$B$16,1,IF(L637&gt;=$B$17,$B$21,MATCH(L637,Aux_CAV!$A$2:$A$121,1))))</f>
        <v>7</v>
      </c>
      <c r="AC637" s="19" t="n">
        <f aca="false">IF(D637="","",COUNT($D$24:D637))</f>
        <v>602</v>
      </c>
    </row>
    <row r="638" customFormat="false" ht="12.75" hidden="false" customHeight="true" outlineLevel="0" collapsed="false">
      <c r="A638" s="14" t="n">
        <f aca="false">IF(D638="","",DATE(B638,C638,1))</f>
        <v>22341</v>
      </c>
      <c r="B638" s="15" t="n">
        <f aca="false" t="array" ref="B638:B638">IF(D638="","",IFERROR(VALUE(INDEX(Vazoes_COLAR!$A$2:$A$200,INT((ROW()-24)/12)+1)),""))</f>
        <v>1961</v>
      </c>
      <c r="C638" s="15" t="n">
        <f aca="false">IF(D638="","",MOD(ROW()-24,12)+1)</f>
        <v>3</v>
      </c>
      <c r="D638" s="16" t="n">
        <f aca="false" t="array" ref="D638: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10.498904762898</v>
      </c>
      <c r="E638" s="16" t="n">
        <f aca="false">IF(D638="","",D638*$B$15)</f>
        <v>27.2131611454316</v>
      </c>
      <c r="F638" s="16" t="n">
        <f aca="false" t="array" ref="F638:F638">IF(D638="","",IFERROR(INDEX(Dados_Evap!$C$2:$N$15,MATCH($B$9,Dados_Evap!$A$2:$A$15,0),C638),0))</f>
        <v>107.7</v>
      </c>
      <c r="G638" s="16" t="n">
        <f aca="false">IF(F638="","",F638/1000)</f>
        <v>0.1077</v>
      </c>
      <c r="H638" s="16" t="n">
        <f aca="false">IF(D638="","",MAX(0,MIN($B$8,IFERROR(LOOKUP(2,1/($U$24:U637&lt;&gt;""),$U$24:U637),$B$11))))</f>
        <v>1.73299814652531</v>
      </c>
      <c r="I638" s="16" t="n">
        <f aca="false" t="array" ref="I638: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>0.889736354348765</v>
      </c>
      <c r="J638" s="16" t="n">
        <f aca="false">IF(D638="","",$B$12)</f>
        <v>0.35</v>
      </c>
      <c r="K638" s="16" t="n">
        <f aca="false">IF(J638="","",J638*$B$15)</f>
        <v>0.9072</v>
      </c>
      <c r="L638" s="16" t="n">
        <f aca="false">IF(D638="","",H638+E638-K638-G638*I638)</f>
        <v>27.9431346865936</v>
      </c>
      <c r="M638" s="16" t="n">
        <f aca="false" t="array" ref="M638: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>5.01884991404419</v>
      </c>
      <c r="N638" s="16" t="n">
        <f aca="false">IF(D638="","",(I638+M638)/2)</f>
        <v>2.95429313419648</v>
      </c>
      <c r="O638" s="16" t="n">
        <f aca="false">IF(D638="","",G638*N638)</f>
        <v>0.31817737055296</v>
      </c>
      <c r="P638" s="16" t="n">
        <f aca="false">IF(D638="","",H638+E638-K638-O638)</f>
        <v>27.720781921404</v>
      </c>
      <c r="Q638" s="16" t="n">
        <f aca="false">IF(D638="","",IF(P638&gt;=0,K638,MAX(0,K638+P638)))</f>
        <v>0.9072</v>
      </c>
      <c r="R638" s="16" t="n">
        <f aca="false">IF(D638="","",Q638/$B$15)</f>
        <v>0.35</v>
      </c>
      <c r="S638" s="16" t="n">
        <f aca="false">IF(D638="","",MAX(0,J638-R638))</f>
        <v>0</v>
      </c>
      <c r="T638" s="16" t="n">
        <f aca="false">IF(D638="","",MAX(0,Z638-$B$8))</f>
        <v>0</v>
      </c>
      <c r="U638" s="16" t="n">
        <f aca="false">IF(D638="","",MAX(0,MIN($B$8,Z638)))</f>
        <v>27.720781921404</v>
      </c>
      <c r="V638" s="16" t="str">
        <f aca="false">IF(D638="","",IF(S638&gt;0.0000001,"Sim","Não"))</f>
        <v>Não</v>
      </c>
      <c r="W638" s="16" t="n">
        <f aca="false">IF(D638="","",U638-(H638+E638-Q638-O638-T638))</f>
        <v>0</v>
      </c>
      <c r="X638" s="16" t="n">
        <f aca="false">IF(W638="","",ABS(W638))</f>
        <v>0</v>
      </c>
      <c r="Y638" s="16" t="n">
        <f aca="false">IF(U638="","",IF($B$8=0,0,U638/$B$8*100))</f>
        <v>58.7055949203811</v>
      </c>
      <c r="Z638" s="18" t="n">
        <f aca="false">IF(D638="","",MAX(0,IF(P638&gt;=0,P638,IF(K638+P638&gt;=0,0,P638+K638))))</f>
        <v>27.720781921404</v>
      </c>
      <c r="AA638" s="18" t="n">
        <f aca="false">IF(D638="","",IF(H638&lt;=$B$16,1,IF(H638&gt;=$B$17,$B$21,MATCH(H638,Aux_CAV!$A$2:$A$121,1))))</f>
        <v>7</v>
      </c>
      <c r="AB638" s="18" t="n">
        <f aca="false">IF(D638="","",IF(L638&lt;=$B$16,1,IF(L638&gt;=$B$17,$B$21,MATCH(L638,Aux_CAV!$A$2:$A$121,1))))</f>
        <v>12</v>
      </c>
      <c r="AC638" s="19" t="n">
        <f aca="false">IF(D638="","",COUNT($D$24:D638))</f>
        <v>603</v>
      </c>
    </row>
    <row r="639" customFormat="false" ht="12.75" hidden="false" customHeight="true" outlineLevel="0" collapsed="false">
      <c r="A639" s="14" t="n">
        <f aca="false">IF(D639="","",DATE(B639,C639,1))</f>
        <v>22372</v>
      </c>
      <c r="B639" s="15" t="n">
        <f aca="false" t="array" ref="B639:B639">IF(D639="","",IFERROR(VALUE(INDEX(Vazoes_COLAR!$A$2:$A$200,INT((ROW()-24)/12)+1)),""))</f>
        <v>1961</v>
      </c>
      <c r="C639" s="15" t="n">
        <f aca="false">IF(D639="","",MOD(ROW()-24,12)+1)</f>
        <v>4</v>
      </c>
      <c r="D639" s="16" t="n">
        <f aca="false" t="array" ref="D639: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3.70240792989566</v>
      </c>
      <c r="E639" s="16" t="n">
        <f aca="false">IF(D639="","",D639*$B$15)</f>
        <v>9.59664135428955</v>
      </c>
      <c r="F639" s="16" t="n">
        <f aca="false" t="array" ref="F639:F639">IF(D639="","",IFERROR(INDEX(Dados_Evap!$C$2:$N$15,MATCH($B$9,Dados_Evap!$A$2:$A$15,0),C639),0))</f>
        <v>100.5</v>
      </c>
      <c r="G639" s="16" t="n">
        <f aca="false">IF(F639="","",F639/1000)</f>
        <v>0.1005</v>
      </c>
      <c r="H639" s="16" t="n">
        <f aca="false">IF(D639="","",MAX(0,MIN($B$8,IFERROR(LOOKUP(2,1/($U$24:U638&lt;&gt;""),$U$24:U638),$B$11))))</f>
        <v>27.720781921404</v>
      </c>
      <c r="I639" s="16" t="n">
        <f aca="false" t="array" ref="I639: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>4.99575113164099</v>
      </c>
      <c r="J639" s="16" t="n">
        <f aca="false">IF(D639="","",$B$12)</f>
        <v>0.35</v>
      </c>
      <c r="K639" s="16" t="n">
        <f aca="false">IF(J639="","",J639*$B$15)</f>
        <v>0.9072</v>
      </c>
      <c r="L639" s="16" t="n">
        <f aca="false">IF(D639="","",H639+E639-K639-G639*I639)</f>
        <v>35.9081502869636</v>
      </c>
      <c r="M639" s="16" t="n">
        <f aca="false" t="array" ref="M639: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>5.84059362141853</v>
      </c>
      <c r="N639" s="16" t="n">
        <f aca="false">IF(D639="","",(I639+M639)/2)</f>
        <v>5.41817237652976</v>
      </c>
      <c r="O639" s="16" t="n">
        <f aca="false">IF(D639="","",G639*N639)</f>
        <v>0.544526323841241</v>
      </c>
      <c r="P639" s="16" t="n">
        <f aca="false">IF(D639="","",H639+E639-K639-O639)</f>
        <v>35.8656969518523</v>
      </c>
      <c r="Q639" s="16" t="n">
        <f aca="false">IF(D639="","",IF(P639&gt;=0,K639,MAX(0,K639+P639)))</f>
        <v>0.9072</v>
      </c>
      <c r="R639" s="16" t="n">
        <f aca="false">IF(D639="","",Q639/$B$15)</f>
        <v>0.35</v>
      </c>
      <c r="S639" s="16" t="n">
        <f aca="false">IF(D639="","",MAX(0,J639-R639))</f>
        <v>0</v>
      </c>
      <c r="T639" s="16" t="n">
        <f aca="false">IF(D639="","",MAX(0,Z639-$B$8))</f>
        <v>0</v>
      </c>
      <c r="U639" s="16" t="n">
        <f aca="false">IF(D639="","",MAX(0,MIN($B$8,Z639)))</f>
        <v>35.8656969518523</v>
      </c>
      <c r="V639" s="16" t="str">
        <f aca="false">IF(D639="","",IF(S639&gt;0.0000001,"Sim","Não"))</f>
        <v>Não</v>
      </c>
      <c r="W639" s="16" t="n">
        <f aca="false">IF(D639="","",U639-(H639+E639-Q639-O639-T639))</f>
        <v>0</v>
      </c>
      <c r="X639" s="16" t="n">
        <f aca="false">IF(W639="","",ABS(W639))</f>
        <v>0</v>
      </c>
      <c r="Y639" s="16" t="n">
        <f aca="false">IF(U639="","",IF($B$8=0,0,U639/$B$8*100))</f>
        <v>75.9544619903691</v>
      </c>
      <c r="Z639" s="18" t="n">
        <f aca="false">IF(D639="","",MAX(0,IF(P639&gt;=0,P639,IF(K639+P639&gt;=0,0,P639+K639))))</f>
        <v>35.8656969518523</v>
      </c>
      <c r="AA639" s="18" t="n">
        <f aca="false">IF(D639="","",IF(H639&lt;=$B$16,1,IF(H639&gt;=$B$17,$B$21,MATCH(H639,Aux_CAV!$A$2:$A$121,1))))</f>
        <v>12</v>
      </c>
      <c r="AB639" s="18" t="n">
        <f aca="false">IF(D639="","",IF(L639&lt;=$B$16,1,IF(L639&gt;=$B$17,$B$21,MATCH(L639,Aux_CAV!$A$2:$A$121,1))))</f>
        <v>13</v>
      </c>
      <c r="AC639" s="19" t="n">
        <f aca="false">IF(D639="","",COUNT($D$24:D639))</f>
        <v>604</v>
      </c>
    </row>
    <row r="640" customFormat="false" ht="12.75" hidden="false" customHeight="true" outlineLevel="0" collapsed="false">
      <c r="A640" s="14" t="n">
        <f aca="false">IF(D640="","",DATE(B640,C640,1))</f>
        <v>22402</v>
      </c>
      <c r="B640" s="15" t="n">
        <f aca="false" t="array" ref="B640:B640">IF(D640="","",IFERROR(VALUE(INDEX(Vazoes_COLAR!$A$2:$A$200,INT((ROW()-24)/12)+1)),""))</f>
        <v>1961</v>
      </c>
      <c r="C640" s="15" t="n">
        <f aca="false">IF(D640="","",MOD(ROW()-24,12)+1)</f>
        <v>5</v>
      </c>
      <c r="D640" s="16" t="n">
        <f aca="false" t="array" ref="D640: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1.40696062582363</v>
      </c>
      <c r="E640" s="16" t="n">
        <f aca="false">IF(D640="","",D640*$B$15)</f>
        <v>3.64684194213485</v>
      </c>
      <c r="F640" s="16" t="n">
        <f aca="false" t="array" ref="F640:F640">IF(D640="","",IFERROR(INDEX(Dados_Evap!$C$2:$N$15,MATCH($B$9,Dados_Evap!$A$2:$A$15,0),C640),0))</f>
        <v>145.8</v>
      </c>
      <c r="G640" s="16" t="n">
        <f aca="false">IF(F640="","",F640/1000)</f>
        <v>0.1458</v>
      </c>
      <c r="H640" s="16" t="n">
        <f aca="false">IF(D640="","",MAX(0,MIN($B$8,IFERROR(LOOKUP(2,1/($U$24:U639&lt;&gt;""),$U$24:U639),$B$11))))</f>
        <v>35.8656969518523</v>
      </c>
      <c r="I640" s="16" t="n">
        <f aca="false" t="array" ref="I640: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>5.83635496296009</v>
      </c>
      <c r="J640" s="16" t="n">
        <f aca="false">IF(D640="","",$B$12)</f>
        <v>0.35</v>
      </c>
      <c r="K640" s="16" t="n">
        <f aca="false">IF(J640="","",J640*$B$15)</f>
        <v>0.9072</v>
      </c>
      <c r="L640" s="16" t="n">
        <f aca="false">IF(D640="","",H640+E640-K640-G640*I640)</f>
        <v>37.7543983403875</v>
      </c>
      <c r="M640" s="16" t="n">
        <f aca="false" t="array" ref="M640: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>6.02492813618649</v>
      </c>
      <c r="N640" s="16" t="n">
        <f aca="false">IF(D640="","",(I640+M640)/2)</f>
        <v>5.93064154957329</v>
      </c>
      <c r="O640" s="16" t="n">
        <f aca="false">IF(D640="","",G640*N640)</f>
        <v>0.864687537927786</v>
      </c>
      <c r="P640" s="16" t="n">
        <f aca="false">IF(D640="","",H640+E640-K640-O640)</f>
        <v>37.7406513560593</v>
      </c>
      <c r="Q640" s="16" t="n">
        <f aca="false">IF(D640="","",IF(P640&gt;=0,K640,MAX(0,K640+P640)))</f>
        <v>0.9072</v>
      </c>
      <c r="R640" s="16" t="n">
        <f aca="false">IF(D640="","",Q640/$B$15)</f>
        <v>0.35</v>
      </c>
      <c r="S640" s="16" t="n">
        <f aca="false">IF(D640="","",MAX(0,J640-R640))</f>
        <v>0</v>
      </c>
      <c r="T640" s="16" t="n">
        <f aca="false">IF(D640="","",MAX(0,Z640-$B$8))</f>
        <v>0</v>
      </c>
      <c r="U640" s="16" t="n">
        <f aca="false">IF(D640="","",MAX(0,MIN($B$8,Z640)))</f>
        <v>37.7406513560593</v>
      </c>
      <c r="V640" s="16" t="str">
        <f aca="false">IF(D640="","",IF(S640&gt;0.0000001,"Sim","Não"))</f>
        <v>Não</v>
      </c>
      <c r="W640" s="16" t="n">
        <f aca="false">IF(D640="","",U640-(H640+E640-Q640-O640-T640))</f>
        <v>0</v>
      </c>
      <c r="X640" s="16" t="n">
        <f aca="false">IF(W640="","",ABS(W640))</f>
        <v>0</v>
      </c>
      <c r="Y640" s="16" t="n">
        <f aca="false">IF(U640="","",IF($B$8=0,0,U640/$B$8*100))</f>
        <v>79.9251405253268</v>
      </c>
      <c r="Z640" s="18" t="n">
        <f aca="false">IF(D640="","",MAX(0,IF(P640&gt;=0,P640,IF(K640+P640&gt;=0,0,P640+K640))))</f>
        <v>37.7406513560593</v>
      </c>
      <c r="AA640" s="18" t="n">
        <f aca="false">IF(D640="","",IF(H640&lt;=$B$16,1,IF(H640&gt;=$B$17,$B$21,MATCH(H640,Aux_CAV!$A$2:$A$121,1))))</f>
        <v>13</v>
      </c>
      <c r="AB640" s="18" t="n">
        <f aca="false">IF(D640="","",IF(L640&lt;=$B$16,1,IF(L640&gt;=$B$17,$B$21,MATCH(L640,Aux_CAV!$A$2:$A$121,1))))</f>
        <v>13</v>
      </c>
      <c r="AC640" s="19" t="n">
        <f aca="false">IF(D640="","",COUNT($D$24:D640))</f>
        <v>605</v>
      </c>
    </row>
    <row r="641" customFormat="false" ht="12.75" hidden="false" customHeight="true" outlineLevel="0" collapsed="false">
      <c r="A641" s="14" t="n">
        <f aca="false">IF(D641="","",DATE(B641,C641,1))</f>
        <v>22433</v>
      </c>
      <c r="B641" s="15" t="n">
        <f aca="false" t="array" ref="B641:B641">IF(D641="","",IFERROR(VALUE(INDEX(Vazoes_COLAR!$A$2:$A$200,INT((ROW()-24)/12)+1)),""))</f>
        <v>1961</v>
      </c>
      <c r="C641" s="15" t="n">
        <f aca="false">IF(D641="","",MOD(ROW()-24,12)+1)</f>
        <v>6</v>
      </c>
      <c r="D641" s="16" t="n">
        <f aca="false" t="array" ref="D641: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0.17827337756538</v>
      </c>
      <c r="E641" s="16" t="n">
        <f aca="false">IF(D641="","",D641*$B$15)</f>
        <v>0.462084594649465</v>
      </c>
      <c r="F641" s="16" t="n">
        <f aca="false" t="array" ref="F641:F641">IF(D641="","",IFERROR(INDEX(Dados_Evap!$C$2:$N$15,MATCH($B$9,Dados_Evap!$A$2:$A$15,0),C641),0))</f>
        <v>161.3</v>
      </c>
      <c r="G641" s="16" t="n">
        <f aca="false">IF(F641="","",F641/1000)</f>
        <v>0.1613</v>
      </c>
      <c r="H641" s="16" t="n">
        <f aca="false">IF(D641="","",MAX(0,MIN($B$8,IFERROR(LOOKUP(2,1/($U$24:U640&lt;&gt;""),$U$24:U640),$B$11))))</f>
        <v>37.7406513560593</v>
      </c>
      <c r="I641" s="16" t="n">
        <f aca="false" t="array" ref="I641: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>6.02355559922919</v>
      </c>
      <c r="J641" s="16" t="n">
        <f aca="false">IF(D641="","",$B$12)</f>
        <v>0.35</v>
      </c>
      <c r="K641" s="16" t="n">
        <f aca="false">IF(J641="","",J641*$B$15)</f>
        <v>0.9072</v>
      </c>
      <c r="L641" s="16" t="n">
        <f aca="false">IF(D641="","",H641+E641-K641-G641*I641)</f>
        <v>36.3239364325531</v>
      </c>
      <c r="M641" s="16" t="n">
        <f aca="false" t="array" ref="M641: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>5.88210686079736</v>
      </c>
      <c r="N641" s="16" t="n">
        <f aca="false">IF(D641="","",(I641+M641)/2)</f>
        <v>5.95283123001328</v>
      </c>
      <c r="O641" s="16" t="n">
        <f aca="false">IF(D641="","",G641*N641)</f>
        <v>0.960191677401142</v>
      </c>
      <c r="P641" s="16" t="n">
        <f aca="false">IF(D641="","",H641+E641-K641-O641)</f>
        <v>36.3353442733077</v>
      </c>
      <c r="Q641" s="16" t="n">
        <f aca="false">IF(D641="","",IF(P641&gt;=0,K641,MAX(0,K641+P641)))</f>
        <v>0.9072</v>
      </c>
      <c r="R641" s="16" t="n">
        <f aca="false">IF(D641="","",Q641/$B$15)</f>
        <v>0.35</v>
      </c>
      <c r="S641" s="16" t="n">
        <f aca="false">IF(D641="","",MAX(0,J641-R641))</f>
        <v>0</v>
      </c>
      <c r="T641" s="16" t="n">
        <f aca="false">IF(D641="","",MAX(0,Z641-$B$8))</f>
        <v>0</v>
      </c>
      <c r="U641" s="16" t="n">
        <f aca="false">IF(D641="","",MAX(0,MIN($B$8,Z641)))</f>
        <v>36.3353442733077</v>
      </c>
      <c r="V641" s="16" t="str">
        <f aca="false">IF(D641="","",IF(S641&gt;0.0000001,"Sim","Não"))</f>
        <v>Não</v>
      </c>
      <c r="W641" s="16" t="n">
        <f aca="false">IF(D641="","",U641-(H641+E641-Q641-O641-T641))</f>
        <v>0</v>
      </c>
      <c r="X641" s="16" t="n">
        <f aca="false">IF(W641="","",ABS(W641))</f>
        <v>0</v>
      </c>
      <c r="Y641" s="16" t="n">
        <f aca="false">IF(U641="","",IF($B$8=0,0,U641/$B$8*100))</f>
        <v>76.9490560637604</v>
      </c>
      <c r="Z641" s="18" t="n">
        <f aca="false">IF(D641="","",MAX(0,IF(P641&gt;=0,P641,IF(K641+P641&gt;=0,0,P641+K641))))</f>
        <v>36.3353442733077</v>
      </c>
      <c r="AA641" s="18" t="n">
        <f aca="false">IF(D641="","",IF(H641&lt;=$B$16,1,IF(H641&gt;=$B$17,$B$21,MATCH(H641,Aux_CAV!$A$2:$A$121,1))))</f>
        <v>13</v>
      </c>
      <c r="AB641" s="18" t="n">
        <f aca="false">IF(D641="","",IF(L641&lt;=$B$16,1,IF(L641&gt;=$B$17,$B$21,MATCH(L641,Aux_CAV!$A$2:$A$121,1))))</f>
        <v>13</v>
      </c>
      <c r="AC641" s="19" t="n">
        <f aca="false">IF(D641="","",COUNT($D$24:D641))</f>
        <v>606</v>
      </c>
    </row>
    <row r="642" customFormat="false" ht="12.75" hidden="false" customHeight="true" outlineLevel="0" collapsed="false">
      <c r="A642" s="14" t="n">
        <f aca="false">IF(D642="","",DATE(B642,C642,1))</f>
        <v>22463</v>
      </c>
      <c r="B642" s="15" t="n">
        <f aca="false" t="array" ref="B642:B642">IF(D642="","",IFERROR(VALUE(INDEX(Vazoes_COLAR!$A$2:$A$200,INT((ROW()-24)/12)+1)),""))</f>
        <v>1961</v>
      </c>
      <c r="C642" s="15" t="n">
        <f aca="false">IF(D642="","",MOD(ROW()-24,12)+1)</f>
        <v>7</v>
      </c>
      <c r="D642" s="16" t="n">
        <f aca="false" t="array" ref="D642: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0.414636924847962</v>
      </c>
      <c r="E642" s="16" t="n">
        <f aca="false">IF(D642="","",D642*$B$15)</f>
        <v>1.07473890920592</v>
      </c>
      <c r="F642" s="16" t="n">
        <f aca="false" t="array" ref="F642:F642">IF(D642="","",IFERROR(INDEX(Dados_Evap!$C$2:$N$15,MATCH($B$9,Dados_Evap!$A$2:$A$15,0),C642),0))</f>
        <v>224.8</v>
      </c>
      <c r="G642" s="16" t="n">
        <f aca="false">IF(F642="","",F642/1000)</f>
        <v>0.2248</v>
      </c>
      <c r="H642" s="16" t="n">
        <f aca="false">IF(D642="","",MAX(0,MIN($B$8,IFERROR(LOOKUP(2,1/($U$24:U641&lt;&gt;""),$U$24:U641),$B$11))))</f>
        <v>36.3353442733077</v>
      </c>
      <c r="I642" s="16" t="n">
        <f aca="false" t="array" ref="I642: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>5.88324585118716</v>
      </c>
      <c r="J642" s="16" t="n">
        <f aca="false">IF(D642="","",$B$12)</f>
        <v>0.35</v>
      </c>
      <c r="K642" s="16" t="n">
        <f aca="false">IF(J642="","",J642*$B$15)</f>
        <v>0.9072</v>
      </c>
      <c r="L642" s="16" t="n">
        <f aca="false">IF(D642="","",H642+E642-K642-G642*I642)</f>
        <v>35.1803295151667</v>
      </c>
      <c r="M642" s="16" t="n">
        <f aca="false" t="array" ref="M642: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>5.76792598146712</v>
      </c>
      <c r="N642" s="16" t="n">
        <f aca="false">IF(D642="","",(I642+M642)/2)</f>
        <v>5.82558591632714</v>
      </c>
      <c r="O642" s="16" t="n">
        <f aca="false">IF(D642="","",G642*N642)</f>
        <v>1.30959171399034</v>
      </c>
      <c r="P642" s="16" t="n">
        <f aca="false">IF(D642="","",H642+E642-K642-O642)</f>
        <v>35.1932914685232</v>
      </c>
      <c r="Q642" s="16" t="n">
        <f aca="false">IF(D642="","",IF(P642&gt;=0,K642,MAX(0,K642+P642)))</f>
        <v>0.9072</v>
      </c>
      <c r="R642" s="16" t="n">
        <f aca="false">IF(D642="","",Q642/$B$15)</f>
        <v>0.35</v>
      </c>
      <c r="S642" s="16" t="n">
        <f aca="false">IF(D642="","",MAX(0,J642-R642))</f>
        <v>0</v>
      </c>
      <c r="T642" s="16" t="n">
        <f aca="false">IF(D642="","",MAX(0,Z642-$B$8))</f>
        <v>0</v>
      </c>
      <c r="U642" s="16" t="n">
        <f aca="false">IF(D642="","",MAX(0,MIN($B$8,Z642)))</f>
        <v>35.1932914685232</v>
      </c>
      <c r="V642" s="16" t="str">
        <f aca="false">IF(D642="","",IF(S642&gt;0.0000001,"Sim","Não"))</f>
        <v>Não</v>
      </c>
      <c r="W642" s="16" t="n">
        <f aca="false">IF(D642="","",U642-(H642+E642-Q642-O642-T642))</f>
        <v>0</v>
      </c>
      <c r="X642" s="16" t="n">
        <f aca="false">IF(W642="","",ABS(W642))</f>
        <v>0</v>
      </c>
      <c r="Y642" s="16" t="n">
        <f aca="false">IF(U642="","",IF($B$8=0,0,U642/$B$8*100))</f>
        <v>74.530477485225</v>
      </c>
      <c r="Z642" s="18" t="n">
        <f aca="false">IF(D642="","",MAX(0,IF(P642&gt;=0,P642,IF(K642+P642&gt;=0,0,P642+K642))))</f>
        <v>35.1932914685232</v>
      </c>
      <c r="AA642" s="18" t="n">
        <f aca="false">IF(D642="","",IF(H642&lt;=$B$16,1,IF(H642&gt;=$B$17,$B$21,MATCH(H642,Aux_CAV!$A$2:$A$121,1))))</f>
        <v>13</v>
      </c>
      <c r="AB642" s="18" t="n">
        <f aca="false">IF(D642="","",IF(L642&lt;=$B$16,1,IF(L642&gt;=$B$17,$B$21,MATCH(L642,Aux_CAV!$A$2:$A$121,1))))</f>
        <v>13</v>
      </c>
      <c r="AC642" s="19" t="n">
        <f aca="false">IF(D642="","",COUNT($D$24:D642))</f>
        <v>607</v>
      </c>
    </row>
    <row r="643" customFormat="false" ht="12.75" hidden="false" customHeight="true" outlineLevel="0" collapsed="false">
      <c r="A643" s="14" t="n">
        <f aca="false">IF(D643="","",DATE(B643,C643,1))</f>
        <v>22494</v>
      </c>
      <c r="B643" s="15" t="n">
        <f aca="false" t="array" ref="B643:B643">IF(D643="","",IFERROR(VALUE(INDEX(Vazoes_COLAR!$A$2:$A$200,INT((ROW()-24)/12)+1)),""))</f>
        <v>1961</v>
      </c>
      <c r="C643" s="15" t="n">
        <f aca="false">IF(D643="","",MOD(ROW()-24,12)+1)</f>
        <v>8</v>
      </c>
      <c r="D643" s="16" t="n">
        <f aca="false" t="array" ref="D643: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0.0226667370739733</v>
      </c>
      <c r="E643" s="16" t="n">
        <f aca="false">IF(D643="","",D643*$B$15)</f>
        <v>0.0587521824957388</v>
      </c>
      <c r="F643" s="16" t="n">
        <f aca="false" t="array" ref="F643:F643">IF(D643="","",IFERROR(INDEX(Dados_Evap!$C$2:$N$15,MATCH($B$9,Dados_Evap!$A$2:$A$15,0),C643),0))</f>
        <v>268.7</v>
      </c>
      <c r="G643" s="16" t="n">
        <f aca="false">IF(F643="","",F643/1000)</f>
        <v>0.2687</v>
      </c>
      <c r="H643" s="16" t="n">
        <f aca="false">IF(D643="","",MAX(0,MIN($B$8,IFERROR(LOOKUP(2,1/($U$24:U642&lt;&gt;""),$U$24:U642),$B$11))))</f>
        <v>35.1932914685232</v>
      </c>
      <c r="I643" s="16" t="n">
        <f aca="false" t="array" ref="I643: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>5.76922013875979</v>
      </c>
      <c r="J643" s="16" t="n">
        <f aca="false">IF(D643="","",$B$12)</f>
        <v>0.35</v>
      </c>
      <c r="K643" s="16" t="n">
        <f aca="false">IF(J643="","",J643*$B$15)</f>
        <v>0.9072</v>
      </c>
      <c r="L643" s="16" t="n">
        <f aca="false">IF(D643="","",H643+E643-K643-G643*I643)</f>
        <v>32.7946541997342</v>
      </c>
      <c r="M643" s="16" t="n">
        <f aca="false" t="array" ref="M643: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>5.52284271783647</v>
      </c>
      <c r="N643" s="16" t="n">
        <f aca="false">IF(D643="","",(I643+M643)/2)</f>
        <v>5.64603142829813</v>
      </c>
      <c r="O643" s="16" t="n">
        <f aca="false">IF(D643="","",G643*N643)</f>
        <v>1.51708864478371</v>
      </c>
      <c r="P643" s="16" t="n">
        <f aca="false">IF(D643="","",H643+E643-K643-O643)</f>
        <v>32.8277550062353</v>
      </c>
      <c r="Q643" s="16" t="n">
        <f aca="false">IF(D643="","",IF(P643&gt;=0,K643,MAX(0,K643+P643)))</f>
        <v>0.9072</v>
      </c>
      <c r="R643" s="16" t="n">
        <f aca="false">IF(D643="","",Q643/$B$15)</f>
        <v>0.35</v>
      </c>
      <c r="S643" s="16" t="n">
        <f aca="false">IF(D643="","",MAX(0,J643-R643))</f>
        <v>0</v>
      </c>
      <c r="T643" s="16" t="n">
        <f aca="false">IF(D643="","",MAX(0,Z643-$B$8))</f>
        <v>0</v>
      </c>
      <c r="U643" s="16" t="n">
        <f aca="false">IF(D643="","",MAX(0,MIN($B$8,Z643)))</f>
        <v>32.8277550062353</v>
      </c>
      <c r="V643" s="16" t="str">
        <f aca="false">IF(D643="","",IF(S643&gt;0.0000001,"Sim","Não"))</f>
        <v>Não</v>
      </c>
      <c r="W643" s="16" t="n">
        <f aca="false">IF(D643="","",U643-(H643+E643-Q643-O643-T643))</f>
        <v>0</v>
      </c>
      <c r="X643" s="16" t="n">
        <f aca="false">IF(W643="","",ABS(W643))</f>
        <v>0</v>
      </c>
      <c r="Y643" s="16" t="n">
        <f aca="false">IF(U643="","",IF($B$8=0,0,U643/$B$8*100))</f>
        <v>69.5208704071056</v>
      </c>
      <c r="Z643" s="18" t="n">
        <f aca="false">IF(D643="","",MAX(0,IF(P643&gt;=0,P643,IF(K643+P643&gt;=0,0,P643+K643))))</f>
        <v>32.8277550062353</v>
      </c>
      <c r="AA643" s="18" t="n">
        <f aca="false">IF(D643="","",IF(H643&lt;=$B$16,1,IF(H643&gt;=$B$17,$B$21,MATCH(H643,Aux_CAV!$A$2:$A$121,1))))</f>
        <v>13</v>
      </c>
      <c r="AB643" s="18" t="n">
        <f aca="false">IF(D643="","",IF(L643&lt;=$B$16,1,IF(L643&gt;=$B$17,$B$21,MATCH(L643,Aux_CAV!$A$2:$A$121,1))))</f>
        <v>12</v>
      </c>
      <c r="AC643" s="19" t="n">
        <f aca="false">IF(D643="","",COUNT($D$24:D643))</f>
        <v>608</v>
      </c>
    </row>
    <row r="644" customFormat="false" ht="12.75" hidden="false" customHeight="true" outlineLevel="0" collapsed="false">
      <c r="A644" s="14" t="n">
        <f aca="false">IF(D644="","",DATE(B644,C644,1))</f>
        <v>22525</v>
      </c>
      <c r="B644" s="15" t="n">
        <f aca="false" t="array" ref="B644:B644">IF(D644="","",IFERROR(VALUE(INDEX(Vazoes_COLAR!$A$2:$A$200,INT((ROW()-24)/12)+1)),""))</f>
        <v>1961</v>
      </c>
      <c r="C644" s="15" t="n">
        <f aca="false">IF(D644="","",MOD(ROW()-24,12)+1)</f>
        <v>9</v>
      </c>
      <c r="D644" s="16" t="n">
        <f aca="false" t="array" ref="D644: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0.0199568549570046</v>
      </c>
      <c r="E644" s="16" t="n">
        <f aca="false">IF(D644="","",D644*$B$15)</f>
        <v>0.0517281680485559</v>
      </c>
      <c r="F644" s="16" t="n">
        <f aca="false" t="array" ref="F644:F644">IF(D644="","",IFERROR(INDEX(Dados_Evap!$C$2:$N$15,MATCH($B$9,Dados_Evap!$A$2:$A$15,0),C644),0))</f>
        <v>292.8</v>
      </c>
      <c r="G644" s="16" t="n">
        <f aca="false">IF(F644="","",F644/1000)</f>
        <v>0.2928</v>
      </c>
      <c r="H644" s="16" t="n">
        <f aca="false">IF(D644="","",MAX(0,MIN($B$8,IFERROR(LOOKUP(2,1/($U$24:U643&lt;&gt;""),$U$24:U643),$B$11))))</f>
        <v>32.8277550062353</v>
      </c>
      <c r="I644" s="16" t="n">
        <f aca="false" t="array" ref="I644: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>5.52628134530793</v>
      </c>
      <c r="J644" s="16" t="n">
        <f aca="false">IF(D644="","",$B$12)</f>
        <v>0.35</v>
      </c>
      <c r="K644" s="16" t="n">
        <f aca="false">IF(J644="","",J644*$B$15)</f>
        <v>0.9072</v>
      </c>
      <c r="L644" s="16" t="n">
        <f aca="false">IF(D644="","",H644+E644-K644-G644*I644)</f>
        <v>30.3541879963777</v>
      </c>
      <c r="M644" s="16" t="n">
        <f aca="false" t="array" ref="M644: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>5.269318558847</v>
      </c>
      <c r="N644" s="16" t="n">
        <f aca="false">IF(D644="","",(I644+M644)/2)</f>
        <v>5.39779995207747</v>
      </c>
      <c r="O644" s="16" t="n">
        <f aca="false">IF(D644="","",G644*N644)</f>
        <v>1.58047582596828</v>
      </c>
      <c r="P644" s="16" t="n">
        <f aca="false">IF(D644="","",H644+E644-K644-O644)</f>
        <v>30.3918073483155</v>
      </c>
      <c r="Q644" s="16" t="n">
        <f aca="false">IF(D644="","",IF(P644&gt;=0,K644,MAX(0,K644+P644)))</f>
        <v>0.9072</v>
      </c>
      <c r="R644" s="16" t="n">
        <f aca="false">IF(D644="","",Q644/$B$15)</f>
        <v>0.35</v>
      </c>
      <c r="S644" s="16" t="n">
        <f aca="false">IF(D644="","",MAX(0,J644-R644))</f>
        <v>0</v>
      </c>
      <c r="T644" s="16" t="n">
        <f aca="false">IF(D644="","",MAX(0,Z644-$B$8))</f>
        <v>0</v>
      </c>
      <c r="U644" s="16" t="n">
        <f aca="false">IF(D644="","",MAX(0,MIN($B$8,Z644)))</f>
        <v>30.3918073483155</v>
      </c>
      <c r="V644" s="16" t="str">
        <f aca="false">IF(D644="","",IF(S644&gt;0.0000001,"Sim","Não"))</f>
        <v>Não</v>
      </c>
      <c r="W644" s="16" t="n">
        <f aca="false">IF(D644="","",U644-(H644+E644-Q644-O644-T644))</f>
        <v>0</v>
      </c>
      <c r="X644" s="16" t="n">
        <f aca="false">IF(W644="","",ABS(W644))</f>
        <v>0</v>
      </c>
      <c r="Y644" s="16" t="n">
        <f aca="false">IF(U644="","",IF($B$8=0,0,U644/$B$8*100))</f>
        <v>64.3621502505623</v>
      </c>
      <c r="Z644" s="18" t="n">
        <f aca="false">IF(D644="","",MAX(0,IF(P644&gt;=0,P644,IF(K644+P644&gt;=0,0,P644+K644))))</f>
        <v>30.3918073483155</v>
      </c>
      <c r="AA644" s="18" t="n">
        <f aca="false">IF(D644="","",IF(H644&lt;=$B$16,1,IF(H644&gt;=$B$17,$B$21,MATCH(H644,Aux_CAV!$A$2:$A$121,1))))</f>
        <v>12</v>
      </c>
      <c r="AB644" s="18" t="n">
        <f aca="false">IF(D644="","",IF(L644&lt;=$B$16,1,IF(L644&gt;=$B$17,$B$21,MATCH(L644,Aux_CAV!$A$2:$A$121,1))))</f>
        <v>12</v>
      </c>
      <c r="AC644" s="19" t="n">
        <f aca="false">IF(D644="","",COUNT($D$24:D644))</f>
        <v>609</v>
      </c>
    </row>
    <row r="645" customFormat="false" ht="12.75" hidden="false" customHeight="true" outlineLevel="0" collapsed="false">
      <c r="A645" s="14" t="n">
        <f aca="false">IF(D645="","",DATE(B645,C645,1))</f>
        <v>22555</v>
      </c>
      <c r="B645" s="15" t="n">
        <f aca="false" t="array" ref="B645:B645">IF(D645="","",IFERROR(VALUE(INDEX(Vazoes_COLAR!$A$2:$A$200,INT((ROW()-24)/12)+1)),""))</f>
        <v>1961</v>
      </c>
      <c r="C645" s="15" t="n">
        <f aca="false">IF(D645="","",MOD(ROW()-24,12)+1)</f>
        <v>10</v>
      </c>
      <c r="D645" s="16" t="n">
        <f aca="false" t="array" ref="D645: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0.0218671906305562</v>
      </c>
      <c r="E645" s="16" t="n">
        <f aca="false">IF(D645="","",D645*$B$15)</f>
        <v>0.0566797581144017</v>
      </c>
      <c r="F645" s="16" t="n">
        <f aca="false" t="array" ref="F645:F645">IF(D645="","",IFERROR(INDEX(Dados_Evap!$C$2:$N$15,MATCH($B$9,Dados_Evap!$A$2:$A$15,0),C645),0))</f>
        <v>262.9</v>
      </c>
      <c r="G645" s="16" t="n">
        <f aca="false">IF(F645="","",F645/1000)</f>
        <v>0.2629</v>
      </c>
      <c r="H645" s="16" t="n">
        <f aca="false">IF(D645="","",MAX(0,MIN($B$8,IFERROR(LOOKUP(2,1/($U$24:U644&lt;&gt;""),$U$24:U644),$B$11))))</f>
        <v>30.3918073483155</v>
      </c>
      <c r="I645" s="16" t="n">
        <f aca="false" t="array" ref="I645: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>5.27322658861142</v>
      </c>
      <c r="J645" s="16" t="n">
        <f aca="false">IF(D645="","",$B$12)</f>
        <v>0.35</v>
      </c>
      <c r="K645" s="16" t="n">
        <f aca="false">IF(J645="","",J645*$B$15)</f>
        <v>0.9072</v>
      </c>
      <c r="L645" s="16" t="n">
        <f aca="false">IF(D645="","",H645+E645-K645-G645*I645)</f>
        <v>28.154955836284</v>
      </c>
      <c r="M645" s="16" t="n">
        <f aca="false" t="array" ref="M645: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>5.04085463541979</v>
      </c>
      <c r="N645" s="16" t="n">
        <f aca="false">IF(D645="","",(I645+M645)/2)</f>
        <v>5.15704061201561</v>
      </c>
      <c r="O645" s="16" t="n">
        <f aca="false">IF(D645="","",G645*N645)</f>
        <v>1.3557859768989</v>
      </c>
      <c r="P645" s="16" t="n">
        <f aca="false">IF(D645="","",H645+E645-K645-O645)</f>
        <v>28.185501129531</v>
      </c>
      <c r="Q645" s="16" t="n">
        <f aca="false">IF(D645="","",IF(P645&gt;=0,K645,MAX(0,K645+P645)))</f>
        <v>0.9072</v>
      </c>
      <c r="R645" s="16" t="n">
        <f aca="false">IF(D645="","",Q645/$B$15)</f>
        <v>0.35</v>
      </c>
      <c r="S645" s="16" t="n">
        <f aca="false">IF(D645="","",MAX(0,J645-R645))</f>
        <v>0</v>
      </c>
      <c r="T645" s="16" t="n">
        <f aca="false">IF(D645="","",MAX(0,Z645-$B$8))</f>
        <v>0</v>
      </c>
      <c r="U645" s="16" t="n">
        <f aca="false">IF(D645="","",MAX(0,MIN($B$8,Z645)))</f>
        <v>28.185501129531</v>
      </c>
      <c r="V645" s="16" t="str">
        <f aca="false">IF(D645="","",IF(S645&gt;0.0000001,"Sim","Não"))</f>
        <v>Não</v>
      </c>
      <c r="W645" s="16" t="n">
        <f aca="false">IF(D645="","",U645-(H645+E645-Q645-O645-T645))</f>
        <v>0</v>
      </c>
      <c r="X645" s="16" t="n">
        <f aca="false">IF(W645="","",ABS(W645))</f>
        <v>0</v>
      </c>
      <c r="Y645" s="16" t="n">
        <f aca="false">IF(U645="","",IF($B$8=0,0,U645/$B$8*100))</f>
        <v>59.689752497948</v>
      </c>
      <c r="Z645" s="18" t="n">
        <f aca="false">IF(D645="","",MAX(0,IF(P645&gt;=0,P645,IF(K645+P645&gt;=0,0,P645+K645))))</f>
        <v>28.185501129531</v>
      </c>
      <c r="AA645" s="18" t="n">
        <f aca="false">IF(D645="","",IF(H645&lt;=$B$16,1,IF(H645&gt;=$B$17,$B$21,MATCH(H645,Aux_CAV!$A$2:$A$121,1))))</f>
        <v>12</v>
      </c>
      <c r="AB645" s="18" t="n">
        <f aca="false">IF(D645="","",IF(L645&lt;=$B$16,1,IF(L645&gt;=$B$17,$B$21,MATCH(L645,Aux_CAV!$A$2:$A$121,1))))</f>
        <v>12</v>
      </c>
      <c r="AC645" s="19" t="n">
        <f aca="false">IF(D645="","",COUNT($D$24:D645))</f>
        <v>610</v>
      </c>
    </row>
    <row r="646" customFormat="false" ht="12.75" hidden="false" customHeight="true" outlineLevel="0" collapsed="false">
      <c r="A646" s="14" t="n">
        <f aca="false">IF(D646="","",DATE(B646,C646,1))</f>
        <v>22586</v>
      </c>
      <c r="B646" s="15" t="n">
        <f aca="false" t="array" ref="B646:B646">IF(D646="","",IFERROR(VALUE(INDEX(Vazoes_COLAR!$A$2:$A$200,INT((ROW()-24)/12)+1)),""))</f>
        <v>1961</v>
      </c>
      <c r="C646" s="15" t="n">
        <f aca="false">IF(D646="","",MOD(ROW()-24,12)+1)</f>
        <v>11</v>
      </c>
      <c r="D646" s="16" t="n">
        <f aca="false" t="array" ref="D646: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0.0169693528103541</v>
      </c>
      <c r="E646" s="16" t="n">
        <f aca="false">IF(D646="","",D646*$B$15)</f>
        <v>0.0439845624844378</v>
      </c>
      <c r="F646" s="16" t="n">
        <f aca="false" t="array" ref="F646:F646">IF(D646="","",IFERROR(INDEX(Dados_Evap!$C$2:$N$15,MATCH($B$9,Dados_Evap!$A$2:$A$15,0),C646),0))</f>
        <v>223.7</v>
      </c>
      <c r="G646" s="16" t="n">
        <f aca="false">IF(F646="","",F646/1000)</f>
        <v>0.2237</v>
      </c>
      <c r="H646" s="16" t="n">
        <f aca="false">IF(D646="","",MAX(0,MIN($B$8,IFERROR(LOOKUP(2,1/($U$24:U645&lt;&gt;""),$U$24:U645),$B$11))))</f>
        <v>28.185501129531</v>
      </c>
      <c r="I646" s="16" t="n">
        <f aca="false" t="array" ref="I646: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>5.04402778724254</v>
      </c>
      <c r="J646" s="16" t="n">
        <f aca="false">IF(D646="","",$B$12)</f>
        <v>0.35</v>
      </c>
      <c r="K646" s="16" t="n">
        <f aca="false">IF(J646="","",J646*$B$15)</f>
        <v>0.9072</v>
      </c>
      <c r="L646" s="16" t="n">
        <f aca="false">IF(D646="","",H646+E646-K646-G646*I646)</f>
        <v>26.1939366760093</v>
      </c>
      <c r="M646" s="16" t="n">
        <f aca="false" t="array" ref="M646: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>4.83713711100291</v>
      </c>
      <c r="N646" s="16" t="n">
        <f aca="false">IF(D646="","",(I646+M646)/2)</f>
        <v>4.94058244912273</v>
      </c>
      <c r="O646" s="16" t="n">
        <f aca="false">IF(D646="","",G646*N646)</f>
        <v>1.10520829386875</v>
      </c>
      <c r="P646" s="16" t="n">
        <f aca="false">IF(D646="","",H646+E646-K646-O646)</f>
        <v>26.2170773981467</v>
      </c>
      <c r="Q646" s="16" t="n">
        <f aca="false">IF(D646="","",IF(P646&gt;=0,K646,MAX(0,K646+P646)))</f>
        <v>0.9072</v>
      </c>
      <c r="R646" s="16" t="n">
        <f aca="false">IF(D646="","",Q646/$B$15)</f>
        <v>0.35</v>
      </c>
      <c r="S646" s="16" t="n">
        <f aca="false">IF(D646="","",MAX(0,J646-R646))</f>
        <v>0</v>
      </c>
      <c r="T646" s="16" t="n">
        <f aca="false">IF(D646="","",MAX(0,Z646-$B$8))</f>
        <v>0</v>
      </c>
      <c r="U646" s="16" t="n">
        <f aca="false">IF(D646="","",MAX(0,MIN($B$8,Z646)))</f>
        <v>26.2170773981467</v>
      </c>
      <c r="V646" s="16" t="str">
        <f aca="false">IF(D646="","",IF(S646&gt;0.0000001,"Sim","Não"))</f>
        <v>Não</v>
      </c>
      <c r="W646" s="16" t="n">
        <f aca="false">IF(D646="","",U646-(H646+E646-Q646-O646-T646))</f>
        <v>0</v>
      </c>
      <c r="X646" s="16" t="n">
        <f aca="false">IF(W646="","",ABS(W646))</f>
        <v>0</v>
      </c>
      <c r="Y646" s="16" t="n">
        <f aca="false">IF(U646="","",IF($B$8=0,0,U646/$B$8*100))</f>
        <v>55.5211296021743</v>
      </c>
      <c r="Z646" s="18" t="n">
        <f aca="false">IF(D646="","",MAX(0,IF(P646&gt;=0,P646,IF(K646+P646&gt;=0,0,P646+K646))))</f>
        <v>26.2170773981467</v>
      </c>
      <c r="AA646" s="18" t="n">
        <f aca="false">IF(D646="","",IF(H646&lt;=$B$16,1,IF(H646&gt;=$B$17,$B$21,MATCH(H646,Aux_CAV!$A$2:$A$121,1))))</f>
        <v>12</v>
      </c>
      <c r="AB646" s="18" t="n">
        <f aca="false">IF(D646="","",IF(L646&lt;=$B$16,1,IF(L646&gt;=$B$17,$B$21,MATCH(L646,Aux_CAV!$A$2:$A$121,1))))</f>
        <v>12</v>
      </c>
      <c r="AC646" s="19" t="n">
        <f aca="false">IF(D646="","",COUNT($D$24:D646))</f>
        <v>611</v>
      </c>
    </row>
    <row r="647" customFormat="false" ht="12.75" hidden="false" customHeight="true" outlineLevel="0" collapsed="false">
      <c r="A647" s="14" t="n">
        <f aca="false">IF(D647="","",DATE(B647,C647,1))</f>
        <v>22616</v>
      </c>
      <c r="B647" s="15" t="n">
        <f aca="false" t="array" ref="B647:B647">IF(D647="","",IFERROR(VALUE(INDEX(Vazoes_COLAR!$A$2:$A$200,INT((ROW()-24)/12)+1)),""))</f>
        <v>1961</v>
      </c>
      <c r="C647" s="15" t="n">
        <f aca="false">IF(D647="","",MOD(ROW()-24,12)+1)</f>
        <v>12</v>
      </c>
      <c r="D647" s="16" t="n">
        <f aca="false" t="array" ref="D647: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0.039745250952399</v>
      </c>
      <c r="E647" s="16" t="n">
        <f aca="false">IF(D647="","",D647*$B$15)</f>
        <v>0.103019690468618</v>
      </c>
      <c r="F647" s="16" t="n">
        <f aca="false" t="array" ref="F647:F647">IF(D647="","",IFERROR(INDEX(Dados_Evap!$C$2:$N$15,MATCH($B$9,Dados_Evap!$A$2:$A$15,0),C647),0))</f>
        <v>216.1</v>
      </c>
      <c r="G647" s="16" t="n">
        <f aca="false">IF(F647="","",F647/1000)</f>
        <v>0.2161</v>
      </c>
      <c r="H647" s="16" t="n">
        <f aca="false">IF(D647="","",MAX(0,MIN($B$8,IFERROR(LOOKUP(2,1/($U$24:U646&lt;&gt;""),$U$24:U646),$B$11))))</f>
        <v>26.2170773981467</v>
      </c>
      <c r="I647" s="16" t="n">
        <f aca="false" t="array" ref="I647: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>4.83954105009874</v>
      </c>
      <c r="J647" s="16" t="n">
        <f aca="false">IF(D647="","",$B$12)</f>
        <v>0.35</v>
      </c>
      <c r="K647" s="16" t="n">
        <f aca="false">IF(J647="","",J647*$B$15)</f>
        <v>0.9072</v>
      </c>
      <c r="L647" s="16" t="n">
        <f aca="false">IF(D647="","",H647+E647-K647-G647*I647)</f>
        <v>24.367072267689</v>
      </c>
      <c r="M647" s="16" t="n">
        <f aca="false" t="array" ref="M647: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>4.64735605110944</v>
      </c>
      <c r="N647" s="16" t="n">
        <f aca="false">IF(D647="","",(I647+M647)/2)</f>
        <v>4.74344855060409</v>
      </c>
      <c r="O647" s="16" t="n">
        <f aca="false">IF(D647="","",G647*N647)</f>
        <v>1.02505923178554</v>
      </c>
      <c r="P647" s="16" t="n">
        <f aca="false">IF(D647="","",H647+E647-K647-O647)</f>
        <v>24.3878378568298</v>
      </c>
      <c r="Q647" s="16" t="n">
        <f aca="false">IF(D647="","",IF(P647&gt;=0,K647,MAX(0,K647+P647)))</f>
        <v>0.9072</v>
      </c>
      <c r="R647" s="16" t="n">
        <f aca="false">IF(D647="","",Q647/$B$15)</f>
        <v>0.35</v>
      </c>
      <c r="S647" s="16" t="n">
        <f aca="false">IF(D647="","",MAX(0,J647-R647))</f>
        <v>0</v>
      </c>
      <c r="T647" s="16" t="n">
        <f aca="false">IF(D647="","",MAX(0,Z647-$B$8))</f>
        <v>0</v>
      </c>
      <c r="U647" s="16" t="n">
        <f aca="false">IF(D647="","",MAX(0,MIN($B$8,Z647)))</f>
        <v>24.3878378568298</v>
      </c>
      <c r="V647" s="16" t="str">
        <f aca="false">IF(D647="","",IF(S647&gt;0.0000001,"Sim","Não"))</f>
        <v>Não</v>
      </c>
      <c r="W647" s="16" t="n">
        <f aca="false">IF(D647="","",U647-(H647+E647-Q647-O647-T647))</f>
        <v>0</v>
      </c>
      <c r="X647" s="16" t="n">
        <f aca="false">IF(W647="","",ABS(W647))</f>
        <v>0</v>
      </c>
      <c r="Y647" s="16" t="n">
        <f aca="false">IF(U647="","",IF($B$8=0,0,U647/$B$8*100))</f>
        <v>51.6472635680428</v>
      </c>
      <c r="Z647" s="18" t="n">
        <f aca="false">IF(D647="","",MAX(0,IF(P647&gt;=0,P647,IF(K647+P647&gt;=0,0,P647+K647))))</f>
        <v>24.3878378568298</v>
      </c>
      <c r="AA647" s="18" t="n">
        <f aca="false">IF(D647="","",IF(H647&lt;=$B$16,1,IF(H647&gt;=$B$17,$B$21,MATCH(H647,Aux_CAV!$A$2:$A$121,1))))</f>
        <v>12</v>
      </c>
      <c r="AB647" s="18" t="n">
        <f aca="false">IF(D647="","",IF(L647&lt;=$B$16,1,IF(L647&gt;=$B$17,$B$21,MATCH(L647,Aux_CAV!$A$2:$A$121,1))))</f>
        <v>12</v>
      </c>
      <c r="AC647" s="19" t="n">
        <f aca="false">IF(D647="","",COUNT($D$24:D647))</f>
        <v>612</v>
      </c>
    </row>
    <row r="648" customFormat="false" ht="12.75" hidden="false" customHeight="true" outlineLevel="0" collapsed="false">
      <c r="A648" s="14" t="n">
        <f aca="false">IF(D648="","",DATE(B648,C648,1))</f>
        <v>22647</v>
      </c>
      <c r="B648" s="15" t="n">
        <f aca="false" t="array" ref="B648:B648">IF(D648="","",IFERROR(VALUE(INDEX(Vazoes_COLAR!$A$2:$A$200,INT((ROW()-24)/12)+1)),""))</f>
        <v>1962</v>
      </c>
      <c r="C648" s="15" t="n">
        <f aca="false">IF(D648="","",MOD(ROW()-24,12)+1)</f>
        <v>1</v>
      </c>
      <c r="D648" s="16" t="n">
        <f aca="false" t="array" ref="D648: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0.0759907071575685</v>
      </c>
      <c r="E648" s="16" t="n">
        <f aca="false">IF(D648="","",D648*$B$15)</f>
        <v>0.196967912952418</v>
      </c>
      <c r="F648" s="16" t="n">
        <f aca="false" t="array" ref="F648:F648">IF(D648="","",IFERROR(INDEX(Dados_Evap!$C$2:$N$15,MATCH($B$9,Dados_Evap!$A$2:$A$15,0),C648),0))</f>
        <v>160</v>
      </c>
      <c r="G648" s="16" t="n">
        <f aca="false">IF(F648="","",F648/1000)</f>
        <v>0.16</v>
      </c>
      <c r="H648" s="16" t="n">
        <f aca="false">IF(D648="","",MAX(0,MIN($B$8,IFERROR(LOOKUP(2,1/($U$24:U647&lt;&gt;""),$U$24:U647),$B$11))))</f>
        <v>24.3878378568298</v>
      </c>
      <c r="I648" s="16" t="n">
        <f aca="false" t="array" ref="I648: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>4.64951325308814</v>
      </c>
      <c r="J648" s="16" t="n">
        <f aca="false">IF(D648="","",$B$12)</f>
        <v>0.35</v>
      </c>
      <c r="K648" s="16" t="n">
        <f aca="false">IF(J648="","",J648*$B$15)</f>
        <v>0.9072</v>
      </c>
      <c r="L648" s="16" t="n">
        <f aca="false">IF(D648="","",H648+E648-K648-G648*I648)</f>
        <v>22.9336836492881</v>
      </c>
      <c r="M648" s="16" t="n">
        <f aca="false" t="array" ref="M648: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>4.4786597532076</v>
      </c>
      <c r="N648" s="16" t="n">
        <f aca="false">IF(D648="","",(I648+M648)/2)</f>
        <v>4.56408650314787</v>
      </c>
      <c r="O648" s="16" t="n">
        <f aca="false">IF(D648="","",G648*N648)</f>
        <v>0.73025384050366</v>
      </c>
      <c r="P648" s="16" t="n">
        <f aca="false">IF(D648="","",H648+E648-K648-O648)</f>
        <v>22.9473519292785</v>
      </c>
      <c r="Q648" s="16" t="n">
        <f aca="false">IF(D648="","",IF(P648&gt;=0,K648,MAX(0,K648+P648)))</f>
        <v>0.9072</v>
      </c>
      <c r="R648" s="16" t="n">
        <f aca="false">IF(D648="","",Q648/$B$15)</f>
        <v>0.35</v>
      </c>
      <c r="S648" s="16" t="n">
        <f aca="false">IF(D648="","",MAX(0,J648-R648))</f>
        <v>0</v>
      </c>
      <c r="T648" s="16" t="n">
        <f aca="false">IF(D648="","",MAX(0,Z648-$B$8))</f>
        <v>0</v>
      </c>
      <c r="U648" s="16" t="n">
        <f aca="false">IF(D648="","",MAX(0,MIN($B$8,Z648)))</f>
        <v>22.9473519292785</v>
      </c>
      <c r="V648" s="16" t="str">
        <f aca="false">IF(D648="","",IF(S648&gt;0.0000001,"Sim","Não"))</f>
        <v>Não</v>
      </c>
      <c r="W648" s="16" t="n">
        <f aca="false">IF(D648="","",U648-(H648+E648-Q648-O648-T648))</f>
        <v>0</v>
      </c>
      <c r="X648" s="16" t="n">
        <f aca="false">IF(W648="","",ABS(W648))</f>
        <v>0</v>
      </c>
      <c r="Y648" s="16" t="n">
        <f aca="false">IF(U648="","",IF($B$8=0,0,U648/$B$8*100))</f>
        <v>48.5966792233768</v>
      </c>
      <c r="Z648" s="18" t="n">
        <f aca="false">IF(D648="","",MAX(0,IF(P648&gt;=0,P648,IF(K648+P648&gt;=0,0,P648+K648))))</f>
        <v>22.9473519292785</v>
      </c>
      <c r="AA648" s="18" t="n">
        <f aca="false">IF(D648="","",IF(H648&lt;=$B$16,1,IF(H648&gt;=$B$17,$B$21,MATCH(H648,Aux_CAV!$A$2:$A$121,1))))</f>
        <v>12</v>
      </c>
      <c r="AB648" s="18" t="n">
        <f aca="false">IF(D648="","",IF(L648&lt;=$B$16,1,IF(L648&gt;=$B$17,$B$21,MATCH(L648,Aux_CAV!$A$2:$A$121,1))))</f>
        <v>11</v>
      </c>
      <c r="AC648" s="19" t="n">
        <f aca="false">IF(D648="","",COUNT($D$24:D648))</f>
        <v>613</v>
      </c>
    </row>
    <row r="649" customFormat="false" ht="12.75" hidden="false" customHeight="true" outlineLevel="0" collapsed="false">
      <c r="A649" s="14" t="n">
        <f aca="false">IF(D649="","",DATE(B649,C649,1))</f>
        <v>22678</v>
      </c>
      <c r="B649" s="15" t="n">
        <f aca="false" t="array" ref="B649:B649">IF(D649="","",IFERROR(VALUE(INDEX(Vazoes_COLAR!$A$2:$A$200,INT((ROW()-24)/12)+1)),""))</f>
        <v>1962</v>
      </c>
      <c r="C649" s="15" t="n">
        <f aca="false">IF(D649="","",MOD(ROW()-24,12)+1)</f>
        <v>2</v>
      </c>
      <c r="D649" s="16" t="n">
        <f aca="false" t="array" ref="D649: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0.97479932440659</v>
      </c>
      <c r="E649" s="16" t="n">
        <f aca="false">IF(D649="","",D649*$B$15)</f>
        <v>2.52667984886188</v>
      </c>
      <c r="F649" s="16" t="n">
        <f aca="false" t="array" ref="F649:F649">IF(D649="","",IFERROR(INDEX(Dados_Evap!$C$2:$N$15,MATCH($B$9,Dados_Evap!$A$2:$A$15,0),C649),0))</f>
        <v>124.3</v>
      </c>
      <c r="G649" s="16" t="n">
        <f aca="false">IF(F649="","",F649/1000)</f>
        <v>0.1243</v>
      </c>
      <c r="H649" s="16" t="n">
        <f aca="false">IF(D649="","",MAX(0,MIN($B$8,IFERROR(LOOKUP(2,1/($U$24:U648&lt;&gt;""),$U$24:U648),$B$11))))</f>
        <v>22.9473519292785</v>
      </c>
      <c r="I649" s="16" t="n">
        <f aca="false" t="array" ref="I649: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>4.4802932793528</v>
      </c>
      <c r="J649" s="16" t="n">
        <f aca="false">IF(D649="","",$B$12)</f>
        <v>0.35</v>
      </c>
      <c r="K649" s="16" t="n">
        <f aca="false">IF(J649="","",J649*$B$15)</f>
        <v>0.9072</v>
      </c>
      <c r="L649" s="16" t="n">
        <f aca="false">IF(D649="","",H649+E649-K649-G649*I649)</f>
        <v>24.0099313235169</v>
      </c>
      <c r="M649" s="16" t="n">
        <f aca="false" t="array" ref="M649: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>4.60728447524958</v>
      </c>
      <c r="N649" s="16" t="n">
        <f aca="false">IF(D649="","",(I649+M649)/2)</f>
        <v>4.54378887730119</v>
      </c>
      <c r="O649" s="16" t="n">
        <f aca="false">IF(D649="","",G649*N649)</f>
        <v>0.564792957448538</v>
      </c>
      <c r="P649" s="16" t="n">
        <f aca="false">IF(D649="","",H649+E649-K649-O649)</f>
        <v>24.0020388206919</v>
      </c>
      <c r="Q649" s="16" t="n">
        <f aca="false">IF(D649="","",IF(P649&gt;=0,K649,MAX(0,K649+P649)))</f>
        <v>0.9072</v>
      </c>
      <c r="R649" s="16" t="n">
        <f aca="false">IF(D649="","",Q649/$B$15)</f>
        <v>0.35</v>
      </c>
      <c r="S649" s="16" t="n">
        <f aca="false">IF(D649="","",MAX(0,J649-R649))</f>
        <v>0</v>
      </c>
      <c r="T649" s="16" t="n">
        <f aca="false">IF(D649="","",MAX(0,Z649-$B$8))</f>
        <v>0</v>
      </c>
      <c r="U649" s="16" t="n">
        <f aca="false">IF(D649="","",MAX(0,MIN($B$8,Z649)))</f>
        <v>24.0020388206919</v>
      </c>
      <c r="V649" s="16" t="str">
        <f aca="false">IF(D649="","",IF(S649&gt;0.0000001,"Sim","Não"))</f>
        <v>Não</v>
      </c>
      <c r="W649" s="16" t="n">
        <f aca="false">IF(D649="","",U649-(H649+E649-Q649-O649-T649))</f>
        <v>0</v>
      </c>
      <c r="X649" s="16" t="n">
        <f aca="false">IF(W649="","",ABS(W649))</f>
        <v>0</v>
      </c>
      <c r="Y649" s="16" t="n">
        <f aca="false">IF(U649="","",IF($B$8=0,0,U649/$B$8*100))</f>
        <v>50.8302389256499</v>
      </c>
      <c r="Z649" s="18" t="n">
        <f aca="false">IF(D649="","",MAX(0,IF(P649&gt;=0,P649,IF(K649+P649&gt;=0,0,P649+K649))))</f>
        <v>24.0020388206919</v>
      </c>
      <c r="AA649" s="18" t="n">
        <f aca="false">IF(D649="","",IF(H649&lt;=$B$16,1,IF(H649&gt;=$B$17,$B$21,MATCH(H649,Aux_CAV!$A$2:$A$121,1))))</f>
        <v>11</v>
      </c>
      <c r="AB649" s="18" t="n">
        <f aca="false">IF(D649="","",IF(L649&lt;=$B$16,1,IF(L649&gt;=$B$17,$B$21,MATCH(L649,Aux_CAV!$A$2:$A$121,1))))</f>
        <v>11</v>
      </c>
      <c r="AC649" s="19" t="n">
        <f aca="false">IF(D649="","",COUNT($D$24:D649))</f>
        <v>614</v>
      </c>
    </row>
    <row r="650" customFormat="false" ht="12.75" hidden="false" customHeight="true" outlineLevel="0" collapsed="false">
      <c r="A650" s="14" t="n">
        <f aca="false">IF(D650="","",DATE(B650,C650,1))</f>
        <v>22706</v>
      </c>
      <c r="B650" s="15" t="n">
        <f aca="false" t="array" ref="B650:B650">IF(D650="","",IFERROR(VALUE(INDEX(Vazoes_COLAR!$A$2:$A$200,INT((ROW()-24)/12)+1)),""))</f>
        <v>1962</v>
      </c>
      <c r="C650" s="15" t="n">
        <f aca="false">IF(D650="","",MOD(ROW()-24,12)+1)</f>
        <v>3</v>
      </c>
      <c r="D650" s="16" t="n">
        <f aca="false" t="array" ref="D650: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3.78036617916515</v>
      </c>
      <c r="E650" s="16" t="n">
        <f aca="false">IF(D650="","",D650*$B$15)</f>
        <v>9.79870913639607</v>
      </c>
      <c r="F650" s="16" t="n">
        <f aca="false" t="array" ref="F650:F650">IF(D650="","",IFERROR(INDEX(Dados_Evap!$C$2:$N$15,MATCH($B$9,Dados_Evap!$A$2:$A$15,0),C650),0))</f>
        <v>107.7</v>
      </c>
      <c r="G650" s="16" t="n">
        <f aca="false">IF(F650="","",F650/1000)</f>
        <v>0.1077</v>
      </c>
      <c r="H650" s="16" t="n">
        <f aca="false">IF(D650="","",MAX(0,MIN($B$8,IFERROR(LOOKUP(2,1/($U$24:U649&lt;&gt;""),$U$24:U649),$B$11))))</f>
        <v>24.0020388206919</v>
      </c>
      <c r="I650" s="16" t="n">
        <f aca="false" t="array" ref="I650: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>4.60634122491196</v>
      </c>
      <c r="J650" s="16" t="n">
        <f aca="false">IF(D650="","",$B$12)</f>
        <v>0.35</v>
      </c>
      <c r="K650" s="16" t="n">
        <f aca="false">IF(J650="","",J650*$B$15)</f>
        <v>0.9072</v>
      </c>
      <c r="L650" s="16" t="n">
        <f aca="false">IF(D650="","",H650+E650-K650-G650*I650)</f>
        <v>32.3974450071649</v>
      </c>
      <c r="M650" s="16" t="n">
        <f aca="false" t="array" ref="M650: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>5.4815792386084</v>
      </c>
      <c r="N650" s="16" t="n">
        <f aca="false">IF(D650="","",(I650+M650)/2)</f>
        <v>5.04396023176018</v>
      </c>
      <c r="O650" s="16" t="n">
        <f aca="false">IF(D650="","",G650*N650)</f>
        <v>0.543234516960571</v>
      </c>
      <c r="P650" s="16" t="n">
        <f aca="false">IF(D650="","",H650+E650-K650-O650)</f>
        <v>32.3503134401274</v>
      </c>
      <c r="Q650" s="16" t="n">
        <f aca="false">IF(D650="","",IF(P650&gt;=0,K650,MAX(0,K650+P650)))</f>
        <v>0.9072</v>
      </c>
      <c r="R650" s="16" t="n">
        <f aca="false">IF(D650="","",Q650/$B$15)</f>
        <v>0.35</v>
      </c>
      <c r="S650" s="16" t="n">
        <f aca="false">IF(D650="","",MAX(0,J650-R650))</f>
        <v>0</v>
      </c>
      <c r="T650" s="16" t="n">
        <f aca="false">IF(D650="","",MAX(0,Z650-$B$8))</f>
        <v>0</v>
      </c>
      <c r="U650" s="16" t="n">
        <f aca="false">IF(D650="","",MAX(0,MIN($B$8,Z650)))</f>
        <v>32.3503134401274</v>
      </c>
      <c r="V650" s="16" t="str">
        <f aca="false">IF(D650="","",IF(S650&gt;0.0000001,"Sim","Não"))</f>
        <v>Não</v>
      </c>
      <c r="W650" s="16" t="n">
        <f aca="false">IF(D650="","",U650-(H650+E650-Q650-O650-T650))</f>
        <v>0</v>
      </c>
      <c r="X650" s="16" t="n">
        <f aca="false">IF(W650="","",ABS(W650))</f>
        <v>0</v>
      </c>
      <c r="Y650" s="16" t="n">
        <f aca="false">IF(U650="","",IF($B$8=0,0,U650/$B$8*100))</f>
        <v>68.5097700976861</v>
      </c>
      <c r="Z650" s="18" t="n">
        <f aca="false">IF(D650="","",MAX(0,IF(P650&gt;=0,P650,IF(K650+P650&gt;=0,0,P650+K650))))</f>
        <v>32.3503134401274</v>
      </c>
      <c r="AA650" s="18" t="n">
        <f aca="false">IF(D650="","",IF(H650&lt;=$B$16,1,IF(H650&gt;=$B$17,$B$21,MATCH(H650,Aux_CAV!$A$2:$A$121,1))))</f>
        <v>11</v>
      </c>
      <c r="AB650" s="18" t="n">
        <f aca="false">IF(D650="","",IF(L650&lt;=$B$16,1,IF(L650&gt;=$B$17,$B$21,MATCH(L650,Aux_CAV!$A$2:$A$121,1))))</f>
        <v>12</v>
      </c>
      <c r="AC650" s="19" t="n">
        <f aca="false">IF(D650="","",COUNT($D$24:D650))</f>
        <v>615</v>
      </c>
    </row>
    <row r="651" customFormat="false" ht="12.75" hidden="false" customHeight="true" outlineLevel="0" collapsed="false">
      <c r="A651" s="14" t="n">
        <f aca="false">IF(D651="","",DATE(B651,C651,1))</f>
        <v>22737</v>
      </c>
      <c r="B651" s="15" t="n">
        <f aca="false" t="array" ref="B651:B651">IF(D651="","",IFERROR(VALUE(INDEX(Vazoes_COLAR!$A$2:$A$200,INT((ROW()-24)/12)+1)),""))</f>
        <v>1962</v>
      </c>
      <c r="C651" s="15" t="n">
        <f aca="false">IF(D651="","",MOD(ROW()-24,12)+1)</f>
        <v>4</v>
      </c>
      <c r="D651" s="16" t="n">
        <f aca="false" t="array" ref="D651: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3.31272594798624</v>
      </c>
      <c r="E651" s="16" t="n">
        <f aca="false">IF(D651="","",D651*$B$15)</f>
        <v>8.58658565718034</v>
      </c>
      <c r="F651" s="16" t="n">
        <f aca="false" t="array" ref="F651:F651">IF(D651="","",IFERROR(INDEX(Dados_Evap!$C$2:$N$15,MATCH($B$9,Dados_Evap!$A$2:$A$15,0),C651),0))</f>
        <v>100.5</v>
      </c>
      <c r="G651" s="16" t="n">
        <f aca="false">IF(F651="","",F651/1000)</f>
        <v>0.1005</v>
      </c>
      <c r="H651" s="16" t="n">
        <f aca="false">IF(D651="","",MAX(0,MIN($B$8,IFERROR(LOOKUP(2,1/($U$24:U650&lt;&gt;""),$U$24:U650),$B$11))))</f>
        <v>32.3503134401274</v>
      </c>
      <c r="I651" s="16" t="n">
        <f aca="false" t="array" ref="I651: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>5.47668304669285</v>
      </c>
      <c r="J651" s="16" t="n">
        <f aca="false">IF(D651="","",$B$12)</f>
        <v>0.35</v>
      </c>
      <c r="K651" s="16" t="n">
        <f aca="false">IF(J651="","",J651*$B$15)</f>
        <v>0.9072</v>
      </c>
      <c r="L651" s="16" t="n">
        <f aca="false">IF(D651="","",H651+E651-K651-G651*I651)</f>
        <v>39.4792924511151</v>
      </c>
      <c r="M651" s="16" t="n">
        <f aca="false" t="array" ref="M651: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>6.19714633749341</v>
      </c>
      <c r="N651" s="16" t="n">
        <f aca="false">IF(D651="","",(I651+M651)/2)</f>
        <v>5.83691469209313</v>
      </c>
      <c r="O651" s="16" t="n">
        <f aca="false">IF(D651="","",G651*N651)</f>
        <v>0.586609926555359</v>
      </c>
      <c r="P651" s="16" t="n">
        <f aca="false">IF(D651="","",H651+E651-K651-O651)</f>
        <v>39.4430891707524</v>
      </c>
      <c r="Q651" s="16" t="n">
        <f aca="false">IF(D651="","",IF(P651&gt;=0,K651,MAX(0,K651+P651)))</f>
        <v>0.9072</v>
      </c>
      <c r="R651" s="16" t="n">
        <f aca="false">IF(D651="","",Q651/$B$15)</f>
        <v>0.35</v>
      </c>
      <c r="S651" s="16" t="n">
        <f aca="false">IF(D651="","",MAX(0,J651-R651))</f>
        <v>0</v>
      </c>
      <c r="T651" s="16" t="n">
        <f aca="false">IF(D651="","",MAX(0,Z651-$B$8))</f>
        <v>0</v>
      </c>
      <c r="U651" s="16" t="n">
        <f aca="false">IF(D651="","",MAX(0,MIN($B$8,Z651)))</f>
        <v>39.4430891707524</v>
      </c>
      <c r="V651" s="16" t="str">
        <f aca="false">IF(D651="","",IF(S651&gt;0.0000001,"Sim","Não"))</f>
        <v>Não</v>
      </c>
      <c r="W651" s="16" t="n">
        <f aca="false">IF(D651="","",U651-(H651+E651-Q651-O651-T651))</f>
        <v>0</v>
      </c>
      <c r="X651" s="16" t="n">
        <f aca="false">IF(W651="","",ABS(W651))</f>
        <v>0</v>
      </c>
      <c r="Y651" s="16" t="n">
        <f aca="false">IF(U651="","",IF($B$8=0,0,U651/$B$8*100))</f>
        <v>83.5304726191283</v>
      </c>
      <c r="Z651" s="18" t="n">
        <f aca="false">IF(D651="","",MAX(0,IF(P651&gt;=0,P651,IF(K651+P651&gt;=0,0,P651+K651))))</f>
        <v>39.4430891707524</v>
      </c>
      <c r="AA651" s="18" t="n">
        <f aca="false">IF(D651="","",IF(H651&lt;=$B$16,1,IF(H651&gt;=$B$17,$B$21,MATCH(H651,Aux_CAV!$A$2:$A$121,1))))</f>
        <v>12</v>
      </c>
      <c r="AB651" s="18" t="n">
        <f aca="false">IF(D651="","",IF(L651&lt;=$B$16,1,IF(L651&gt;=$B$17,$B$21,MATCH(L651,Aux_CAV!$A$2:$A$121,1))))</f>
        <v>13</v>
      </c>
      <c r="AC651" s="19" t="n">
        <f aca="false">IF(D651="","",COUNT($D$24:D651))</f>
        <v>616</v>
      </c>
    </row>
    <row r="652" customFormat="false" ht="12.75" hidden="false" customHeight="true" outlineLevel="0" collapsed="false">
      <c r="A652" s="14" t="n">
        <f aca="false">IF(D652="","",DATE(B652,C652,1))</f>
        <v>22767</v>
      </c>
      <c r="B652" s="15" t="n">
        <f aca="false" t="array" ref="B652:B652">IF(D652="","",IFERROR(VALUE(INDEX(Vazoes_COLAR!$A$2:$A$200,INT((ROW()-24)/12)+1)),""))</f>
        <v>1962</v>
      </c>
      <c r="C652" s="15" t="n">
        <f aca="false">IF(D652="","",MOD(ROW()-24,12)+1)</f>
        <v>5</v>
      </c>
      <c r="D652" s="16" t="n">
        <f aca="false" t="array" ref="D652: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3.2532926629578</v>
      </c>
      <c r="E652" s="16" t="n">
        <f aca="false">IF(D652="","",D652*$B$15)</f>
        <v>8.43253458238662</v>
      </c>
      <c r="F652" s="16" t="n">
        <f aca="false" t="array" ref="F652:F652">IF(D652="","",IFERROR(INDEX(Dados_Evap!$C$2:$N$15,MATCH($B$9,Dados_Evap!$A$2:$A$15,0),C652),0))</f>
        <v>145.8</v>
      </c>
      <c r="G652" s="16" t="n">
        <f aca="false">IF(F652="","",F652/1000)</f>
        <v>0.1458</v>
      </c>
      <c r="H652" s="16" t="n">
        <f aca="false">IF(D652="","",MAX(0,MIN($B$8,IFERROR(LOOKUP(2,1/($U$24:U651&lt;&gt;""),$U$24:U651),$B$11))))</f>
        <v>39.4430891707524</v>
      </c>
      <c r="I652" s="16" t="n">
        <f aca="false" t="array" ref="I652: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>6.19353170179682</v>
      </c>
      <c r="J652" s="16" t="n">
        <f aca="false">IF(D652="","",$B$12)</f>
        <v>0.35</v>
      </c>
      <c r="K652" s="16" t="n">
        <f aca="false">IF(J652="","",J652*$B$15)</f>
        <v>0.9072</v>
      </c>
      <c r="L652" s="16" t="n">
        <f aca="false">IF(D652="","",H652+E652-K652-G652*I652)</f>
        <v>46.065406831017</v>
      </c>
      <c r="M652" s="16" t="n">
        <f aca="false" t="array" ref="M652: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>6.85472222290814</v>
      </c>
      <c r="N652" s="16" t="n">
        <f aca="false">IF(D652="","",(I652+M652)/2)</f>
        <v>6.52412696235248</v>
      </c>
      <c r="O652" s="16" t="n">
        <f aca="false">IF(D652="","",G652*N652)</f>
        <v>0.951217711110992</v>
      </c>
      <c r="P652" s="16" t="n">
        <f aca="false">IF(D652="","",H652+E652-K652-O652)</f>
        <v>46.017206042028</v>
      </c>
      <c r="Q652" s="16" t="n">
        <f aca="false">IF(D652="","",IF(P652&gt;=0,K652,MAX(0,K652+P652)))</f>
        <v>0.9072</v>
      </c>
      <c r="R652" s="16" t="n">
        <f aca="false">IF(D652="","",Q652/$B$15)</f>
        <v>0.35</v>
      </c>
      <c r="S652" s="16" t="n">
        <f aca="false">IF(D652="","",MAX(0,J652-R652))</f>
        <v>0</v>
      </c>
      <c r="T652" s="16" t="n">
        <f aca="false">IF(D652="","",MAX(0,Z652-$B$8))</f>
        <v>0</v>
      </c>
      <c r="U652" s="16" t="n">
        <f aca="false">IF(D652="","",MAX(0,MIN($B$8,Z652)))</f>
        <v>46.017206042028</v>
      </c>
      <c r="V652" s="16" t="str">
        <f aca="false">IF(D652="","",IF(S652&gt;0.0000001,"Sim","Não"))</f>
        <v>Não</v>
      </c>
      <c r="W652" s="16" t="n">
        <f aca="false">IF(D652="","",U652-(H652+E652-Q652-O652-T652))</f>
        <v>0</v>
      </c>
      <c r="X652" s="16" t="n">
        <f aca="false">IF(W652="","",ABS(W652))</f>
        <v>0</v>
      </c>
      <c r="Y652" s="16" t="n">
        <f aca="false">IF(U652="","",IF($B$8=0,0,U652/$B$8*100))</f>
        <v>97.4527870436848</v>
      </c>
      <c r="Z652" s="18" t="n">
        <f aca="false">IF(D652="","",MAX(0,IF(P652&gt;=0,P652,IF(K652+P652&gt;=0,0,P652+K652))))</f>
        <v>46.017206042028</v>
      </c>
      <c r="AA652" s="18" t="n">
        <f aca="false">IF(D652="","",IF(H652&lt;=$B$16,1,IF(H652&gt;=$B$17,$B$21,MATCH(H652,Aux_CAV!$A$2:$A$121,1))))</f>
        <v>13</v>
      </c>
      <c r="AB652" s="18" t="n">
        <f aca="false">IF(D652="","",IF(L652&lt;=$B$16,1,IF(L652&gt;=$B$17,$B$21,MATCH(L652,Aux_CAV!$A$2:$A$121,1))))</f>
        <v>13</v>
      </c>
      <c r="AC652" s="19" t="n">
        <f aca="false">IF(D652="","",COUNT($D$24:D652))</f>
        <v>617</v>
      </c>
    </row>
    <row r="653" customFormat="false" ht="12.75" hidden="false" customHeight="true" outlineLevel="0" collapsed="false">
      <c r="A653" s="14" t="n">
        <f aca="false">IF(D653="","",DATE(B653,C653,1))</f>
        <v>22798</v>
      </c>
      <c r="B653" s="15" t="n">
        <f aca="false" t="array" ref="B653:B653">IF(D653="","",IFERROR(VALUE(INDEX(Vazoes_COLAR!$A$2:$A$200,INT((ROW()-24)/12)+1)),""))</f>
        <v>1962</v>
      </c>
      <c r="C653" s="15" t="n">
        <f aca="false">IF(D653="","",MOD(ROW()-24,12)+1)</f>
        <v>6</v>
      </c>
      <c r="D653" s="16" t="n">
        <f aca="false" t="array" ref="D653: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1.23614328187395</v>
      </c>
      <c r="E653" s="16" t="n">
        <f aca="false">IF(D653="","",D653*$B$15)</f>
        <v>3.20408338661728</v>
      </c>
      <c r="F653" s="16" t="n">
        <f aca="false" t="array" ref="F653:F653">IF(D653="","",IFERROR(INDEX(Dados_Evap!$C$2:$N$15,MATCH($B$9,Dados_Evap!$A$2:$A$15,0),C653),0))</f>
        <v>161.3</v>
      </c>
      <c r="G653" s="16" t="n">
        <f aca="false">IF(F653="","",F653/1000)</f>
        <v>0.1613</v>
      </c>
      <c r="H653" s="16" t="n">
        <f aca="false">IF(D653="","",MAX(0,MIN($B$8,IFERROR(LOOKUP(2,1/($U$24:U652&lt;&gt;""),$U$24:U652),$B$11))))</f>
        <v>46.017206042028</v>
      </c>
      <c r="I653" s="16" t="n">
        <f aca="false" t="array" ref="I653: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>6.84990972274965</v>
      </c>
      <c r="J653" s="16" t="n">
        <f aca="false">IF(D653="","",$B$12)</f>
        <v>0.35</v>
      </c>
      <c r="K653" s="16" t="n">
        <f aca="false">IF(J653="","",J653*$B$15)</f>
        <v>0.9072</v>
      </c>
      <c r="L653" s="16" t="n">
        <f aca="false">IF(D653="","",H653+E653-K653-G653*I653)</f>
        <v>47.2091989903657</v>
      </c>
      <c r="M653" s="16" t="n">
        <f aca="false" t="array" ref="M653: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>6.96892159730853</v>
      </c>
      <c r="N653" s="16" t="n">
        <f aca="false">IF(D653="","",(I653+M653)/2)</f>
        <v>6.90941566002909</v>
      </c>
      <c r="O653" s="16" t="n">
        <f aca="false">IF(D653="","",G653*N653)</f>
        <v>1.11448874596269</v>
      </c>
      <c r="P653" s="16" t="n">
        <f aca="false">IF(D653="","",H653+E653-K653-O653)</f>
        <v>47.1996006826826</v>
      </c>
      <c r="Q653" s="16" t="n">
        <f aca="false">IF(D653="","",IF(P653&gt;=0,K653,MAX(0,K653+P653)))</f>
        <v>0.9072</v>
      </c>
      <c r="R653" s="16" t="n">
        <f aca="false">IF(D653="","",Q653/$B$15)</f>
        <v>0.35</v>
      </c>
      <c r="S653" s="16" t="n">
        <f aca="false">IF(D653="","",MAX(0,J653-R653))</f>
        <v>0</v>
      </c>
      <c r="T653" s="16" t="n">
        <f aca="false">IF(D653="","",MAX(0,Z653-$B$8))</f>
        <v>0</v>
      </c>
      <c r="U653" s="16" t="n">
        <f aca="false">IF(D653="","",MAX(0,MIN($B$8,Z653)))</f>
        <v>47.1996006826826</v>
      </c>
      <c r="V653" s="16" t="str">
        <f aca="false">IF(D653="","",IF(S653&gt;0.0000001,"Sim","Não"))</f>
        <v>Não</v>
      </c>
      <c r="W653" s="16" t="n">
        <f aca="false">IF(D653="","",U653-(H653+E653-Q653-O653-T653))</f>
        <v>0</v>
      </c>
      <c r="X653" s="16" t="n">
        <f aca="false">IF(W653="","",ABS(W653))</f>
        <v>0</v>
      </c>
      <c r="Y653" s="16" t="n">
        <f aca="false">IF(U653="","",IF($B$8=0,0,U653/$B$8*100))</f>
        <v>99.9567994127119</v>
      </c>
      <c r="Z653" s="18" t="n">
        <f aca="false">IF(D653="","",MAX(0,IF(P653&gt;=0,P653,IF(K653+P653&gt;=0,0,P653+K653))))</f>
        <v>47.1996006826826</v>
      </c>
      <c r="AA653" s="18" t="n">
        <f aca="false">IF(D653="","",IF(H653&lt;=$B$16,1,IF(H653&gt;=$B$17,$B$21,MATCH(H653,Aux_CAV!$A$2:$A$121,1))))</f>
        <v>13</v>
      </c>
      <c r="AB653" s="18" t="n">
        <f aca="false">IF(D653="","",IF(L653&lt;=$B$16,1,IF(L653&gt;=$B$17,$B$21,MATCH(L653,Aux_CAV!$A$2:$A$121,1))))</f>
        <v>13</v>
      </c>
      <c r="AC653" s="19" t="n">
        <f aca="false">IF(D653="","",COUNT($D$24:D653))</f>
        <v>618</v>
      </c>
    </row>
    <row r="654" customFormat="false" ht="12.75" hidden="false" customHeight="true" outlineLevel="0" collapsed="false">
      <c r="A654" s="14" t="n">
        <f aca="false">IF(D654="","",DATE(B654,C654,1))</f>
        <v>22828</v>
      </c>
      <c r="B654" s="15" t="n">
        <f aca="false" t="array" ref="B654:B654">IF(D654="","",IFERROR(VALUE(INDEX(Vazoes_COLAR!$A$2:$A$200,INT((ROW()-24)/12)+1)),""))</f>
        <v>1962</v>
      </c>
      <c r="C654" s="15" t="n">
        <f aca="false">IF(D654="","",MOD(ROW()-24,12)+1)</f>
        <v>7</v>
      </c>
      <c r="D654" s="16" t="n">
        <f aca="false" t="array" ref="D654: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0.201946443332083</v>
      </c>
      <c r="E654" s="16" t="n">
        <f aca="false">IF(D654="","",D654*$B$15)</f>
        <v>0.523445181116759</v>
      </c>
      <c r="F654" s="16" t="n">
        <f aca="false" t="array" ref="F654:F654">IF(D654="","",IFERROR(INDEX(Dados_Evap!$C$2:$N$15,MATCH($B$9,Dados_Evap!$A$2:$A$15,0),C654),0))</f>
        <v>224.8</v>
      </c>
      <c r="G654" s="16" t="n">
        <f aca="false">IF(F654="","",F654/1000)</f>
        <v>0.2248</v>
      </c>
      <c r="H654" s="16" t="n">
        <f aca="false">IF(D654="","",MAX(0,MIN($B$8,IFERROR(LOOKUP(2,1/($U$24:U653&lt;&gt;""),$U$24:U653),$B$11))))</f>
        <v>47.1996006826826</v>
      </c>
      <c r="I654" s="16" t="n">
        <f aca="false" t="array" ref="I654: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>6.96796327570809</v>
      </c>
      <c r="J654" s="16" t="n">
        <f aca="false">IF(D654="","",$B$12)</f>
        <v>0.35</v>
      </c>
      <c r="K654" s="16" t="n">
        <f aca="false">IF(J654="","",J654*$B$15)</f>
        <v>0.9072</v>
      </c>
      <c r="L654" s="16" t="n">
        <f aca="false">IF(D654="","",H654+E654-K654-G654*I654)</f>
        <v>45.2494477194201</v>
      </c>
      <c r="M654" s="16" t="n">
        <f aca="false" t="array" ref="M654: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>6.77325460720626</v>
      </c>
      <c r="N654" s="16" t="n">
        <f aca="false">IF(D654="","",(I654+M654)/2)</f>
        <v>6.87060894145717</v>
      </c>
      <c r="O654" s="16" t="n">
        <f aca="false">IF(D654="","",G654*N654)</f>
        <v>1.54451289003957</v>
      </c>
      <c r="P654" s="16" t="n">
        <f aca="false">IF(D654="","",H654+E654-K654-O654)</f>
        <v>45.2713329737598</v>
      </c>
      <c r="Q654" s="16" t="n">
        <f aca="false">IF(D654="","",IF(P654&gt;=0,K654,MAX(0,K654+P654)))</f>
        <v>0.9072</v>
      </c>
      <c r="R654" s="16" t="n">
        <f aca="false">IF(D654="","",Q654/$B$15)</f>
        <v>0.35</v>
      </c>
      <c r="S654" s="16" t="n">
        <f aca="false">IF(D654="","",MAX(0,J654-R654))</f>
        <v>0</v>
      </c>
      <c r="T654" s="16" t="n">
        <f aca="false">IF(D654="","",MAX(0,Z654-$B$8))</f>
        <v>0</v>
      </c>
      <c r="U654" s="16" t="n">
        <f aca="false">IF(D654="","",MAX(0,MIN($B$8,Z654)))</f>
        <v>45.2713329737598</v>
      </c>
      <c r="V654" s="16" t="str">
        <f aca="false">IF(D654="","",IF(S654&gt;0.0000001,"Sim","Não"))</f>
        <v>Não</v>
      </c>
      <c r="W654" s="16" t="n">
        <f aca="false">IF(D654="","",U654-(H654+E654-Q654-O654-T654))</f>
        <v>0</v>
      </c>
      <c r="X654" s="16" t="n">
        <f aca="false">IF(W654="","",ABS(W654))</f>
        <v>0</v>
      </c>
      <c r="Y654" s="16" t="n">
        <f aca="false">IF(U654="","",IF($B$8=0,0,U654/$B$8*100))</f>
        <v>95.8732168016937</v>
      </c>
      <c r="Z654" s="18" t="n">
        <f aca="false">IF(D654="","",MAX(0,IF(P654&gt;=0,P654,IF(K654+P654&gt;=0,0,P654+K654))))</f>
        <v>45.2713329737598</v>
      </c>
      <c r="AA654" s="18" t="n">
        <f aca="false">IF(D654="","",IF(H654&lt;=$B$16,1,IF(H654&gt;=$B$17,$B$21,MATCH(H654,Aux_CAV!$A$2:$A$121,1))))</f>
        <v>13</v>
      </c>
      <c r="AB654" s="18" t="n">
        <f aca="false">IF(D654="","",IF(L654&lt;=$B$16,1,IF(L654&gt;=$B$17,$B$21,MATCH(L654,Aux_CAV!$A$2:$A$121,1))))</f>
        <v>13</v>
      </c>
      <c r="AC654" s="19" t="n">
        <f aca="false">IF(D654="","",COUNT($D$24:D654))</f>
        <v>619</v>
      </c>
    </row>
    <row r="655" customFormat="false" ht="12.75" hidden="false" customHeight="true" outlineLevel="0" collapsed="false">
      <c r="A655" s="14" t="n">
        <f aca="false">IF(D655="","",DATE(B655,C655,1))</f>
        <v>22859</v>
      </c>
      <c r="B655" s="15" t="n">
        <f aca="false" t="array" ref="B655:B655">IF(D655="","",IFERROR(VALUE(INDEX(Vazoes_COLAR!$A$2:$A$200,INT((ROW()-24)/12)+1)),""))</f>
        <v>1962</v>
      </c>
      <c r="C655" s="15" t="n">
        <f aca="false">IF(D655="","",MOD(ROW()-24,12)+1)</f>
        <v>8</v>
      </c>
      <c r="D655" s="16" t="n">
        <f aca="false" t="array" ref="D655: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0.0259213980723997</v>
      </c>
      <c r="E655" s="16" t="n">
        <f aca="false">IF(D655="","",D655*$B$15)</f>
        <v>0.06718826380366</v>
      </c>
      <c r="F655" s="16" t="n">
        <f aca="false" t="array" ref="F655:F655">IF(D655="","",IFERROR(INDEX(Dados_Evap!$C$2:$N$15,MATCH($B$9,Dados_Evap!$A$2:$A$15,0),C655),0))</f>
        <v>268.7</v>
      </c>
      <c r="G655" s="16" t="n">
        <f aca="false">IF(F655="","",F655/1000)</f>
        <v>0.2687</v>
      </c>
      <c r="H655" s="16" t="n">
        <f aca="false">IF(D655="","",MAX(0,MIN($B$8,IFERROR(LOOKUP(2,1/($U$24:U654&lt;&gt;""),$U$24:U654),$B$11))))</f>
        <v>45.2713329737598</v>
      </c>
      <c r="I655" s="16" t="n">
        <f aca="false" t="array" ref="I655: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>6.77543969156249</v>
      </c>
      <c r="J655" s="16" t="n">
        <f aca="false">IF(D655="","",$B$12)</f>
        <v>0.35</v>
      </c>
      <c r="K655" s="16" t="n">
        <f aca="false">IF(J655="","",J655*$B$15)</f>
        <v>0.9072</v>
      </c>
      <c r="L655" s="16" t="n">
        <f aca="false">IF(D655="","",H655+E655-K655-G655*I655)</f>
        <v>42.6107605924406</v>
      </c>
      <c r="M655" s="16" t="n">
        <f aca="false" t="array" ref="M655: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>6.50980078242135</v>
      </c>
      <c r="N655" s="16" t="n">
        <f aca="false">IF(D655="","",(I655+M655)/2)</f>
        <v>6.64262023699192</v>
      </c>
      <c r="O655" s="16" t="n">
        <f aca="false">IF(D655="","",G655*N655)</f>
        <v>1.78487205767973</v>
      </c>
      <c r="P655" s="16" t="n">
        <f aca="false">IF(D655="","",H655+E655-K655-O655)</f>
        <v>42.6464491798837</v>
      </c>
      <c r="Q655" s="16" t="n">
        <f aca="false">IF(D655="","",IF(P655&gt;=0,K655,MAX(0,K655+P655)))</f>
        <v>0.9072</v>
      </c>
      <c r="R655" s="16" t="n">
        <f aca="false">IF(D655="","",Q655/$B$15)</f>
        <v>0.35</v>
      </c>
      <c r="S655" s="16" t="n">
        <f aca="false">IF(D655="","",MAX(0,J655-R655))</f>
        <v>0</v>
      </c>
      <c r="T655" s="16" t="n">
        <f aca="false">IF(D655="","",MAX(0,Z655-$B$8))</f>
        <v>0</v>
      </c>
      <c r="U655" s="16" t="n">
        <f aca="false">IF(D655="","",MAX(0,MIN($B$8,Z655)))</f>
        <v>42.6464491798837</v>
      </c>
      <c r="V655" s="16" t="str">
        <f aca="false">IF(D655="","",IF(S655&gt;0.0000001,"Sim","Não"))</f>
        <v>Não</v>
      </c>
      <c r="W655" s="16" t="n">
        <f aca="false">IF(D655="","",U655-(H655+E655-Q655-O655-T655))</f>
        <v>0</v>
      </c>
      <c r="X655" s="16" t="n">
        <f aca="false">IF(W655="","",ABS(W655))</f>
        <v>0</v>
      </c>
      <c r="Y655" s="16" t="n">
        <f aca="false">IF(U655="","",IF($B$8=0,0,U655/$B$8*100))</f>
        <v>90.3143777634131</v>
      </c>
      <c r="Z655" s="18" t="n">
        <f aca="false">IF(D655="","",MAX(0,IF(P655&gt;=0,P655,IF(K655+P655&gt;=0,0,P655+K655))))</f>
        <v>42.6464491798837</v>
      </c>
      <c r="AA655" s="18" t="n">
        <f aca="false">IF(D655="","",IF(H655&lt;=$B$16,1,IF(H655&gt;=$B$17,$B$21,MATCH(H655,Aux_CAV!$A$2:$A$121,1))))</f>
        <v>13</v>
      </c>
      <c r="AB655" s="18" t="n">
        <f aca="false">IF(D655="","",IF(L655&lt;=$B$16,1,IF(L655&gt;=$B$17,$B$21,MATCH(L655,Aux_CAV!$A$2:$A$121,1))))</f>
        <v>13</v>
      </c>
      <c r="AC655" s="19" t="n">
        <f aca="false">IF(D655="","",COUNT($D$24:D655))</f>
        <v>620</v>
      </c>
    </row>
    <row r="656" customFormat="false" ht="12.75" hidden="false" customHeight="true" outlineLevel="0" collapsed="false">
      <c r="A656" s="14" t="n">
        <f aca="false">IF(D656="","",DATE(B656,C656,1))</f>
        <v>22890</v>
      </c>
      <c r="B656" s="15" t="n">
        <f aca="false" t="array" ref="B656:B656">IF(D656="","",IFERROR(VALUE(INDEX(Vazoes_COLAR!$A$2:$A$200,INT((ROW()-24)/12)+1)),""))</f>
        <v>1962</v>
      </c>
      <c r="C656" s="15" t="n">
        <f aca="false">IF(D656="","",MOD(ROW()-24,12)+1)</f>
        <v>9</v>
      </c>
      <c r="D656" s="16" t="n">
        <f aca="false" t="array" ref="D656: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0.0194756937759332</v>
      </c>
      <c r="E656" s="16" t="n">
        <f aca="false">IF(D656="","",D656*$B$15)</f>
        <v>0.0504809982672189</v>
      </c>
      <c r="F656" s="16" t="n">
        <f aca="false" t="array" ref="F656:F656">IF(D656="","",IFERROR(INDEX(Dados_Evap!$C$2:$N$15,MATCH($B$9,Dados_Evap!$A$2:$A$15,0),C656),0))</f>
        <v>292.8</v>
      </c>
      <c r="G656" s="16" t="n">
        <f aca="false">IF(F656="","",F656/1000)</f>
        <v>0.2928</v>
      </c>
      <c r="H656" s="16" t="n">
        <f aca="false">IF(D656="","",MAX(0,MIN($B$8,IFERROR(LOOKUP(2,1/($U$24:U655&lt;&gt;""),$U$24:U655),$B$11))))</f>
        <v>42.6464491798837</v>
      </c>
      <c r="I656" s="16" t="n">
        <f aca="false" t="array" ref="I656: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>6.51336402975254</v>
      </c>
      <c r="J656" s="16" t="n">
        <f aca="false">IF(D656="","",$B$12)</f>
        <v>0.35</v>
      </c>
      <c r="K656" s="16" t="n">
        <f aca="false">IF(J656="","",J656*$B$15)</f>
        <v>0.9072</v>
      </c>
      <c r="L656" s="16" t="n">
        <f aca="false">IF(D656="","",H656+E656-K656-G656*I656)</f>
        <v>39.8826171902393</v>
      </c>
      <c r="M656" s="16" t="n">
        <f aca="false" t="array" ref="M656: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>6.23741539556635</v>
      </c>
      <c r="N656" s="16" t="n">
        <f aca="false">IF(D656="","",(I656+M656)/2)</f>
        <v>6.37538971265944</v>
      </c>
      <c r="O656" s="16" t="n">
        <f aca="false">IF(D656="","",G656*N656)</f>
        <v>1.86671410786669</v>
      </c>
      <c r="P656" s="16" t="n">
        <f aca="false">IF(D656="","",H656+E656-K656-O656)</f>
        <v>39.9230160702842</v>
      </c>
      <c r="Q656" s="16" t="n">
        <f aca="false">IF(D656="","",IF(P656&gt;=0,K656,MAX(0,K656+P656)))</f>
        <v>0.9072</v>
      </c>
      <c r="R656" s="16" t="n">
        <f aca="false">IF(D656="","",Q656/$B$15)</f>
        <v>0.35</v>
      </c>
      <c r="S656" s="16" t="n">
        <f aca="false">IF(D656="","",MAX(0,J656-R656))</f>
        <v>0</v>
      </c>
      <c r="T656" s="16" t="n">
        <f aca="false">IF(D656="","",MAX(0,Z656-$B$8))</f>
        <v>0</v>
      </c>
      <c r="U656" s="16" t="n">
        <f aca="false">IF(D656="","",MAX(0,MIN($B$8,Z656)))</f>
        <v>39.9230160702842</v>
      </c>
      <c r="V656" s="16" t="str">
        <f aca="false">IF(D656="","",IF(S656&gt;0.0000001,"Sim","Não"))</f>
        <v>Não</v>
      </c>
      <c r="W656" s="16" t="n">
        <f aca="false">IF(D656="","",U656-(H656+E656-Q656-O656-T656))</f>
        <v>0</v>
      </c>
      <c r="X656" s="16" t="n">
        <f aca="false">IF(W656="","",ABS(W656))</f>
        <v>0</v>
      </c>
      <c r="Y656" s="16" t="n">
        <f aca="false">IF(U656="","",IF($B$8=0,0,U656/$B$8*100))</f>
        <v>84.5468362352482</v>
      </c>
      <c r="Z656" s="18" t="n">
        <f aca="false">IF(D656="","",MAX(0,IF(P656&gt;=0,P656,IF(K656+P656&gt;=0,0,P656+K656))))</f>
        <v>39.9230160702842</v>
      </c>
      <c r="AA656" s="18" t="n">
        <f aca="false">IF(D656="","",IF(H656&lt;=$B$16,1,IF(H656&gt;=$B$17,$B$21,MATCH(H656,Aux_CAV!$A$2:$A$121,1))))</f>
        <v>13</v>
      </c>
      <c r="AB656" s="18" t="n">
        <f aca="false">IF(D656="","",IF(L656&lt;=$B$16,1,IF(L656&gt;=$B$17,$B$21,MATCH(L656,Aux_CAV!$A$2:$A$121,1))))</f>
        <v>13</v>
      </c>
      <c r="AC656" s="19" t="n">
        <f aca="false">IF(D656="","",COUNT($D$24:D656))</f>
        <v>621</v>
      </c>
    </row>
    <row r="657" customFormat="false" ht="12.75" hidden="false" customHeight="true" outlineLevel="0" collapsed="false">
      <c r="A657" s="14" t="n">
        <f aca="false">IF(D657="","",DATE(B657,C657,1))</f>
        <v>22920</v>
      </c>
      <c r="B657" s="15" t="n">
        <f aca="false" t="array" ref="B657:B657">IF(D657="","",IFERROR(VALUE(INDEX(Vazoes_COLAR!$A$2:$A$200,INT((ROW()-24)/12)+1)),""))</f>
        <v>1962</v>
      </c>
      <c r="C657" s="15" t="n">
        <f aca="false">IF(D657="","",MOD(ROW()-24,12)+1)</f>
        <v>10</v>
      </c>
      <c r="D657" s="16" t="n">
        <f aca="false" t="array" ref="D657: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0.061071745234401</v>
      </c>
      <c r="E657" s="16" t="n">
        <f aca="false">IF(D657="","",D657*$B$15)</f>
        <v>0.158297963647567</v>
      </c>
      <c r="F657" s="16" t="n">
        <f aca="false" t="array" ref="F657:F657">IF(D657="","",IFERROR(INDEX(Dados_Evap!$C$2:$N$15,MATCH($B$9,Dados_Evap!$A$2:$A$15,0),C657),0))</f>
        <v>262.9</v>
      </c>
      <c r="G657" s="16" t="n">
        <f aca="false">IF(F657="","",F657/1000)</f>
        <v>0.2629</v>
      </c>
      <c r="H657" s="16" t="n">
        <f aca="false">IF(D657="","",MAX(0,MIN($B$8,IFERROR(LOOKUP(2,1/($U$24:U656&lt;&gt;""),$U$24:U656),$B$11))))</f>
        <v>39.9230160702842</v>
      </c>
      <c r="I657" s="16" t="n">
        <f aca="false" t="array" ref="I657: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>6.24144893154567</v>
      </c>
      <c r="J657" s="16" t="n">
        <f aca="false">IF(D657="","",$B$12)</f>
        <v>0.35</v>
      </c>
      <c r="K657" s="16" t="n">
        <f aca="false">IF(J657="","",J657*$B$15)</f>
        <v>0.9072</v>
      </c>
      <c r="L657" s="16" t="n">
        <f aca="false">IF(D657="","",H657+E657-K657-G657*I657)</f>
        <v>37.5332371098284</v>
      </c>
      <c r="M657" s="16" t="n">
        <f aca="false" t="array" ref="M657: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>6.00284678690897</v>
      </c>
      <c r="N657" s="16" t="n">
        <f aca="false">IF(D657="","",(I657+M657)/2)</f>
        <v>6.12214785922732</v>
      </c>
      <c r="O657" s="16" t="n">
        <f aca="false">IF(D657="","",G657*N657)</f>
        <v>1.60951267219086</v>
      </c>
      <c r="P657" s="16" t="n">
        <f aca="false">IF(D657="","",H657+E657-K657-O657)</f>
        <v>37.5646013617409</v>
      </c>
      <c r="Q657" s="16" t="n">
        <f aca="false">IF(D657="","",IF(P657&gt;=0,K657,MAX(0,K657+P657)))</f>
        <v>0.9072</v>
      </c>
      <c r="R657" s="16" t="n">
        <f aca="false">IF(D657="","",Q657/$B$15)</f>
        <v>0.35</v>
      </c>
      <c r="S657" s="16" t="n">
        <f aca="false">IF(D657="","",MAX(0,J657-R657))</f>
        <v>0</v>
      </c>
      <c r="T657" s="16" t="n">
        <f aca="false">IF(D657="","",MAX(0,Z657-$B$8))</f>
        <v>0</v>
      </c>
      <c r="U657" s="16" t="n">
        <f aca="false">IF(D657="","",MAX(0,MIN($B$8,Z657)))</f>
        <v>37.5646013617409</v>
      </c>
      <c r="V657" s="16" t="str">
        <f aca="false">IF(D657="","",IF(S657&gt;0.0000001,"Sim","Não"))</f>
        <v>Não</v>
      </c>
      <c r="W657" s="16" t="n">
        <f aca="false">IF(D657="","",U657-(H657+E657-Q657-O657-T657))</f>
        <v>0</v>
      </c>
      <c r="X657" s="16" t="n">
        <f aca="false">IF(W657="","",ABS(W657))</f>
        <v>0</v>
      </c>
      <c r="Y657" s="16" t="n">
        <f aca="false">IF(U657="","",IF($B$8=0,0,U657/$B$8*100))</f>
        <v>79.5523112277444</v>
      </c>
      <c r="Z657" s="18" t="n">
        <f aca="false">IF(D657="","",MAX(0,IF(P657&gt;=0,P657,IF(K657+P657&gt;=0,0,P657+K657))))</f>
        <v>37.5646013617409</v>
      </c>
      <c r="AA657" s="18" t="n">
        <f aca="false">IF(D657="","",IF(H657&lt;=$B$16,1,IF(H657&gt;=$B$17,$B$21,MATCH(H657,Aux_CAV!$A$2:$A$121,1))))</f>
        <v>13</v>
      </c>
      <c r="AB657" s="18" t="n">
        <f aca="false">IF(D657="","",IF(L657&lt;=$B$16,1,IF(L657&gt;=$B$17,$B$21,MATCH(L657,Aux_CAV!$A$2:$A$121,1))))</f>
        <v>13</v>
      </c>
      <c r="AC657" s="19" t="n">
        <f aca="false">IF(D657="","",COUNT($D$24:D657))</f>
        <v>622</v>
      </c>
    </row>
    <row r="658" customFormat="false" ht="12.75" hidden="false" customHeight="true" outlineLevel="0" collapsed="false">
      <c r="A658" s="14" t="n">
        <f aca="false">IF(D658="","",DATE(B658,C658,1))</f>
        <v>22951</v>
      </c>
      <c r="B658" s="15" t="n">
        <f aca="false" t="array" ref="B658:B658">IF(D658="","",IFERROR(VALUE(INDEX(Vazoes_COLAR!$A$2:$A$200,INT((ROW()-24)/12)+1)),""))</f>
        <v>1962</v>
      </c>
      <c r="C658" s="15" t="n">
        <f aca="false">IF(D658="","",MOD(ROW()-24,12)+1)</f>
        <v>11</v>
      </c>
      <c r="D658" s="16" t="n">
        <f aca="false" t="array" ref="D658: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0.116656889094644</v>
      </c>
      <c r="E658" s="16" t="n">
        <f aca="false">IF(D658="","",D658*$B$15)</f>
        <v>0.302374656533317</v>
      </c>
      <c r="F658" s="16" t="n">
        <f aca="false" t="array" ref="F658:F658">IF(D658="","",IFERROR(INDEX(Dados_Evap!$C$2:$N$15,MATCH($B$9,Dados_Evap!$A$2:$A$15,0),C658),0))</f>
        <v>223.7</v>
      </c>
      <c r="G658" s="16" t="n">
        <f aca="false">IF(F658="","",F658/1000)</f>
        <v>0.2237</v>
      </c>
      <c r="H658" s="16" t="n">
        <f aca="false">IF(D658="","",MAX(0,MIN($B$8,IFERROR(LOOKUP(2,1/($U$24:U657&lt;&gt;""),$U$24:U657),$B$11))))</f>
        <v>37.5646013617409</v>
      </c>
      <c r="I658" s="16" t="n">
        <f aca="false" t="array" ref="I658: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>6.00597828061407</v>
      </c>
      <c r="J658" s="16" t="n">
        <f aca="false">IF(D658="","",$B$12)</f>
        <v>0.35</v>
      </c>
      <c r="K658" s="16" t="n">
        <f aca="false">IF(J658="","",J658*$B$15)</f>
        <v>0.9072</v>
      </c>
      <c r="L658" s="16" t="n">
        <f aca="false">IF(D658="","",H658+E658-K658-G658*I658)</f>
        <v>35.6162386769009</v>
      </c>
      <c r="M658" s="16" t="n">
        <f aca="false" t="array" ref="M658: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>5.81144835846416</v>
      </c>
      <c r="N658" s="16" t="n">
        <f aca="false">IF(D658="","",(I658+M658)/2)</f>
        <v>5.90871331953911</v>
      </c>
      <c r="O658" s="16" t="n">
        <f aca="false">IF(D658="","",G658*N658)</f>
        <v>1.3217791695809</v>
      </c>
      <c r="P658" s="16" t="n">
        <f aca="false">IF(D658="","",H658+E658-K658-O658)</f>
        <v>35.6379968486933</v>
      </c>
      <c r="Q658" s="16" t="n">
        <f aca="false">IF(D658="","",IF(P658&gt;=0,K658,MAX(0,K658+P658)))</f>
        <v>0.9072</v>
      </c>
      <c r="R658" s="16" t="n">
        <f aca="false">IF(D658="","",Q658/$B$15)</f>
        <v>0.35</v>
      </c>
      <c r="S658" s="16" t="n">
        <f aca="false">IF(D658="","",MAX(0,J658-R658))</f>
        <v>0</v>
      </c>
      <c r="T658" s="16" t="n">
        <f aca="false">IF(D658="","",MAX(0,Z658-$B$8))</f>
        <v>0</v>
      </c>
      <c r="U658" s="16" t="n">
        <f aca="false">IF(D658="","",MAX(0,MIN($B$8,Z658)))</f>
        <v>35.6379968486933</v>
      </c>
      <c r="V658" s="16" t="str">
        <f aca="false">IF(D658="","",IF(S658&gt;0.0000001,"Sim","Não"))</f>
        <v>Não</v>
      </c>
      <c r="W658" s="16" t="n">
        <f aca="false">IF(D658="","",U658-(H658+E658-Q658-O658-T658))</f>
        <v>0</v>
      </c>
      <c r="X658" s="16" t="n">
        <f aca="false">IF(W658="","",ABS(W658))</f>
        <v>0</v>
      </c>
      <c r="Y658" s="16" t="n">
        <f aca="false">IF(U658="","",IF($B$8=0,0,U658/$B$8*100))</f>
        <v>75.4722508443315</v>
      </c>
      <c r="Z658" s="18" t="n">
        <f aca="false">IF(D658="","",MAX(0,IF(P658&gt;=0,P658,IF(K658+P658&gt;=0,0,P658+K658))))</f>
        <v>35.6379968486933</v>
      </c>
      <c r="AA658" s="18" t="n">
        <f aca="false">IF(D658="","",IF(H658&lt;=$B$16,1,IF(H658&gt;=$B$17,$B$21,MATCH(H658,Aux_CAV!$A$2:$A$121,1))))</f>
        <v>13</v>
      </c>
      <c r="AB658" s="18" t="n">
        <f aca="false">IF(D658="","",IF(L658&lt;=$B$16,1,IF(L658&gt;=$B$17,$B$21,MATCH(L658,Aux_CAV!$A$2:$A$121,1))))</f>
        <v>13</v>
      </c>
      <c r="AC658" s="19" t="n">
        <f aca="false">IF(D658="","",COUNT($D$24:D658))</f>
        <v>623</v>
      </c>
    </row>
    <row r="659" customFormat="false" ht="12.75" hidden="false" customHeight="true" outlineLevel="0" collapsed="false">
      <c r="A659" s="14" t="n">
        <f aca="false">IF(D659="","",DATE(B659,C659,1))</f>
        <v>22981</v>
      </c>
      <c r="B659" s="15" t="n">
        <f aca="false" t="array" ref="B659:B659">IF(D659="","",IFERROR(VALUE(INDEX(Vazoes_COLAR!$A$2:$A$200,INT((ROW()-24)/12)+1)),""))</f>
        <v>1962</v>
      </c>
      <c r="C659" s="15" t="n">
        <f aca="false">IF(D659="","",MOD(ROW()-24,12)+1)</f>
        <v>12</v>
      </c>
      <c r="D659" s="16" t="n">
        <f aca="false" t="array" ref="D659: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0.218290273392358</v>
      </c>
      <c r="E659" s="16" t="n">
        <f aca="false">IF(D659="","",D659*$B$15)</f>
        <v>0.565808388632992</v>
      </c>
      <c r="F659" s="16" t="n">
        <f aca="false" t="array" ref="F659:F659">IF(D659="","",IFERROR(INDEX(Dados_Evap!$C$2:$N$15,MATCH($B$9,Dados_Evap!$A$2:$A$15,0),C659),0))</f>
        <v>216.1</v>
      </c>
      <c r="G659" s="16" t="n">
        <f aca="false">IF(F659="","",F659/1000)</f>
        <v>0.2161</v>
      </c>
      <c r="H659" s="16" t="n">
        <f aca="false">IF(D659="","",MAX(0,MIN($B$8,IFERROR(LOOKUP(2,1/($U$24:U658&lt;&gt;""),$U$24:U658),$B$11))))</f>
        <v>35.6379968486933</v>
      </c>
      <c r="I659" s="16" t="n">
        <f aca="false" t="array" ref="I659: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>5.81362075454721</v>
      </c>
      <c r="J659" s="16" t="n">
        <f aca="false">IF(D659="","",$B$12)</f>
        <v>0.35</v>
      </c>
      <c r="K659" s="16" t="n">
        <f aca="false">IF(J659="","",J659*$B$15)</f>
        <v>0.9072</v>
      </c>
      <c r="L659" s="16" t="n">
        <f aca="false">IF(D659="","",H659+E659-K659-G659*I659)</f>
        <v>34.0402817922687</v>
      </c>
      <c r="M659" s="16" t="n">
        <f aca="false" t="array" ref="M659: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>5.65224286579878</v>
      </c>
      <c r="N659" s="16" t="n">
        <f aca="false">IF(D659="","",(I659+M659)/2)</f>
        <v>5.732931810173</v>
      </c>
      <c r="O659" s="16" t="n">
        <f aca="false">IF(D659="","",G659*N659)</f>
        <v>1.23888656417838</v>
      </c>
      <c r="P659" s="16" t="n">
        <f aca="false">IF(D659="","",H659+E659-K659-O659)</f>
        <v>34.0577186731479</v>
      </c>
      <c r="Q659" s="16" t="n">
        <f aca="false">IF(D659="","",IF(P659&gt;=0,K659,MAX(0,K659+P659)))</f>
        <v>0.9072</v>
      </c>
      <c r="R659" s="16" t="n">
        <f aca="false">IF(D659="","",Q659/$B$15)</f>
        <v>0.35</v>
      </c>
      <c r="S659" s="16" t="n">
        <f aca="false">IF(D659="","",MAX(0,J659-R659))</f>
        <v>0</v>
      </c>
      <c r="T659" s="16" t="n">
        <f aca="false">IF(D659="","",MAX(0,Z659-$B$8))</f>
        <v>0</v>
      </c>
      <c r="U659" s="16" t="n">
        <f aca="false">IF(D659="","",MAX(0,MIN($B$8,Z659)))</f>
        <v>34.0577186731479</v>
      </c>
      <c r="V659" s="16" t="str">
        <f aca="false">IF(D659="","",IF(S659&gt;0.0000001,"Sim","Não"))</f>
        <v>Não</v>
      </c>
      <c r="W659" s="16" t="n">
        <f aca="false">IF(D659="","",U659-(H659+E659-Q659-O659-T659))</f>
        <v>0</v>
      </c>
      <c r="X659" s="16" t="n">
        <f aca="false">IF(W659="","",ABS(W659))</f>
        <v>0</v>
      </c>
      <c r="Y659" s="16" t="n">
        <f aca="false">IF(U659="","",IF($B$8=0,0,U659/$B$8*100))</f>
        <v>72.1256219253451</v>
      </c>
      <c r="Z659" s="18" t="n">
        <f aca="false">IF(D659="","",MAX(0,IF(P659&gt;=0,P659,IF(K659+P659&gt;=0,0,P659+K659))))</f>
        <v>34.0577186731479</v>
      </c>
      <c r="AA659" s="18" t="n">
        <f aca="false">IF(D659="","",IF(H659&lt;=$B$16,1,IF(H659&gt;=$B$17,$B$21,MATCH(H659,Aux_CAV!$A$2:$A$121,1))))</f>
        <v>13</v>
      </c>
      <c r="AB659" s="18" t="n">
        <f aca="false">IF(D659="","",IF(L659&lt;=$B$16,1,IF(L659&gt;=$B$17,$B$21,MATCH(L659,Aux_CAV!$A$2:$A$121,1))))</f>
        <v>12</v>
      </c>
      <c r="AC659" s="19" t="n">
        <f aca="false">IF(D659="","",COUNT($D$24:D659))</f>
        <v>624</v>
      </c>
    </row>
    <row r="660" customFormat="false" ht="12.75" hidden="false" customHeight="true" outlineLevel="0" collapsed="false">
      <c r="A660" s="14" t="n">
        <f aca="false">IF(D660="","",DATE(B660,C660,1))</f>
        <v>23012</v>
      </c>
      <c r="B660" s="15" t="n">
        <f aca="false" t="array" ref="B660:B660">IF(D660="","",IFERROR(VALUE(INDEX(Vazoes_COLAR!$A$2:$A$200,INT((ROW()-24)/12)+1)),""))</f>
        <v>1963</v>
      </c>
      <c r="C660" s="15" t="n">
        <f aca="false">IF(D660="","",MOD(ROW()-24,12)+1)</f>
        <v>1</v>
      </c>
      <c r="D660" s="16" t="n">
        <f aca="false" t="array" ref="D660: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0.50278323515606</v>
      </c>
      <c r="E660" s="16" t="n">
        <f aca="false">IF(D660="","",D660*$B$15)</f>
        <v>1.30321414552451</v>
      </c>
      <c r="F660" s="16" t="n">
        <f aca="false" t="array" ref="F660:F660">IF(D660="","",IFERROR(INDEX(Dados_Evap!$C$2:$N$15,MATCH($B$9,Dados_Evap!$A$2:$A$15,0),C660),0))</f>
        <v>160</v>
      </c>
      <c r="G660" s="16" t="n">
        <f aca="false">IF(F660="","",F660/1000)</f>
        <v>0.16</v>
      </c>
      <c r="H660" s="16" t="n">
        <f aca="false">IF(D660="","",MAX(0,MIN($B$8,IFERROR(LOOKUP(2,1/($U$24:U659&lt;&gt;""),$U$24:U659),$B$11))))</f>
        <v>34.0577186731479</v>
      </c>
      <c r="I660" s="16" t="n">
        <f aca="false" t="array" ref="I660: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>5.65405426992896</v>
      </c>
      <c r="J660" s="16" t="n">
        <f aca="false">IF(D660="","",$B$12)</f>
        <v>0.35</v>
      </c>
      <c r="K660" s="16" t="n">
        <f aca="false">IF(J660="","",J660*$B$15)</f>
        <v>0.9072</v>
      </c>
      <c r="L660" s="16" t="n">
        <f aca="false">IF(D660="","",H660+E660-K660-G660*I660)</f>
        <v>33.5490841354838</v>
      </c>
      <c r="M660" s="16" t="n">
        <f aca="false" t="array" ref="M660: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>5.60121553640463</v>
      </c>
      <c r="N660" s="16" t="n">
        <f aca="false">IF(D660="","",(I660+M660)/2)</f>
        <v>5.62763490316679</v>
      </c>
      <c r="O660" s="16" t="n">
        <f aca="false">IF(D660="","",G660*N660)</f>
        <v>0.900421584506687</v>
      </c>
      <c r="P660" s="16" t="n">
        <f aca="false">IF(D660="","",H660+E660-K660-O660)</f>
        <v>33.5533112341658</v>
      </c>
      <c r="Q660" s="16" t="n">
        <f aca="false">IF(D660="","",IF(P660&gt;=0,K660,MAX(0,K660+P660)))</f>
        <v>0.9072</v>
      </c>
      <c r="R660" s="16" t="n">
        <f aca="false">IF(D660="","",Q660/$B$15)</f>
        <v>0.35</v>
      </c>
      <c r="S660" s="16" t="n">
        <f aca="false">IF(D660="","",MAX(0,J660-R660))</f>
        <v>0</v>
      </c>
      <c r="T660" s="16" t="n">
        <f aca="false">IF(D660="","",MAX(0,Z660-$B$8))</f>
        <v>0</v>
      </c>
      <c r="U660" s="16" t="n">
        <f aca="false">IF(D660="","",MAX(0,MIN($B$8,Z660)))</f>
        <v>33.5533112341658</v>
      </c>
      <c r="V660" s="16" t="str">
        <f aca="false">IF(D660="","",IF(S660&gt;0.0000001,"Sim","Não"))</f>
        <v>Não</v>
      </c>
      <c r="W660" s="16" t="n">
        <f aca="false">IF(D660="","",U660-(H660+E660-Q660-O660-T660))</f>
        <v>0</v>
      </c>
      <c r="X660" s="16" t="n">
        <f aca="false">IF(W660="","",ABS(W660))</f>
        <v>0</v>
      </c>
      <c r="Y660" s="16" t="n">
        <f aca="false">IF(U660="","",IF($B$8=0,0,U660/$B$8*100))</f>
        <v>71.0574147271617</v>
      </c>
      <c r="Z660" s="18" t="n">
        <f aca="false">IF(D660="","",MAX(0,IF(P660&gt;=0,P660,IF(K660+P660&gt;=0,0,P660+K660))))</f>
        <v>33.5533112341658</v>
      </c>
      <c r="AA660" s="18" t="n">
        <f aca="false">IF(D660="","",IF(H660&lt;=$B$16,1,IF(H660&gt;=$B$17,$B$21,MATCH(H660,Aux_CAV!$A$2:$A$121,1))))</f>
        <v>12</v>
      </c>
      <c r="AB660" s="18" t="n">
        <f aca="false">IF(D660="","",IF(L660&lt;=$B$16,1,IF(L660&gt;=$B$17,$B$21,MATCH(L660,Aux_CAV!$A$2:$A$121,1))))</f>
        <v>12</v>
      </c>
      <c r="AC660" s="19" t="n">
        <f aca="false">IF(D660="","",COUNT($D$24:D660))</f>
        <v>625</v>
      </c>
    </row>
    <row r="661" customFormat="false" ht="12.75" hidden="false" customHeight="true" outlineLevel="0" collapsed="false">
      <c r="A661" s="14" t="n">
        <f aca="false">IF(D661="","",DATE(B661,C661,1))</f>
        <v>23043</v>
      </c>
      <c r="B661" s="15" t="n">
        <f aca="false" t="array" ref="B661:B661">IF(D661="","",IFERROR(VALUE(INDEX(Vazoes_COLAR!$A$2:$A$200,INT((ROW()-24)/12)+1)),""))</f>
        <v>1963</v>
      </c>
      <c r="C661" s="15" t="n">
        <f aca="false">IF(D661="","",MOD(ROW()-24,12)+1)</f>
        <v>2</v>
      </c>
      <c r="D661" s="16" t="n">
        <f aca="false" t="array" ref="D661: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6.66460548221488</v>
      </c>
      <c r="E661" s="16" t="n">
        <f aca="false">IF(D661="","",D661*$B$15)</f>
        <v>17.274657409901</v>
      </c>
      <c r="F661" s="16" t="n">
        <f aca="false" t="array" ref="F661:F661">IF(D661="","",IFERROR(INDEX(Dados_Evap!$C$2:$N$15,MATCH($B$9,Dados_Evap!$A$2:$A$15,0),C661),0))</f>
        <v>124.3</v>
      </c>
      <c r="G661" s="16" t="n">
        <f aca="false">IF(F661="","",F661/1000)</f>
        <v>0.1243</v>
      </c>
      <c r="H661" s="16" t="n">
        <f aca="false">IF(D661="","",MAX(0,MIN($B$8,IFERROR(LOOKUP(2,1/($U$24:U660&lt;&gt;""),$U$24:U660),$B$11))))</f>
        <v>33.5533112341658</v>
      </c>
      <c r="I661" s="16" t="n">
        <f aca="false" t="array" ref="I661: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>5.60165466219003</v>
      </c>
      <c r="J661" s="16" t="n">
        <f aca="false">IF(D661="","",$B$12)</f>
        <v>0.35</v>
      </c>
      <c r="K661" s="16" t="n">
        <f aca="false">IF(J661="","",J661*$B$15)</f>
        <v>0.9072</v>
      </c>
      <c r="L661" s="16" t="n">
        <f aca="false">IF(D661="","",H661+E661-K661-G661*I661)</f>
        <v>49.2244829695565</v>
      </c>
      <c r="M661" s="16" t="n">
        <f aca="false" t="array" ref="M661: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>7.20630083787455</v>
      </c>
      <c r="N661" s="16" t="n">
        <f aca="false">IF(D661="","",(I661+M661)/2)</f>
        <v>6.40397775003229</v>
      </c>
      <c r="O661" s="16" t="n">
        <f aca="false">IF(D661="","",G661*N661)</f>
        <v>0.796014434329014</v>
      </c>
      <c r="P661" s="16" t="n">
        <f aca="false">IF(D661="","",H661+E661-K661-O661)</f>
        <v>49.1247542097377</v>
      </c>
      <c r="Q661" s="16" t="n">
        <f aca="false">IF(D661="","",IF(P661&gt;=0,K661,MAX(0,K661+P661)))</f>
        <v>0.9072</v>
      </c>
      <c r="R661" s="16" t="n">
        <f aca="false">IF(D661="","",Q661/$B$15)</f>
        <v>0.35</v>
      </c>
      <c r="S661" s="16" t="n">
        <f aca="false">IF(D661="","",MAX(0,J661-R661))</f>
        <v>0</v>
      </c>
      <c r="T661" s="16" t="n">
        <f aca="false">IF(D661="","",MAX(0,Z661-$B$8))</f>
        <v>1.9047542097377</v>
      </c>
      <c r="U661" s="16" t="n">
        <f aca="false">IF(D661="","",MAX(0,MIN($B$8,Z661)))</f>
        <v>47.22</v>
      </c>
      <c r="V661" s="16" t="str">
        <f aca="false">IF(D661="","",IF(S661&gt;0.0000001,"Sim","Não"))</f>
        <v>Não</v>
      </c>
      <c r="W661" s="16" t="n">
        <f aca="false">IF(D661="","",U661-(H661+E661-Q661-O661-T661))</f>
        <v>0</v>
      </c>
      <c r="X661" s="16" t="n">
        <f aca="false">IF(W661="","",ABS(W661))</f>
        <v>0</v>
      </c>
      <c r="Y661" s="16" t="n">
        <f aca="false">IF(U661="","",IF($B$8=0,0,U661/$B$8*100))</f>
        <v>100</v>
      </c>
      <c r="Z661" s="18" t="n">
        <f aca="false">IF(D661="","",MAX(0,IF(P661&gt;=0,P661,IF(K661+P661&gt;=0,0,P661+K661))))</f>
        <v>49.1247542097377</v>
      </c>
      <c r="AA661" s="18" t="n">
        <f aca="false">IF(D661="","",IF(H661&lt;=$B$16,1,IF(H661&gt;=$B$17,$B$21,MATCH(H661,Aux_CAV!$A$2:$A$121,1))))</f>
        <v>12</v>
      </c>
      <c r="AB661" s="18" t="n">
        <f aca="false">IF(D661="","",IF(L661&lt;=$B$16,1,IF(L661&gt;=$B$17,$B$21,MATCH(L661,Aux_CAV!$A$2:$A$121,1))))</f>
        <v>14</v>
      </c>
      <c r="AC661" s="19" t="n">
        <f aca="false">IF(D661="","",COUNT($D$24:D661))</f>
        <v>626</v>
      </c>
    </row>
    <row r="662" customFormat="false" ht="12.75" hidden="false" customHeight="true" outlineLevel="0" collapsed="false">
      <c r="A662" s="14" t="n">
        <f aca="false">IF(D662="","",DATE(B662,C662,1))</f>
        <v>23071</v>
      </c>
      <c r="B662" s="15" t="n">
        <f aca="false" t="array" ref="B662:B662">IF(D662="","",IFERROR(VALUE(INDEX(Vazoes_COLAR!$A$2:$A$200,INT((ROW()-24)/12)+1)),""))</f>
        <v>1963</v>
      </c>
      <c r="C662" s="15" t="n">
        <f aca="false">IF(D662="","",MOD(ROW()-24,12)+1)</f>
        <v>3</v>
      </c>
      <c r="D662" s="16" t="n">
        <f aca="false" t="array" ref="D662: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11.2766855093182</v>
      </c>
      <c r="E662" s="16" t="n">
        <f aca="false">IF(D662="","",D662*$B$15)</f>
        <v>29.2291688401528</v>
      </c>
      <c r="F662" s="16" t="n">
        <f aca="false" t="array" ref="F662:F662">IF(D662="","",IFERROR(INDEX(Dados_Evap!$C$2:$N$15,MATCH($B$9,Dados_Evap!$A$2:$A$15,0),C662),0))</f>
        <v>107.7</v>
      </c>
      <c r="G662" s="16" t="n">
        <f aca="false">IF(F662="","",F662/1000)</f>
        <v>0.1077</v>
      </c>
      <c r="H662" s="16" t="n">
        <f aca="false">IF(D662="","",MAX(0,MIN($B$8,IFERROR(LOOKUP(2,1/($U$24:U661&lt;&gt;""),$U$24:U661),$B$11))))</f>
        <v>47.22</v>
      </c>
      <c r="I662" s="16" t="n">
        <f aca="false" t="array" ref="I662: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>6.97</v>
      </c>
      <c r="J662" s="16" t="n">
        <f aca="false">IF(D662="","",$B$12)</f>
        <v>0.35</v>
      </c>
      <c r="K662" s="16" t="n">
        <f aca="false">IF(J662="","",J662*$B$15)</f>
        <v>0.9072</v>
      </c>
      <c r="L662" s="16" t="n">
        <f aca="false">IF(D662="","",H662+E662-K662-G662*I662)</f>
        <v>74.7912998401528</v>
      </c>
      <c r="M662" s="16" t="n">
        <f aca="false" t="array" ref="M662: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>10.1606671625488</v>
      </c>
      <c r="N662" s="16" t="n">
        <f aca="false">IF(D662="","",(I662+M662)/2)</f>
        <v>8.56533358127442</v>
      </c>
      <c r="O662" s="16" t="n">
        <f aca="false">IF(D662="","",G662*N662)</f>
        <v>0.922486426703255</v>
      </c>
      <c r="P662" s="16" t="n">
        <f aca="false">IF(D662="","",H662+E662-K662-O662)</f>
        <v>74.6194824134495</v>
      </c>
      <c r="Q662" s="16" t="n">
        <f aca="false">IF(D662="","",IF(P662&gt;=0,K662,MAX(0,K662+P662)))</f>
        <v>0.9072</v>
      </c>
      <c r="R662" s="16" t="n">
        <f aca="false">IF(D662="","",Q662/$B$15)</f>
        <v>0.35</v>
      </c>
      <c r="S662" s="16" t="n">
        <f aca="false">IF(D662="","",MAX(0,J662-R662))</f>
        <v>0</v>
      </c>
      <c r="T662" s="16" t="n">
        <f aca="false">IF(D662="","",MAX(0,Z662-$B$8))</f>
        <v>27.3994824134495</v>
      </c>
      <c r="U662" s="16" t="n">
        <f aca="false">IF(D662="","",MAX(0,MIN($B$8,Z662)))</f>
        <v>47.22</v>
      </c>
      <c r="V662" s="16" t="str">
        <f aca="false">IF(D662="","",IF(S662&gt;0.0000001,"Sim","Não"))</f>
        <v>Não</v>
      </c>
      <c r="W662" s="16" t="n">
        <f aca="false">IF(D662="","",U662-(H662+E662-Q662-O662-T662))</f>
        <v>0</v>
      </c>
      <c r="X662" s="16" t="n">
        <f aca="false">IF(W662="","",ABS(W662))</f>
        <v>0</v>
      </c>
      <c r="Y662" s="16" t="n">
        <f aca="false">IF(U662="","",IF($B$8=0,0,U662/$B$8*100))</f>
        <v>100</v>
      </c>
      <c r="Z662" s="18" t="n">
        <f aca="false">IF(D662="","",MAX(0,IF(P662&gt;=0,P662,IF(K662+P662&gt;=0,0,P662+K662))))</f>
        <v>74.6194824134495</v>
      </c>
      <c r="AA662" s="18" t="n">
        <f aca="false">IF(D662="","",IF(H662&lt;=$B$16,1,IF(H662&gt;=$B$17,$B$21,MATCH(H662,Aux_CAV!$A$2:$A$121,1))))</f>
        <v>14</v>
      </c>
      <c r="AB662" s="18" t="n">
        <f aca="false">IF(D662="","",IF(L662&lt;=$B$16,1,IF(L662&gt;=$B$17,$B$21,MATCH(L662,Aux_CAV!$A$2:$A$121,1))))</f>
        <v>17</v>
      </c>
      <c r="AC662" s="19" t="n">
        <f aca="false">IF(D662="","",COUNT($D$24:D662))</f>
        <v>627</v>
      </c>
    </row>
    <row r="663" customFormat="false" ht="12.75" hidden="false" customHeight="true" outlineLevel="0" collapsed="false">
      <c r="A663" s="14" t="n">
        <f aca="false">IF(D663="","",DATE(B663,C663,1))</f>
        <v>23102</v>
      </c>
      <c r="B663" s="15" t="n">
        <f aca="false" t="array" ref="B663:B663">IF(D663="","",IFERROR(VALUE(INDEX(Vazoes_COLAR!$A$2:$A$200,INT((ROW()-24)/12)+1)),""))</f>
        <v>1963</v>
      </c>
      <c r="C663" s="15" t="n">
        <f aca="false">IF(D663="","",MOD(ROW()-24,12)+1)</f>
        <v>4</v>
      </c>
      <c r="D663" s="16" t="n">
        <f aca="false" t="array" ref="D663: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3.33159174018846</v>
      </c>
      <c r="E663" s="16" t="n">
        <f aca="false">IF(D663="","",D663*$B$15)</f>
        <v>8.63548579056849</v>
      </c>
      <c r="F663" s="16" t="n">
        <f aca="false" t="array" ref="F663:F663">IF(D663="","",IFERROR(INDEX(Dados_Evap!$C$2:$N$15,MATCH($B$9,Dados_Evap!$A$2:$A$15,0),C663),0))</f>
        <v>100.5</v>
      </c>
      <c r="G663" s="16" t="n">
        <f aca="false">IF(F663="","",F663/1000)</f>
        <v>0.1005</v>
      </c>
      <c r="H663" s="16" t="n">
        <f aca="false">IF(D663="","",MAX(0,MIN($B$8,IFERROR(LOOKUP(2,1/($U$24:U662&lt;&gt;""),$U$24:U662),$B$11))))</f>
        <v>47.22</v>
      </c>
      <c r="I663" s="16" t="n">
        <f aca="false" t="array" ref="I663: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>6.97</v>
      </c>
      <c r="J663" s="16" t="n">
        <f aca="false">IF(D663="","",$B$12)</f>
        <v>0.35</v>
      </c>
      <c r="K663" s="16" t="n">
        <f aca="false">IF(J663="","",J663*$B$15)</f>
        <v>0.9072</v>
      </c>
      <c r="L663" s="16" t="n">
        <f aca="false">IF(D663="","",H663+E663-K663-G663*I663)</f>
        <v>54.2478007905685</v>
      </c>
      <c r="M663" s="16" t="n">
        <f aca="false" t="array" ref="M663: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>7.79848058100198</v>
      </c>
      <c r="N663" s="16" t="n">
        <f aca="false">IF(D663="","",(I663+M663)/2)</f>
        <v>7.38424029050099</v>
      </c>
      <c r="O663" s="16" t="n">
        <f aca="false">IF(D663="","",G663*N663)</f>
        <v>0.742116149195349</v>
      </c>
      <c r="P663" s="16" t="n">
        <f aca="false">IF(D663="","",H663+E663-K663-O663)</f>
        <v>54.2061696413731</v>
      </c>
      <c r="Q663" s="16" t="n">
        <f aca="false">IF(D663="","",IF(P663&gt;=0,K663,MAX(0,K663+P663)))</f>
        <v>0.9072</v>
      </c>
      <c r="R663" s="16" t="n">
        <f aca="false">IF(D663="","",Q663/$B$15)</f>
        <v>0.35</v>
      </c>
      <c r="S663" s="16" t="n">
        <f aca="false">IF(D663="","",MAX(0,J663-R663))</f>
        <v>0</v>
      </c>
      <c r="T663" s="16" t="n">
        <f aca="false">IF(D663="","",MAX(0,Z663-$B$8))</f>
        <v>6.98616964137314</v>
      </c>
      <c r="U663" s="16" t="n">
        <f aca="false">IF(D663="","",MAX(0,MIN($B$8,Z663)))</f>
        <v>47.22</v>
      </c>
      <c r="V663" s="16" t="str">
        <f aca="false">IF(D663="","",IF(S663&gt;0.0000001,"Sim","Não"))</f>
        <v>Não</v>
      </c>
      <c r="W663" s="16" t="n">
        <f aca="false">IF(D663="","",U663-(H663+E663-Q663-O663-T663))</f>
        <v>0</v>
      </c>
      <c r="X663" s="16" t="n">
        <f aca="false">IF(W663="","",ABS(W663))</f>
        <v>0</v>
      </c>
      <c r="Y663" s="16" t="n">
        <f aca="false">IF(U663="","",IF($B$8=0,0,U663/$B$8*100))</f>
        <v>100</v>
      </c>
      <c r="Z663" s="18" t="n">
        <f aca="false">IF(D663="","",MAX(0,IF(P663&gt;=0,P663,IF(K663+P663&gt;=0,0,P663+K663))))</f>
        <v>54.2061696413731</v>
      </c>
      <c r="AA663" s="18" t="n">
        <f aca="false">IF(D663="","",IF(H663&lt;=$B$16,1,IF(H663&gt;=$B$17,$B$21,MATCH(H663,Aux_CAV!$A$2:$A$121,1))))</f>
        <v>14</v>
      </c>
      <c r="AB663" s="18" t="n">
        <f aca="false">IF(D663="","",IF(L663&lt;=$B$16,1,IF(L663&gt;=$B$17,$B$21,MATCH(L663,Aux_CAV!$A$2:$A$121,1))))</f>
        <v>14</v>
      </c>
      <c r="AC663" s="19" t="n">
        <f aca="false">IF(D663="","",COUNT($D$24:D663))</f>
        <v>628</v>
      </c>
    </row>
    <row r="664" customFormat="false" ht="12.75" hidden="false" customHeight="true" outlineLevel="0" collapsed="false">
      <c r="A664" s="14" t="n">
        <f aca="false">IF(D664="","",DATE(B664,C664,1))</f>
        <v>23132</v>
      </c>
      <c r="B664" s="15" t="n">
        <f aca="false" t="array" ref="B664:B664">IF(D664="","",IFERROR(VALUE(INDEX(Vazoes_COLAR!$A$2:$A$200,INT((ROW()-24)/12)+1)),""))</f>
        <v>1963</v>
      </c>
      <c r="C664" s="15" t="n">
        <f aca="false">IF(D664="","",MOD(ROW()-24,12)+1)</f>
        <v>5</v>
      </c>
      <c r="D664" s="16" t="n">
        <f aca="false" t="array" ref="D664: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0.368986991219507</v>
      </c>
      <c r="E664" s="16" t="n">
        <f aca="false">IF(D664="","",D664*$B$15)</f>
        <v>0.956414281240962</v>
      </c>
      <c r="F664" s="16" t="n">
        <f aca="false" t="array" ref="F664:F664">IF(D664="","",IFERROR(INDEX(Dados_Evap!$C$2:$N$15,MATCH($B$9,Dados_Evap!$A$2:$A$15,0),C664),0))</f>
        <v>145.8</v>
      </c>
      <c r="G664" s="16" t="n">
        <f aca="false">IF(F664="","",F664/1000)</f>
        <v>0.1458</v>
      </c>
      <c r="H664" s="16" t="n">
        <f aca="false">IF(D664="","",MAX(0,MIN($B$8,IFERROR(LOOKUP(2,1/($U$24:U663&lt;&gt;""),$U$24:U663),$B$11))))</f>
        <v>47.22</v>
      </c>
      <c r="I664" s="16" t="n">
        <f aca="false" t="array" ref="I664: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>6.97</v>
      </c>
      <c r="J664" s="16" t="n">
        <f aca="false">IF(D664="","",$B$12)</f>
        <v>0.35</v>
      </c>
      <c r="K664" s="16" t="n">
        <f aca="false">IF(J664="","",J664*$B$15)</f>
        <v>0.9072</v>
      </c>
      <c r="L664" s="16" t="n">
        <f aca="false">IF(D664="","",H664+E664-K664-G664*I664)</f>
        <v>46.252988281241</v>
      </c>
      <c r="M664" s="16" t="n">
        <f aca="false" t="array" ref="M664: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>6.87345087399183</v>
      </c>
      <c r="N664" s="16" t="n">
        <f aca="false">IF(D664="","",(I664+M664)/2)</f>
        <v>6.92172543699591</v>
      </c>
      <c r="O664" s="16" t="n">
        <f aca="false">IF(D664="","",G664*N664)</f>
        <v>1.009187568714</v>
      </c>
      <c r="P664" s="16" t="n">
        <f aca="false">IF(D664="","",H664+E664-K664-O664)</f>
        <v>46.260026712527</v>
      </c>
      <c r="Q664" s="16" t="n">
        <f aca="false">IF(D664="","",IF(P664&gt;=0,K664,MAX(0,K664+P664)))</f>
        <v>0.9072</v>
      </c>
      <c r="R664" s="16" t="n">
        <f aca="false">IF(D664="","",Q664/$B$15)</f>
        <v>0.35</v>
      </c>
      <c r="S664" s="16" t="n">
        <f aca="false">IF(D664="","",MAX(0,J664-R664))</f>
        <v>0</v>
      </c>
      <c r="T664" s="16" t="n">
        <f aca="false">IF(D664="","",MAX(0,Z664-$B$8))</f>
        <v>0</v>
      </c>
      <c r="U664" s="16" t="n">
        <f aca="false">IF(D664="","",MAX(0,MIN($B$8,Z664)))</f>
        <v>46.260026712527</v>
      </c>
      <c r="V664" s="16" t="str">
        <f aca="false">IF(D664="","",IF(S664&gt;0.0000001,"Sim","Não"))</f>
        <v>Não</v>
      </c>
      <c r="W664" s="16" t="n">
        <f aca="false">IF(D664="","",U664-(H664+E664-Q664-O664-T664))</f>
        <v>0</v>
      </c>
      <c r="X664" s="16" t="n">
        <f aca="false">IF(W664="","",ABS(W664))</f>
        <v>0</v>
      </c>
      <c r="Y664" s="16" t="n">
        <f aca="false">IF(U664="","",IF($B$8=0,0,U664/$B$8*100))</f>
        <v>97.9670197215734</v>
      </c>
      <c r="Z664" s="18" t="n">
        <f aca="false">IF(D664="","",MAX(0,IF(P664&gt;=0,P664,IF(K664+P664&gt;=0,0,P664+K664))))</f>
        <v>46.260026712527</v>
      </c>
      <c r="AA664" s="18" t="n">
        <f aca="false">IF(D664="","",IF(H664&lt;=$B$16,1,IF(H664&gt;=$B$17,$B$21,MATCH(H664,Aux_CAV!$A$2:$A$121,1))))</f>
        <v>14</v>
      </c>
      <c r="AB664" s="18" t="n">
        <f aca="false">IF(D664="","",IF(L664&lt;=$B$16,1,IF(L664&gt;=$B$17,$B$21,MATCH(L664,Aux_CAV!$A$2:$A$121,1))))</f>
        <v>13</v>
      </c>
      <c r="AC664" s="19" t="n">
        <f aca="false">IF(D664="","",COUNT($D$24:D664))</f>
        <v>629</v>
      </c>
    </row>
    <row r="665" customFormat="false" ht="12.75" hidden="false" customHeight="true" outlineLevel="0" collapsed="false">
      <c r="A665" s="14" t="n">
        <f aca="false">IF(D665="","",DATE(B665,C665,1))</f>
        <v>23163</v>
      </c>
      <c r="B665" s="15" t="n">
        <f aca="false" t="array" ref="B665:B665">IF(D665="","",IFERROR(VALUE(INDEX(Vazoes_COLAR!$A$2:$A$200,INT((ROW()-24)/12)+1)),""))</f>
        <v>1963</v>
      </c>
      <c r="C665" s="15" t="n">
        <f aca="false">IF(D665="","",MOD(ROW()-24,12)+1)</f>
        <v>6</v>
      </c>
      <c r="D665" s="16" t="n">
        <f aca="false" t="array" ref="D665: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0.174905994906133</v>
      </c>
      <c r="E665" s="16" t="n">
        <f aca="false">IF(D665="","",D665*$B$15)</f>
        <v>0.453356338796697</v>
      </c>
      <c r="F665" s="16" t="n">
        <f aca="false" t="array" ref="F665:F665">IF(D665="","",IFERROR(INDEX(Dados_Evap!$C$2:$N$15,MATCH($B$9,Dados_Evap!$A$2:$A$15,0),C665),0))</f>
        <v>161.3</v>
      </c>
      <c r="G665" s="16" t="n">
        <f aca="false">IF(F665="","",F665/1000)</f>
        <v>0.1613</v>
      </c>
      <c r="H665" s="16" t="n">
        <f aca="false">IF(D665="","",MAX(0,MIN($B$8,IFERROR(LOOKUP(2,1/($U$24:U664&lt;&gt;""),$U$24:U664),$B$11))))</f>
        <v>46.260026712527</v>
      </c>
      <c r="I665" s="16" t="n">
        <f aca="false" t="array" ref="I665: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>6.87415361044884</v>
      </c>
      <c r="J665" s="16" t="n">
        <f aca="false">IF(D665="","",$B$12)</f>
        <v>0.35</v>
      </c>
      <c r="K665" s="16" t="n">
        <f aca="false">IF(J665="","",J665*$B$15)</f>
        <v>0.9072</v>
      </c>
      <c r="L665" s="16" t="n">
        <f aca="false">IF(D665="","",H665+E665-K665-G665*I665)</f>
        <v>44.6973820739582</v>
      </c>
      <c r="M665" s="16" t="n">
        <f aca="false" t="array" ref="M665: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>6.71813484543451</v>
      </c>
      <c r="N665" s="16" t="n">
        <f aca="false">IF(D665="","",(I665+M665)/2)</f>
        <v>6.79614422794167</v>
      </c>
      <c r="O665" s="16" t="n">
        <f aca="false">IF(D665="","",G665*N665)</f>
        <v>1.09621806396699</v>
      </c>
      <c r="P665" s="16" t="n">
        <f aca="false">IF(D665="","",H665+E665-K665-O665)</f>
        <v>44.7099649873567</v>
      </c>
      <c r="Q665" s="16" t="n">
        <f aca="false">IF(D665="","",IF(P665&gt;=0,K665,MAX(0,K665+P665)))</f>
        <v>0.9072</v>
      </c>
      <c r="R665" s="16" t="n">
        <f aca="false">IF(D665="","",Q665/$B$15)</f>
        <v>0.35</v>
      </c>
      <c r="S665" s="16" t="n">
        <f aca="false">IF(D665="","",MAX(0,J665-R665))</f>
        <v>0</v>
      </c>
      <c r="T665" s="16" t="n">
        <f aca="false">IF(D665="","",MAX(0,Z665-$B$8))</f>
        <v>0</v>
      </c>
      <c r="U665" s="16" t="n">
        <f aca="false">IF(D665="","",MAX(0,MIN($B$8,Z665)))</f>
        <v>44.7099649873567</v>
      </c>
      <c r="V665" s="16" t="str">
        <f aca="false">IF(D665="","",IF(S665&gt;0.0000001,"Sim","Não"))</f>
        <v>Não</v>
      </c>
      <c r="W665" s="16" t="n">
        <f aca="false">IF(D665="","",U665-(H665+E665-Q665-O665-T665))</f>
        <v>0</v>
      </c>
      <c r="X665" s="16" t="n">
        <f aca="false">IF(W665="","",ABS(W665))</f>
        <v>0</v>
      </c>
      <c r="Y665" s="16" t="n">
        <f aca="false">IF(U665="","",IF($B$8=0,0,U665/$B$8*100))</f>
        <v>94.6843815911831</v>
      </c>
      <c r="Z665" s="18" t="n">
        <f aca="false">IF(D665="","",MAX(0,IF(P665&gt;=0,P665,IF(K665+P665&gt;=0,0,P665+K665))))</f>
        <v>44.7099649873567</v>
      </c>
      <c r="AA665" s="18" t="n">
        <f aca="false">IF(D665="","",IF(H665&lt;=$B$16,1,IF(H665&gt;=$B$17,$B$21,MATCH(H665,Aux_CAV!$A$2:$A$121,1))))</f>
        <v>13</v>
      </c>
      <c r="AB665" s="18" t="n">
        <f aca="false">IF(D665="","",IF(L665&lt;=$B$16,1,IF(L665&gt;=$B$17,$B$21,MATCH(L665,Aux_CAV!$A$2:$A$121,1))))</f>
        <v>13</v>
      </c>
      <c r="AC665" s="19" t="n">
        <f aca="false">IF(D665="","",COUNT($D$24:D665))</f>
        <v>630</v>
      </c>
    </row>
    <row r="666" customFormat="false" ht="12.75" hidden="false" customHeight="true" outlineLevel="0" collapsed="false">
      <c r="A666" s="14" t="n">
        <f aca="false">IF(D666="","",DATE(B666,C666,1))</f>
        <v>23193</v>
      </c>
      <c r="B666" s="15" t="n">
        <f aca="false" t="array" ref="B666:B666">IF(D666="","",IFERROR(VALUE(INDEX(Vazoes_COLAR!$A$2:$A$200,INT((ROW()-24)/12)+1)),""))</f>
        <v>1963</v>
      </c>
      <c r="C666" s="15" t="n">
        <f aca="false">IF(D666="","",MOD(ROW()-24,12)+1)</f>
        <v>7</v>
      </c>
      <c r="D666" s="16" t="n">
        <f aca="false" t="array" ref="D666: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0.0664330866238242</v>
      </c>
      <c r="E666" s="16" t="n">
        <f aca="false">IF(D666="","",D666*$B$15)</f>
        <v>0.172194560528952</v>
      </c>
      <c r="F666" s="16" t="n">
        <f aca="false" t="array" ref="F666:F666">IF(D666="","",IFERROR(INDEX(Dados_Evap!$C$2:$N$15,MATCH($B$9,Dados_Evap!$A$2:$A$15,0),C666),0))</f>
        <v>224.8</v>
      </c>
      <c r="G666" s="16" t="n">
        <f aca="false">IF(F666="","",F666/1000)</f>
        <v>0.2248</v>
      </c>
      <c r="H666" s="16" t="n">
        <f aca="false">IF(D666="","",MAX(0,MIN($B$8,IFERROR(LOOKUP(2,1/($U$24:U665&lt;&gt;""),$U$24:U665),$B$11))))</f>
        <v>44.7099649873567</v>
      </c>
      <c r="I666" s="16" t="n">
        <f aca="false" t="array" ref="I666: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>6.71939115832885</v>
      </c>
      <c r="J666" s="16" t="n">
        <f aca="false">IF(D666="","",$B$12)</f>
        <v>0.35</v>
      </c>
      <c r="K666" s="16" t="n">
        <f aca="false">IF(J666="","",J666*$B$15)</f>
        <v>0.9072</v>
      </c>
      <c r="L666" s="16" t="n">
        <f aca="false">IF(D666="","",H666+E666-K666-G666*I666)</f>
        <v>42.4644404154933</v>
      </c>
      <c r="M666" s="16" t="n">
        <f aca="false" t="array" ref="M666: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>6.49519177104375</v>
      </c>
      <c r="N666" s="16" t="n">
        <f aca="false">IF(D666="","",(I666+M666)/2)</f>
        <v>6.6072914646863</v>
      </c>
      <c r="O666" s="16" t="n">
        <f aca="false">IF(D666="","",G666*N666)</f>
        <v>1.48531912126148</v>
      </c>
      <c r="P666" s="16" t="n">
        <f aca="false">IF(D666="","",H666+E666-K666-O666)</f>
        <v>42.4896404266241</v>
      </c>
      <c r="Q666" s="16" t="n">
        <f aca="false">IF(D666="","",IF(P666&gt;=0,K666,MAX(0,K666+P666)))</f>
        <v>0.9072</v>
      </c>
      <c r="R666" s="16" t="n">
        <f aca="false">IF(D666="","",Q666/$B$15)</f>
        <v>0.35</v>
      </c>
      <c r="S666" s="16" t="n">
        <f aca="false">IF(D666="","",MAX(0,J666-R666))</f>
        <v>0</v>
      </c>
      <c r="T666" s="16" t="n">
        <f aca="false">IF(D666="","",MAX(0,Z666-$B$8))</f>
        <v>0</v>
      </c>
      <c r="U666" s="16" t="n">
        <f aca="false">IF(D666="","",MAX(0,MIN($B$8,Z666)))</f>
        <v>42.4896404266241</v>
      </c>
      <c r="V666" s="16" t="str">
        <f aca="false">IF(D666="","",IF(S666&gt;0.0000001,"Sim","Não"))</f>
        <v>Não</v>
      </c>
      <c r="W666" s="16" t="n">
        <f aca="false">IF(D666="","",U666-(H666+E666-Q666-O666-T666))</f>
        <v>0</v>
      </c>
      <c r="X666" s="16" t="n">
        <f aca="false">IF(W666="","",ABS(W666))</f>
        <v>0</v>
      </c>
      <c r="Y666" s="16" t="n">
        <f aca="false">IF(U666="","",IF($B$8=0,0,U666/$B$8*100))</f>
        <v>89.9822965409236</v>
      </c>
      <c r="Z666" s="18" t="n">
        <f aca="false">IF(D666="","",MAX(0,IF(P666&gt;=0,P666,IF(K666+P666&gt;=0,0,P666+K666))))</f>
        <v>42.4896404266241</v>
      </c>
      <c r="AA666" s="18" t="n">
        <f aca="false">IF(D666="","",IF(H666&lt;=$B$16,1,IF(H666&gt;=$B$17,$B$21,MATCH(H666,Aux_CAV!$A$2:$A$121,1))))</f>
        <v>13</v>
      </c>
      <c r="AB666" s="18" t="n">
        <f aca="false">IF(D666="","",IF(L666&lt;=$B$16,1,IF(L666&gt;=$B$17,$B$21,MATCH(L666,Aux_CAV!$A$2:$A$121,1))))</f>
        <v>13</v>
      </c>
      <c r="AC666" s="19" t="n">
        <f aca="false">IF(D666="","",COUNT($D$24:D666))</f>
        <v>631</v>
      </c>
    </row>
    <row r="667" customFormat="false" ht="12.75" hidden="false" customHeight="true" outlineLevel="0" collapsed="false">
      <c r="A667" s="14" t="n">
        <f aca="false">IF(D667="","",DATE(B667,C667,1))</f>
        <v>23224</v>
      </c>
      <c r="B667" s="15" t="n">
        <f aca="false" t="array" ref="B667:B667">IF(D667="","",IFERROR(VALUE(INDEX(Vazoes_COLAR!$A$2:$A$200,INT((ROW()-24)/12)+1)),""))</f>
        <v>1963</v>
      </c>
      <c r="C667" s="15" t="n">
        <f aca="false">IF(D667="","",MOD(ROW()-24,12)+1)</f>
        <v>8</v>
      </c>
      <c r="D667" s="16" t="n">
        <f aca="false" t="array" ref="D667: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0.0273499241456745</v>
      </c>
      <c r="E667" s="16" t="n">
        <f aca="false">IF(D667="","",D667*$B$15)</f>
        <v>0.0708910033855883</v>
      </c>
      <c r="F667" s="16" t="n">
        <f aca="false" t="array" ref="F667:F667">IF(D667="","",IFERROR(INDEX(Dados_Evap!$C$2:$N$15,MATCH($B$9,Dados_Evap!$A$2:$A$15,0),C667),0))</f>
        <v>268.7</v>
      </c>
      <c r="G667" s="16" t="n">
        <f aca="false">IF(F667="","",F667/1000)</f>
        <v>0.2687</v>
      </c>
      <c r="H667" s="16" t="n">
        <f aca="false">IF(D667="","",MAX(0,MIN($B$8,IFERROR(LOOKUP(2,1/($U$24:U666&lt;&gt;""),$U$24:U666),$B$11))))</f>
        <v>42.4896404266241</v>
      </c>
      <c r="I667" s="16" t="n">
        <f aca="false" t="array" ref="I667: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>6.49770780989093</v>
      </c>
      <c r="J667" s="16" t="n">
        <f aca="false">IF(D667="","",$B$12)</f>
        <v>0.35</v>
      </c>
      <c r="K667" s="16" t="n">
        <f aca="false">IF(J667="","",J667*$B$15)</f>
        <v>0.9072</v>
      </c>
      <c r="L667" s="16" t="n">
        <f aca="false">IF(D667="","",H667+E667-K667-G667*I667)</f>
        <v>39.907397341492</v>
      </c>
      <c r="M667" s="16" t="n">
        <f aca="false" t="array" ref="M667: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>6.23988951444142</v>
      </c>
      <c r="N667" s="16" t="n">
        <f aca="false">IF(D667="","",(I667+M667)/2)</f>
        <v>6.36879866216618</v>
      </c>
      <c r="O667" s="16" t="n">
        <f aca="false">IF(D667="","",G667*N667)</f>
        <v>1.71129620052405</v>
      </c>
      <c r="P667" s="16" t="n">
        <f aca="false">IF(D667="","",H667+E667-K667-O667)</f>
        <v>39.9420352294857</v>
      </c>
      <c r="Q667" s="16" t="n">
        <f aca="false">IF(D667="","",IF(P667&gt;=0,K667,MAX(0,K667+P667)))</f>
        <v>0.9072</v>
      </c>
      <c r="R667" s="16" t="n">
        <f aca="false">IF(D667="","",Q667/$B$15)</f>
        <v>0.35</v>
      </c>
      <c r="S667" s="16" t="n">
        <f aca="false">IF(D667="","",MAX(0,J667-R667))</f>
        <v>0</v>
      </c>
      <c r="T667" s="16" t="n">
        <f aca="false">IF(D667="","",MAX(0,Z667-$B$8))</f>
        <v>0</v>
      </c>
      <c r="U667" s="16" t="n">
        <f aca="false">IF(D667="","",MAX(0,MIN($B$8,Z667)))</f>
        <v>39.9420352294857</v>
      </c>
      <c r="V667" s="16" t="str">
        <f aca="false">IF(D667="","",IF(S667&gt;0.0000001,"Sim","Não"))</f>
        <v>Não</v>
      </c>
      <c r="W667" s="16" t="n">
        <f aca="false">IF(D667="","",U667-(H667+E667-Q667-O667-T667))</f>
        <v>0</v>
      </c>
      <c r="X667" s="16" t="n">
        <f aca="false">IF(W667="","",ABS(W667))</f>
        <v>0</v>
      </c>
      <c r="Y667" s="16" t="n">
        <f aca="false">IF(U667="","",IF($B$8=0,0,U667/$B$8*100))</f>
        <v>84.5871139972166</v>
      </c>
      <c r="Z667" s="18" t="n">
        <f aca="false">IF(D667="","",MAX(0,IF(P667&gt;=0,P667,IF(K667+P667&gt;=0,0,P667+K667))))</f>
        <v>39.9420352294857</v>
      </c>
      <c r="AA667" s="18" t="n">
        <f aca="false">IF(D667="","",IF(H667&lt;=$B$16,1,IF(H667&gt;=$B$17,$B$21,MATCH(H667,Aux_CAV!$A$2:$A$121,1))))</f>
        <v>13</v>
      </c>
      <c r="AB667" s="18" t="n">
        <f aca="false">IF(D667="","",IF(L667&lt;=$B$16,1,IF(L667&gt;=$B$17,$B$21,MATCH(L667,Aux_CAV!$A$2:$A$121,1))))</f>
        <v>13</v>
      </c>
      <c r="AC667" s="19" t="n">
        <f aca="false">IF(D667="","",COUNT($D$24:D667))</f>
        <v>632</v>
      </c>
    </row>
    <row r="668" customFormat="false" ht="12.75" hidden="false" customHeight="true" outlineLevel="0" collapsed="false">
      <c r="A668" s="14" t="n">
        <f aca="false">IF(D668="","",DATE(B668,C668,1))</f>
        <v>23255</v>
      </c>
      <c r="B668" s="15" t="n">
        <f aca="false" t="array" ref="B668:B668">IF(D668="","",IFERROR(VALUE(INDEX(Vazoes_COLAR!$A$2:$A$200,INT((ROW()-24)/12)+1)),""))</f>
        <v>1963</v>
      </c>
      <c r="C668" s="15" t="n">
        <f aca="false">IF(D668="","",MOD(ROW()-24,12)+1)</f>
        <v>9</v>
      </c>
      <c r="D668" s="16" t="n">
        <f aca="false" t="array" ref="D668: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0.0252401026977308</v>
      </c>
      <c r="E668" s="16" t="n">
        <f aca="false">IF(D668="","",D668*$B$15)</f>
        <v>0.0654223461925182</v>
      </c>
      <c r="F668" s="16" t="n">
        <f aca="false" t="array" ref="F668:F668">IF(D668="","",IFERROR(INDEX(Dados_Evap!$C$2:$N$15,MATCH($B$9,Dados_Evap!$A$2:$A$15,0),C668),0))</f>
        <v>292.8</v>
      </c>
      <c r="G668" s="16" t="n">
        <f aca="false">IF(F668="","",F668/1000)</f>
        <v>0.2928</v>
      </c>
      <c r="H668" s="16" t="n">
        <f aca="false">IF(D668="","",MAX(0,MIN($B$8,IFERROR(LOOKUP(2,1/($U$24:U667&lt;&gt;""),$U$24:U667),$B$11))))</f>
        <v>39.9420352294857</v>
      </c>
      <c r="I668" s="16" t="n">
        <f aca="false" t="array" ref="I668: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>6.24334785703198</v>
      </c>
      <c r="J668" s="16" t="n">
        <f aca="false">IF(D668="","",$B$12)</f>
        <v>0.35</v>
      </c>
      <c r="K668" s="16" t="n">
        <f aca="false">IF(J668="","",J668*$B$15)</f>
        <v>0.9072</v>
      </c>
      <c r="L668" s="16" t="n">
        <f aca="false">IF(D668="","",H668+E668-K668-G668*I668)</f>
        <v>37.2722053231392</v>
      </c>
      <c r="M668" s="16" t="n">
        <f aca="false" t="array" ref="M668: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>5.9767846509738</v>
      </c>
      <c r="N668" s="16" t="n">
        <f aca="false">IF(D668="","",(I668+M668)/2)</f>
        <v>6.11006625400289</v>
      </c>
      <c r="O668" s="16" t="n">
        <f aca="false">IF(D668="","",G668*N668)</f>
        <v>1.78902739917205</v>
      </c>
      <c r="P668" s="16" t="n">
        <f aca="false">IF(D668="","",H668+E668-K668-O668)</f>
        <v>37.3112301765061</v>
      </c>
      <c r="Q668" s="16" t="n">
        <f aca="false">IF(D668="","",IF(P668&gt;=0,K668,MAX(0,K668+P668)))</f>
        <v>0.9072</v>
      </c>
      <c r="R668" s="16" t="n">
        <f aca="false">IF(D668="","",Q668/$B$15)</f>
        <v>0.35</v>
      </c>
      <c r="S668" s="16" t="n">
        <f aca="false">IF(D668="","",MAX(0,J668-R668))</f>
        <v>0</v>
      </c>
      <c r="T668" s="16" t="n">
        <f aca="false">IF(D668="","",MAX(0,Z668-$B$8))</f>
        <v>0</v>
      </c>
      <c r="U668" s="16" t="n">
        <f aca="false">IF(D668="","",MAX(0,MIN($B$8,Z668)))</f>
        <v>37.3112301765061</v>
      </c>
      <c r="V668" s="16" t="str">
        <f aca="false">IF(D668="","",IF(S668&gt;0.0000001,"Sim","Não"))</f>
        <v>Não</v>
      </c>
      <c r="W668" s="16" t="n">
        <f aca="false">IF(D668="","",U668-(H668+E668-Q668-O668-T668))</f>
        <v>0</v>
      </c>
      <c r="X668" s="16" t="n">
        <f aca="false">IF(W668="","",ABS(W668))</f>
        <v>0</v>
      </c>
      <c r="Y668" s="16" t="n">
        <f aca="false">IF(U668="","",IF($B$8=0,0,U668/$B$8*100))</f>
        <v>79.0157352319062</v>
      </c>
      <c r="Z668" s="18" t="n">
        <f aca="false">IF(D668="","",MAX(0,IF(P668&gt;=0,P668,IF(K668+P668&gt;=0,0,P668+K668))))</f>
        <v>37.3112301765061</v>
      </c>
      <c r="AA668" s="18" t="n">
        <f aca="false">IF(D668="","",IF(H668&lt;=$B$16,1,IF(H668&gt;=$B$17,$B$21,MATCH(H668,Aux_CAV!$A$2:$A$121,1))))</f>
        <v>13</v>
      </c>
      <c r="AB668" s="18" t="n">
        <f aca="false">IF(D668="","",IF(L668&lt;=$B$16,1,IF(L668&gt;=$B$17,$B$21,MATCH(L668,Aux_CAV!$A$2:$A$121,1))))</f>
        <v>13</v>
      </c>
      <c r="AC668" s="19" t="n">
        <f aca="false">IF(D668="","",COUNT($D$24:D668))</f>
        <v>633</v>
      </c>
    </row>
    <row r="669" customFormat="false" ht="12.75" hidden="false" customHeight="true" outlineLevel="0" collapsed="false">
      <c r="A669" s="14" t="n">
        <f aca="false">IF(D669="","",DATE(B669,C669,1))</f>
        <v>23285</v>
      </c>
      <c r="B669" s="15" t="n">
        <f aca="false" t="array" ref="B669:B669">IF(D669="","",IFERROR(VALUE(INDEX(Vazoes_COLAR!$A$2:$A$200,INT((ROW()-24)/12)+1)),""))</f>
        <v>1963</v>
      </c>
      <c r="C669" s="15" t="n">
        <f aca="false">IF(D669="","",MOD(ROW()-24,12)+1)</f>
        <v>10</v>
      </c>
      <c r="D669" s="16" t="n">
        <f aca="false" t="array" ref="D669: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0.0401519400167534</v>
      </c>
      <c r="E669" s="16" t="n">
        <f aca="false">IF(D669="","",D669*$B$15)</f>
        <v>0.104073828523425</v>
      </c>
      <c r="F669" s="16" t="n">
        <f aca="false" t="array" ref="F669:F669">IF(D669="","",IFERROR(INDEX(Dados_Evap!$C$2:$N$15,MATCH($B$9,Dados_Evap!$A$2:$A$15,0),C669),0))</f>
        <v>262.9</v>
      </c>
      <c r="G669" s="16" t="n">
        <f aca="false">IF(F669="","",F669/1000)</f>
        <v>0.2629</v>
      </c>
      <c r="H669" s="16" t="n">
        <f aca="false">IF(D669="","",MAX(0,MIN($B$8,IFERROR(LOOKUP(2,1/($U$24:U668&lt;&gt;""),$U$24:U668),$B$11))))</f>
        <v>37.3112301765061</v>
      </c>
      <c r="I669" s="16" t="n">
        <f aca="false" t="array" ref="I669: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>5.98068100032726</v>
      </c>
      <c r="J669" s="16" t="n">
        <f aca="false">IF(D669="","",$B$12)</f>
        <v>0.35</v>
      </c>
      <c r="K669" s="16" t="n">
        <f aca="false">IF(J669="","",J669*$B$15)</f>
        <v>0.9072</v>
      </c>
      <c r="L669" s="16" t="n">
        <f aca="false">IF(D669="","",H669+E669-K669-G669*I669)</f>
        <v>34.9357829700435</v>
      </c>
      <c r="M669" s="16" t="n">
        <f aca="false" t="array" ref="M669: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>5.74350977766944</v>
      </c>
      <c r="N669" s="16" t="n">
        <f aca="false">IF(D669="","",(I669+M669)/2)</f>
        <v>5.86209538899835</v>
      </c>
      <c r="O669" s="16" t="n">
        <f aca="false">IF(D669="","",G669*N669)</f>
        <v>1.54114487776767</v>
      </c>
      <c r="P669" s="16" t="n">
        <f aca="false">IF(D669="","",H669+E669-K669-O669)</f>
        <v>34.9669591272619</v>
      </c>
      <c r="Q669" s="16" t="n">
        <f aca="false">IF(D669="","",IF(P669&gt;=0,K669,MAX(0,K669+P669)))</f>
        <v>0.9072</v>
      </c>
      <c r="R669" s="16" t="n">
        <f aca="false">IF(D669="","",Q669/$B$15)</f>
        <v>0.35</v>
      </c>
      <c r="S669" s="16" t="n">
        <f aca="false">IF(D669="","",MAX(0,J669-R669))</f>
        <v>0</v>
      </c>
      <c r="T669" s="16" t="n">
        <f aca="false">IF(D669="","",MAX(0,Z669-$B$8))</f>
        <v>0</v>
      </c>
      <c r="U669" s="16" t="n">
        <f aca="false">IF(D669="","",MAX(0,MIN($B$8,Z669)))</f>
        <v>34.9669591272619</v>
      </c>
      <c r="V669" s="16" t="str">
        <f aca="false">IF(D669="","",IF(S669&gt;0.0000001,"Sim","Não"))</f>
        <v>Não</v>
      </c>
      <c r="W669" s="16" t="n">
        <f aca="false">IF(D669="","",U669-(H669+E669-Q669-O669-T669))</f>
        <v>0</v>
      </c>
      <c r="X669" s="16" t="n">
        <f aca="false">IF(W669="","",ABS(W669))</f>
        <v>0</v>
      </c>
      <c r="Y669" s="16" t="n">
        <f aca="false">IF(U669="","",IF($B$8=0,0,U669/$B$8*100))</f>
        <v>74.0511629124563</v>
      </c>
      <c r="Z669" s="18" t="n">
        <f aca="false">IF(D669="","",MAX(0,IF(P669&gt;=0,P669,IF(K669+P669&gt;=0,0,P669+K669))))</f>
        <v>34.9669591272619</v>
      </c>
      <c r="AA669" s="18" t="n">
        <f aca="false">IF(D669="","",IF(H669&lt;=$B$16,1,IF(H669&gt;=$B$17,$B$21,MATCH(H669,Aux_CAV!$A$2:$A$121,1))))</f>
        <v>13</v>
      </c>
      <c r="AB669" s="18" t="n">
        <f aca="false">IF(D669="","",IF(L669&lt;=$B$16,1,IF(L669&gt;=$B$17,$B$21,MATCH(L669,Aux_CAV!$A$2:$A$121,1))))</f>
        <v>13</v>
      </c>
      <c r="AC669" s="19" t="n">
        <f aca="false">IF(D669="","",COUNT($D$24:D669))</f>
        <v>634</v>
      </c>
    </row>
    <row r="670" customFormat="false" ht="12.75" hidden="false" customHeight="true" outlineLevel="0" collapsed="false">
      <c r="A670" s="14" t="n">
        <f aca="false">IF(D670="","",DATE(B670,C670,1))</f>
        <v>23316</v>
      </c>
      <c r="B670" s="15" t="n">
        <f aca="false" t="array" ref="B670:B670">IF(D670="","",IFERROR(VALUE(INDEX(Vazoes_COLAR!$A$2:$A$200,INT((ROW()-24)/12)+1)),""))</f>
        <v>1963</v>
      </c>
      <c r="C670" s="15" t="n">
        <f aca="false">IF(D670="","",MOD(ROW()-24,12)+1)</f>
        <v>11</v>
      </c>
      <c r="D670" s="16" t="n">
        <f aca="false" t="array" ref="D670: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0.101521820696123</v>
      </c>
      <c r="E670" s="16" t="n">
        <f aca="false">IF(D670="","",D670*$B$15)</f>
        <v>0.263144559244351</v>
      </c>
      <c r="F670" s="16" t="n">
        <f aca="false" t="array" ref="F670:F670">IF(D670="","",IFERROR(INDEX(Dados_Evap!$C$2:$N$15,MATCH($B$9,Dados_Evap!$A$2:$A$15,0),C670),0))</f>
        <v>223.7</v>
      </c>
      <c r="G670" s="16" t="n">
        <f aca="false">IF(F670="","",F670/1000)</f>
        <v>0.2237</v>
      </c>
      <c r="H670" s="16" t="n">
        <f aca="false">IF(D670="","",MAX(0,MIN($B$8,IFERROR(LOOKUP(2,1/($U$24:U669&lt;&gt;""),$U$24:U669),$B$11))))</f>
        <v>34.9669591272619</v>
      </c>
      <c r="I670" s="16" t="n">
        <f aca="false" t="array" ref="I670: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>5.74662249147976</v>
      </c>
      <c r="J670" s="16" t="n">
        <f aca="false">IF(D670="","",$B$12)</f>
        <v>0.35</v>
      </c>
      <c r="K670" s="16" t="n">
        <f aca="false">IF(J670="","",J670*$B$15)</f>
        <v>0.9072</v>
      </c>
      <c r="L670" s="16" t="n">
        <f aca="false">IF(D670="","",H670+E670-K670-G670*I670)</f>
        <v>33.0373842351622</v>
      </c>
      <c r="M670" s="16" t="n">
        <f aca="false" t="array" ref="M670: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>5.54805836229355</v>
      </c>
      <c r="N670" s="16" t="n">
        <f aca="false">IF(D670="","",(I670+M670)/2)</f>
        <v>5.64734042688666</v>
      </c>
      <c r="O670" s="16" t="n">
        <f aca="false">IF(D670="","",G670*N670)</f>
        <v>1.26331005349455</v>
      </c>
      <c r="P670" s="16" t="n">
        <f aca="false">IF(D670="","",H670+E670-K670-O670)</f>
        <v>33.0595936330117</v>
      </c>
      <c r="Q670" s="16" t="n">
        <f aca="false">IF(D670="","",IF(P670&gt;=0,K670,MAX(0,K670+P670)))</f>
        <v>0.9072</v>
      </c>
      <c r="R670" s="16" t="n">
        <f aca="false">IF(D670="","",Q670/$B$15)</f>
        <v>0.35</v>
      </c>
      <c r="S670" s="16" t="n">
        <f aca="false">IF(D670="","",MAX(0,J670-R670))</f>
        <v>0</v>
      </c>
      <c r="T670" s="16" t="n">
        <f aca="false">IF(D670="","",MAX(0,Z670-$B$8))</f>
        <v>0</v>
      </c>
      <c r="U670" s="16" t="n">
        <f aca="false">IF(D670="","",MAX(0,MIN($B$8,Z670)))</f>
        <v>33.0595936330117</v>
      </c>
      <c r="V670" s="16" t="str">
        <f aca="false">IF(D670="","",IF(S670&gt;0.0000001,"Sim","Não"))</f>
        <v>Não</v>
      </c>
      <c r="W670" s="16" t="n">
        <f aca="false">IF(D670="","",U670-(H670+E670-Q670-O670-T670))</f>
        <v>0</v>
      </c>
      <c r="X670" s="16" t="n">
        <f aca="false">IF(W670="","",ABS(W670))</f>
        <v>0</v>
      </c>
      <c r="Y670" s="16" t="n">
        <f aca="false">IF(U670="","",IF($B$8=0,0,U670/$B$8*100))</f>
        <v>70.0118458979494</v>
      </c>
      <c r="Z670" s="18" t="n">
        <f aca="false">IF(D670="","",MAX(0,IF(P670&gt;=0,P670,IF(K670+P670&gt;=0,0,P670+K670))))</f>
        <v>33.0595936330117</v>
      </c>
      <c r="AA670" s="18" t="n">
        <f aca="false">IF(D670="","",IF(H670&lt;=$B$16,1,IF(H670&gt;=$B$17,$B$21,MATCH(H670,Aux_CAV!$A$2:$A$121,1))))</f>
        <v>13</v>
      </c>
      <c r="AB670" s="18" t="n">
        <f aca="false">IF(D670="","",IF(L670&lt;=$B$16,1,IF(L670&gt;=$B$17,$B$21,MATCH(L670,Aux_CAV!$A$2:$A$121,1))))</f>
        <v>12</v>
      </c>
      <c r="AC670" s="19" t="n">
        <f aca="false">IF(D670="","",COUNT($D$24:D670))</f>
        <v>635</v>
      </c>
    </row>
    <row r="671" customFormat="false" ht="12.75" hidden="false" customHeight="true" outlineLevel="0" collapsed="false">
      <c r="A671" s="14" t="n">
        <f aca="false">IF(D671="","",DATE(B671,C671,1))</f>
        <v>23346</v>
      </c>
      <c r="B671" s="15" t="n">
        <f aca="false" t="array" ref="B671:B671">IF(D671="","",IFERROR(VALUE(INDEX(Vazoes_COLAR!$A$2:$A$200,INT((ROW()-24)/12)+1)),""))</f>
        <v>1963</v>
      </c>
      <c r="C671" s="15" t="n">
        <f aca="false">IF(D671="","",MOD(ROW()-24,12)+1)</f>
        <v>12</v>
      </c>
      <c r="D671" s="16" t="n">
        <f aca="false" t="array" ref="D671: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0.667705291875699</v>
      </c>
      <c r="E671" s="16" t="n">
        <f aca="false">IF(D671="","",D671*$B$15)</f>
        <v>1.73069211654181</v>
      </c>
      <c r="F671" s="16" t="n">
        <f aca="false" t="array" ref="F671:F671">IF(D671="","",IFERROR(INDEX(Dados_Evap!$C$2:$N$15,MATCH($B$9,Dados_Evap!$A$2:$A$15,0),C671),0))</f>
        <v>216.1</v>
      </c>
      <c r="G671" s="16" t="n">
        <f aca="false">IF(F671="","",F671/1000)</f>
        <v>0.2161</v>
      </c>
      <c r="H671" s="16" t="n">
        <f aca="false">IF(D671="","",MAX(0,MIN($B$8,IFERROR(LOOKUP(2,1/($U$24:U670&lt;&gt;""),$U$24:U670),$B$11))))</f>
        <v>33.0595936330117</v>
      </c>
      <c r="I671" s="16" t="n">
        <f aca="false" t="array" ref="I671: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>5.55036555216723</v>
      </c>
      <c r="J671" s="16" t="n">
        <f aca="false">IF(D671="","",$B$12)</f>
        <v>0.35</v>
      </c>
      <c r="K671" s="16" t="n">
        <f aca="false">IF(J671="","",J671*$B$15)</f>
        <v>0.9072</v>
      </c>
      <c r="L671" s="16" t="n">
        <f aca="false">IF(D671="","",H671+E671-K671-G671*I671)</f>
        <v>32.6836517537302</v>
      </c>
      <c r="M671" s="16" t="n">
        <f aca="false" t="array" ref="M671: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>5.51131139577585</v>
      </c>
      <c r="N671" s="16" t="n">
        <f aca="false">IF(D671="","",(I671+M671)/2)</f>
        <v>5.53083847397154</v>
      </c>
      <c r="O671" s="16" t="n">
        <f aca="false">IF(D671="","",G671*N671)</f>
        <v>1.19521419422525</v>
      </c>
      <c r="P671" s="16" t="n">
        <f aca="false">IF(D671="","",H671+E671-K671-O671)</f>
        <v>32.6878715553282</v>
      </c>
      <c r="Q671" s="16" t="n">
        <f aca="false">IF(D671="","",IF(P671&gt;=0,K671,MAX(0,K671+P671)))</f>
        <v>0.9072</v>
      </c>
      <c r="R671" s="16" t="n">
        <f aca="false">IF(D671="","",Q671/$B$15)</f>
        <v>0.35</v>
      </c>
      <c r="S671" s="16" t="n">
        <f aca="false">IF(D671="","",MAX(0,J671-R671))</f>
        <v>0</v>
      </c>
      <c r="T671" s="16" t="n">
        <f aca="false">IF(D671="","",MAX(0,Z671-$B$8))</f>
        <v>0</v>
      </c>
      <c r="U671" s="16" t="n">
        <f aca="false">IF(D671="","",MAX(0,MIN($B$8,Z671)))</f>
        <v>32.6878715553282</v>
      </c>
      <c r="V671" s="16" t="str">
        <f aca="false">IF(D671="","",IF(S671&gt;0.0000001,"Sim","Não"))</f>
        <v>Não</v>
      </c>
      <c r="W671" s="16" t="n">
        <f aca="false">IF(D671="","",U671-(H671+E671-Q671-O671-T671))</f>
        <v>0</v>
      </c>
      <c r="X671" s="16" t="n">
        <f aca="false">IF(W671="","",ABS(W671))</f>
        <v>0</v>
      </c>
      <c r="Y671" s="16" t="n">
        <f aca="false">IF(U671="","",IF($B$8=0,0,U671/$B$8*100))</f>
        <v>69.2246326881157</v>
      </c>
      <c r="Z671" s="18" t="n">
        <f aca="false">IF(D671="","",MAX(0,IF(P671&gt;=0,P671,IF(K671+P671&gt;=0,0,P671+K671))))</f>
        <v>32.6878715553282</v>
      </c>
      <c r="AA671" s="18" t="n">
        <f aca="false">IF(D671="","",IF(H671&lt;=$B$16,1,IF(H671&gt;=$B$17,$B$21,MATCH(H671,Aux_CAV!$A$2:$A$121,1))))</f>
        <v>12</v>
      </c>
      <c r="AB671" s="18" t="n">
        <f aca="false">IF(D671="","",IF(L671&lt;=$B$16,1,IF(L671&gt;=$B$17,$B$21,MATCH(L671,Aux_CAV!$A$2:$A$121,1))))</f>
        <v>12</v>
      </c>
      <c r="AC671" s="19" t="n">
        <f aca="false">IF(D671="","",COUNT($D$24:D671))</f>
        <v>636</v>
      </c>
    </row>
    <row r="672" customFormat="false" ht="12.75" hidden="false" customHeight="true" outlineLevel="0" collapsed="false">
      <c r="A672" s="14" t="n">
        <f aca="false">IF(D672="","",DATE(B672,C672,1))</f>
        <v>23377</v>
      </c>
      <c r="B672" s="15" t="n">
        <f aca="false" t="array" ref="B672:B672">IF(D672="","",IFERROR(VALUE(INDEX(Vazoes_COLAR!$A$2:$A$200,INT((ROW()-24)/12)+1)),""))</f>
        <v>1964</v>
      </c>
      <c r="C672" s="15" t="n">
        <f aca="false">IF(D672="","",MOD(ROW()-24,12)+1)</f>
        <v>1</v>
      </c>
      <c r="D672" s="16" t="n">
        <f aca="false" t="array" ref="D672: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2.57598870269386</v>
      </c>
      <c r="E672" s="16" t="n">
        <f aca="false">IF(D672="","",D672*$B$15)</f>
        <v>6.67696271738249</v>
      </c>
      <c r="F672" s="16" t="n">
        <f aca="false" t="array" ref="F672:F672">IF(D672="","",IFERROR(INDEX(Dados_Evap!$C$2:$N$15,MATCH($B$9,Dados_Evap!$A$2:$A$15,0),C672),0))</f>
        <v>160</v>
      </c>
      <c r="G672" s="16" t="n">
        <f aca="false">IF(F672="","",F672/1000)</f>
        <v>0.16</v>
      </c>
      <c r="H672" s="16" t="n">
        <f aca="false">IF(D672="","",MAX(0,MIN($B$8,IFERROR(LOOKUP(2,1/($U$24:U671&lt;&gt;""),$U$24:U671),$B$11))))</f>
        <v>32.6878715553282</v>
      </c>
      <c r="I672" s="16" t="n">
        <f aca="false" t="array" ref="I672: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>5.51174976351468</v>
      </c>
      <c r="J672" s="16" t="n">
        <f aca="false">IF(D672="","",$B$12)</f>
        <v>0.35</v>
      </c>
      <c r="K672" s="16" t="n">
        <f aca="false">IF(J672="","",J672*$B$15)</f>
        <v>0.9072</v>
      </c>
      <c r="L672" s="16" t="n">
        <f aca="false">IF(D672="","",H672+E672-K672-G672*I672)</f>
        <v>37.5757543105484</v>
      </c>
      <c r="M672" s="16" t="n">
        <f aca="false" t="array" ref="M672: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>6.00709182188651</v>
      </c>
      <c r="N672" s="16" t="n">
        <f aca="false">IF(D672="","",(I672+M672)/2)</f>
        <v>5.7594207927006</v>
      </c>
      <c r="O672" s="16" t="n">
        <f aca="false">IF(D672="","",G672*N672)</f>
        <v>0.921507326832096</v>
      </c>
      <c r="P672" s="16" t="n">
        <f aca="false">IF(D672="","",H672+E672-K672-O672)</f>
        <v>37.5361269458786</v>
      </c>
      <c r="Q672" s="16" t="n">
        <f aca="false">IF(D672="","",IF(P672&gt;=0,K672,MAX(0,K672+P672)))</f>
        <v>0.9072</v>
      </c>
      <c r="R672" s="16" t="n">
        <f aca="false">IF(D672="","",Q672/$B$15)</f>
        <v>0.35</v>
      </c>
      <c r="S672" s="16" t="n">
        <f aca="false">IF(D672="","",MAX(0,J672-R672))</f>
        <v>0</v>
      </c>
      <c r="T672" s="16" t="n">
        <f aca="false">IF(D672="","",MAX(0,Z672-$B$8))</f>
        <v>0</v>
      </c>
      <c r="U672" s="16" t="n">
        <f aca="false">IF(D672="","",MAX(0,MIN($B$8,Z672)))</f>
        <v>37.5361269458786</v>
      </c>
      <c r="V672" s="16" t="str">
        <f aca="false">IF(D672="","",IF(S672&gt;0.0000001,"Sim","Não"))</f>
        <v>Não</v>
      </c>
      <c r="W672" s="16" t="n">
        <f aca="false">IF(D672="","",U672-(H672+E672-Q672-O672-T672))</f>
        <v>0</v>
      </c>
      <c r="X672" s="16" t="n">
        <f aca="false">IF(W672="","",ABS(W672))</f>
        <v>0</v>
      </c>
      <c r="Y672" s="16" t="n">
        <f aca="false">IF(U672="","",IF($B$8=0,0,U672/$B$8*100))</f>
        <v>79.4920096270196</v>
      </c>
      <c r="Z672" s="18" t="n">
        <f aca="false">IF(D672="","",MAX(0,IF(P672&gt;=0,P672,IF(K672+P672&gt;=0,0,P672+K672))))</f>
        <v>37.5361269458786</v>
      </c>
      <c r="AA672" s="18" t="n">
        <f aca="false">IF(D672="","",IF(H672&lt;=$B$16,1,IF(H672&gt;=$B$17,$B$21,MATCH(H672,Aux_CAV!$A$2:$A$121,1))))</f>
        <v>12</v>
      </c>
      <c r="AB672" s="18" t="n">
        <f aca="false">IF(D672="","",IF(L672&lt;=$B$16,1,IF(L672&gt;=$B$17,$B$21,MATCH(L672,Aux_CAV!$A$2:$A$121,1))))</f>
        <v>13</v>
      </c>
      <c r="AC672" s="19" t="n">
        <f aca="false">IF(D672="","",COUNT($D$24:D672))</f>
        <v>637</v>
      </c>
    </row>
    <row r="673" customFormat="false" ht="12.75" hidden="false" customHeight="true" outlineLevel="0" collapsed="false">
      <c r="A673" s="14" t="n">
        <f aca="false">IF(D673="","",DATE(B673,C673,1))</f>
        <v>23408</v>
      </c>
      <c r="B673" s="15" t="n">
        <f aca="false" t="array" ref="B673:B673">IF(D673="","",IFERROR(VALUE(INDEX(Vazoes_COLAR!$A$2:$A$200,INT((ROW()-24)/12)+1)),""))</f>
        <v>1964</v>
      </c>
      <c r="C673" s="15" t="n">
        <f aca="false">IF(D673="","",MOD(ROW()-24,12)+1)</f>
        <v>2</v>
      </c>
      <c r="D673" s="16" t="n">
        <f aca="false" t="array" ref="D673: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9.98411851300167</v>
      </c>
      <c r="E673" s="16" t="n">
        <f aca="false">IF(D673="","",D673*$B$15)</f>
        <v>25.8788351857003</v>
      </c>
      <c r="F673" s="16" t="n">
        <f aca="false" t="array" ref="F673:F673">IF(D673="","",IFERROR(INDEX(Dados_Evap!$C$2:$N$15,MATCH($B$9,Dados_Evap!$A$2:$A$15,0),C673),0))</f>
        <v>124.3</v>
      </c>
      <c r="G673" s="16" t="n">
        <f aca="false">IF(F673="","",F673/1000)</f>
        <v>0.1243</v>
      </c>
      <c r="H673" s="16" t="n">
        <f aca="false">IF(D673="","",MAX(0,MIN($B$8,IFERROR(LOOKUP(2,1/($U$24:U672&lt;&gt;""),$U$24:U672),$B$11))))</f>
        <v>37.5361269458786</v>
      </c>
      <c r="I673" s="16" t="n">
        <f aca="false" t="array" ref="I673: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>6.00313531613725</v>
      </c>
      <c r="J673" s="16" t="n">
        <f aca="false">IF(D673="","",$B$12)</f>
        <v>0.35</v>
      </c>
      <c r="K673" s="16" t="n">
        <f aca="false">IF(J673="","",J673*$B$15)</f>
        <v>0.9072</v>
      </c>
      <c r="L673" s="16" t="n">
        <f aca="false">IF(D673="","",H673+E673-K673-G673*I673)</f>
        <v>61.7615724117831</v>
      </c>
      <c r="M673" s="16" t="n">
        <f aca="false" t="array" ref="M673: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>8.72667087003029</v>
      </c>
      <c r="N673" s="16" t="n">
        <f aca="false">IF(D673="","",(I673+M673)/2)</f>
        <v>7.36490309308377</v>
      </c>
      <c r="O673" s="16" t="n">
        <f aca="false">IF(D673="","",G673*N673)</f>
        <v>0.915457454470313</v>
      </c>
      <c r="P673" s="16" t="n">
        <f aca="false">IF(D673="","",H673+E673-K673-O673)</f>
        <v>61.5923046771086</v>
      </c>
      <c r="Q673" s="16" t="n">
        <f aca="false">IF(D673="","",IF(P673&gt;=0,K673,MAX(0,K673+P673)))</f>
        <v>0.9072</v>
      </c>
      <c r="R673" s="16" t="n">
        <f aca="false">IF(D673="","",Q673/$B$15)</f>
        <v>0.35</v>
      </c>
      <c r="S673" s="16" t="n">
        <f aca="false">IF(D673="","",MAX(0,J673-R673))</f>
        <v>0</v>
      </c>
      <c r="T673" s="16" t="n">
        <f aca="false">IF(D673="","",MAX(0,Z673-$B$8))</f>
        <v>14.3723046771086</v>
      </c>
      <c r="U673" s="16" t="n">
        <f aca="false">IF(D673="","",MAX(0,MIN($B$8,Z673)))</f>
        <v>47.22</v>
      </c>
      <c r="V673" s="16" t="str">
        <f aca="false">IF(D673="","",IF(S673&gt;0.0000001,"Sim","Não"))</f>
        <v>Não</v>
      </c>
      <c r="W673" s="16" t="n">
        <f aca="false">IF(D673="","",U673-(H673+E673-Q673-O673-T673))</f>
        <v>0</v>
      </c>
      <c r="X673" s="16" t="n">
        <f aca="false">IF(W673="","",ABS(W673))</f>
        <v>0</v>
      </c>
      <c r="Y673" s="16" t="n">
        <f aca="false">IF(U673="","",IF($B$8=0,0,U673/$B$8*100))</f>
        <v>100</v>
      </c>
      <c r="Z673" s="18" t="n">
        <f aca="false">IF(D673="","",MAX(0,IF(P673&gt;=0,P673,IF(K673+P673&gt;=0,0,P673+K673))))</f>
        <v>61.5923046771086</v>
      </c>
      <c r="AA673" s="18" t="n">
        <f aca="false">IF(D673="","",IF(H673&lt;=$B$16,1,IF(H673&gt;=$B$17,$B$21,MATCH(H673,Aux_CAV!$A$2:$A$121,1))))</f>
        <v>13</v>
      </c>
      <c r="AB673" s="18" t="n">
        <f aca="false">IF(D673="","",IF(L673&lt;=$B$16,1,IF(L673&gt;=$B$17,$B$21,MATCH(L673,Aux_CAV!$A$2:$A$121,1))))</f>
        <v>15</v>
      </c>
      <c r="AC673" s="19" t="n">
        <f aca="false">IF(D673="","",COUNT($D$24:D673))</f>
        <v>638</v>
      </c>
    </row>
    <row r="674" customFormat="false" ht="12.75" hidden="false" customHeight="true" outlineLevel="0" collapsed="false">
      <c r="A674" s="14" t="n">
        <f aca="false">IF(D674="","",DATE(B674,C674,1))</f>
        <v>23437</v>
      </c>
      <c r="B674" s="15" t="n">
        <f aca="false" t="array" ref="B674:B674">IF(D674="","",IFERROR(VALUE(INDEX(Vazoes_COLAR!$A$2:$A$200,INT((ROW()-24)/12)+1)),""))</f>
        <v>1964</v>
      </c>
      <c r="C674" s="15" t="n">
        <f aca="false">IF(D674="","",MOD(ROW()-24,12)+1)</f>
        <v>3</v>
      </c>
      <c r="D674" s="16" t="n">
        <f aca="false" t="array" ref="D674: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24.1006819097882</v>
      </c>
      <c r="E674" s="16" t="n">
        <f aca="false">IF(D674="","",D674*$B$15)</f>
        <v>62.468967510171</v>
      </c>
      <c r="F674" s="16" t="n">
        <f aca="false" t="array" ref="F674:F674">IF(D674="","",IFERROR(INDEX(Dados_Evap!$C$2:$N$15,MATCH($B$9,Dados_Evap!$A$2:$A$15,0),C674),0))</f>
        <v>107.7</v>
      </c>
      <c r="G674" s="16" t="n">
        <f aca="false">IF(F674="","",F674/1000)</f>
        <v>0.1077</v>
      </c>
      <c r="H674" s="16" t="n">
        <f aca="false">IF(D674="","",MAX(0,MIN($B$8,IFERROR(LOOKUP(2,1/($U$24:U673&lt;&gt;""),$U$24:U673),$B$11))))</f>
        <v>47.22</v>
      </c>
      <c r="I674" s="16" t="n">
        <f aca="false" t="array" ref="I674: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>6.97</v>
      </c>
      <c r="J674" s="16" t="n">
        <f aca="false">IF(D674="","",$B$12)</f>
        <v>0.35</v>
      </c>
      <c r="K674" s="16" t="n">
        <f aca="false">IF(J674="","",J674*$B$15)</f>
        <v>0.9072</v>
      </c>
      <c r="L674" s="16" t="n">
        <f aca="false">IF(D674="","",H674+E674-K674-G674*I674)</f>
        <v>108.031098510171</v>
      </c>
      <c r="M674" s="16" t="n">
        <f aca="false" t="array" ref="M674: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>10.96</v>
      </c>
      <c r="N674" s="16" t="n">
        <f aca="false">IF(D674="","",(I674+M674)/2)</f>
        <v>8.965</v>
      </c>
      <c r="O674" s="16" t="n">
        <f aca="false">IF(D674="","",G674*N674)</f>
        <v>0.9655305</v>
      </c>
      <c r="P674" s="16" t="n">
        <f aca="false">IF(D674="","",H674+E674-K674-O674)</f>
        <v>107.816237010171</v>
      </c>
      <c r="Q674" s="16" t="n">
        <f aca="false">IF(D674="","",IF(P674&gt;=0,K674,MAX(0,K674+P674)))</f>
        <v>0.9072</v>
      </c>
      <c r="R674" s="16" t="n">
        <f aca="false">IF(D674="","",Q674/$B$15)</f>
        <v>0.35</v>
      </c>
      <c r="S674" s="16" t="n">
        <f aca="false">IF(D674="","",MAX(0,J674-R674))</f>
        <v>0</v>
      </c>
      <c r="T674" s="16" t="n">
        <f aca="false">IF(D674="","",MAX(0,Z674-$B$8))</f>
        <v>60.596237010171</v>
      </c>
      <c r="U674" s="16" t="n">
        <f aca="false">IF(D674="","",MAX(0,MIN($B$8,Z674)))</f>
        <v>47.22</v>
      </c>
      <c r="V674" s="16" t="str">
        <f aca="false">IF(D674="","",IF(S674&gt;0.0000001,"Sim","Não"))</f>
        <v>Não</v>
      </c>
      <c r="W674" s="16" t="n">
        <f aca="false">IF(D674="","",U674-(H674+E674-Q674-O674-T674))</f>
        <v>0</v>
      </c>
      <c r="X674" s="16" t="n">
        <f aca="false">IF(W674="","",ABS(W674))</f>
        <v>0</v>
      </c>
      <c r="Y674" s="16" t="n">
        <f aca="false">IF(U674="","",IF($B$8=0,0,U674/$B$8*100))</f>
        <v>100</v>
      </c>
      <c r="Z674" s="18" t="n">
        <f aca="false">IF(D674="","",MAX(0,IF(P674&gt;=0,P674,IF(K674+P674&gt;=0,0,P674+K674))))</f>
        <v>107.816237010171</v>
      </c>
      <c r="AA674" s="18" t="n">
        <f aca="false">IF(D674="","",IF(H674&lt;=$B$16,1,IF(H674&gt;=$B$17,$B$21,MATCH(H674,Aux_CAV!$A$2:$A$121,1))))</f>
        <v>14</v>
      </c>
      <c r="AB674" s="18" t="n">
        <f aca="false">IF(D674="","",IF(L674&lt;=$B$16,1,IF(L674&gt;=$B$17,$B$21,MATCH(L674,Aux_CAV!$A$2:$A$121,1))))</f>
        <v>18</v>
      </c>
      <c r="AC674" s="19" t="n">
        <f aca="false">IF(D674="","",COUNT($D$24:D674))</f>
        <v>639</v>
      </c>
    </row>
    <row r="675" customFormat="false" ht="12.75" hidden="false" customHeight="true" outlineLevel="0" collapsed="false">
      <c r="A675" s="14" t="n">
        <f aca="false">IF(D675="","",DATE(B675,C675,1))</f>
        <v>23468</v>
      </c>
      <c r="B675" s="15" t="n">
        <f aca="false" t="array" ref="B675:B675">IF(D675="","",IFERROR(VALUE(INDEX(Vazoes_COLAR!$A$2:$A$200,INT((ROW()-24)/12)+1)),""))</f>
        <v>1964</v>
      </c>
      <c r="C675" s="15" t="n">
        <f aca="false">IF(D675="","",MOD(ROW()-24,12)+1)</f>
        <v>4</v>
      </c>
      <c r="D675" s="16" t="n">
        <f aca="false" t="array" ref="D675: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41.0144849185038</v>
      </c>
      <c r="E675" s="16" t="n">
        <f aca="false">IF(D675="","",D675*$B$15)</f>
        <v>106.309544908762</v>
      </c>
      <c r="F675" s="16" t="n">
        <f aca="false" t="array" ref="F675:F675">IF(D675="","",IFERROR(INDEX(Dados_Evap!$C$2:$N$15,MATCH($B$9,Dados_Evap!$A$2:$A$15,0),C675),0))</f>
        <v>100.5</v>
      </c>
      <c r="G675" s="16" t="n">
        <f aca="false">IF(F675="","",F675/1000)</f>
        <v>0.1005</v>
      </c>
      <c r="H675" s="16" t="n">
        <f aca="false">IF(D675="","",MAX(0,MIN($B$8,IFERROR(LOOKUP(2,1/($U$24:U674&lt;&gt;""),$U$24:U674),$B$11))))</f>
        <v>47.22</v>
      </c>
      <c r="I675" s="16" t="n">
        <f aca="false" t="array" ref="I675: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>6.97</v>
      </c>
      <c r="J675" s="16" t="n">
        <f aca="false">IF(D675="","",$B$12)</f>
        <v>0.35</v>
      </c>
      <c r="K675" s="16" t="n">
        <f aca="false">IF(J675="","",J675*$B$15)</f>
        <v>0.9072</v>
      </c>
      <c r="L675" s="16" t="n">
        <f aca="false">IF(D675="","",H675+E675-K675-G675*I675)</f>
        <v>151.921859908762</v>
      </c>
      <c r="M675" s="16" t="n">
        <f aca="false" t="array" ref="M675: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>10.96</v>
      </c>
      <c r="N675" s="16" t="n">
        <f aca="false">IF(D675="","",(I675+M675)/2)</f>
        <v>8.965</v>
      </c>
      <c r="O675" s="16" t="n">
        <f aca="false">IF(D675="","",G675*N675)</f>
        <v>0.9009825</v>
      </c>
      <c r="P675" s="16" t="n">
        <f aca="false">IF(D675="","",H675+E675-K675-O675)</f>
        <v>151.721362408762</v>
      </c>
      <c r="Q675" s="16" t="n">
        <f aca="false">IF(D675="","",IF(P675&gt;=0,K675,MAX(0,K675+P675)))</f>
        <v>0.9072</v>
      </c>
      <c r="R675" s="16" t="n">
        <f aca="false">IF(D675="","",Q675/$B$15)</f>
        <v>0.35</v>
      </c>
      <c r="S675" s="16" t="n">
        <f aca="false">IF(D675="","",MAX(0,J675-R675))</f>
        <v>0</v>
      </c>
      <c r="T675" s="16" t="n">
        <f aca="false">IF(D675="","",MAX(0,Z675-$B$8))</f>
        <v>104.501362408762</v>
      </c>
      <c r="U675" s="16" t="n">
        <f aca="false">IF(D675="","",MAX(0,MIN($B$8,Z675)))</f>
        <v>47.22</v>
      </c>
      <c r="V675" s="16" t="str">
        <f aca="false">IF(D675="","",IF(S675&gt;0.0000001,"Sim","Não"))</f>
        <v>Não</v>
      </c>
      <c r="W675" s="16" t="n">
        <f aca="false">IF(D675="","",U675-(H675+E675-Q675-O675-T675))</f>
        <v>0</v>
      </c>
      <c r="X675" s="16" t="n">
        <f aca="false">IF(W675="","",ABS(W675))</f>
        <v>0</v>
      </c>
      <c r="Y675" s="16" t="n">
        <f aca="false">IF(U675="","",IF($B$8=0,0,U675/$B$8*100))</f>
        <v>100</v>
      </c>
      <c r="Z675" s="18" t="n">
        <f aca="false">IF(D675="","",MAX(0,IF(P675&gt;=0,P675,IF(K675+P675&gt;=0,0,P675+K675))))</f>
        <v>151.721362408762</v>
      </c>
      <c r="AA675" s="18" t="n">
        <f aca="false">IF(D675="","",IF(H675&lt;=$B$16,1,IF(H675&gt;=$B$17,$B$21,MATCH(H675,Aux_CAV!$A$2:$A$121,1))))</f>
        <v>14</v>
      </c>
      <c r="AB675" s="18" t="n">
        <f aca="false">IF(D675="","",IF(L675&lt;=$B$16,1,IF(L675&gt;=$B$17,$B$21,MATCH(L675,Aux_CAV!$A$2:$A$121,1))))</f>
        <v>18</v>
      </c>
      <c r="AC675" s="19" t="n">
        <f aca="false">IF(D675="","",COUNT($D$24:D675))</f>
        <v>640</v>
      </c>
    </row>
    <row r="676" customFormat="false" ht="12.75" hidden="false" customHeight="true" outlineLevel="0" collapsed="false">
      <c r="A676" s="14" t="n">
        <f aca="false">IF(D676="","",DATE(B676,C676,1))</f>
        <v>23498</v>
      </c>
      <c r="B676" s="15" t="n">
        <f aca="false" t="array" ref="B676:B676">IF(D676="","",IFERROR(VALUE(INDEX(Vazoes_COLAR!$A$2:$A$200,INT((ROW()-24)/12)+1)),""))</f>
        <v>1964</v>
      </c>
      <c r="C676" s="15" t="n">
        <f aca="false">IF(D676="","",MOD(ROW()-24,12)+1)</f>
        <v>5</v>
      </c>
      <c r="D676" s="16" t="n">
        <f aca="false" t="array" ref="D676: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8.94580206864562</v>
      </c>
      <c r="E676" s="16" t="n">
        <f aca="false">IF(D676="","",D676*$B$15)</f>
        <v>23.1875189619294</v>
      </c>
      <c r="F676" s="16" t="n">
        <f aca="false" t="array" ref="F676:F676">IF(D676="","",IFERROR(INDEX(Dados_Evap!$C$2:$N$15,MATCH($B$9,Dados_Evap!$A$2:$A$15,0),C676),0))</f>
        <v>145.8</v>
      </c>
      <c r="G676" s="16" t="n">
        <f aca="false">IF(F676="","",F676/1000)</f>
        <v>0.1458</v>
      </c>
      <c r="H676" s="16" t="n">
        <f aca="false">IF(D676="","",MAX(0,MIN($B$8,IFERROR(LOOKUP(2,1/($U$24:U675&lt;&gt;""),$U$24:U675),$B$11))))</f>
        <v>47.22</v>
      </c>
      <c r="I676" s="16" t="n">
        <f aca="false" t="array" ref="I676: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>6.97</v>
      </c>
      <c r="J676" s="16" t="n">
        <f aca="false">IF(D676="","",$B$12)</f>
        <v>0.35</v>
      </c>
      <c r="K676" s="16" t="n">
        <f aca="false">IF(J676="","",J676*$B$15)</f>
        <v>0.9072</v>
      </c>
      <c r="L676" s="16" t="n">
        <f aca="false">IF(D676="","",H676+E676-K676-G676*I676)</f>
        <v>68.4840929619294</v>
      </c>
      <c r="M676" s="16" t="n">
        <f aca="false" t="array" ref="M676: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>9.48804442221819</v>
      </c>
      <c r="N676" s="16" t="n">
        <f aca="false">IF(D676="","",(I676+M676)/2)</f>
        <v>8.2290222111091</v>
      </c>
      <c r="O676" s="16" t="n">
        <f aca="false">IF(D676="","",G676*N676)</f>
        <v>1.19979143837971</v>
      </c>
      <c r="P676" s="16" t="n">
        <f aca="false">IF(D676="","",H676+E676-K676-O676)</f>
        <v>68.3005275235497</v>
      </c>
      <c r="Q676" s="16" t="n">
        <f aca="false">IF(D676="","",IF(P676&gt;=0,K676,MAX(0,K676+P676)))</f>
        <v>0.9072</v>
      </c>
      <c r="R676" s="16" t="n">
        <f aca="false">IF(D676="","",Q676/$B$15)</f>
        <v>0.35</v>
      </c>
      <c r="S676" s="16" t="n">
        <f aca="false">IF(D676="","",MAX(0,J676-R676))</f>
        <v>0</v>
      </c>
      <c r="T676" s="16" t="n">
        <f aca="false">IF(D676="","",MAX(0,Z676-$B$8))</f>
        <v>21.0805275235497</v>
      </c>
      <c r="U676" s="16" t="n">
        <f aca="false">IF(D676="","",MAX(0,MIN($B$8,Z676)))</f>
        <v>47.22</v>
      </c>
      <c r="V676" s="16" t="str">
        <f aca="false">IF(D676="","",IF(S676&gt;0.0000001,"Sim","Não"))</f>
        <v>Não</v>
      </c>
      <c r="W676" s="16" t="n">
        <f aca="false">IF(D676="","",U676-(H676+E676-Q676-O676-T676))</f>
        <v>0</v>
      </c>
      <c r="X676" s="16" t="n">
        <f aca="false">IF(W676="","",ABS(W676))</f>
        <v>0</v>
      </c>
      <c r="Y676" s="16" t="n">
        <f aca="false">IF(U676="","",IF($B$8=0,0,U676/$B$8*100))</f>
        <v>100</v>
      </c>
      <c r="Z676" s="18" t="n">
        <f aca="false">IF(D676="","",MAX(0,IF(P676&gt;=0,P676,IF(K676+P676&gt;=0,0,P676+K676))))</f>
        <v>68.3005275235497</v>
      </c>
      <c r="AA676" s="18" t="n">
        <f aca="false">IF(D676="","",IF(H676&lt;=$B$16,1,IF(H676&gt;=$B$17,$B$21,MATCH(H676,Aux_CAV!$A$2:$A$121,1))))</f>
        <v>14</v>
      </c>
      <c r="AB676" s="18" t="n">
        <f aca="false">IF(D676="","",IF(L676&lt;=$B$16,1,IF(L676&gt;=$B$17,$B$21,MATCH(L676,Aux_CAV!$A$2:$A$121,1))))</f>
        <v>16</v>
      </c>
      <c r="AC676" s="19" t="n">
        <f aca="false">IF(D676="","",COUNT($D$24:D676))</f>
        <v>641</v>
      </c>
    </row>
    <row r="677" customFormat="false" ht="12.75" hidden="false" customHeight="true" outlineLevel="0" collapsed="false">
      <c r="A677" s="14" t="n">
        <f aca="false">IF(D677="","",DATE(B677,C677,1))</f>
        <v>23529</v>
      </c>
      <c r="B677" s="15" t="n">
        <f aca="false" t="array" ref="B677:B677">IF(D677="","",IFERROR(VALUE(INDEX(Vazoes_COLAR!$A$2:$A$200,INT((ROW()-24)/12)+1)),""))</f>
        <v>1964</v>
      </c>
      <c r="C677" s="15" t="n">
        <f aca="false">IF(D677="","",MOD(ROW()-24,12)+1)</f>
        <v>6</v>
      </c>
      <c r="D677" s="16" t="n">
        <f aca="false" t="array" ref="D677: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2.8646938722626</v>
      </c>
      <c r="E677" s="16" t="n">
        <f aca="false">IF(D677="","",D677*$B$15)</f>
        <v>7.42528651690466</v>
      </c>
      <c r="F677" s="16" t="n">
        <f aca="false" t="array" ref="F677:F677">IF(D677="","",IFERROR(INDEX(Dados_Evap!$C$2:$N$15,MATCH($B$9,Dados_Evap!$A$2:$A$15,0),C677),0))</f>
        <v>161.3</v>
      </c>
      <c r="G677" s="16" t="n">
        <f aca="false">IF(F677="","",F677/1000)</f>
        <v>0.1613</v>
      </c>
      <c r="H677" s="16" t="n">
        <f aca="false">IF(D677="","",MAX(0,MIN($B$8,IFERROR(LOOKUP(2,1/($U$24:U676&lt;&gt;""),$U$24:U676),$B$11))))</f>
        <v>47.22</v>
      </c>
      <c r="I677" s="16" t="n">
        <f aca="false" t="array" ref="I677: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>6.97</v>
      </c>
      <c r="J677" s="16" t="n">
        <f aca="false">IF(D677="","",$B$12)</f>
        <v>0.35</v>
      </c>
      <c r="K677" s="16" t="n">
        <f aca="false">IF(J677="","",J677*$B$15)</f>
        <v>0.9072</v>
      </c>
      <c r="L677" s="16" t="n">
        <f aca="false">IF(D677="","",H677+E677-K677-G677*I677)</f>
        <v>52.6138255169047</v>
      </c>
      <c r="M677" s="16" t="n">
        <f aca="false" t="array" ref="M677: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>7.6058574796351</v>
      </c>
      <c r="N677" s="16" t="n">
        <f aca="false">IF(D677="","",(I677+M677)/2)</f>
        <v>7.28792873981755</v>
      </c>
      <c r="O677" s="16" t="n">
        <f aca="false">IF(D677="","",G677*N677)</f>
        <v>1.17554290573257</v>
      </c>
      <c r="P677" s="16" t="n">
        <f aca="false">IF(D677="","",H677+E677-K677-O677)</f>
        <v>52.5625436111721</v>
      </c>
      <c r="Q677" s="16" t="n">
        <f aca="false">IF(D677="","",IF(P677&gt;=0,K677,MAX(0,K677+P677)))</f>
        <v>0.9072</v>
      </c>
      <c r="R677" s="16" t="n">
        <f aca="false">IF(D677="","",Q677/$B$15)</f>
        <v>0.35</v>
      </c>
      <c r="S677" s="16" t="n">
        <f aca="false">IF(D677="","",MAX(0,J677-R677))</f>
        <v>0</v>
      </c>
      <c r="T677" s="16" t="n">
        <f aca="false">IF(D677="","",MAX(0,Z677-$B$8))</f>
        <v>5.34254361117209</v>
      </c>
      <c r="U677" s="16" t="n">
        <f aca="false">IF(D677="","",MAX(0,MIN($B$8,Z677)))</f>
        <v>47.22</v>
      </c>
      <c r="V677" s="16" t="str">
        <f aca="false">IF(D677="","",IF(S677&gt;0.0000001,"Sim","Não"))</f>
        <v>Não</v>
      </c>
      <c r="W677" s="16" t="n">
        <f aca="false">IF(D677="","",U677-(H677+E677-Q677-O677-T677))</f>
        <v>0</v>
      </c>
      <c r="X677" s="16" t="n">
        <f aca="false">IF(W677="","",ABS(W677))</f>
        <v>0</v>
      </c>
      <c r="Y677" s="16" t="n">
        <f aca="false">IF(U677="","",IF($B$8=0,0,U677/$B$8*100))</f>
        <v>100</v>
      </c>
      <c r="Z677" s="18" t="n">
        <f aca="false">IF(D677="","",MAX(0,IF(P677&gt;=0,P677,IF(K677+P677&gt;=0,0,P677+K677))))</f>
        <v>52.5625436111721</v>
      </c>
      <c r="AA677" s="18" t="n">
        <f aca="false">IF(D677="","",IF(H677&lt;=$B$16,1,IF(H677&gt;=$B$17,$B$21,MATCH(H677,Aux_CAV!$A$2:$A$121,1))))</f>
        <v>14</v>
      </c>
      <c r="AB677" s="18" t="n">
        <f aca="false">IF(D677="","",IF(L677&lt;=$B$16,1,IF(L677&gt;=$B$17,$B$21,MATCH(L677,Aux_CAV!$A$2:$A$121,1))))</f>
        <v>14</v>
      </c>
      <c r="AC677" s="19" t="n">
        <f aca="false">IF(D677="","",COUNT($D$24:D677))</f>
        <v>642</v>
      </c>
    </row>
    <row r="678" customFormat="false" ht="12.75" hidden="false" customHeight="true" outlineLevel="0" collapsed="false">
      <c r="A678" s="14" t="n">
        <f aca="false">IF(D678="","",DATE(B678,C678,1))</f>
        <v>23559</v>
      </c>
      <c r="B678" s="15" t="n">
        <f aca="false" t="array" ref="B678:B678">IF(D678="","",IFERROR(VALUE(INDEX(Vazoes_COLAR!$A$2:$A$200,INT((ROW()-24)/12)+1)),""))</f>
        <v>1964</v>
      </c>
      <c r="C678" s="15" t="n">
        <f aca="false">IF(D678="","",MOD(ROW()-24,12)+1)</f>
        <v>7</v>
      </c>
      <c r="D678" s="16" t="n">
        <f aca="false" t="array" ref="D678: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1.07270660116883</v>
      </c>
      <c r="E678" s="16" t="n">
        <f aca="false">IF(D678="","",D678*$B$15)</f>
        <v>2.78045551022961</v>
      </c>
      <c r="F678" s="16" t="n">
        <f aca="false" t="array" ref="F678:F678">IF(D678="","",IFERROR(INDEX(Dados_Evap!$C$2:$N$15,MATCH($B$9,Dados_Evap!$A$2:$A$15,0),C678),0))</f>
        <v>224.8</v>
      </c>
      <c r="G678" s="16" t="n">
        <f aca="false">IF(F678="","",F678/1000)</f>
        <v>0.2248</v>
      </c>
      <c r="H678" s="16" t="n">
        <f aca="false">IF(D678="","",MAX(0,MIN($B$8,IFERROR(LOOKUP(2,1/($U$24:U677&lt;&gt;""),$U$24:U677),$B$11))))</f>
        <v>47.22</v>
      </c>
      <c r="I678" s="16" t="n">
        <f aca="false" t="array" ref="I678: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>6.97</v>
      </c>
      <c r="J678" s="16" t="n">
        <f aca="false">IF(D678="","",$B$12)</f>
        <v>0.35</v>
      </c>
      <c r="K678" s="16" t="n">
        <f aca="false">IF(J678="","",J678*$B$15)</f>
        <v>0.9072</v>
      </c>
      <c r="L678" s="16" t="n">
        <f aca="false">IF(D678="","",H678+E678-K678-G678*I678)</f>
        <v>47.5263995102296</v>
      </c>
      <c r="M678" s="16" t="n">
        <f aca="false" t="array" ref="M678: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>7.00612026746609</v>
      </c>
      <c r="N678" s="16" t="n">
        <f aca="false">IF(D678="","",(I678+M678)/2)</f>
        <v>6.98806013373305</v>
      </c>
      <c r="O678" s="16" t="n">
        <f aca="false">IF(D678="","",G678*N678)</f>
        <v>1.57091591806319</v>
      </c>
      <c r="P678" s="16" t="n">
        <f aca="false">IF(D678="","",H678+E678-K678-O678)</f>
        <v>47.5223395921664</v>
      </c>
      <c r="Q678" s="16" t="n">
        <f aca="false">IF(D678="","",IF(P678&gt;=0,K678,MAX(0,K678+P678)))</f>
        <v>0.9072</v>
      </c>
      <c r="R678" s="16" t="n">
        <f aca="false">IF(D678="","",Q678/$B$15)</f>
        <v>0.35</v>
      </c>
      <c r="S678" s="16" t="n">
        <f aca="false">IF(D678="","",MAX(0,J678-R678))</f>
        <v>0</v>
      </c>
      <c r="T678" s="16" t="n">
        <f aca="false">IF(D678="","",MAX(0,Z678-$B$8))</f>
        <v>0.302339592166419</v>
      </c>
      <c r="U678" s="16" t="n">
        <f aca="false">IF(D678="","",MAX(0,MIN($B$8,Z678)))</f>
        <v>47.22</v>
      </c>
      <c r="V678" s="16" t="str">
        <f aca="false">IF(D678="","",IF(S678&gt;0.0000001,"Sim","Não"))</f>
        <v>Não</v>
      </c>
      <c r="W678" s="16" t="n">
        <f aca="false">IF(D678="","",U678-(H678+E678-Q678-O678-T678))</f>
        <v>0</v>
      </c>
      <c r="X678" s="16" t="n">
        <f aca="false">IF(W678="","",ABS(W678))</f>
        <v>0</v>
      </c>
      <c r="Y678" s="16" t="n">
        <f aca="false">IF(U678="","",IF($B$8=0,0,U678/$B$8*100))</f>
        <v>100</v>
      </c>
      <c r="Z678" s="18" t="n">
        <f aca="false">IF(D678="","",MAX(0,IF(P678&gt;=0,P678,IF(K678+P678&gt;=0,0,P678+K678))))</f>
        <v>47.5223395921664</v>
      </c>
      <c r="AA678" s="18" t="n">
        <f aca="false">IF(D678="","",IF(H678&lt;=$B$16,1,IF(H678&gt;=$B$17,$B$21,MATCH(H678,Aux_CAV!$A$2:$A$121,1))))</f>
        <v>14</v>
      </c>
      <c r="AB678" s="18" t="n">
        <f aca="false">IF(D678="","",IF(L678&lt;=$B$16,1,IF(L678&gt;=$B$17,$B$21,MATCH(L678,Aux_CAV!$A$2:$A$121,1))))</f>
        <v>14</v>
      </c>
      <c r="AC678" s="19" t="n">
        <f aca="false">IF(D678="","",COUNT($D$24:D678))</f>
        <v>643</v>
      </c>
    </row>
    <row r="679" customFormat="false" ht="12.75" hidden="false" customHeight="true" outlineLevel="0" collapsed="false">
      <c r="A679" s="14" t="n">
        <f aca="false">IF(D679="","",DATE(B679,C679,1))</f>
        <v>23590</v>
      </c>
      <c r="B679" s="15" t="n">
        <f aca="false" t="array" ref="B679:B679">IF(D679="","",IFERROR(VALUE(INDEX(Vazoes_COLAR!$A$2:$A$200,INT((ROW()-24)/12)+1)),""))</f>
        <v>1964</v>
      </c>
      <c r="C679" s="15" t="n">
        <f aca="false">IF(D679="","",MOD(ROW()-24,12)+1)</f>
        <v>8</v>
      </c>
      <c r="D679" s="16" t="n">
        <f aca="false" t="array" ref="D679: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0.687038270916873</v>
      </c>
      <c r="E679" s="16" t="n">
        <f aca="false">IF(D679="","",D679*$B$15)</f>
        <v>1.78080319821653</v>
      </c>
      <c r="F679" s="16" t="n">
        <f aca="false" t="array" ref="F679:F679">IF(D679="","",IFERROR(INDEX(Dados_Evap!$C$2:$N$15,MATCH($B$9,Dados_Evap!$A$2:$A$15,0),C679),0))</f>
        <v>268.7</v>
      </c>
      <c r="G679" s="16" t="n">
        <f aca="false">IF(F679="","",F679/1000)</f>
        <v>0.2687</v>
      </c>
      <c r="H679" s="16" t="n">
        <f aca="false">IF(D679="","",MAX(0,MIN($B$8,IFERROR(LOOKUP(2,1/($U$24:U678&lt;&gt;""),$U$24:U678),$B$11))))</f>
        <v>47.22</v>
      </c>
      <c r="I679" s="16" t="n">
        <f aca="false" t="array" ref="I679: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>6.97</v>
      </c>
      <c r="J679" s="16" t="n">
        <f aca="false">IF(D679="","",$B$12)</f>
        <v>0.35</v>
      </c>
      <c r="K679" s="16" t="n">
        <f aca="false">IF(J679="","",J679*$B$15)</f>
        <v>0.9072</v>
      </c>
      <c r="L679" s="16" t="n">
        <f aca="false">IF(D679="","",H679+E679-K679-G679*I679)</f>
        <v>46.2207641982165</v>
      </c>
      <c r="M679" s="16" t="n">
        <f aca="false" t="array" ref="M679: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>6.8702335323691</v>
      </c>
      <c r="N679" s="16" t="n">
        <f aca="false">IF(D679="","",(I679+M679)/2)</f>
        <v>6.92011676618455</v>
      </c>
      <c r="O679" s="16" t="n">
        <f aca="false">IF(D679="","",G679*N679)</f>
        <v>1.85943537507379</v>
      </c>
      <c r="P679" s="16" t="n">
        <f aca="false">IF(D679="","",H679+E679-K679-O679)</f>
        <v>46.2341678231427</v>
      </c>
      <c r="Q679" s="16" t="n">
        <f aca="false">IF(D679="","",IF(P679&gt;=0,K679,MAX(0,K679+P679)))</f>
        <v>0.9072</v>
      </c>
      <c r="R679" s="16" t="n">
        <f aca="false">IF(D679="","",Q679/$B$15)</f>
        <v>0.35</v>
      </c>
      <c r="S679" s="16" t="n">
        <f aca="false">IF(D679="","",MAX(0,J679-R679))</f>
        <v>0</v>
      </c>
      <c r="T679" s="16" t="n">
        <f aca="false">IF(D679="","",MAX(0,Z679-$B$8))</f>
        <v>0</v>
      </c>
      <c r="U679" s="16" t="n">
        <f aca="false">IF(D679="","",MAX(0,MIN($B$8,Z679)))</f>
        <v>46.2341678231427</v>
      </c>
      <c r="V679" s="16" t="str">
        <f aca="false">IF(D679="","",IF(S679&gt;0.0000001,"Sim","Não"))</f>
        <v>Não</v>
      </c>
      <c r="W679" s="16" t="n">
        <f aca="false">IF(D679="","",U679-(H679+E679-Q679-O679-T679))</f>
        <v>0</v>
      </c>
      <c r="X679" s="16" t="n">
        <f aca="false">IF(W679="","",ABS(W679))</f>
        <v>0</v>
      </c>
      <c r="Y679" s="16" t="n">
        <f aca="false">IF(U679="","",IF($B$8=0,0,U679/$B$8*100))</f>
        <v>97.912257143462</v>
      </c>
      <c r="Z679" s="18" t="n">
        <f aca="false">IF(D679="","",MAX(0,IF(P679&gt;=0,P679,IF(K679+P679&gt;=0,0,P679+K679))))</f>
        <v>46.2341678231427</v>
      </c>
      <c r="AA679" s="18" t="n">
        <f aca="false">IF(D679="","",IF(H679&lt;=$B$16,1,IF(H679&gt;=$B$17,$B$21,MATCH(H679,Aux_CAV!$A$2:$A$121,1))))</f>
        <v>14</v>
      </c>
      <c r="AB679" s="18" t="n">
        <f aca="false">IF(D679="","",IF(L679&lt;=$B$16,1,IF(L679&gt;=$B$17,$B$21,MATCH(L679,Aux_CAV!$A$2:$A$121,1))))</f>
        <v>13</v>
      </c>
      <c r="AC679" s="19" t="n">
        <f aca="false">IF(D679="","",COUNT($D$24:D679))</f>
        <v>644</v>
      </c>
    </row>
    <row r="680" customFormat="false" ht="12.75" hidden="false" customHeight="true" outlineLevel="0" collapsed="false">
      <c r="A680" s="14" t="n">
        <f aca="false">IF(D680="","",DATE(B680,C680,1))</f>
        <v>23621</v>
      </c>
      <c r="B680" s="15" t="n">
        <f aca="false" t="array" ref="B680:B680">IF(D680="","",IFERROR(VALUE(INDEX(Vazoes_COLAR!$A$2:$A$200,INT((ROW()-24)/12)+1)),""))</f>
        <v>1964</v>
      </c>
      <c r="C680" s="15" t="n">
        <f aca="false">IF(D680="","",MOD(ROW()-24,12)+1)</f>
        <v>9</v>
      </c>
      <c r="D680" s="16" t="n">
        <f aca="false" t="array" ref="D680: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0.223671967138586</v>
      </c>
      <c r="E680" s="16" t="n">
        <f aca="false">IF(D680="","",D680*$B$15)</f>
        <v>0.579757738823215</v>
      </c>
      <c r="F680" s="16" t="n">
        <f aca="false" t="array" ref="F680:F680">IF(D680="","",IFERROR(INDEX(Dados_Evap!$C$2:$N$15,MATCH($B$9,Dados_Evap!$A$2:$A$15,0),C680),0))</f>
        <v>292.8</v>
      </c>
      <c r="G680" s="16" t="n">
        <f aca="false">IF(F680="","",F680/1000)</f>
        <v>0.2928</v>
      </c>
      <c r="H680" s="16" t="n">
        <f aca="false">IF(D680="","",MAX(0,MIN($B$8,IFERROR(LOOKUP(2,1/($U$24:U679&lt;&gt;""),$U$24:U679),$B$11))))</f>
        <v>46.2341678231427</v>
      </c>
      <c r="I680" s="16" t="n">
        <f aca="false" t="array" ref="I680: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>6.87157178737353</v>
      </c>
      <c r="J680" s="16" t="n">
        <f aca="false">IF(D680="","",$B$12)</f>
        <v>0.35</v>
      </c>
      <c r="K680" s="16" t="n">
        <f aca="false">IF(J680="","",J680*$B$15)</f>
        <v>0.9072</v>
      </c>
      <c r="L680" s="16" t="n">
        <f aca="false">IF(D680="","",H680+E680-K680-G680*I680)</f>
        <v>43.894729342623</v>
      </c>
      <c r="M680" s="16" t="n">
        <f aca="false" t="array" ref="M680: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>6.63799577556063</v>
      </c>
      <c r="N680" s="16" t="n">
        <f aca="false">IF(D680="","",(I680+M680)/2)</f>
        <v>6.75478378146708</v>
      </c>
      <c r="O680" s="16" t="n">
        <f aca="false">IF(D680="","",G680*N680)</f>
        <v>1.97780069121356</v>
      </c>
      <c r="P680" s="16" t="n">
        <f aca="false">IF(D680="","",H680+E680-K680-O680)</f>
        <v>43.9289248707524</v>
      </c>
      <c r="Q680" s="16" t="n">
        <f aca="false">IF(D680="","",IF(P680&gt;=0,K680,MAX(0,K680+P680)))</f>
        <v>0.9072</v>
      </c>
      <c r="R680" s="16" t="n">
        <f aca="false">IF(D680="","",Q680/$B$15)</f>
        <v>0.35</v>
      </c>
      <c r="S680" s="16" t="n">
        <f aca="false">IF(D680="","",MAX(0,J680-R680))</f>
        <v>0</v>
      </c>
      <c r="T680" s="16" t="n">
        <f aca="false">IF(D680="","",MAX(0,Z680-$B$8))</f>
        <v>0</v>
      </c>
      <c r="U680" s="16" t="n">
        <f aca="false">IF(D680="","",MAX(0,MIN($B$8,Z680)))</f>
        <v>43.9289248707524</v>
      </c>
      <c r="V680" s="16" t="str">
        <f aca="false">IF(D680="","",IF(S680&gt;0.0000001,"Sim","Não"))</f>
        <v>Não</v>
      </c>
      <c r="W680" s="16" t="n">
        <f aca="false">IF(D680="","",U680-(H680+E680-Q680-O680-T680))</f>
        <v>0</v>
      </c>
      <c r="X680" s="16" t="n">
        <f aca="false">IF(W680="","",ABS(W680))</f>
        <v>0</v>
      </c>
      <c r="Y680" s="16" t="n">
        <f aca="false">IF(U680="","",IF($B$8=0,0,U680/$B$8*100))</f>
        <v>93.0303364480144</v>
      </c>
      <c r="Z680" s="18" t="n">
        <f aca="false">IF(D680="","",MAX(0,IF(P680&gt;=0,P680,IF(K680+P680&gt;=0,0,P680+K680))))</f>
        <v>43.9289248707524</v>
      </c>
      <c r="AA680" s="18" t="n">
        <f aca="false">IF(D680="","",IF(H680&lt;=$B$16,1,IF(H680&gt;=$B$17,$B$21,MATCH(H680,Aux_CAV!$A$2:$A$121,1))))</f>
        <v>13</v>
      </c>
      <c r="AB680" s="18" t="n">
        <f aca="false">IF(D680="","",IF(L680&lt;=$B$16,1,IF(L680&gt;=$B$17,$B$21,MATCH(L680,Aux_CAV!$A$2:$A$121,1))))</f>
        <v>13</v>
      </c>
      <c r="AC680" s="19" t="n">
        <f aca="false">IF(D680="","",COUNT($D$24:D680))</f>
        <v>645</v>
      </c>
    </row>
    <row r="681" customFormat="false" ht="12.75" hidden="false" customHeight="true" outlineLevel="0" collapsed="false">
      <c r="A681" s="14" t="n">
        <f aca="false">IF(D681="","",DATE(B681,C681,1))</f>
        <v>23651</v>
      </c>
      <c r="B681" s="15" t="n">
        <f aca="false" t="array" ref="B681:B681">IF(D681="","",IFERROR(VALUE(INDEX(Vazoes_COLAR!$A$2:$A$200,INT((ROW()-24)/12)+1)),""))</f>
        <v>1964</v>
      </c>
      <c r="C681" s="15" t="n">
        <f aca="false">IF(D681="","",MOD(ROW()-24,12)+1)</f>
        <v>10</v>
      </c>
      <c r="D681" s="16" t="n">
        <f aca="false" t="array" ref="D681: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0.110230683418045</v>
      </c>
      <c r="E681" s="16" t="n">
        <f aca="false">IF(D681="","",D681*$B$15)</f>
        <v>0.285717931419573</v>
      </c>
      <c r="F681" s="16" t="n">
        <f aca="false" t="array" ref="F681:F681">IF(D681="","",IFERROR(INDEX(Dados_Evap!$C$2:$N$15,MATCH($B$9,Dados_Evap!$A$2:$A$15,0),C681),0))</f>
        <v>262.9</v>
      </c>
      <c r="G681" s="16" t="n">
        <f aca="false">IF(F681="","",F681/1000)</f>
        <v>0.2629</v>
      </c>
      <c r="H681" s="16" t="n">
        <f aca="false">IF(D681="","",MAX(0,MIN($B$8,IFERROR(LOOKUP(2,1/($U$24:U680&lt;&gt;""),$U$24:U680),$B$11))))</f>
        <v>43.9289248707524</v>
      </c>
      <c r="I681" s="16" t="n">
        <f aca="false" t="array" ref="I681: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>6.6414099517182</v>
      </c>
      <c r="J681" s="16" t="n">
        <f aca="false">IF(D681="","",$B$12)</f>
        <v>0.35</v>
      </c>
      <c r="K681" s="16" t="n">
        <f aca="false">IF(J681="","",J681*$B$15)</f>
        <v>0.9072</v>
      </c>
      <c r="L681" s="16" t="n">
        <f aca="false">IF(D681="","",H681+E681-K681-G681*I681)</f>
        <v>41.5614161258653</v>
      </c>
      <c r="M681" s="16" t="n">
        <f aca="false" t="array" ref="M681: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>6.40503132703215</v>
      </c>
      <c r="N681" s="16" t="n">
        <f aca="false">IF(D681="","",(I681+M681)/2)</f>
        <v>6.52322063937517</v>
      </c>
      <c r="O681" s="16" t="n">
        <f aca="false">IF(D681="","",G681*N681)</f>
        <v>1.71495470609173</v>
      </c>
      <c r="P681" s="16" t="n">
        <f aca="false">IF(D681="","",H681+E681-K681-O681)</f>
        <v>41.5924880960802</v>
      </c>
      <c r="Q681" s="16" t="n">
        <f aca="false">IF(D681="","",IF(P681&gt;=0,K681,MAX(0,K681+P681)))</f>
        <v>0.9072</v>
      </c>
      <c r="R681" s="16" t="n">
        <f aca="false">IF(D681="","",Q681/$B$15)</f>
        <v>0.35</v>
      </c>
      <c r="S681" s="16" t="n">
        <f aca="false">IF(D681="","",MAX(0,J681-R681))</f>
        <v>0</v>
      </c>
      <c r="T681" s="16" t="n">
        <f aca="false">IF(D681="","",MAX(0,Z681-$B$8))</f>
        <v>0</v>
      </c>
      <c r="U681" s="16" t="n">
        <f aca="false">IF(D681="","",MAX(0,MIN($B$8,Z681)))</f>
        <v>41.5924880960802</v>
      </c>
      <c r="V681" s="16" t="str">
        <f aca="false">IF(D681="","",IF(S681&gt;0.0000001,"Sim","Não"))</f>
        <v>Não</v>
      </c>
      <c r="W681" s="16" t="n">
        <f aca="false">IF(D681="","",U681-(H681+E681-Q681-O681-T681))</f>
        <v>0</v>
      </c>
      <c r="X681" s="16" t="n">
        <f aca="false">IF(W681="","",ABS(W681))</f>
        <v>0</v>
      </c>
      <c r="Y681" s="16" t="n">
        <f aca="false">IF(U681="","",IF($B$8=0,0,U681/$B$8*100))</f>
        <v>88.0823551378235</v>
      </c>
      <c r="Z681" s="18" t="n">
        <f aca="false">IF(D681="","",MAX(0,IF(P681&gt;=0,P681,IF(K681+P681&gt;=0,0,P681+K681))))</f>
        <v>41.5924880960802</v>
      </c>
      <c r="AA681" s="18" t="n">
        <f aca="false">IF(D681="","",IF(H681&lt;=$B$16,1,IF(H681&gt;=$B$17,$B$21,MATCH(H681,Aux_CAV!$A$2:$A$121,1))))</f>
        <v>13</v>
      </c>
      <c r="AB681" s="18" t="n">
        <f aca="false">IF(D681="","",IF(L681&lt;=$B$16,1,IF(L681&gt;=$B$17,$B$21,MATCH(L681,Aux_CAV!$A$2:$A$121,1))))</f>
        <v>13</v>
      </c>
      <c r="AC681" s="19" t="n">
        <f aca="false">IF(D681="","",COUNT($D$24:D681))</f>
        <v>646</v>
      </c>
    </row>
    <row r="682" customFormat="false" ht="12.75" hidden="false" customHeight="true" outlineLevel="0" collapsed="false">
      <c r="A682" s="14" t="n">
        <f aca="false">IF(D682="","",DATE(B682,C682,1))</f>
        <v>23682</v>
      </c>
      <c r="B682" s="15" t="n">
        <f aca="false" t="array" ref="B682:B682">IF(D682="","",IFERROR(VALUE(INDEX(Vazoes_COLAR!$A$2:$A$200,INT((ROW()-24)/12)+1)),""))</f>
        <v>1964</v>
      </c>
      <c r="C682" s="15" t="n">
        <f aca="false">IF(D682="","",MOD(ROW()-24,12)+1)</f>
        <v>11</v>
      </c>
      <c r="D682" s="16" t="n">
        <f aca="false" t="array" ref="D682: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0.0830529693873782</v>
      </c>
      <c r="E682" s="16" t="n">
        <f aca="false">IF(D682="","",D682*$B$15)</f>
        <v>0.215273296652084</v>
      </c>
      <c r="F682" s="16" t="n">
        <f aca="false" t="array" ref="F682:F682">IF(D682="","",IFERROR(INDEX(Dados_Evap!$C$2:$N$15,MATCH($B$9,Dados_Evap!$A$2:$A$15,0),C682),0))</f>
        <v>223.7</v>
      </c>
      <c r="G682" s="16" t="n">
        <f aca="false">IF(F682="","",F682/1000)</f>
        <v>0.2237</v>
      </c>
      <c r="H682" s="16" t="n">
        <f aca="false">IF(D682="","",MAX(0,MIN($B$8,IFERROR(LOOKUP(2,1/($U$24:U681&lt;&gt;""),$U$24:U681),$B$11))))</f>
        <v>41.5924880960802</v>
      </c>
      <c r="I682" s="16" t="n">
        <f aca="false" t="array" ref="I682: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>6.40813363852374</v>
      </c>
      <c r="J682" s="16" t="n">
        <f aca="false">IF(D682="","",$B$12)</f>
        <v>0.35</v>
      </c>
      <c r="K682" s="16" t="n">
        <f aca="false">IF(J682="","",J682*$B$15)</f>
        <v>0.9072</v>
      </c>
      <c r="L682" s="16" t="n">
        <f aca="false">IF(D682="","",H682+E682-K682-G682*I682)</f>
        <v>39.4670618977946</v>
      </c>
      <c r="M682" s="16" t="n">
        <f aca="false" t="array" ref="M682: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>6.19592520520433</v>
      </c>
      <c r="N682" s="16" t="n">
        <f aca="false">IF(D682="","",(I682+M682)/2)</f>
        <v>6.30202942186403</v>
      </c>
      <c r="O682" s="16" t="n">
        <f aca="false">IF(D682="","",G682*N682)</f>
        <v>1.40976398167098</v>
      </c>
      <c r="P682" s="16" t="n">
        <f aca="false">IF(D682="","",H682+E682-K682-O682)</f>
        <v>39.4907974110613</v>
      </c>
      <c r="Q682" s="16" t="n">
        <f aca="false">IF(D682="","",IF(P682&gt;=0,K682,MAX(0,K682+P682)))</f>
        <v>0.9072</v>
      </c>
      <c r="R682" s="16" t="n">
        <f aca="false">IF(D682="","",Q682/$B$15)</f>
        <v>0.35</v>
      </c>
      <c r="S682" s="16" t="n">
        <f aca="false">IF(D682="","",MAX(0,J682-R682))</f>
        <v>0</v>
      </c>
      <c r="T682" s="16" t="n">
        <f aca="false">IF(D682="","",MAX(0,Z682-$B$8))</f>
        <v>0</v>
      </c>
      <c r="U682" s="16" t="n">
        <f aca="false">IF(D682="","",MAX(0,MIN($B$8,Z682)))</f>
        <v>39.4907974110613</v>
      </c>
      <c r="V682" s="16" t="str">
        <f aca="false">IF(D682="","",IF(S682&gt;0.0000001,"Sim","Não"))</f>
        <v>Não</v>
      </c>
      <c r="W682" s="16" t="n">
        <f aca="false">IF(D682="","",U682-(H682+E682-Q682-O682-T682))</f>
        <v>0</v>
      </c>
      <c r="X682" s="16" t="n">
        <f aca="false">IF(W682="","",ABS(W682))</f>
        <v>0</v>
      </c>
      <c r="Y682" s="16" t="n">
        <f aca="false">IF(U682="","",IF($B$8=0,0,U682/$B$8*100))</f>
        <v>83.63150658844</v>
      </c>
      <c r="Z682" s="18" t="n">
        <f aca="false">IF(D682="","",MAX(0,IF(P682&gt;=0,P682,IF(K682+P682&gt;=0,0,P682+K682))))</f>
        <v>39.4907974110613</v>
      </c>
      <c r="AA682" s="18" t="n">
        <f aca="false">IF(D682="","",IF(H682&lt;=$B$16,1,IF(H682&gt;=$B$17,$B$21,MATCH(H682,Aux_CAV!$A$2:$A$121,1))))</f>
        <v>13</v>
      </c>
      <c r="AB682" s="18" t="n">
        <f aca="false">IF(D682="","",IF(L682&lt;=$B$16,1,IF(L682&gt;=$B$17,$B$21,MATCH(L682,Aux_CAV!$A$2:$A$121,1))))</f>
        <v>13</v>
      </c>
      <c r="AC682" s="19" t="n">
        <f aca="false">IF(D682="","",COUNT($D$24:D682))</f>
        <v>647</v>
      </c>
    </row>
    <row r="683" customFormat="false" ht="12.75" hidden="false" customHeight="true" outlineLevel="0" collapsed="false">
      <c r="A683" s="14" t="n">
        <f aca="false">IF(D683="","",DATE(B683,C683,1))</f>
        <v>23712</v>
      </c>
      <c r="B683" s="15" t="n">
        <f aca="false" t="array" ref="B683:B683">IF(D683="","",IFERROR(VALUE(INDEX(Vazoes_COLAR!$A$2:$A$200,INT((ROW()-24)/12)+1)),""))</f>
        <v>1964</v>
      </c>
      <c r="C683" s="15" t="n">
        <f aca="false">IF(D683="","",MOD(ROW()-24,12)+1)</f>
        <v>12</v>
      </c>
      <c r="D683" s="16" t="n">
        <f aca="false" t="array" ref="D683: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0.0618689403657698</v>
      </c>
      <c r="E683" s="16" t="n">
        <f aca="false">IF(D683="","",D683*$B$15)</f>
        <v>0.160364293428075</v>
      </c>
      <c r="F683" s="16" t="n">
        <f aca="false" t="array" ref="F683:F683">IF(D683="","",IFERROR(INDEX(Dados_Evap!$C$2:$N$15,MATCH($B$9,Dados_Evap!$A$2:$A$15,0),C683),0))</f>
        <v>216.1</v>
      </c>
      <c r="G683" s="16" t="n">
        <f aca="false">IF(F683="","",F683/1000)</f>
        <v>0.2161</v>
      </c>
      <c r="H683" s="16" t="n">
        <f aca="false">IF(D683="","",MAX(0,MIN($B$8,IFERROR(LOOKUP(2,1/($U$24:U682&lt;&gt;""),$U$24:U682),$B$11))))</f>
        <v>39.4907974110613</v>
      </c>
      <c r="I683" s="16" t="n">
        <f aca="false" t="array" ref="I683: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>6.19829502453207</v>
      </c>
      <c r="J683" s="16" t="n">
        <f aca="false">IF(D683="","",$B$12)</f>
        <v>0.35</v>
      </c>
      <c r="K683" s="16" t="n">
        <f aca="false">IF(J683="","",J683*$B$15)</f>
        <v>0.9072</v>
      </c>
      <c r="L683" s="16" t="n">
        <f aca="false">IF(D683="","",H683+E683-K683-G683*I683)</f>
        <v>37.404510149688</v>
      </c>
      <c r="M683" s="16" t="n">
        <f aca="false" t="array" ref="M683: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>5.989994330983</v>
      </c>
      <c r="N683" s="16" t="n">
        <f aca="false">IF(D683="","",(I683+M683)/2)</f>
        <v>6.09414467775754</v>
      </c>
      <c r="O683" s="16" t="n">
        <f aca="false">IF(D683="","",G683*N683)</f>
        <v>1.3169446648634</v>
      </c>
      <c r="P683" s="16" t="n">
        <f aca="false">IF(D683="","",H683+E683-K683-O683)</f>
        <v>37.427017039626</v>
      </c>
      <c r="Q683" s="16" t="n">
        <f aca="false">IF(D683="","",IF(P683&gt;=0,K683,MAX(0,K683+P683)))</f>
        <v>0.9072</v>
      </c>
      <c r="R683" s="16" t="n">
        <f aca="false">IF(D683="","",Q683/$B$15)</f>
        <v>0.35</v>
      </c>
      <c r="S683" s="16" t="n">
        <f aca="false">IF(D683="","",MAX(0,J683-R683))</f>
        <v>0</v>
      </c>
      <c r="T683" s="16" t="n">
        <f aca="false">IF(D683="","",MAX(0,Z683-$B$8))</f>
        <v>0</v>
      </c>
      <c r="U683" s="16" t="n">
        <f aca="false">IF(D683="","",MAX(0,MIN($B$8,Z683)))</f>
        <v>37.427017039626</v>
      </c>
      <c r="V683" s="16" t="str">
        <f aca="false">IF(D683="","",IF(S683&gt;0.0000001,"Sim","Não"))</f>
        <v>Não</v>
      </c>
      <c r="W683" s="16" t="n">
        <f aca="false">IF(D683="","",U683-(H683+E683-Q683-O683-T683))</f>
        <v>0</v>
      </c>
      <c r="X683" s="16" t="n">
        <f aca="false">IF(W683="","",ABS(W683))</f>
        <v>0</v>
      </c>
      <c r="Y683" s="16" t="n">
        <f aca="false">IF(U683="","",IF($B$8=0,0,U683/$B$8*100))</f>
        <v>79.2609424812071</v>
      </c>
      <c r="Z683" s="18" t="n">
        <f aca="false">IF(D683="","",MAX(0,IF(P683&gt;=0,P683,IF(K683+P683&gt;=0,0,P683+K683))))</f>
        <v>37.427017039626</v>
      </c>
      <c r="AA683" s="18" t="n">
        <f aca="false">IF(D683="","",IF(H683&lt;=$B$16,1,IF(H683&gt;=$B$17,$B$21,MATCH(H683,Aux_CAV!$A$2:$A$121,1))))</f>
        <v>13</v>
      </c>
      <c r="AB683" s="18" t="n">
        <f aca="false">IF(D683="","",IF(L683&lt;=$B$16,1,IF(L683&gt;=$B$17,$B$21,MATCH(L683,Aux_CAV!$A$2:$A$121,1))))</f>
        <v>13</v>
      </c>
      <c r="AC683" s="19" t="n">
        <f aca="false">IF(D683="","",COUNT($D$24:D683))</f>
        <v>648</v>
      </c>
    </row>
    <row r="684" customFormat="false" ht="12.75" hidden="false" customHeight="true" outlineLevel="0" collapsed="false">
      <c r="A684" s="14" t="n">
        <f aca="false">IF(D684="","",DATE(B684,C684,1))</f>
        <v>23743</v>
      </c>
      <c r="B684" s="15" t="n">
        <f aca="false" t="array" ref="B684:B684">IF(D684="","",IFERROR(VALUE(INDEX(Vazoes_COLAR!$A$2:$A$200,INT((ROW()-24)/12)+1)),""))</f>
        <v>1965</v>
      </c>
      <c r="C684" s="15" t="n">
        <f aca="false">IF(D684="","",MOD(ROW()-24,12)+1)</f>
        <v>1</v>
      </c>
      <c r="D684" s="16" t="n">
        <f aca="false" t="array" ref="D684: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0.434063534972169</v>
      </c>
      <c r="E684" s="16" t="n">
        <f aca="false">IF(D684="","",D684*$B$15)</f>
        <v>1.12509268264786</v>
      </c>
      <c r="F684" s="16" t="n">
        <f aca="false" t="array" ref="F684:F684">IF(D684="","",IFERROR(INDEX(Dados_Evap!$C$2:$N$15,MATCH($B$9,Dados_Evap!$A$2:$A$15,0),C684),0))</f>
        <v>160</v>
      </c>
      <c r="G684" s="16" t="n">
        <f aca="false">IF(F684="","",F684/1000)</f>
        <v>0.16</v>
      </c>
      <c r="H684" s="16" t="n">
        <f aca="false">IF(D684="","",MAX(0,MIN($B$8,IFERROR(LOOKUP(2,1/($U$24:U683&lt;&gt;""),$U$24:U683),$B$11))))</f>
        <v>37.427017039626</v>
      </c>
      <c r="I684" s="16" t="n">
        <f aca="false" t="array" ref="I684: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>5.99224148115763</v>
      </c>
      <c r="J684" s="16" t="n">
        <f aca="false">IF(D684="","",$B$12)</f>
        <v>0.35</v>
      </c>
      <c r="K684" s="16" t="n">
        <f aca="false">IF(J684="","",J684*$B$15)</f>
        <v>0.9072</v>
      </c>
      <c r="L684" s="16" t="n">
        <f aca="false">IF(D684="","",H684+E684-K684-G684*I684)</f>
        <v>36.6861510852886</v>
      </c>
      <c r="M684" s="16" t="n">
        <f aca="false" t="array" ref="M684: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>5.91827137408149</v>
      </c>
      <c r="N684" s="16" t="n">
        <f aca="false">IF(D684="","",(I684+M684)/2)</f>
        <v>5.95525642761956</v>
      </c>
      <c r="O684" s="16" t="n">
        <f aca="false">IF(D684="","",G684*N684)</f>
        <v>0.95284102841913</v>
      </c>
      <c r="P684" s="16" t="n">
        <f aca="false">IF(D684="","",H684+E684-K684-O684)</f>
        <v>36.6920686938547</v>
      </c>
      <c r="Q684" s="16" t="n">
        <f aca="false">IF(D684="","",IF(P684&gt;=0,K684,MAX(0,K684+P684)))</f>
        <v>0.9072</v>
      </c>
      <c r="R684" s="16" t="n">
        <f aca="false">IF(D684="","",Q684/$B$15)</f>
        <v>0.35</v>
      </c>
      <c r="S684" s="16" t="n">
        <f aca="false">IF(D684="","",MAX(0,J684-R684))</f>
        <v>0</v>
      </c>
      <c r="T684" s="16" t="n">
        <f aca="false">IF(D684="","",MAX(0,Z684-$B$8))</f>
        <v>0</v>
      </c>
      <c r="U684" s="16" t="n">
        <f aca="false">IF(D684="","",MAX(0,MIN($B$8,Z684)))</f>
        <v>36.6920686938547</v>
      </c>
      <c r="V684" s="16" t="str">
        <f aca="false">IF(D684="","",IF(S684&gt;0.0000001,"Sim","Não"))</f>
        <v>Não</v>
      </c>
      <c r="W684" s="16" t="n">
        <f aca="false">IF(D684="","",U684-(H684+E684-Q684-O684-T684))</f>
        <v>0</v>
      </c>
      <c r="X684" s="16" t="n">
        <f aca="false">IF(W684="","",ABS(W684))</f>
        <v>0</v>
      </c>
      <c r="Y684" s="16" t="n">
        <f aca="false">IF(U684="","",IF($B$8=0,0,U684/$B$8*100))</f>
        <v>77.7045080344234</v>
      </c>
      <c r="Z684" s="18" t="n">
        <f aca="false">IF(D684="","",MAX(0,IF(P684&gt;=0,P684,IF(K684+P684&gt;=0,0,P684+K684))))</f>
        <v>36.6920686938547</v>
      </c>
      <c r="AA684" s="18" t="n">
        <f aca="false">IF(D684="","",IF(H684&lt;=$B$16,1,IF(H684&gt;=$B$17,$B$21,MATCH(H684,Aux_CAV!$A$2:$A$121,1))))</f>
        <v>13</v>
      </c>
      <c r="AB684" s="18" t="n">
        <f aca="false">IF(D684="","",IF(L684&lt;=$B$16,1,IF(L684&gt;=$B$17,$B$21,MATCH(L684,Aux_CAV!$A$2:$A$121,1))))</f>
        <v>13</v>
      </c>
      <c r="AC684" s="19" t="n">
        <f aca="false">IF(D684="","",COUNT($D$24:D684))</f>
        <v>649</v>
      </c>
    </row>
    <row r="685" customFormat="false" ht="12.75" hidden="false" customHeight="true" outlineLevel="0" collapsed="false">
      <c r="A685" s="14" t="n">
        <f aca="false">IF(D685="","",DATE(B685,C685,1))</f>
        <v>23774</v>
      </c>
      <c r="B685" s="15" t="n">
        <f aca="false" t="array" ref="B685:B685">IF(D685="","",IFERROR(VALUE(INDEX(Vazoes_COLAR!$A$2:$A$200,INT((ROW()-24)/12)+1)),""))</f>
        <v>1965</v>
      </c>
      <c r="C685" s="15" t="n">
        <f aca="false">IF(D685="","",MOD(ROW()-24,12)+1)</f>
        <v>2</v>
      </c>
      <c r="D685" s="16" t="n">
        <f aca="false" t="array" ref="D685: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0.317769402495893</v>
      </c>
      <c r="E685" s="16" t="n">
        <f aca="false">IF(D685="","",D685*$B$15)</f>
        <v>0.823658291269355</v>
      </c>
      <c r="F685" s="16" t="n">
        <f aca="false" t="array" ref="F685:F685">IF(D685="","",IFERROR(INDEX(Dados_Evap!$C$2:$N$15,MATCH($B$9,Dados_Evap!$A$2:$A$15,0),C685),0))</f>
        <v>124.3</v>
      </c>
      <c r="G685" s="16" t="n">
        <f aca="false">IF(F685="","",F685/1000)</f>
        <v>0.1243</v>
      </c>
      <c r="H685" s="16" t="n">
        <f aca="false">IF(D685="","",MAX(0,MIN($B$8,IFERROR(LOOKUP(2,1/($U$24:U684&lt;&gt;""),$U$24:U684),$B$11))))</f>
        <v>36.6920686938547</v>
      </c>
      <c r="I685" s="16" t="n">
        <f aca="false" t="array" ref="I685: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>5.9188622044965</v>
      </c>
      <c r="J685" s="16" t="n">
        <f aca="false">IF(D685="","",$B$12)</f>
        <v>0.35</v>
      </c>
      <c r="K685" s="16" t="n">
        <f aca="false">IF(J685="","",J685*$B$15)</f>
        <v>0.9072</v>
      </c>
      <c r="L685" s="16" t="n">
        <f aca="false">IF(D685="","",H685+E685-K685-G685*I685)</f>
        <v>35.8728124131052</v>
      </c>
      <c r="M685" s="16" t="n">
        <f aca="false" t="array" ref="M685: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>5.83706539030217</v>
      </c>
      <c r="N685" s="16" t="n">
        <f aca="false">IF(D685="","",(I685+M685)/2)</f>
        <v>5.87796379739933</v>
      </c>
      <c r="O685" s="16" t="n">
        <f aca="false">IF(D685="","",G685*N685)</f>
        <v>0.730630900016737</v>
      </c>
      <c r="P685" s="16" t="n">
        <f aca="false">IF(D685="","",H685+E685-K685-O685)</f>
        <v>35.8778960851073</v>
      </c>
      <c r="Q685" s="16" t="n">
        <f aca="false">IF(D685="","",IF(P685&gt;=0,K685,MAX(0,K685+P685)))</f>
        <v>0.9072</v>
      </c>
      <c r="R685" s="16" t="n">
        <f aca="false">IF(D685="","",Q685/$B$15)</f>
        <v>0.35</v>
      </c>
      <c r="S685" s="16" t="n">
        <f aca="false">IF(D685="","",MAX(0,J685-R685))</f>
        <v>0</v>
      </c>
      <c r="T685" s="16" t="n">
        <f aca="false">IF(D685="","",MAX(0,Z685-$B$8))</f>
        <v>0</v>
      </c>
      <c r="U685" s="16" t="n">
        <f aca="false">IF(D685="","",MAX(0,MIN($B$8,Z685)))</f>
        <v>35.8778960851073</v>
      </c>
      <c r="V685" s="16" t="str">
        <f aca="false">IF(D685="","",IF(S685&gt;0.0000001,"Sim","Não"))</f>
        <v>Não</v>
      </c>
      <c r="W685" s="16" t="n">
        <f aca="false">IF(D685="","",U685-(H685+E685-Q685-O685-T685))</f>
        <v>0</v>
      </c>
      <c r="X685" s="16" t="n">
        <f aca="false">IF(W685="","",ABS(W685))</f>
        <v>0</v>
      </c>
      <c r="Y685" s="16" t="n">
        <f aca="false">IF(U685="","",IF($B$8=0,0,U685/$B$8*100))</f>
        <v>75.9802966647763</v>
      </c>
      <c r="Z685" s="18" t="n">
        <f aca="false">IF(D685="","",MAX(0,IF(P685&gt;=0,P685,IF(K685+P685&gt;=0,0,P685+K685))))</f>
        <v>35.8778960851073</v>
      </c>
      <c r="AA685" s="18" t="n">
        <f aca="false">IF(D685="","",IF(H685&lt;=$B$16,1,IF(H685&gt;=$B$17,$B$21,MATCH(H685,Aux_CAV!$A$2:$A$121,1))))</f>
        <v>13</v>
      </c>
      <c r="AB685" s="18" t="n">
        <f aca="false">IF(D685="","",IF(L685&lt;=$B$16,1,IF(L685&gt;=$B$17,$B$21,MATCH(L685,Aux_CAV!$A$2:$A$121,1))))</f>
        <v>13</v>
      </c>
      <c r="AC685" s="19" t="n">
        <f aca="false">IF(D685="","",COUNT($D$24:D685))</f>
        <v>650</v>
      </c>
    </row>
    <row r="686" customFormat="false" ht="12.75" hidden="false" customHeight="true" outlineLevel="0" collapsed="false">
      <c r="A686" s="14" t="n">
        <f aca="false">IF(D686="","",DATE(B686,C686,1))</f>
        <v>23802</v>
      </c>
      <c r="B686" s="15" t="n">
        <f aca="false" t="array" ref="B686:B686">IF(D686="","",IFERROR(VALUE(INDEX(Vazoes_COLAR!$A$2:$A$200,INT((ROW()-24)/12)+1)),""))</f>
        <v>1965</v>
      </c>
      <c r="C686" s="15" t="n">
        <f aca="false">IF(D686="","",MOD(ROW()-24,12)+1)</f>
        <v>3</v>
      </c>
      <c r="D686" s="16" t="n">
        <f aca="false" t="array" ref="D686: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1.77625658779618</v>
      </c>
      <c r="E686" s="16" t="n">
        <f aca="false">IF(D686="","",D686*$B$15)</f>
        <v>4.6040570755677</v>
      </c>
      <c r="F686" s="16" t="n">
        <f aca="false" t="array" ref="F686:F686">IF(D686="","",IFERROR(INDEX(Dados_Evap!$C$2:$N$15,MATCH($B$9,Dados_Evap!$A$2:$A$15,0),C686),0))</f>
        <v>107.7</v>
      </c>
      <c r="G686" s="16" t="n">
        <f aca="false">IF(F686="","",F686/1000)</f>
        <v>0.1077</v>
      </c>
      <c r="H686" s="16" t="n">
        <f aca="false">IF(D686="","",MAX(0,MIN($B$8,IFERROR(LOOKUP(2,1/($U$24:U685&lt;&gt;""),$U$24:U685),$B$11))))</f>
        <v>35.8778960851073</v>
      </c>
      <c r="I686" s="16" t="n">
        <f aca="false" t="array" ref="I686: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>5.83757295818289</v>
      </c>
      <c r="J686" s="16" t="n">
        <f aca="false">IF(D686="","",$B$12)</f>
        <v>0.35</v>
      </c>
      <c r="K686" s="16" t="n">
        <f aca="false">IF(J686="","",J686*$B$15)</f>
        <v>0.9072</v>
      </c>
      <c r="L686" s="16" t="n">
        <f aca="false">IF(D686="","",H686+E686-K686-G686*I686)</f>
        <v>38.9460465530787</v>
      </c>
      <c r="M686" s="16" t="n">
        <f aca="false" t="array" ref="M686: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>6.14390559138443</v>
      </c>
      <c r="N686" s="16" t="n">
        <f aca="false">IF(D686="","",(I686+M686)/2)</f>
        <v>5.99073927478366</v>
      </c>
      <c r="O686" s="16" t="n">
        <f aca="false">IF(D686="","",G686*N686)</f>
        <v>0.6452026198942</v>
      </c>
      <c r="P686" s="16" t="n">
        <f aca="false">IF(D686="","",H686+E686-K686-O686)</f>
        <v>38.9295505407808</v>
      </c>
      <c r="Q686" s="16" t="n">
        <f aca="false">IF(D686="","",IF(P686&gt;=0,K686,MAX(0,K686+P686)))</f>
        <v>0.9072</v>
      </c>
      <c r="R686" s="16" t="n">
        <f aca="false">IF(D686="","",Q686/$B$15)</f>
        <v>0.35</v>
      </c>
      <c r="S686" s="16" t="n">
        <f aca="false">IF(D686="","",MAX(0,J686-R686))</f>
        <v>0</v>
      </c>
      <c r="T686" s="16" t="n">
        <f aca="false">IF(D686="","",MAX(0,Z686-$B$8))</f>
        <v>0</v>
      </c>
      <c r="U686" s="16" t="n">
        <f aca="false">IF(D686="","",MAX(0,MIN($B$8,Z686)))</f>
        <v>38.9295505407808</v>
      </c>
      <c r="V686" s="16" t="str">
        <f aca="false">IF(D686="","",IF(S686&gt;0.0000001,"Sim","Não"))</f>
        <v>Não</v>
      </c>
      <c r="W686" s="16" t="n">
        <f aca="false">IF(D686="","",U686-(H686+E686-Q686-O686-T686))</f>
        <v>0</v>
      </c>
      <c r="X686" s="16" t="n">
        <f aca="false">IF(W686="","",ABS(W686))</f>
        <v>0</v>
      </c>
      <c r="Y686" s="16" t="n">
        <f aca="false">IF(U686="","",IF($B$8=0,0,U686/$B$8*100))</f>
        <v>82.4429278712004</v>
      </c>
      <c r="Z686" s="18" t="n">
        <f aca="false">IF(D686="","",MAX(0,IF(P686&gt;=0,P686,IF(K686+P686&gt;=0,0,P686+K686))))</f>
        <v>38.9295505407808</v>
      </c>
      <c r="AA686" s="18" t="n">
        <f aca="false">IF(D686="","",IF(H686&lt;=$B$16,1,IF(H686&gt;=$B$17,$B$21,MATCH(H686,Aux_CAV!$A$2:$A$121,1))))</f>
        <v>13</v>
      </c>
      <c r="AB686" s="18" t="n">
        <f aca="false">IF(D686="","",IF(L686&lt;=$B$16,1,IF(L686&gt;=$B$17,$B$21,MATCH(L686,Aux_CAV!$A$2:$A$121,1))))</f>
        <v>13</v>
      </c>
      <c r="AC686" s="19" t="n">
        <f aca="false">IF(D686="","",COUNT($D$24:D686))</f>
        <v>651</v>
      </c>
    </row>
    <row r="687" customFormat="false" ht="12.75" hidden="false" customHeight="true" outlineLevel="0" collapsed="false">
      <c r="A687" s="14" t="n">
        <f aca="false">IF(D687="","",DATE(B687,C687,1))</f>
        <v>23833</v>
      </c>
      <c r="B687" s="15" t="n">
        <f aca="false" t="array" ref="B687:B687">IF(D687="","",IFERROR(VALUE(INDEX(Vazoes_COLAR!$A$2:$A$200,INT((ROW()-24)/12)+1)),""))</f>
        <v>1965</v>
      </c>
      <c r="C687" s="15" t="n">
        <f aca="false">IF(D687="","",MOD(ROW()-24,12)+1)</f>
        <v>4</v>
      </c>
      <c r="D687" s="16" t="n">
        <f aca="false" t="array" ref="D687: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15.1768526211987</v>
      </c>
      <c r="E687" s="16" t="n">
        <f aca="false">IF(D687="","",D687*$B$15)</f>
        <v>39.338401994147</v>
      </c>
      <c r="F687" s="16" t="n">
        <f aca="false" t="array" ref="F687:F687">IF(D687="","",IFERROR(INDEX(Dados_Evap!$C$2:$N$15,MATCH($B$9,Dados_Evap!$A$2:$A$15,0),C687),0))</f>
        <v>100.5</v>
      </c>
      <c r="G687" s="16" t="n">
        <f aca="false">IF(F687="","",F687/1000)</f>
        <v>0.1005</v>
      </c>
      <c r="H687" s="16" t="n">
        <f aca="false">IF(D687="","",MAX(0,MIN($B$8,IFERROR(LOOKUP(2,1/($U$24:U686&lt;&gt;""),$U$24:U686),$B$11))))</f>
        <v>38.9295505407808</v>
      </c>
      <c r="I687" s="16" t="n">
        <f aca="false" t="array" ref="I687: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>6.14225858386727</v>
      </c>
      <c r="J687" s="16" t="n">
        <f aca="false">IF(D687="","",$B$12)</f>
        <v>0.35</v>
      </c>
      <c r="K687" s="16" t="n">
        <f aca="false">IF(J687="","",J687*$B$15)</f>
        <v>0.9072</v>
      </c>
      <c r="L687" s="16" t="n">
        <f aca="false">IF(D687="","",H687+E687-K687-G687*I687)</f>
        <v>76.7434555472492</v>
      </c>
      <c r="M687" s="16" t="n">
        <f aca="false" t="array" ref="M687: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>10.3555080392648</v>
      </c>
      <c r="N687" s="16" t="n">
        <f aca="false">IF(D687="","",(I687+M687)/2)</f>
        <v>8.24888331156603</v>
      </c>
      <c r="O687" s="16" t="n">
        <f aca="false">IF(D687="","",G687*N687)</f>
        <v>0.829012772812387</v>
      </c>
      <c r="P687" s="16" t="n">
        <f aca="false">IF(D687="","",H687+E687-K687-O687)</f>
        <v>76.5317397621155</v>
      </c>
      <c r="Q687" s="16" t="n">
        <f aca="false">IF(D687="","",IF(P687&gt;=0,K687,MAX(0,K687+P687)))</f>
        <v>0.9072</v>
      </c>
      <c r="R687" s="16" t="n">
        <f aca="false">IF(D687="","",Q687/$B$15)</f>
        <v>0.35</v>
      </c>
      <c r="S687" s="16" t="n">
        <f aca="false">IF(D687="","",MAX(0,J687-R687))</f>
        <v>0</v>
      </c>
      <c r="T687" s="16" t="n">
        <f aca="false">IF(D687="","",MAX(0,Z687-$B$8))</f>
        <v>29.3117397621155</v>
      </c>
      <c r="U687" s="16" t="n">
        <f aca="false">IF(D687="","",MAX(0,MIN($B$8,Z687)))</f>
        <v>47.22</v>
      </c>
      <c r="V687" s="16" t="str">
        <f aca="false">IF(D687="","",IF(S687&gt;0.0000001,"Sim","Não"))</f>
        <v>Não</v>
      </c>
      <c r="W687" s="16" t="n">
        <f aca="false">IF(D687="","",U687-(H687+E687-Q687-O687-T687))</f>
        <v>0</v>
      </c>
      <c r="X687" s="16" t="n">
        <f aca="false">IF(W687="","",ABS(W687))</f>
        <v>0</v>
      </c>
      <c r="Y687" s="16" t="n">
        <f aca="false">IF(U687="","",IF($B$8=0,0,U687/$B$8*100))</f>
        <v>100</v>
      </c>
      <c r="Z687" s="18" t="n">
        <f aca="false">IF(D687="","",MAX(0,IF(P687&gt;=0,P687,IF(K687+P687&gt;=0,0,P687+K687))))</f>
        <v>76.5317397621155</v>
      </c>
      <c r="AA687" s="18" t="n">
        <f aca="false">IF(D687="","",IF(H687&lt;=$B$16,1,IF(H687&gt;=$B$17,$B$21,MATCH(H687,Aux_CAV!$A$2:$A$121,1))))</f>
        <v>13</v>
      </c>
      <c r="AB687" s="18" t="n">
        <f aca="false">IF(D687="","",IF(L687&lt;=$B$16,1,IF(L687&gt;=$B$17,$B$21,MATCH(L687,Aux_CAV!$A$2:$A$121,1))))</f>
        <v>17</v>
      </c>
      <c r="AC687" s="19" t="n">
        <f aca="false">IF(D687="","",COUNT($D$24:D687))</f>
        <v>652</v>
      </c>
    </row>
    <row r="688" customFormat="false" ht="12.75" hidden="false" customHeight="true" outlineLevel="0" collapsed="false">
      <c r="A688" s="14" t="n">
        <f aca="false">IF(D688="","",DATE(B688,C688,1))</f>
        <v>23863</v>
      </c>
      <c r="B688" s="15" t="n">
        <f aca="false" t="array" ref="B688:B688">IF(D688="","",IFERROR(VALUE(INDEX(Vazoes_COLAR!$A$2:$A$200,INT((ROW()-24)/12)+1)),""))</f>
        <v>1965</v>
      </c>
      <c r="C688" s="15" t="n">
        <f aca="false">IF(D688="","",MOD(ROW()-24,12)+1)</f>
        <v>5</v>
      </c>
      <c r="D688" s="16" t="n">
        <f aca="false" t="array" ref="D688: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2.7968409771498</v>
      </c>
      <c r="E688" s="16" t="n">
        <f aca="false">IF(D688="","",D688*$B$15)</f>
        <v>7.24941181277228</v>
      </c>
      <c r="F688" s="16" t="n">
        <f aca="false" t="array" ref="F688:F688">IF(D688="","",IFERROR(INDEX(Dados_Evap!$C$2:$N$15,MATCH($B$9,Dados_Evap!$A$2:$A$15,0),C688),0))</f>
        <v>145.8</v>
      </c>
      <c r="G688" s="16" t="n">
        <f aca="false">IF(F688="","",F688/1000)</f>
        <v>0.1458</v>
      </c>
      <c r="H688" s="16" t="n">
        <f aca="false">IF(D688="","",MAX(0,MIN($B$8,IFERROR(LOOKUP(2,1/($U$24:U687&lt;&gt;""),$U$24:U687),$B$11))))</f>
        <v>47.22</v>
      </c>
      <c r="I688" s="16" t="n">
        <f aca="false" t="array" ref="I688: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>6.97</v>
      </c>
      <c r="J688" s="16" t="n">
        <f aca="false">IF(D688="","",$B$12)</f>
        <v>0.35</v>
      </c>
      <c r="K688" s="16" t="n">
        <f aca="false">IF(J688="","",J688*$B$15)</f>
        <v>0.9072</v>
      </c>
      <c r="L688" s="16" t="n">
        <f aca="false">IF(D688="","",H688+E688-K688-G688*I688)</f>
        <v>52.5459858127723</v>
      </c>
      <c r="M688" s="16" t="n">
        <f aca="false" t="array" ref="M688: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>7.59786011613982</v>
      </c>
      <c r="N688" s="16" t="n">
        <f aca="false">IF(D688="","",(I688+M688)/2)</f>
        <v>7.28393005806991</v>
      </c>
      <c r="O688" s="16" t="n">
        <f aca="false">IF(D688="","",G688*N688)</f>
        <v>1.06199700246659</v>
      </c>
      <c r="P688" s="16" t="n">
        <f aca="false">IF(D688="","",H688+E688-K688-O688)</f>
        <v>52.5002148103057</v>
      </c>
      <c r="Q688" s="16" t="n">
        <f aca="false">IF(D688="","",IF(P688&gt;=0,K688,MAX(0,K688+P688)))</f>
        <v>0.9072</v>
      </c>
      <c r="R688" s="16" t="n">
        <f aca="false">IF(D688="","",Q688/$B$15)</f>
        <v>0.35</v>
      </c>
      <c r="S688" s="16" t="n">
        <f aca="false">IF(D688="","",MAX(0,J688-R688))</f>
        <v>0</v>
      </c>
      <c r="T688" s="16" t="n">
        <f aca="false">IF(D688="","",MAX(0,Z688-$B$8))</f>
        <v>5.28021481030569</v>
      </c>
      <c r="U688" s="16" t="n">
        <f aca="false">IF(D688="","",MAX(0,MIN($B$8,Z688)))</f>
        <v>47.22</v>
      </c>
      <c r="V688" s="16" t="str">
        <f aca="false">IF(D688="","",IF(S688&gt;0.0000001,"Sim","Não"))</f>
        <v>Não</v>
      </c>
      <c r="W688" s="16" t="n">
        <f aca="false">IF(D688="","",U688-(H688+E688-Q688-O688-T688))</f>
        <v>0</v>
      </c>
      <c r="X688" s="16" t="n">
        <f aca="false">IF(W688="","",ABS(W688))</f>
        <v>0</v>
      </c>
      <c r="Y688" s="16" t="n">
        <f aca="false">IF(U688="","",IF($B$8=0,0,U688/$B$8*100))</f>
        <v>100</v>
      </c>
      <c r="Z688" s="18" t="n">
        <f aca="false">IF(D688="","",MAX(0,IF(P688&gt;=0,P688,IF(K688+P688&gt;=0,0,P688+K688))))</f>
        <v>52.5002148103057</v>
      </c>
      <c r="AA688" s="18" t="n">
        <f aca="false">IF(D688="","",IF(H688&lt;=$B$16,1,IF(H688&gt;=$B$17,$B$21,MATCH(H688,Aux_CAV!$A$2:$A$121,1))))</f>
        <v>14</v>
      </c>
      <c r="AB688" s="18" t="n">
        <f aca="false">IF(D688="","",IF(L688&lt;=$B$16,1,IF(L688&gt;=$B$17,$B$21,MATCH(L688,Aux_CAV!$A$2:$A$121,1))))</f>
        <v>14</v>
      </c>
      <c r="AC688" s="19" t="n">
        <f aca="false">IF(D688="","",COUNT($D$24:D688))</f>
        <v>653</v>
      </c>
    </row>
    <row r="689" customFormat="false" ht="12.75" hidden="false" customHeight="true" outlineLevel="0" collapsed="false">
      <c r="A689" s="14" t="n">
        <f aca="false">IF(D689="","",DATE(B689,C689,1))</f>
        <v>23894</v>
      </c>
      <c r="B689" s="15" t="n">
        <f aca="false" t="array" ref="B689:B689">IF(D689="","",IFERROR(VALUE(INDEX(Vazoes_COLAR!$A$2:$A$200,INT((ROW()-24)/12)+1)),""))</f>
        <v>1965</v>
      </c>
      <c r="C689" s="15" t="n">
        <f aca="false">IF(D689="","",MOD(ROW()-24,12)+1)</f>
        <v>6</v>
      </c>
      <c r="D689" s="16" t="n">
        <f aca="false" t="array" ref="D689: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2.23888921260994</v>
      </c>
      <c r="E689" s="16" t="n">
        <f aca="false">IF(D689="","",D689*$B$15)</f>
        <v>5.80320083908496</v>
      </c>
      <c r="F689" s="16" t="n">
        <f aca="false" t="array" ref="F689:F689">IF(D689="","",IFERROR(INDEX(Dados_Evap!$C$2:$N$15,MATCH($B$9,Dados_Evap!$A$2:$A$15,0),C689),0))</f>
        <v>161.3</v>
      </c>
      <c r="G689" s="16" t="n">
        <f aca="false">IF(F689="","",F689/1000)</f>
        <v>0.1613</v>
      </c>
      <c r="H689" s="16" t="n">
        <f aca="false">IF(D689="","",MAX(0,MIN($B$8,IFERROR(LOOKUP(2,1/($U$24:U688&lt;&gt;""),$U$24:U688),$B$11))))</f>
        <v>47.22</v>
      </c>
      <c r="I689" s="16" t="n">
        <f aca="false" t="array" ref="I689: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>6.97</v>
      </c>
      <c r="J689" s="16" t="n">
        <f aca="false">IF(D689="","",$B$12)</f>
        <v>0.35</v>
      </c>
      <c r="K689" s="16" t="n">
        <f aca="false">IF(J689="","",J689*$B$15)</f>
        <v>0.9072</v>
      </c>
      <c r="L689" s="16" t="n">
        <f aca="false">IF(D689="","",H689+E689-K689-G689*I689)</f>
        <v>50.991739839085</v>
      </c>
      <c r="M689" s="16" t="n">
        <f aca="false" t="array" ref="M689: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>7.4146359972905</v>
      </c>
      <c r="N689" s="16" t="n">
        <f aca="false">IF(D689="","",(I689+M689)/2)</f>
        <v>7.19231799864525</v>
      </c>
      <c r="O689" s="16" t="n">
        <f aca="false">IF(D689="","",G689*N689)</f>
        <v>1.16012089318148</v>
      </c>
      <c r="P689" s="16" t="n">
        <f aca="false">IF(D689="","",H689+E689-K689-O689)</f>
        <v>50.9558799459035</v>
      </c>
      <c r="Q689" s="16" t="n">
        <f aca="false">IF(D689="","",IF(P689&gt;=0,K689,MAX(0,K689+P689)))</f>
        <v>0.9072</v>
      </c>
      <c r="R689" s="16" t="n">
        <f aca="false">IF(D689="","",Q689/$B$15)</f>
        <v>0.35</v>
      </c>
      <c r="S689" s="16" t="n">
        <f aca="false">IF(D689="","",MAX(0,J689-R689))</f>
        <v>0</v>
      </c>
      <c r="T689" s="16" t="n">
        <f aca="false">IF(D689="","",MAX(0,Z689-$B$8))</f>
        <v>3.73587994590348</v>
      </c>
      <c r="U689" s="16" t="n">
        <f aca="false">IF(D689="","",MAX(0,MIN($B$8,Z689)))</f>
        <v>47.22</v>
      </c>
      <c r="V689" s="16" t="str">
        <f aca="false">IF(D689="","",IF(S689&gt;0.0000001,"Sim","Não"))</f>
        <v>Não</v>
      </c>
      <c r="W689" s="16" t="n">
        <f aca="false">IF(D689="","",U689-(H689+E689-Q689-O689-T689))</f>
        <v>0</v>
      </c>
      <c r="X689" s="16" t="n">
        <f aca="false">IF(W689="","",ABS(W689))</f>
        <v>0</v>
      </c>
      <c r="Y689" s="16" t="n">
        <f aca="false">IF(U689="","",IF($B$8=0,0,U689/$B$8*100))</f>
        <v>100</v>
      </c>
      <c r="Z689" s="18" t="n">
        <f aca="false">IF(D689="","",MAX(0,IF(P689&gt;=0,P689,IF(K689+P689&gt;=0,0,P689+K689))))</f>
        <v>50.9558799459035</v>
      </c>
      <c r="AA689" s="18" t="n">
        <f aca="false">IF(D689="","",IF(H689&lt;=$B$16,1,IF(H689&gt;=$B$17,$B$21,MATCH(H689,Aux_CAV!$A$2:$A$121,1))))</f>
        <v>14</v>
      </c>
      <c r="AB689" s="18" t="n">
        <f aca="false">IF(D689="","",IF(L689&lt;=$B$16,1,IF(L689&gt;=$B$17,$B$21,MATCH(L689,Aux_CAV!$A$2:$A$121,1))))</f>
        <v>14</v>
      </c>
      <c r="AC689" s="19" t="n">
        <f aca="false">IF(D689="","",COUNT($D$24:D689))</f>
        <v>654</v>
      </c>
    </row>
    <row r="690" customFormat="false" ht="12.75" hidden="false" customHeight="true" outlineLevel="0" collapsed="false">
      <c r="A690" s="14" t="n">
        <f aca="false">IF(D690="","",DATE(B690,C690,1))</f>
        <v>23924</v>
      </c>
      <c r="B690" s="15" t="n">
        <f aca="false" t="array" ref="B690:B690">IF(D690="","",IFERROR(VALUE(INDEX(Vazoes_COLAR!$A$2:$A$200,INT((ROW()-24)/12)+1)),""))</f>
        <v>1965</v>
      </c>
      <c r="C690" s="15" t="n">
        <f aca="false">IF(D690="","",MOD(ROW()-24,12)+1)</f>
        <v>7</v>
      </c>
      <c r="D690" s="16" t="n">
        <f aca="false" t="array" ref="D690: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0.136806157152561</v>
      </c>
      <c r="E690" s="16" t="n">
        <f aca="false">IF(D690="","",D690*$B$15)</f>
        <v>0.354601559339438</v>
      </c>
      <c r="F690" s="16" t="n">
        <f aca="false" t="array" ref="F690:F690">IF(D690="","",IFERROR(INDEX(Dados_Evap!$C$2:$N$15,MATCH($B$9,Dados_Evap!$A$2:$A$15,0),C690),0))</f>
        <v>224.8</v>
      </c>
      <c r="G690" s="16" t="n">
        <f aca="false">IF(F690="","",F690/1000)</f>
        <v>0.2248</v>
      </c>
      <c r="H690" s="16" t="n">
        <f aca="false">IF(D690="","",MAX(0,MIN($B$8,IFERROR(LOOKUP(2,1/($U$24:U689&lt;&gt;""),$U$24:U689),$B$11))))</f>
        <v>47.22</v>
      </c>
      <c r="I690" s="16" t="n">
        <f aca="false" t="array" ref="I690: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>6.97</v>
      </c>
      <c r="J690" s="16" t="n">
        <f aca="false">IF(D690="","",$B$12)</f>
        <v>0.35</v>
      </c>
      <c r="K690" s="16" t="n">
        <f aca="false">IF(J690="","",J690*$B$15)</f>
        <v>0.9072</v>
      </c>
      <c r="L690" s="16" t="n">
        <f aca="false">IF(D690="","",H690+E690-K690-G690*I690)</f>
        <v>45.1005455593394</v>
      </c>
      <c r="M690" s="16" t="n">
        <f aca="false" t="array" ref="M690: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>6.75838780348751</v>
      </c>
      <c r="N690" s="16" t="n">
        <f aca="false">IF(D690="","",(I690+M690)/2)</f>
        <v>6.86419390174375</v>
      </c>
      <c r="O690" s="16" t="n">
        <f aca="false">IF(D690="","",G690*N690)</f>
        <v>1.543070789112</v>
      </c>
      <c r="P690" s="16" t="n">
        <f aca="false">IF(D690="","",H690+E690-K690-O690)</f>
        <v>45.1243307702274</v>
      </c>
      <c r="Q690" s="16" t="n">
        <f aca="false">IF(D690="","",IF(P690&gt;=0,K690,MAX(0,K690+P690)))</f>
        <v>0.9072</v>
      </c>
      <c r="R690" s="16" t="n">
        <f aca="false">IF(D690="","",Q690/$B$15)</f>
        <v>0.35</v>
      </c>
      <c r="S690" s="16" t="n">
        <f aca="false">IF(D690="","",MAX(0,J690-R690))</f>
        <v>0</v>
      </c>
      <c r="T690" s="16" t="n">
        <f aca="false">IF(D690="","",MAX(0,Z690-$B$8))</f>
        <v>0</v>
      </c>
      <c r="U690" s="16" t="n">
        <f aca="false">IF(D690="","",MAX(0,MIN($B$8,Z690)))</f>
        <v>45.1243307702274</v>
      </c>
      <c r="V690" s="16" t="str">
        <f aca="false">IF(D690="","",IF(S690&gt;0.0000001,"Sim","Não"))</f>
        <v>Não</v>
      </c>
      <c r="W690" s="16" t="n">
        <f aca="false">IF(D690="","",U690-(H690+E690-Q690-O690-T690))</f>
        <v>0</v>
      </c>
      <c r="X690" s="16" t="n">
        <f aca="false">IF(W690="","",ABS(W690))</f>
        <v>0</v>
      </c>
      <c r="Y690" s="16" t="n">
        <f aca="false">IF(U690="","",IF($B$8=0,0,U690/$B$8*100))</f>
        <v>95.561903367699</v>
      </c>
      <c r="Z690" s="18" t="n">
        <f aca="false">IF(D690="","",MAX(0,IF(P690&gt;=0,P690,IF(K690+P690&gt;=0,0,P690+K690))))</f>
        <v>45.1243307702274</v>
      </c>
      <c r="AA690" s="18" t="n">
        <f aca="false">IF(D690="","",IF(H690&lt;=$B$16,1,IF(H690&gt;=$B$17,$B$21,MATCH(H690,Aux_CAV!$A$2:$A$121,1))))</f>
        <v>14</v>
      </c>
      <c r="AB690" s="18" t="n">
        <f aca="false">IF(D690="","",IF(L690&lt;=$B$16,1,IF(L690&gt;=$B$17,$B$21,MATCH(L690,Aux_CAV!$A$2:$A$121,1))))</f>
        <v>13</v>
      </c>
      <c r="AC690" s="19" t="n">
        <f aca="false">IF(D690="","",COUNT($D$24:D690))</f>
        <v>655</v>
      </c>
    </row>
    <row r="691" customFormat="false" ht="12.75" hidden="false" customHeight="true" outlineLevel="0" collapsed="false">
      <c r="A691" s="14" t="n">
        <f aca="false">IF(D691="","",DATE(B691,C691,1))</f>
        <v>23955</v>
      </c>
      <c r="B691" s="15" t="n">
        <f aca="false" t="array" ref="B691:B691">IF(D691="","",IFERROR(VALUE(INDEX(Vazoes_COLAR!$A$2:$A$200,INT((ROW()-24)/12)+1)),""))</f>
        <v>1965</v>
      </c>
      <c r="C691" s="15" t="n">
        <f aca="false">IF(D691="","",MOD(ROW()-24,12)+1)</f>
        <v>8</v>
      </c>
      <c r="D691" s="16" t="n">
        <f aca="false" t="array" ref="D691: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0.0826423065225628</v>
      </c>
      <c r="E691" s="16" t="n">
        <f aca="false">IF(D691="","",D691*$B$15)</f>
        <v>0.214208858506483</v>
      </c>
      <c r="F691" s="16" t="n">
        <f aca="false" t="array" ref="F691:F691">IF(D691="","",IFERROR(INDEX(Dados_Evap!$C$2:$N$15,MATCH($B$9,Dados_Evap!$A$2:$A$15,0),C691),0))</f>
        <v>268.7</v>
      </c>
      <c r="G691" s="16" t="n">
        <f aca="false">IF(F691="","",F691/1000)</f>
        <v>0.2687</v>
      </c>
      <c r="H691" s="16" t="n">
        <f aca="false">IF(D691="","",MAX(0,MIN($B$8,IFERROR(LOOKUP(2,1/($U$24:U690&lt;&gt;""),$U$24:U690),$B$11))))</f>
        <v>45.1243307702274</v>
      </c>
      <c r="I691" s="16" t="n">
        <f aca="false" t="array" ref="I691: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>6.76076258476327</v>
      </c>
      <c r="J691" s="16" t="n">
        <f aca="false">IF(D691="","",$B$12)</f>
        <v>0.35</v>
      </c>
      <c r="K691" s="16" t="n">
        <f aca="false">IF(J691="","",J691*$B$15)</f>
        <v>0.9072</v>
      </c>
      <c r="L691" s="16" t="n">
        <f aca="false">IF(D691="","",H691+E691-K691-G691*I691)</f>
        <v>42.614722722208</v>
      </c>
      <c r="M691" s="16" t="n">
        <f aca="false" t="array" ref="M691: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>6.51019637242171</v>
      </c>
      <c r="N691" s="16" t="n">
        <f aca="false">IF(D691="","",(I691+M691)/2)</f>
        <v>6.63547947859249</v>
      </c>
      <c r="O691" s="16" t="n">
        <f aca="false">IF(D691="","",G691*N691)</f>
        <v>1.7829533358978</v>
      </c>
      <c r="P691" s="16" t="n">
        <f aca="false">IF(D691="","",H691+E691-K691-O691)</f>
        <v>42.6483862928361</v>
      </c>
      <c r="Q691" s="16" t="n">
        <f aca="false">IF(D691="","",IF(P691&gt;=0,K691,MAX(0,K691+P691)))</f>
        <v>0.9072</v>
      </c>
      <c r="R691" s="16" t="n">
        <f aca="false">IF(D691="","",Q691/$B$15)</f>
        <v>0.35</v>
      </c>
      <c r="S691" s="16" t="n">
        <f aca="false">IF(D691="","",MAX(0,J691-R691))</f>
        <v>0</v>
      </c>
      <c r="T691" s="16" t="n">
        <f aca="false">IF(D691="","",MAX(0,Z691-$B$8))</f>
        <v>0</v>
      </c>
      <c r="U691" s="16" t="n">
        <f aca="false">IF(D691="","",MAX(0,MIN($B$8,Z691)))</f>
        <v>42.6483862928361</v>
      </c>
      <c r="V691" s="16" t="str">
        <f aca="false">IF(D691="","",IF(S691&gt;0.0000001,"Sim","Não"))</f>
        <v>Não</v>
      </c>
      <c r="W691" s="16" t="n">
        <f aca="false">IF(D691="","",U691-(H691+E691-Q691-O691-T691))</f>
        <v>0</v>
      </c>
      <c r="X691" s="16" t="n">
        <f aca="false">IF(W691="","",ABS(W691))</f>
        <v>0</v>
      </c>
      <c r="Y691" s="16" t="n">
        <f aca="false">IF(U691="","",IF($B$8=0,0,U691/$B$8*100))</f>
        <v>90.3184800780096</v>
      </c>
      <c r="Z691" s="18" t="n">
        <f aca="false">IF(D691="","",MAX(0,IF(P691&gt;=0,P691,IF(K691+P691&gt;=0,0,P691+K691))))</f>
        <v>42.6483862928361</v>
      </c>
      <c r="AA691" s="18" t="n">
        <f aca="false">IF(D691="","",IF(H691&lt;=$B$16,1,IF(H691&gt;=$B$17,$B$21,MATCH(H691,Aux_CAV!$A$2:$A$121,1))))</f>
        <v>13</v>
      </c>
      <c r="AB691" s="18" t="n">
        <f aca="false">IF(D691="","",IF(L691&lt;=$B$16,1,IF(L691&gt;=$B$17,$B$21,MATCH(L691,Aux_CAV!$A$2:$A$121,1))))</f>
        <v>13</v>
      </c>
      <c r="AC691" s="19" t="n">
        <f aca="false">IF(D691="","",COUNT($D$24:D691))</f>
        <v>656</v>
      </c>
    </row>
    <row r="692" customFormat="false" ht="12.75" hidden="false" customHeight="true" outlineLevel="0" collapsed="false">
      <c r="A692" s="14" t="n">
        <f aca="false">IF(D692="","",DATE(B692,C692,1))</f>
        <v>23986</v>
      </c>
      <c r="B692" s="15" t="n">
        <f aca="false" t="array" ref="B692:B692">IF(D692="","",IFERROR(VALUE(INDEX(Vazoes_COLAR!$A$2:$A$200,INT((ROW()-24)/12)+1)),""))</f>
        <v>1965</v>
      </c>
      <c r="C692" s="15" t="n">
        <f aca="false">IF(D692="","",MOD(ROW()-24,12)+1)</f>
        <v>9</v>
      </c>
      <c r="D692" s="16" t="n">
        <f aca="false" t="array" ref="D692: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0.0411256569606688</v>
      </c>
      <c r="E692" s="16" t="n">
        <f aca="false">IF(D692="","",D692*$B$15)</f>
        <v>0.106597702842054</v>
      </c>
      <c r="F692" s="16" t="n">
        <f aca="false" t="array" ref="F692:F692">IF(D692="","",IFERROR(INDEX(Dados_Evap!$C$2:$N$15,MATCH($B$9,Dados_Evap!$A$2:$A$15,0),C692),0))</f>
        <v>292.8</v>
      </c>
      <c r="G692" s="16" t="n">
        <f aca="false">IF(F692="","",F692/1000)</f>
        <v>0.2928</v>
      </c>
      <c r="H692" s="16" t="n">
        <f aca="false">IF(D692="","",MAX(0,MIN($B$8,IFERROR(LOOKUP(2,1/($U$24:U691&lt;&gt;""),$U$24:U691),$B$11))))</f>
        <v>42.6483862928361</v>
      </c>
      <c r="I692" s="16" t="n">
        <f aca="false" t="array" ref="I692: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>6.51355743647027</v>
      </c>
      <c r="J692" s="16" t="n">
        <f aca="false">IF(D692="","",$B$12)</f>
        <v>0.35</v>
      </c>
      <c r="K692" s="16" t="n">
        <f aca="false">IF(J692="","",J692*$B$15)</f>
        <v>0.9072</v>
      </c>
      <c r="L692" s="16" t="n">
        <f aca="false">IF(D692="","",H692+E692-K692-G692*I692)</f>
        <v>39.9406143782797</v>
      </c>
      <c r="M692" s="16" t="n">
        <f aca="false" t="array" ref="M692: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>6.24320599531566</v>
      </c>
      <c r="N692" s="16" t="n">
        <f aca="false">IF(D692="","",(I692+M692)/2)</f>
        <v>6.37838171589297</v>
      </c>
      <c r="O692" s="16" t="n">
        <f aca="false">IF(D692="","",G692*N692)</f>
        <v>1.86759016641346</v>
      </c>
      <c r="P692" s="16" t="n">
        <f aca="false">IF(D692="","",H692+E692-K692-O692)</f>
        <v>39.9801938292647</v>
      </c>
      <c r="Q692" s="16" t="n">
        <f aca="false">IF(D692="","",IF(P692&gt;=0,K692,MAX(0,K692+P692)))</f>
        <v>0.9072</v>
      </c>
      <c r="R692" s="16" t="n">
        <f aca="false">IF(D692="","",Q692/$B$15)</f>
        <v>0.35</v>
      </c>
      <c r="S692" s="16" t="n">
        <f aca="false">IF(D692="","",MAX(0,J692-R692))</f>
        <v>0</v>
      </c>
      <c r="T692" s="16" t="n">
        <f aca="false">IF(D692="","",MAX(0,Z692-$B$8))</f>
        <v>0</v>
      </c>
      <c r="U692" s="16" t="n">
        <f aca="false">IF(D692="","",MAX(0,MIN($B$8,Z692)))</f>
        <v>39.9801938292647</v>
      </c>
      <c r="V692" s="16" t="str">
        <f aca="false">IF(D692="","",IF(S692&gt;0.0000001,"Sim","Não"))</f>
        <v>Não</v>
      </c>
      <c r="W692" s="16" t="n">
        <f aca="false">IF(D692="","",U692-(H692+E692-Q692-O692-T692))</f>
        <v>0</v>
      </c>
      <c r="X692" s="16" t="n">
        <f aca="false">IF(W692="","",ABS(W692))</f>
        <v>0</v>
      </c>
      <c r="Y692" s="16" t="n">
        <f aca="false">IF(U692="","",IF($B$8=0,0,U692/$B$8*100))</f>
        <v>84.6679242466428</v>
      </c>
      <c r="Z692" s="18" t="n">
        <f aca="false">IF(D692="","",MAX(0,IF(P692&gt;=0,P692,IF(K692+P692&gt;=0,0,P692+K692))))</f>
        <v>39.9801938292647</v>
      </c>
      <c r="AA692" s="18" t="n">
        <f aca="false">IF(D692="","",IF(H692&lt;=$B$16,1,IF(H692&gt;=$B$17,$B$21,MATCH(H692,Aux_CAV!$A$2:$A$121,1))))</f>
        <v>13</v>
      </c>
      <c r="AB692" s="18" t="n">
        <f aca="false">IF(D692="","",IF(L692&lt;=$B$16,1,IF(L692&gt;=$B$17,$B$21,MATCH(L692,Aux_CAV!$A$2:$A$121,1))))</f>
        <v>13</v>
      </c>
      <c r="AC692" s="19" t="n">
        <f aca="false">IF(D692="","",COUNT($D$24:D692))</f>
        <v>657</v>
      </c>
    </row>
    <row r="693" customFormat="false" ht="12.75" hidden="false" customHeight="true" outlineLevel="0" collapsed="false">
      <c r="A693" s="14" t="n">
        <f aca="false">IF(D693="","",DATE(B693,C693,1))</f>
        <v>24016</v>
      </c>
      <c r="B693" s="15" t="n">
        <f aca="false" t="array" ref="B693:B693">IF(D693="","",IFERROR(VALUE(INDEX(Vazoes_COLAR!$A$2:$A$200,INT((ROW()-24)/12)+1)),""))</f>
        <v>1965</v>
      </c>
      <c r="C693" s="15" t="n">
        <f aca="false">IF(D693="","",MOD(ROW()-24,12)+1)</f>
        <v>10</v>
      </c>
      <c r="D693" s="16" t="n">
        <f aca="false" t="array" ref="D693: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0.142328053799849</v>
      </c>
      <c r="E693" s="16" t="n">
        <f aca="false">IF(D693="","",D693*$B$15)</f>
        <v>0.368914315449209</v>
      </c>
      <c r="F693" s="16" t="n">
        <f aca="false" t="array" ref="F693:F693">IF(D693="","",IFERROR(INDEX(Dados_Evap!$C$2:$N$15,MATCH($B$9,Dados_Evap!$A$2:$A$15,0),C693),0))</f>
        <v>262.9</v>
      </c>
      <c r="G693" s="16" t="n">
        <f aca="false">IF(F693="","",F693/1000)</f>
        <v>0.2629</v>
      </c>
      <c r="H693" s="16" t="n">
        <f aca="false">IF(D693="","",MAX(0,MIN($B$8,IFERROR(LOOKUP(2,1/($U$24:U692&lt;&gt;""),$U$24:U692),$B$11))))</f>
        <v>39.9801938292647</v>
      </c>
      <c r="I693" s="16" t="n">
        <f aca="false" t="array" ref="I693: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>6.24715771723005</v>
      </c>
      <c r="J693" s="16" t="n">
        <f aca="false">IF(D693="","",$B$12)</f>
        <v>0.35</v>
      </c>
      <c r="K693" s="16" t="n">
        <f aca="false">IF(J693="","",J693*$B$15)</f>
        <v>0.9072</v>
      </c>
      <c r="L693" s="16" t="n">
        <f aca="false">IF(D693="","",H693+E693-K693-G693*I693)</f>
        <v>37.7995303808541</v>
      </c>
      <c r="M693" s="16" t="n">
        <f aca="false" t="array" ref="M693: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>6.02943424400037</v>
      </c>
      <c r="N693" s="16" t="n">
        <f aca="false">IF(D693="","",(I693+M693)/2)</f>
        <v>6.13829598061521</v>
      </c>
      <c r="O693" s="16" t="n">
        <f aca="false">IF(D693="","",G693*N693)</f>
        <v>1.61375801330374</v>
      </c>
      <c r="P693" s="16" t="n">
        <f aca="false">IF(D693="","",H693+E693-K693-O693)</f>
        <v>37.8281501314102</v>
      </c>
      <c r="Q693" s="16" t="n">
        <f aca="false">IF(D693="","",IF(P693&gt;=0,K693,MAX(0,K693+P693)))</f>
        <v>0.9072</v>
      </c>
      <c r="R693" s="16" t="n">
        <f aca="false">IF(D693="","",Q693/$B$15)</f>
        <v>0.35</v>
      </c>
      <c r="S693" s="16" t="n">
        <f aca="false">IF(D693="","",MAX(0,J693-R693))</f>
        <v>0</v>
      </c>
      <c r="T693" s="16" t="n">
        <f aca="false">IF(D693="","",MAX(0,Z693-$B$8))</f>
        <v>0</v>
      </c>
      <c r="U693" s="16" t="n">
        <f aca="false">IF(D693="","",MAX(0,MIN($B$8,Z693)))</f>
        <v>37.8281501314102</v>
      </c>
      <c r="V693" s="16" t="str">
        <f aca="false">IF(D693="","",IF(S693&gt;0.0000001,"Sim","Não"))</f>
        <v>Não</v>
      </c>
      <c r="W693" s="16" t="n">
        <f aca="false">IF(D693="","",U693-(H693+E693-Q693-O693-T693))</f>
        <v>0</v>
      </c>
      <c r="X693" s="16" t="n">
        <f aca="false">IF(W693="","",ABS(W693))</f>
        <v>0</v>
      </c>
      <c r="Y693" s="16" t="n">
        <f aca="false">IF(U693="","",IF($B$8=0,0,U693/$B$8*100))</f>
        <v>80.1104407696107</v>
      </c>
      <c r="Z693" s="18" t="n">
        <f aca="false">IF(D693="","",MAX(0,IF(P693&gt;=0,P693,IF(K693+P693&gt;=0,0,P693+K693))))</f>
        <v>37.8281501314102</v>
      </c>
      <c r="AA693" s="18" t="n">
        <f aca="false">IF(D693="","",IF(H693&lt;=$B$16,1,IF(H693&gt;=$B$17,$B$21,MATCH(H693,Aux_CAV!$A$2:$A$121,1))))</f>
        <v>13</v>
      </c>
      <c r="AB693" s="18" t="n">
        <f aca="false">IF(D693="","",IF(L693&lt;=$B$16,1,IF(L693&gt;=$B$17,$B$21,MATCH(L693,Aux_CAV!$A$2:$A$121,1))))</f>
        <v>13</v>
      </c>
      <c r="AC693" s="19" t="n">
        <f aca="false">IF(D693="","",COUNT($D$24:D693))</f>
        <v>658</v>
      </c>
    </row>
    <row r="694" customFormat="false" ht="12.75" hidden="false" customHeight="true" outlineLevel="0" collapsed="false">
      <c r="A694" s="14" t="n">
        <f aca="false">IF(D694="","",DATE(B694,C694,1))</f>
        <v>24047</v>
      </c>
      <c r="B694" s="15" t="n">
        <f aca="false" t="array" ref="B694:B694">IF(D694="","",IFERROR(VALUE(INDEX(Vazoes_COLAR!$A$2:$A$200,INT((ROW()-24)/12)+1)),""))</f>
        <v>1965</v>
      </c>
      <c r="C694" s="15" t="n">
        <f aca="false">IF(D694="","",MOD(ROW()-24,12)+1)</f>
        <v>11</v>
      </c>
      <c r="D694" s="16" t="n">
        <f aca="false" t="array" ref="D694: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0.0239106228182308</v>
      </c>
      <c r="E694" s="16" t="n">
        <f aca="false">IF(D694="","",D694*$B$15)</f>
        <v>0.0619763343448542</v>
      </c>
      <c r="F694" s="16" t="n">
        <f aca="false" t="array" ref="F694:F694">IF(D694="","",IFERROR(INDEX(Dados_Evap!$C$2:$N$15,MATCH($B$9,Dados_Evap!$A$2:$A$15,0),C694),0))</f>
        <v>223.7</v>
      </c>
      <c r="G694" s="16" t="n">
        <f aca="false">IF(F694="","",F694/1000)</f>
        <v>0.2237</v>
      </c>
      <c r="H694" s="16" t="n">
        <f aca="false">IF(D694="","",MAX(0,MIN($B$8,IFERROR(LOOKUP(2,1/($U$24:U693&lt;&gt;""),$U$24:U693),$B$11))))</f>
        <v>37.8281501314102</v>
      </c>
      <c r="I694" s="16" t="n">
        <f aca="false" t="array" ref="I694: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>6.0322917190952</v>
      </c>
      <c r="J694" s="16" t="n">
        <f aca="false">IF(D694="","",$B$12)</f>
        <v>0.35</v>
      </c>
      <c r="K694" s="16" t="n">
        <f aca="false">IF(J694="","",J694*$B$15)</f>
        <v>0.9072</v>
      </c>
      <c r="L694" s="16" t="n">
        <f aca="false">IF(D694="","",H694+E694-K694-G694*I694)</f>
        <v>35.6335028081934</v>
      </c>
      <c r="M694" s="16" t="n">
        <f aca="false" t="array" ref="M694: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>5.81317205710736</v>
      </c>
      <c r="N694" s="16" t="n">
        <f aca="false">IF(D694="","",(I694+M694)/2)</f>
        <v>5.92273188810128</v>
      </c>
      <c r="O694" s="16" t="n">
        <f aca="false">IF(D694="","",G694*N694)</f>
        <v>1.32491512336826</v>
      </c>
      <c r="P694" s="16" t="n">
        <f aca="false">IF(D694="","",H694+E694-K694-O694)</f>
        <v>35.6580113423868</v>
      </c>
      <c r="Q694" s="16" t="n">
        <f aca="false">IF(D694="","",IF(P694&gt;=0,K694,MAX(0,K694+P694)))</f>
        <v>0.9072</v>
      </c>
      <c r="R694" s="16" t="n">
        <f aca="false">IF(D694="","",Q694/$B$15)</f>
        <v>0.35</v>
      </c>
      <c r="S694" s="16" t="n">
        <f aca="false">IF(D694="","",MAX(0,J694-R694))</f>
        <v>0</v>
      </c>
      <c r="T694" s="16" t="n">
        <f aca="false">IF(D694="","",MAX(0,Z694-$B$8))</f>
        <v>0</v>
      </c>
      <c r="U694" s="16" t="n">
        <f aca="false">IF(D694="","",MAX(0,MIN($B$8,Z694)))</f>
        <v>35.6580113423868</v>
      </c>
      <c r="V694" s="16" t="str">
        <f aca="false">IF(D694="","",IF(S694&gt;0.0000001,"Sim","Não"))</f>
        <v>Não</v>
      </c>
      <c r="W694" s="16" t="n">
        <f aca="false">IF(D694="","",U694-(H694+E694-Q694-O694-T694))</f>
        <v>0</v>
      </c>
      <c r="X694" s="16" t="n">
        <f aca="false">IF(W694="","",ABS(W694))</f>
        <v>0</v>
      </c>
      <c r="Y694" s="16" t="n">
        <f aca="false">IF(U694="","",IF($B$8=0,0,U694/$B$8*100))</f>
        <v>75.5146364726531</v>
      </c>
      <c r="Z694" s="18" t="n">
        <f aca="false">IF(D694="","",MAX(0,IF(P694&gt;=0,P694,IF(K694+P694&gt;=0,0,P694+K694))))</f>
        <v>35.6580113423868</v>
      </c>
      <c r="AA694" s="18" t="n">
        <f aca="false">IF(D694="","",IF(H694&lt;=$B$16,1,IF(H694&gt;=$B$17,$B$21,MATCH(H694,Aux_CAV!$A$2:$A$121,1))))</f>
        <v>13</v>
      </c>
      <c r="AB694" s="18" t="n">
        <f aca="false">IF(D694="","",IF(L694&lt;=$B$16,1,IF(L694&gt;=$B$17,$B$21,MATCH(L694,Aux_CAV!$A$2:$A$121,1))))</f>
        <v>13</v>
      </c>
      <c r="AC694" s="19" t="n">
        <f aca="false">IF(D694="","",COUNT($D$24:D694))</f>
        <v>659</v>
      </c>
    </row>
    <row r="695" customFormat="false" ht="12.75" hidden="false" customHeight="true" outlineLevel="0" collapsed="false">
      <c r="A695" s="14" t="n">
        <f aca="false">IF(D695="","",DATE(B695,C695,1))</f>
        <v>24077</v>
      </c>
      <c r="B695" s="15" t="n">
        <f aca="false" t="array" ref="B695:B695">IF(D695="","",IFERROR(VALUE(INDEX(Vazoes_COLAR!$A$2:$A$200,INT((ROW()-24)/12)+1)),""))</f>
        <v>1965</v>
      </c>
      <c r="C695" s="15" t="n">
        <f aca="false">IF(D695="","",MOD(ROW()-24,12)+1)</f>
        <v>12</v>
      </c>
      <c r="D695" s="16" t="n">
        <f aca="false" t="array" ref="D695: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0.0323489567254027</v>
      </c>
      <c r="E695" s="16" t="n">
        <f aca="false">IF(D695="","",D695*$B$15)</f>
        <v>0.0838484958322438</v>
      </c>
      <c r="F695" s="16" t="n">
        <f aca="false" t="array" ref="F695:F695">IF(D695="","",IFERROR(INDEX(Dados_Evap!$C$2:$N$15,MATCH($B$9,Dados_Evap!$A$2:$A$15,0),C695),0))</f>
        <v>216.1</v>
      </c>
      <c r="G695" s="16" t="n">
        <f aca="false">IF(F695="","",F695/1000)</f>
        <v>0.2161</v>
      </c>
      <c r="H695" s="16" t="n">
        <f aca="false">IF(D695="","",MAX(0,MIN($B$8,IFERROR(LOOKUP(2,1/($U$24:U694&lt;&gt;""),$U$24:U694),$B$11))))</f>
        <v>35.6580113423868</v>
      </c>
      <c r="I695" s="16" t="n">
        <f aca="false" t="array" ref="I695: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>5.81561905698359</v>
      </c>
      <c r="J695" s="16" t="n">
        <f aca="false">IF(D695="","",$B$12)</f>
        <v>0.35</v>
      </c>
      <c r="K695" s="16" t="n">
        <f aca="false">IF(J695="","",J695*$B$15)</f>
        <v>0.9072</v>
      </c>
      <c r="L695" s="16" t="n">
        <f aca="false">IF(D695="","",H695+E695-K695-G695*I695)</f>
        <v>33.5779045600049</v>
      </c>
      <c r="M695" s="16" t="n">
        <f aca="false" t="array" ref="M695: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>5.60420950283546</v>
      </c>
      <c r="N695" s="16" t="n">
        <f aca="false">IF(D695="","",(I695+M695)/2)</f>
        <v>5.70991427990952</v>
      </c>
      <c r="O695" s="16" t="n">
        <f aca="false">IF(D695="","",G695*N695)</f>
        <v>1.23391247588845</v>
      </c>
      <c r="P695" s="16" t="n">
        <f aca="false">IF(D695="","",H695+E695-K695-O695)</f>
        <v>33.6007473623306</v>
      </c>
      <c r="Q695" s="16" t="n">
        <f aca="false">IF(D695="","",IF(P695&gt;=0,K695,MAX(0,K695+P695)))</f>
        <v>0.9072</v>
      </c>
      <c r="R695" s="16" t="n">
        <f aca="false">IF(D695="","",Q695/$B$15)</f>
        <v>0.35</v>
      </c>
      <c r="S695" s="16" t="n">
        <f aca="false">IF(D695="","",MAX(0,J695-R695))</f>
        <v>0</v>
      </c>
      <c r="T695" s="16" t="n">
        <f aca="false">IF(D695="","",MAX(0,Z695-$B$8))</f>
        <v>0</v>
      </c>
      <c r="U695" s="16" t="n">
        <f aca="false">IF(D695="","",MAX(0,MIN($B$8,Z695)))</f>
        <v>33.6007473623306</v>
      </c>
      <c r="V695" s="16" t="str">
        <f aca="false">IF(D695="","",IF(S695&gt;0.0000001,"Sim","Não"))</f>
        <v>Não</v>
      </c>
      <c r="W695" s="16" t="n">
        <f aca="false">IF(D695="","",U695-(H695+E695-Q695-O695-T695))</f>
        <v>0</v>
      </c>
      <c r="X695" s="16" t="n">
        <f aca="false">IF(W695="","",ABS(W695))</f>
        <v>0</v>
      </c>
      <c r="Y695" s="16" t="n">
        <f aca="false">IF(U695="","",IF($B$8=0,0,U695/$B$8*100))</f>
        <v>71.1578724318733</v>
      </c>
      <c r="Z695" s="18" t="n">
        <f aca="false">IF(D695="","",MAX(0,IF(P695&gt;=0,P695,IF(K695+P695&gt;=0,0,P695+K695))))</f>
        <v>33.6007473623306</v>
      </c>
      <c r="AA695" s="18" t="n">
        <f aca="false">IF(D695="","",IF(H695&lt;=$B$16,1,IF(H695&gt;=$B$17,$B$21,MATCH(H695,Aux_CAV!$A$2:$A$121,1))))</f>
        <v>13</v>
      </c>
      <c r="AB695" s="18" t="n">
        <f aca="false">IF(D695="","",IF(L695&lt;=$B$16,1,IF(L695&gt;=$B$17,$B$21,MATCH(L695,Aux_CAV!$A$2:$A$121,1))))</f>
        <v>12</v>
      </c>
      <c r="AC695" s="19" t="n">
        <f aca="false">IF(D695="","",COUNT($D$24:D695))</f>
        <v>660</v>
      </c>
    </row>
    <row r="696" customFormat="false" ht="12.75" hidden="false" customHeight="true" outlineLevel="0" collapsed="false">
      <c r="A696" s="14" t="n">
        <f aca="false">IF(D696="","",DATE(B696,C696,1))</f>
        <v>24108</v>
      </c>
      <c r="B696" s="15" t="n">
        <f aca="false" t="array" ref="B696:B696">IF(D696="","",IFERROR(VALUE(INDEX(Vazoes_COLAR!$A$2:$A$200,INT((ROW()-24)/12)+1)),""))</f>
        <v>1966</v>
      </c>
      <c r="C696" s="15" t="n">
        <f aca="false">IF(D696="","",MOD(ROW()-24,12)+1)</f>
        <v>1</v>
      </c>
      <c r="D696" s="16" t="n">
        <f aca="false" t="array" ref="D696: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0.0966553750699712</v>
      </c>
      <c r="E696" s="16" t="n">
        <f aca="false">IF(D696="","",D696*$B$15)</f>
        <v>0.250530732181365</v>
      </c>
      <c r="F696" s="16" t="n">
        <f aca="false" t="array" ref="F696:F696">IF(D696="","",IFERROR(INDEX(Dados_Evap!$C$2:$N$15,MATCH($B$9,Dados_Evap!$A$2:$A$15,0),C696),0))</f>
        <v>160</v>
      </c>
      <c r="G696" s="16" t="n">
        <f aca="false">IF(F696="","",F696/1000)</f>
        <v>0.16</v>
      </c>
      <c r="H696" s="16" t="n">
        <f aca="false">IF(D696="","",MAX(0,MIN($B$8,IFERROR(LOOKUP(2,1/($U$24:U695&lt;&gt;""),$U$24:U695),$B$11))))</f>
        <v>33.6007473623306</v>
      </c>
      <c r="I696" s="16" t="n">
        <f aca="false" t="array" ref="I696: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>5.60658249297997</v>
      </c>
      <c r="J696" s="16" t="n">
        <f aca="false">IF(D696="","",$B$12)</f>
        <v>0.35</v>
      </c>
      <c r="K696" s="16" t="n">
        <f aca="false">IF(J696="","",J696*$B$15)</f>
        <v>0.9072</v>
      </c>
      <c r="L696" s="16" t="n">
        <f aca="false">IF(D696="","",H696+E696-K696-G696*I696)</f>
        <v>32.0470248956351</v>
      </c>
      <c r="M696" s="16" t="n">
        <f aca="false" t="array" ref="M696: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>5.44517637265336</v>
      </c>
      <c r="N696" s="16" t="n">
        <f aca="false">IF(D696="","",(I696+M696)/2)</f>
        <v>5.52587943281667</v>
      </c>
      <c r="O696" s="16" t="n">
        <f aca="false">IF(D696="","",G696*N696)</f>
        <v>0.884140709250667</v>
      </c>
      <c r="P696" s="16" t="n">
        <f aca="false">IF(D696="","",H696+E696-K696-O696)</f>
        <v>32.0599373852613</v>
      </c>
      <c r="Q696" s="16" t="n">
        <f aca="false">IF(D696="","",IF(P696&gt;=0,K696,MAX(0,K696+P696)))</f>
        <v>0.9072</v>
      </c>
      <c r="R696" s="16" t="n">
        <f aca="false">IF(D696="","",Q696/$B$15)</f>
        <v>0.35</v>
      </c>
      <c r="S696" s="16" t="n">
        <f aca="false">IF(D696="","",MAX(0,J696-R696))</f>
        <v>0</v>
      </c>
      <c r="T696" s="16" t="n">
        <f aca="false">IF(D696="","",MAX(0,Z696-$B$8))</f>
        <v>0</v>
      </c>
      <c r="U696" s="16" t="n">
        <f aca="false">IF(D696="","",MAX(0,MIN($B$8,Z696)))</f>
        <v>32.0599373852613</v>
      </c>
      <c r="V696" s="16" t="str">
        <f aca="false">IF(D696="","",IF(S696&gt;0.0000001,"Sim","Não"))</f>
        <v>Não</v>
      </c>
      <c r="W696" s="16" t="n">
        <f aca="false">IF(D696="","",U696-(H696+E696-Q696-O696-T696))</f>
        <v>0</v>
      </c>
      <c r="X696" s="16" t="n">
        <f aca="false">IF(W696="","",ABS(W696))</f>
        <v>0</v>
      </c>
      <c r="Y696" s="16" t="n">
        <f aca="false">IF(U696="","",IF($B$8=0,0,U696/$B$8*100))</f>
        <v>67.8948271606549</v>
      </c>
      <c r="Z696" s="18" t="n">
        <f aca="false">IF(D696="","",MAX(0,IF(P696&gt;=0,P696,IF(K696+P696&gt;=0,0,P696+K696))))</f>
        <v>32.0599373852613</v>
      </c>
      <c r="AA696" s="18" t="n">
        <f aca="false">IF(D696="","",IF(H696&lt;=$B$16,1,IF(H696&gt;=$B$17,$B$21,MATCH(H696,Aux_CAV!$A$2:$A$121,1))))</f>
        <v>12</v>
      </c>
      <c r="AB696" s="18" t="n">
        <f aca="false">IF(D696="","",IF(L696&lt;=$B$16,1,IF(L696&gt;=$B$17,$B$21,MATCH(L696,Aux_CAV!$A$2:$A$121,1))))</f>
        <v>12</v>
      </c>
      <c r="AC696" s="19" t="n">
        <f aca="false">IF(D696="","",COUNT($D$24:D696))</f>
        <v>661</v>
      </c>
    </row>
    <row r="697" customFormat="false" ht="12.75" hidden="false" customHeight="true" outlineLevel="0" collapsed="false">
      <c r="A697" s="14" t="n">
        <f aca="false">IF(D697="","",DATE(B697,C697,1))</f>
        <v>24139</v>
      </c>
      <c r="B697" s="15" t="n">
        <f aca="false" t="array" ref="B697:B697">IF(D697="","",IFERROR(VALUE(INDEX(Vazoes_COLAR!$A$2:$A$200,INT((ROW()-24)/12)+1)),""))</f>
        <v>1966</v>
      </c>
      <c r="C697" s="15" t="n">
        <f aca="false">IF(D697="","",MOD(ROW()-24,12)+1)</f>
        <v>2</v>
      </c>
      <c r="D697" s="16" t="n">
        <f aca="false" t="array" ref="D697: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0.954077165796391</v>
      </c>
      <c r="E697" s="16" t="n">
        <f aca="false">IF(D697="","",D697*$B$15)</f>
        <v>2.47296801374425</v>
      </c>
      <c r="F697" s="16" t="n">
        <f aca="false" t="array" ref="F697:F697">IF(D697="","",IFERROR(INDEX(Dados_Evap!$C$2:$N$15,MATCH($B$9,Dados_Evap!$A$2:$A$15,0),C697),0))</f>
        <v>124.3</v>
      </c>
      <c r="G697" s="16" t="n">
        <f aca="false">IF(F697="","",F697/1000)</f>
        <v>0.1243</v>
      </c>
      <c r="H697" s="16" t="n">
        <f aca="false">IF(D697="","",MAX(0,MIN($B$8,IFERROR(LOOKUP(2,1/($U$24:U696&lt;&gt;""),$U$24:U696),$B$11))))</f>
        <v>32.0599373852613</v>
      </c>
      <c r="I697" s="16" t="n">
        <f aca="false" t="array" ref="I697: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>5.44651776720675</v>
      </c>
      <c r="J697" s="16" t="n">
        <f aca="false">IF(D697="","",$B$12)</f>
        <v>0.35</v>
      </c>
      <c r="K697" s="16" t="n">
        <f aca="false">IF(J697="","",J697*$B$15)</f>
        <v>0.9072</v>
      </c>
      <c r="L697" s="16" t="n">
        <f aca="false">IF(D697="","",H697+E697-K697-G697*I697)</f>
        <v>32.9487032405417</v>
      </c>
      <c r="M697" s="16" t="n">
        <f aca="false" t="array" ref="M697: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>5.53884587061938</v>
      </c>
      <c r="N697" s="16" t="n">
        <f aca="false">IF(D697="","",(I697+M697)/2)</f>
        <v>5.49268181891307</v>
      </c>
      <c r="O697" s="16" t="n">
        <f aca="false">IF(D697="","",G697*N697)</f>
        <v>0.682740350090894</v>
      </c>
      <c r="P697" s="16" t="n">
        <f aca="false">IF(D697="","",H697+E697-K697-O697)</f>
        <v>32.9429650489146</v>
      </c>
      <c r="Q697" s="16" t="n">
        <f aca="false">IF(D697="","",IF(P697&gt;=0,K697,MAX(0,K697+P697)))</f>
        <v>0.9072</v>
      </c>
      <c r="R697" s="16" t="n">
        <f aca="false">IF(D697="","",Q697/$B$15)</f>
        <v>0.35</v>
      </c>
      <c r="S697" s="16" t="n">
        <f aca="false">IF(D697="","",MAX(0,J697-R697))</f>
        <v>0</v>
      </c>
      <c r="T697" s="16" t="n">
        <f aca="false">IF(D697="","",MAX(0,Z697-$B$8))</f>
        <v>0</v>
      </c>
      <c r="U697" s="16" t="n">
        <f aca="false">IF(D697="","",MAX(0,MIN($B$8,Z697)))</f>
        <v>32.9429650489146</v>
      </c>
      <c r="V697" s="16" t="str">
        <f aca="false">IF(D697="","",IF(S697&gt;0.0000001,"Sim","Não"))</f>
        <v>Não</v>
      </c>
      <c r="W697" s="16" t="n">
        <f aca="false">IF(D697="","",U697-(H697+E697-Q697-O697-T697))</f>
        <v>0</v>
      </c>
      <c r="X697" s="16" t="n">
        <f aca="false">IF(W697="","",ABS(W697))</f>
        <v>0</v>
      </c>
      <c r="Y697" s="16" t="n">
        <f aca="false">IF(U697="","",IF($B$8=0,0,U697/$B$8*100))</f>
        <v>69.764856096812</v>
      </c>
      <c r="Z697" s="18" t="n">
        <f aca="false">IF(D697="","",MAX(0,IF(P697&gt;=0,P697,IF(K697+P697&gt;=0,0,P697+K697))))</f>
        <v>32.9429650489146</v>
      </c>
      <c r="AA697" s="18" t="n">
        <f aca="false">IF(D697="","",IF(H697&lt;=$B$16,1,IF(H697&gt;=$B$17,$B$21,MATCH(H697,Aux_CAV!$A$2:$A$121,1))))</f>
        <v>12</v>
      </c>
      <c r="AB697" s="18" t="n">
        <f aca="false">IF(D697="","",IF(L697&lt;=$B$16,1,IF(L697&gt;=$B$17,$B$21,MATCH(L697,Aux_CAV!$A$2:$A$121,1))))</f>
        <v>12</v>
      </c>
      <c r="AC697" s="19" t="n">
        <f aca="false">IF(D697="","",COUNT($D$24:D697))</f>
        <v>662</v>
      </c>
    </row>
    <row r="698" customFormat="false" ht="12.75" hidden="false" customHeight="true" outlineLevel="0" collapsed="false">
      <c r="A698" s="14" t="n">
        <f aca="false">IF(D698="","",DATE(B698,C698,1))</f>
        <v>24167</v>
      </c>
      <c r="B698" s="15" t="n">
        <f aca="false" t="array" ref="B698:B698">IF(D698="","",IFERROR(VALUE(INDEX(Vazoes_COLAR!$A$2:$A$200,INT((ROW()-24)/12)+1)),""))</f>
        <v>1966</v>
      </c>
      <c r="C698" s="15" t="n">
        <f aca="false">IF(D698="","",MOD(ROW()-24,12)+1)</f>
        <v>3</v>
      </c>
      <c r="D698" s="16" t="n">
        <f aca="false" t="array" ref="D698: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1.10630644795817</v>
      </c>
      <c r="E698" s="16" t="n">
        <f aca="false">IF(D698="","",D698*$B$15)</f>
        <v>2.86754631310758</v>
      </c>
      <c r="F698" s="16" t="n">
        <f aca="false" t="array" ref="F698:F698">IF(D698="","",IFERROR(INDEX(Dados_Evap!$C$2:$N$15,MATCH($B$9,Dados_Evap!$A$2:$A$15,0),C698),0))</f>
        <v>107.7</v>
      </c>
      <c r="G698" s="16" t="n">
        <f aca="false">IF(F698="","",F698/1000)</f>
        <v>0.1077</v>
      </c>
      <c r="H698" s="16" t="n">
        <f aca="false">IF(D698="","",MAX(0,MIN($B$8,IFERROR(LOOKUP(2,1/($U$24:U697&lt;&gt;""),$U$24:U697),$B$11))))</f>
        <v>32.9429650489146</v>
      </c>
      <c r="I698" s="16" t="n">
        <f aca="false" t="array" ref="I698: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>5.53824976721734</v>
      </c>
      <c r="J698" s="16" t="n">
        <f aca="false">IF(D698="","",$B$12)</f>
        <v>0.35</v>
      </c>
      <c r="K698" s="16" t="n">
        <f aca="false">IF(J698="","",J698*$B$15)</f>
        <v>0.9072</v>
      </c>
      <c r="L698" s="16" t="n">
        <f aca="false">IF(D698="","",H698+E698-K698-G698*I698)</f>
        <v>34.3068418620929</v>
      </c>
      <c r="M698" s="16" t="n">
        <f aca="false" t="array" ref="M698: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>5.67993405751839</v>
      </c>
      <c r="N698" s="16" t="n">
        <f aca="false">IF(D698="","",(I698+M698)/2)</f>
        <v>5.60909191236786</v>
      </c>
      <c r="O698" s="16" t="n">
        <f aca="false">IF(D698="","",G698*N698)</f>
        <v>0.604099198962019</v>
      </c>
      <c r="P698" s="16" t="n">
        <f aca="false">IF(D698="","",H698+E698-K698-O698)</f>
        <v>34.2992121630602</v>
      </c>
      <c r="Q698" s="16" t="n">
        <f aca="false">IF(D698="","",IF(P698&gt;=0,K698,MAX(0,K698+P698)))</f>
        <v>0.9072</v>
      </c>
      <c r="R698" s="16" t="n">
        <f aca="false">IF(D698="","",Q698/$B$15)</f>
        <v>0.35</v>
      </c>
      <c r="S698" s="16" t="n">
        <f aca="false">IF(D698="","",MAX(0,J698-R698))</f>
        <v>0</v>
      </c>
      <c r="T698" s="16" t="n">
        <f aca="false">IF(D698="","",MAX(0,Z698-$B$8))</f>
        <v>0</v>
      </c>
      <c r="U698" s="16" t="n">
        <f aca="false">IF(D698="","",MAX(0,MIN($B$8,Z698)))</f>
        <v>34.2992121630602</v>
      </c>
      <c r="V698" s="16" t="str">
        <f aca="false">IF(D698="","",IF(S698&gt;0.0000001,"Sim","Não"))</f>
        <v>Não</v>
      </c>
      <c r="W698" s="16" t="n">
        <f aca="false">IF(D698="","",U698-(H698+E698-Q698-O698-T698))</f>
        <v>0</v>
      </c>
      <c r="X698" s="16" t="n">
        <f aca="false">IF(W698="","",ABS(W698))</f>
        <v>0</v>
      </c>
      <c r="Y698" s="16" t="n">
        <f aca="false">IF(U698="","",IF($B$8=0,0,U698/$B$8*100))</f>
        <v>72.6370439709025</v>
      </c>
      <c r="Z698" s="18" t="n">
        <f aca="false">IF(D698="","",MAX(0,IF(P698&gt;=0,P698,IF(K698+P698&gt;=0,0,P698+K698))))</f>
        <v>34.2992121630602</v>
      </c>
      <c r="AA698" s="18" t="n">
        <f aca="false">IF(D698="","",IF(H698&lt;=$B$16,1,IF(H698&gt;=$B$17,$B$21,MATCH(H698,Aux_CAV!$A$2:$A$121,1))))</f>
        <v>12</v>
      </c>
      <c r="AB698" s="18" t="n">
        <f aca="false">IF(D698="","",IF(L698&lt;=$B$16,1,IF(L698&gt;=$B$17,$B$21,MATCH(L698,Aux_CAV!$A$2:$A$121,1))))</f>
        <v>12</v>
      </c>
      <c r="AC698" s="19" t="n">
        <f aca="false">IF(D698="","",COUNT($D$24:D698))</f>
        <v>663</v>
      </c>
    </row>
    <row r="699" customFormat="false" ht="12.75" hidden="false" customHeight="true" outlineLevel="0" collapsed="false">
      <c r="A699" s="14" t="n">
        <f aca="false">IF(D699="","",DATE(B699,C699,1))</f>
        <v>24198</v>
      </c>
      <c r="B699" s="15" t="n">
        <f aca="false" t="array" ref="B699:B699">IF(D699="","",IFERROR(VALUE(INDEX(Vazoes_COLAR!$A$2:$A$200,INT((ROW()-24)/12)+1)),""))</f>
        <v>1966</v>
      </c>
      <c r="C699" s="15" t="n">
        <f aca="false">IF(D699="","",MOD(ROW()-24,12)+1)</f>
        <v>4</v>
      </c>
      <c r="D699" s="16" t="n">
        <f aca="false" t="array" ref="D699: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1.07833309659618</v>
      </c>
      <c r="E699" s="16" t="n">
        <f aca="false">IF(D699="","",D699*$B$15)</f>
        <v>2.7950393863773</v>
      </c>
      <c r="F699" s="16" t="n">
        <f aca="false" t="array" ref="F699:F699">IF(D699="","",IFERROR(INDEX(Dados_Evap!$C$2:$N$15,MATCH($B$9,Dados_Evap!$A$2:$A$15,0),C699),0))</f>
        <v>100.5</v>
      </c>
      <c r="G699" s="16" t="n">
        <f aca="false">IF(F699="","",F699/1000)</f>
        <v>0.1005</v>
      </c>
      <c r="H699" s="16" t="n">
        <f aca="false">IF(D699="","",MAX(0,MIN($B$8,IFERROR(LOOKUP(2,1/($U$24:U698&lt;&gt;""),$U$24:U698),$B$11))))</f>
        <v>34.2992121630602</v>
      </c>
      <c r="I699" s="16" t="n">
        <f aca="false" t="array" ref="I699: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>5.67914145771596</v>
      </c>
      <c r="J699" s="16" t="n">
        <f aca="false">IF(D699="","",$B$12)</f>
        <v>0.35</v>
      </c>
      <c r="K699" s="16" t="n">
        <f aca="false">IF(J699="","",J699*$B$15)</f>
        <v>0.9072</v>
      </c>
      <c r="L699" s="16" t="n">
        <f aca="false">IF(D699="","",H699+E699-K699-G699*I699)</f>
        <v>35.616297832937</v>
      </c>
      <c r="M699" s="16" t="n">
        <f aca="false" t="array" ref="M699: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>5.81145426476651</v>
      </c>
      <c r="N699" s="16" t="n">
        <f aca="false">IF(D699="","",(I699+M699)/2)</f>
        <v>5.74529786124123</v>
      </c>
      <c r="O699" s="16" t="n">
        <f aca="false">IF(D699="","",G699*N699)</f>
        <v>0.577402435054744</v>
      </c>
      <c r="P699" s="16" t="n">
        <f aca="false">IF(D699="","",H699+E699-K699-O699)</f>
        <v>35.6096491143827</v>
      </c>
      <c r="Q699" s="16" t="n">
        <f aca="false">IF(D699="","",IF(P699&gt;=0,K699,MAX(0,K699+P699)))</f>
        <v>0.9072</v>
      </c>
      <c r="R699" s="16" t="n">
        <f aca="false">IF(D699="","",Q699/$B$15)</f>
        <v>0.35</v>
      </c>
      <c r="S699" s="16" t="n">
        <f aca="false">IF(D699="","",MAX(0,J699-R699))</f>
        <v>0</v>
      </c>
      <c r="T699" s="16" t="n">
        <f aca="false">IF(D699="","",MAX(0,Z699-$B$8))</f>
        <v>0</v>
      </c>
      <c r="U699" s="16" t="n">
        <f aca="false">IF(D699="","",MAX(0,MIN($B$8,Z699)))</f>
        <v>35.6096491143827</v>
      </c>
      <c r="V699" s="16" t="str">
        <f aca="false">IF(D699="","",IF(S699&gt;0.0000001,"Sim","Não"))</f>
        <v>Não</v>
      </c>
      <c r="W699" s="16" t="n">
        <f aca="false">IF(D699="","",U699-(H699+E699-Q699-O699-T699))</f>
        <v>0</v>
      </c>
      <c r="X699" s="16" t="n">
        <f aca="false">IF(W699="","",ABS(W699))</f>
        <v>0</v>
      </c>
      <c r="Y699" s="16" t="n">
        <f aca="false">IF(U699="","",IF($B$8=0,0,U699/$B$8*100))</f>
        <v>75.4122175230468</v>
      </c>
      <c r="Z699" s="18" t="n">
        <f aca="false">IF(D699="","",MAX(0,IF(P699&gt;=0,P699,IF(K699+P699&gt;=0,0,P699+K699))))</f>
        <v>35.6096491143827</v>
      </c>
      <c r="AA699" s="18" t="n">
        <f aca="false">IF(D699="","",IF(H699&lt;=$B$16,1,IF(H699&gt;=$B$17,$B$21,MATCH(H699,Aux_CAV!$A$2:$A$121,1))))</f>
        <v>12</v>
      </c>
      <c r="AB699" s="18" t="n">
        <f aca="false">IF(D699="","",IF(L699&lt;=$B$16,1,IF(L699&gt;=$B$17,$B$21,MATCH(L699,Aux_CAV!$A$2:$A$121,1))))</f>
        <v>13</v>
      </c>
      <c r="AC699" s="19" t="n">
        <f aca="false">IF(D699="","",COUNT($D$24:D699))</f>
        <v>664</v>
      </c>
    </row>
    <row r="700" customFormat="false" ht="12.75" hidden="false" customHeight="true" outlineLevel="0" collapsed="false">
      <c r="A700" s="14" t="n">
        <f aca="false">IF(D700="","",DATE(B700,C700,1))</f>
        <v>24228</v>
      </c>
      <c r="B700" s="15" t="n">
        <f aca="false" t="array" ref="B700:B700">IF(D700="","",IFERROR(VALUE(INDEX(Vazoes_COLAR!$A$2:$A$200,INT((ROW()-24)/12)+1)),""))</f>
        <v>1966</v>
      </c>
      <c r="C700" s="15" t="n">
        <f aca="false">IF(D700="","",MOD(ROW()-24,12)+1)</f>
        <v>5</v>
      </c>
      <c r="D700" s="16" t="n">
        <f aca="false" t="array" ref="D700: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0.532331244839221</v>
      </c>
      <c r="E700" s="16" t="n">
        <f aca="false">IF(D700="","",D700*$B$15)</f>
        <v>1.37980258662326</v>
      </c>
      <c r="F700" s="16" t="n">
        <f aca="false" t="array" ref="F700:F700">IF(D700="","",IFERROR(INDEX(Dados_Evap!$C$2:$N$15,MATCH($B$9,Dados_Evap!$A$2:$A$15,0),C700),0))</f>
        <v>145.8</v>
      </c>
      <c r="G700" s="16" t="n">
        <f aca="false">IF(F700="","",F700/1000)</f>
        <v>0.1458</v>
      </c>
      <c r="H700" s="16" t="n">
        <f aca="false">IF(D700="","",MAX(0,MIN($B$8,IFERROR(LOOKUP(2,1/($U$24:U699&lt;&gt;""),$U$24:U699),$B$11))))</f>
        <v>35.6096491143827</v>
      </c>
      <c r="I700" s="16" t="n">
        <f aca="false" t="array" ref="I700: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>5.81079043830708</v>
      </c>
      <c r="J700" s="16" t="n">
        <f aca="false">IF(D700="","",$B$12)</f>
        <v>0.35</v>
      </c>
      <c r="K700" s="16" t="n">
        <f aca="false">IF(J700="","",J700*$B$15)</f>
        <v>0.9072</v>
      </c>
      <c r="L700" s="16" t="n">
        <f aca="false">IF(D700="","",H700+E700-K700-G700*I700)</f>
        <v>35.2350384551008</v>
      </c>
      <c r="M700" s="16" t="n">
        <f aca="false" t="array" ref="M700: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>5.77338827342595</v>
      </c>
      <c r="N700" s="16" t="n">
        <f aca="false">IF(D700="","",(I700+M700)/2)</f>
        <v>5.79208935586651</v>
      </c>
      <c r="O700" s="16" t="n">
        <f aca="false">IF(D700="","",G700*N700)</f>
        <v>0.844486628085338</v>
      </c>
      <c r="P700" s="16" t="n">
        <f aca="false">IF(D700="","",H700+E700-K700-O700)</f>
        <v>35.2377650729206</v>
      </c>
      <c r="Q700" s="16" t="n">
        <f aca="false">IF(D700="","",IF(P700&gt;=0,K700,MAX(0,K700+P700)))</f>
        <v>0.9072</v>
      </c>
      <c r="R700" s="16" t="n">
        <f aca="false">IF(D700="","",Q700/$B$15)</f>
        <v>0.35</v>
      </c>
      <c r="S700" s="16" t="n">
        <f aca="false">IF(D700="","",MAX(0,J700-R700))</f>
        <v>0</v>
      </c>
      <c r="T700" s="16" t="n">
        <f aca="false">IF(D700="","",MAX(0,Z700-$B$8))</f>
        <v>0</v>
      </c>
      <c r="U700" s="16" t="n">
        <f aca="false">IF(D700="","",MAX(0,MIN($B$8,Z700)))</f>
        <v>35.2377650729206</v>
      </c>
      <c r="V700" s="16" t="str">
        <f aca="false">IF(D700="","",IF(S700&gt;0.0000001,"Sim","Não"))</f>
        <v>Não</v>
      </c>
      <c r="W700" s="16" t="n">
        <f aca="false">IF(D700="","",U700-(H700+E700-Q700-O700-T700))</f>
        <v>0</v>
      </c>
      <c r="X700" s="16" t="n">
        <f aca="false">IF(W700="","",ABS(W700))</f>
        <v>0</v>
      </c>
      <c r="Y700" s="16" t="n">
        <f aca="false">IF(U700="","",IF($B$8=0,0,U700/$B$8*100))</f>
        <v>74.6246613149527</v>
      </c>
      <c r="Z700" s="18" t="n">
        <f aca="false">IF(D700="","",MAX(0,IF(P700&gt;=0,P700,IF(K700+P700&gt;=0,0,P700+K700))))</f>
        <v>35.2377650729206</v>
      </c>
      <c r="AA700" s="18" t="n">
        <f aca="false">IF(D700="","",IF(H700&lt;=$B$16,1,IF(H700&gt;=$B$17,$B$21,MATCH(H700,Aux_CAV!$A$2:$A$121,1))))</f>
        <v>13</v>
      </c>
      <c r="AB700" s="18" t="n">
        <f aca="false">IF(D700="","",IF(L700&lt;=$B$16,1,IF(L700&gt;=$B$17,$B$21,MATCH(L700,Aux_CAV!$A$2:$A$121,1))))</f>
        <v>13</v>
      </c>
      <c r="AC700" s="19" t="n">
        <f aca="false">IF(D700="","",COUNT($D$24:D700))</f>
        <v>665</v>
      </c>
    </row>
    <row r="701" customFormat="false" ht="12.75" hidden="false" customHeight="true" outlineLevel="0" collapsed="false">
      <c r="A701" s="14" t="n">
        <f aca="false">IF(D701="","",DATE(B701,C701,1))</f>
        <v>24259</v>
      </c>
      <c r="B701" s="15" t="n">
        <f aca="false" t="array" ref="B701:B701">IF(D701="","",IFERROR(VALUE(INDEX(Vazoes_COLAR!$A$2:$A$200,INT((ROW()-24)/12)+1)),""))</f>
        <v>1966</v>
      </c>
      <c r="C701" s="15" t="n">
        <f aca="false">IF(D701="","",MOD(ROW()-24,12)+1)</f>
        <v>6</v>
      </c>
      <c r="D701" s="16" t="n">
        <f aca="false" t="array" ref="D701: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0.421676812052495</v>
      </c>
      <c r="E701" s="16" t="n">
        <f aca="false">IF(D701="","",D701*$B$15)</f>
        <v>1.09298629684007</v>
      </c>
      <c r="F701" s="16" t="n">
        <f aca="false" t="array" ref="F701:F701">IF(D701="","",IFERROR(INDEX(Dados_Evap!$C$2:$N$15,MATCH($B$9,Dados_Evap!$A$2:$A$15,0),C701),0))</f>
        <v>161.3</v>
      </c>
      <c r="G701" s="16" t="n">
        <f aca="false">IF(F701="","",F701/1000)</f>
        <v>0.1613</v>
      </c>
      <c r="H701" s="16" t="n">
        <f aca="false">IF(D701="","",MAX(0,MIN($B$8,IFERROR(LOOKUP(2,1/($U$24:U700&lt;&gt;""),$U$24:U700),$B$11))))</f>
        <v>35.2377650729206</v>
      </c>
      <c r="I701" s="16" t="n">
        <f aca="false" t="array" ref="I701: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>5.77366050649444</v>
      </c>
      <c r="J701" s="16" t="n">
        <f aca="false">IF(D701="","",$B$12)</f>
        <v>0.35</v>
      </c>
      <c r="K701" s="16" t="n">
        <f aca="false">IF(J701="","",J701*$B$15)</f>
        <v>0.9072</v>
      </c>
      <c r="L701" s="16" t="n">
        <f aca="false">IF(D701="","",H701+E701-K701-G701*I701)</f>
        <v>34.4922599300632</v>
      </c>
      <c r="M701" s="16" t="n">
        <f aca="false" t="array" ref="M701: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>5.69919593448229</v>
      </c>
      <c r="N701" s="16" t="n">
        <f aca="false">IF(D701="","",(I701+M701)/2)</f>
        <v>5.73642822048836</v>
      </c>
      <c r="O701" s="16" t="n">
        <f aca="false">IF(D701="","",G701*N701)</f>
        <v>0.925285871964773</v>
      </c>
      <c r="P701" s="16" t="n">
        <f aca="false">IF(D701="","",H701+E701-K701-O701)</f>
        <v>34.4982654977959</v>
      </c>
      <c r="Q701" s="16" t="n">
        <f aca="false">IF(D701="","",IF(P701&gt;=0,K701,MAX(0,K701+P701)))</f>
        <v>0.9072</v>
      </c>
      <c r="R701" s="16" t="n">
        <f aca="false">IF(D701="","",Q701/$B$15)</f>
        <v>0.35</v>
      </c>
      <c r="S701" s="16" t="n">
        <f aca="false">IF(D701="","",MAX(0,J701-R701))</f>
        <v>0</v>
      </c>
      <c r="T701" s="16" t="n">
        <f aca="false">IF(D701="","",MAX(0,Z701-$B$8))</f>
        <v>0</v>
      </c>
      <c r="U701" s="16" t="n">
        <f aca="false">IF(D701="","",MAX(0,MIN($B$8,Z701)))</f>
        <v>34.4982654977959</v>
      </c>
      <c r="V701" s="16" t="str">
        <f aca="false">IF(D701="","",IF(S701&gt;0.0000001,"Sim","Não"))</f>
        <v>Não</v>
      </c>
      <c r="W701" s="16" t="n">
        <f aca="false">IF(D701="","",U701-(H701+E701-Q701-O701-T701))</f>
        <v>0</v>
      </c>
      <c r="X701" s="16" t="n">
        <f aca="false">IF(W701="","",ABS(W701))</f>
        <v>0</v>
      </c>
      <c r="Y701" s="16" t="n">
        <f aca="false">IF(U701="","",IF($B$8=0,0,U701/$B$8*100))</f>
        <v>73.0585885171451</v>
      </c>
      <c r="Z701" s="18" t="n">
        <f aca="false">IF(D701="","",MAX(0,IF(P701&gt;=0,P701,IF(K701+P701&gt;=0,0,P701+K701))))</f>
        <v>34.4982654977959</v>
      </c>
      <c r="AA701" s="18" t="n">
        <f aca="false">IF(D701="","",IF(H701&lt;=$B$16,1,IF(H701&gt;=$B$17,$B$21,MATCH(H701,Aux_CAV!$A$2:$A$121,1))))</f>
        <v>13</v>
      </c>
      <c r="AB701" s="18" t="n">
        <f aca="false">IF(D701="","",IF(L701&lt;=$B$16,1,IF(L701&gt;=$B$17,$B$21,MATCH(L701,Aux_CAV!$A$2:$A$121,1))))</f>
        <v>12</v>
      </c>
      <c r="AC701" s="19" t="n">
        <f aca="false">IF(D701="","",COUNT($D$24:D701))</f>
        <v>666</v>
      </c>
    </row>
    <row r="702" customFormat="false" ht="12.75" hidden="false" customHeight="true" outlineLevel="0" collapsed="false">
      <c r="A702" s="14" t="n">
        <f aca="false">IF(D702="","",DATE(B702,C702,1))</f>
        <v>24289</v>
      </c>
      <c r="B702" s="15" t="n">
        <f aca="false" t="array" ref="B702:B702">IF(D702="","",IFERROR(VALUE(INDEX(Vazoes_COLAR!$A$2:$A$200,INT((ROW()-24)/12)+1)),""))</f>
        <v>1966</v>
      </c>
      <c r="C702" s="15" t="n">
        <f aca="false">IF(D702="","",MOD(ROW()-24,12)+1)</f>
        <v>7</v>
      </c>
      <c r="D702" s="16" t="n">
        <f aca="false" t="array" ref="D702: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0.115143652399721</v>
      </c>
      <c r="E702" s="16" t="n">
        <f aca="false">IF(D702="","",D702*$B$15)</f>
        <v>0.298452347020077</v>
      </c>
      <c r="F702" s="16" t="n">
        <f aca="false" t="array" ref="F702:F702">IF(D702="","",IFERROR(INDEX(Dados_Evap!$C$2:$N$15,MATCH($B$9,Dados_Evap!$A$2:$A$15,0),C702),0))</f>
        <v>224.8</v>
      </c>
      <c r="G702" s="16" t="n">
        <f aca="false">IF(F702="","",F702/1000)</f>
        <v>0.2248</v>
      </c>
      <c r="H702" s="16" t="n">
        <f aca="false">IF(D702="","",MAX(0,MIN($B$8,IFERROR(LOOKUP(2,1/($U$24:U701&lt;&gt;""),$U$24:U701),$B$11))))</f>
        <v>34.4982654977959</v>
      </c>
      <c r="I702" s="16" t="n">
        <f aca="false" t="array" ref="I702: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>5.6998198138487</v>
      </c>
      <c r="J702" s="16" t="n">
        <f aca="false">IF(D702="","",$B$12)</f>
        <v>0.35</v>
      </c>
      <c r="K702" s="16" t="n">
        <f aca="false">IF(J702="","",J702*$B$15)</f>
        <v>0.9072</v>
      </c>
      <c r="L702" s="16" t="n">
        <f aca="false">IF(D702="","",H702+E702-K702-G702*I702)</f>
        <v>32.6081983506628</v>
      </c>
      <c r="M702" s="16" t="n">
        <f aca="false" t="array" ref="M702: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>5.50347303254458</v>
      </c>
      <c r="N702" s="16" t="n">
        <f aca="false">IF(D702="","",(I702+M702)/2)</f>
        <v>5.60164642319664</v>
      </c>
      <c r="O702" s="16" t="n">
        <f aca="false">IF(D702="","",G702*N702)</f>
        <v>1.25925011593461</v>
      </c>
      <c r="P702" s="16" t="n">
        <f aca="false">IF(D702="","",H702+E702-K702-O702)</f>
        <v>32.6302677288814</v>
      </c>
      <c r="Q702" s="16" t="n">
        <f aca="false">IF(D702="","",IF(P702&gt;=0,K702,MAX(0,K702+P702)))</f>
        <v>0.9072</v>
      </c>
      <c r="R702" s="16" t="n">
        <f aca="false">IF(D702="","",Q702/$B$15)</f>
        <v>0.35</v>
      </c>
      <c r="S702" s="16" t="n">
        <f aca="false">IF(D702="","",MAX(0,J702-R702))</f>
        <v>0</v>
      </c>
      <c r="T702" s="16" t="n">
        <f aca="false">IF(D702="","",MAX(0,Z702-$B$8))</f>
        <v>0</v>
      </c>
      <c r="U702" s="16" t="n">
        <f aca="false">IF(D702="","",MAX(0,MIN($B$8,Z702)))</f>
        <v>32.6302677288814</v>
      </c>
      <c r="V702" s="16" t="str">
        <f aca="false">IF(D702="","",IF(S702&gt;0.0000001,"Sim","Não"))</f>
        <v>Não</v>
      </c>
      <c r="W702" s="16" t="n">
        <f aca="false">IF(D702="","",U702-(H702+E702-Q702-O702-T702))</f>
        <v>0</v>
      </c>
      <c r="X702" s="16" t="n">
        <f aca="false">IF(W702="","",ABS(W702))</f>
        <v>0</v>
      </c>
      <c r="Y702" s="16" t="n">
        <f aca="false">IF(U702="","",IF($B$8=0,0,U702/$B$8*100))</f>
        <v>69.1026423737429</v>
      </c>
      <c r="Z702" s="18" t="n">
        <f aca="false">IF(D702="","",MAX(0,IF(P702&gt;=0,P702,IF(K702+P702&gt;=0,0,P702+K702))))</f>
        <v>32.6302677288814</v>
      </c>
      <c r="AA702" s="18" t="n">
        <f aca="false">IF(D702="","",IF(H702&lt;=$B$16,1,IF(H702&gt;=$B$17,$B$21,MATCH(H702,Aux_CAV!$A$2:$A$121,1))))</f>
        <v>12</v>
      </c>
      <c r="AB702" s="18" t="n">
        <f aca="false">IF(D702="","",IF(L702&lt;=$B$16,1,IF(L702&gt;=$B$17,$B$21,MATCH(L702,Aux_CAV!$A$2:$A$121,1))))</f>
        <v>12</v>
      </c>
      <c r="AC702" s="19" t="n">
        <f aca="false">IF(D702="","",COUNT($D$24:D702))</f>
        <v>667</v>
      </c>
    </row>
    <row r="703" customFormat="false" ht="12.75" hidden="false" customHeight="true" outlineLevel="0" collapsed="false">
      <c r="A703" s="14" t="n">
        <f aca="false">IF(D703="","",DATE(B703,C703,1))</f>
        <v>24320</v>
      </c>
      <c r="B703" s="15" t="n">
        <f aca="false" t="array" ref="B703:B703">IF(D703="","",IFERROR(VALUE(INDEX(Vazoes_COLAR!$A$2:$A$200,INT((ROW()-24)/12)+1)),""))</f>
        <v>1966</v>
      </c>
      <c r="C703" s="15" t="n">
        <f aca="false">IF(D703="","",MOD(ROW()-24,12)+1)</f>
        <v>8</v>
      </c>
      <c r="D703" s="16" t="n">
        <f aca="false" t="array" ref="D703: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0.013888751779091</v>
      </c>
      <c r="E703" s="16" t="n">
        <f aca="false">IF(D703="","",D703*$B$15)</f>
        <v>0.0359996446114039</v>
      </c>
      <c r="F703" s="16" t="n">
        <f aca="false" t="array" ref="F703:F703">IF(D703="","",IFERROR(INDEX(Dados_Evap!$C$2:$N$15,MATCH($B$9,Dados_Evap!$A$2:$A$15,0),C703),0))</f>
        <v>268.7</v>
      </c>
      <c r="G703" s="16" t="n">
        <f aca="false">IF(F703="","",F703/1000)</f>
        <v>0.2687</v>
      </c>
      <c r="H703" s="16" t="n">
        <f aca="false">IF(D703="","",MAX(0,MIN($B$8,IFERROR(LOOKUP(2,1/($U$24:U702&lt;&gt;""),$U$24:U702),$B$11))))</f>
        <v>32.6302677288814</v>
      </c>
      <c r="I703" s="16" t="n">
        <f aca="false" t="array" ref="I703: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>5.50576567668962</v>
      </c>
      <c r="J703" s="16" t="n">
        <f aca="false">IF(D703="","",$B$12)</f>
        <v>0.35</v>
      </c>
      <c r="K703" s="16" t="n">
        <f aca="false">IF(J703="","",J703*$B$15)</f>
        <v>0.9072</v>
      </c>
      <c r="L703" s="16" t="n">
        <f aca="false">IF(D703="","",H703+E703-K703-G703*I703)</f>
        <v>30.2796681361663</v>
      </c>
      <c r="M703" s="16" t="n">
        <f aca="false" t="array" ref="M703: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>5.26157717531048</v>
      </c>
      <c r="N703" s="16" t="n">
        <f aca="false">IF(D703="","",(I703+M703)/2)</f>
        <v>5.38367142600005</v>
      </c>
      <c r="O703" s="16" t="n">
        <f aca="false">IF(D703="","",G703*N703)</f>
        <v>1.44659251216621</v>
      </c>
      <c r="P703" s="16" t="n">
        <f aca="false">IF(D703="","",H703+E703-K703-O703)</f>
        <v>30.3124748613266</v>
      </c>
      <c r="Q703" s="16" t="n">
        <f aca="false">IF(D703="","",IF(P703&gt;=0,K703,MAX(0,K703+P703)))</f>
        <v>0.9072</v>
      </c>
      <c r="R703" s="16" t="n">
        <f aca="false">IF(D703="","",Q703/$B$15)</f>
        <v>0.35</v>
      </c>
      <c r="S703" s="16" t="n">
        <f aca="false">IF(D703="","",MAX(0,J703-R703))</f>
        <v>0</v>
      </c>
      <c r="T703" s="16" t="n">
        <f aca="false">IF(D703="","",MAX(0,Z703-$B$8))</f>
        <v>0</v>
      </c>
      <c r="U703" s="16" t="n">
        <f aca="false">IF(D703="","",MAX(0,MIN($B$8,Z703)))</f>
        <v>30.3124748613266</v>
      </c>
      <c r="V703" s="16" t="str">
        <f aca="false">IF(D703="","",IF(S703&gt;0.0000001,"Sim","Não"))</f>
        <v>Não</v>
      </c>
      <c r="W703" s="16" t="n">
        <f aca="false">IF(D703="","",U703-(H703+E703-Q703-O703-T703))</f>
        <v>0</v>
      </c>
      <c r="X703" s="16" t="n">
        <f aca="false">IF(W703="","",ABS(W703))</f>
        <v>0</v>
      </c>
      <c r="Y703" s="16" t="n">
        <f aca="false">IF(U703="","",IF($B$8=0,0,U703/$B$8*100))</f>
        <v>64.194144136651</v>
      </c>
      <c r="Z703" s="18" t="n">
        <f aca="false">IF(D703="","",MAX(0,IF(P703&gt;=0,P703,IF(K703+P703&gt;=0,0,P703+K703))))</f>
        <v>30.3124748613266</v>
      </c>
      <c r="AA703" s="18" t="n">
        <f aca="false">IF(D703="","",IF(H703&lt;=$B$16,1,IF(H703&gt;=$B$17,$B$21,MATCH(H703,Aux_CAV!$A$2:$A$121,1))))</f>
        <v>12</v>
      </c>
      <c r="AB703" s="18" t="n">
        <f aca="false">IF(D703="","",IF(L703&lt;=$B$16,1,IF(L703&gt;=$B$17,$B$21,MATCH(L703,Aux_CAV!$A$2:$A$121,1))))</f>
        <v>12</v>
      </c>
      <c r="AC703" s="19" t="n">
        <f aca="false">IF(D703="","",COUNT($D$24:D703))</f>
        <v>668</v>
      </c>
    </row>
    <row r="704" customFormat="false" ht="12.75" hidden="false" customHeight="true" outlineLevel="0" collapsed="false">
      <c r="A704" s="14" t="n">
        <f aca="false">IF(D704="","",DATE(B704,C704,1))</f>
        <v>24351</v>
      </c>
      <c r="B704" s="15" t="n">
        <f aca="false" t="array" ref="B704:B704">IF(D704="","",IFERROR(VALUE(INDEX(Vazoes_COLAR!$A$2:$A$200,INT((ROW()-24)/12)+1)),""))</f>
        <v>1966</v>
      </c>
      <c r="C704" s="15" t="n">
        <f aca="false">IF(D704="","",MOD(ROW()-24,12)+1)</f>
        <v>9</v>
      </c>
      <c r="D704" s="16" t="n">
        <f aca="false" t="array" ref="D704: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0.0340504910385502</v>
      </c>
      <c r="E704" s="16" t="n">
        <f aca="false">IF(D704="","",D704*$B$15)</f>
        <v>0.0882588727719221</v>
      </c>
      <c r="F704" s="16" t="n">
        <f aca="false" t="array" ref="F704:F704">IF(D704="","",IFERROR(INDEX(Dados_Evap!$C$2:$N$15,MATCH($B$9,Dados_Evap!$A$2:$A$15,0),C704),0))</f>
        <v>292.8</v>
      </c>
      <c r="G704" s="16" t="n">
        <f aca="false">IF(F704="","",F704/1000)</f>
        <v>0.2928</v>
      </c>
      <c r="H704" s="16" t="n">
        <f aca="false">IF(D704="","",MAX(0,MIN($B$8,IFERROR(LOOKUP(2,1/($U$24:U703&lt;&gt;""),$U$24:U703),$B$11))))</f>
        <v>30.3124748613266</v>
      </c>
      <c r="I704" s="16" t="n">
        <f aca="false" t="array" ref="I704: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>5.26498525258441</v>
      </c>
      <c r="J704" s="16" t="n">
        <f aca="false">IF(D704="","",$B$12)</f>
        <v>0.35</v>
      </c>
      <c r="K704" s="16" t="n">
        <f aca="false">IF(J704="","",J704*$B$15)</f>
        <v>0.9072</v>
      </c>
      <c r="L704" s="16" t="n">
        <f aca="false">IF(D704="","",H704+E704-K704-G704*I704)</f>
        <v>27.9519460521418</v>
      </c>
      <c r="M704" s="16" t="n">
        <f aca="false" t="array" ref="M704: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>5.01976526949434</v>
      </c>
      <c r="N704" s="16" t="n">
        <f aca="false">IF(D704="","",(I704+M704)/2)</f>
        <v>5.14237526103938</v>
      </c>
      <c r="O704" s="16" t="n">
        <f aca="false">IF(D704="","",G704*N704)</f>
        <v>1.50568747643233</v>
      </c>
      <c r="P704" s="16" t="n">
        <f aca="false">IF(D704="","",H704+E704-K704-O704)</f>
        <v>27.9878462576662</v>
      </c>
      <c r="Q704" s="16" t="n">
        <f aca="false">IF(D704="","",IF(P704&gt;=0,K704,MAX(0,K704+P704)))</f>
        <v>0.9072</v>
      </c>
      <c r="R704" s="16" t="n">
        <f aca="false">IF(D704="","",Q704/$B$15)</f>
        <v>0.35</v>
      </c>
      <c r="S704" s="16" t="n">
        <f aca="false">IF(D704="","",MAX(0,J704-R704))</f>
        <v>0</v>
      </c>
      <c r="T704" s="16" t="n">
        <f aca="false">IF(D704="","",MAX(0,Z704-$B$8))</f>
        <v>0</v>
      </c>
      <c r="U704" s="16" t="n">
        <f aca="false">IF(D704="","",MAX(0,MIN($B$8,Z704)))</f>
        <v>27.9878462576662</v>
      </c>
      <c r="V704" s="16" t="str">
        <f aca="false">IF(D704="","",IF(S704&gt;0.0000001,"Sim","Não"))</f>
        <v>Não</v>
      </c>
      <c r="W704" s="16" t="n">
        <f aca="false">IF(D704="","",U704-(H704+E704-Q704-O704-T704))</f>
        <v>0</v>
      </c>
      <c r="X704" s="16" t="n">
        <f aca="false">IF(W704="","",ABS(W704))</f>
        <v>0</v>
      </c>
      <c r="Y704" s="16" t="n">
        <f aca="false">IF(U704="","",IF($B$8=0,0,U704/$B$8*100))</f>
        <v>59.2711695418598</v>
      </c>
      <c r="Z704" s="18" t="n">
        <f aca="false">IF(D704="","",MAX(0,IF(P704&gt;=0,P704,IF(K704+P704&gt;=0,0,P704+K704))))</f>
        <v>27.9878462576662</v>
      </c>
      <c r="AA704" s="18" t="n">
        <f aca="false">IF(D704="","",IF(H704&lt;=$B$16,1,IF(H704&gt;=$B$17,$B$21,MATCH(H704,Aux_CAV!$A$2:$A$121,1))))</f>
        <v>12</v>
      </c>
      <c r="AB704" s="18" t="n">
        <f aca="false">IF(D704="","",IF(L704&lt;=$B$16,1,IF(L704&gt;=$B$17,$B$21,MATCH(L704,Aux_CAV!$A$2:$A$121,1))))</f>
        <v>12</v>
      </c>
      <c r="AC704" s="19" t="n">
        <f aca="false">IF(D704="","",COUNT($D$24:D704))</f>
        <v>669</v>
      </c>
    </row>
    <row r="705" customFormat="false" ht="12.75" hidden="false" customHeight="true" outlineLevel="0" collapsed="false">
      <c r="A705" s="14" t="n">
        <f aca="false">IF(D705="","",DATE(B705,C705,1))</f>
        <v>24381</v>
      </c>
      <c r="B705" s="15" t="n">
        <f aca="false" t="array" ref="B705:B705">IF(D705="","",IFERROR(VALUE(INDEX(Vazoes_COLAR!$A$2:$A$200,INT((ROW()-24)/12)+1)),""))</f>
        <v>1966</v>
      </c>
      <c r="C705" s="15" t="n">
        <f aca="false">IF(D705="","",MOD(ROW()-24,12)+1)</f>
        <v>10</v>
      </c>
      <c r="D705" s="16" t="n">
        <f aca="false" t="array" ref="D705: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0.0143034537016268</v>
      </c>
      <c r="E705" s="16" t="n">
        <f aca="false">IF(D705="","",D705*$B$15)</f>
        <v>0.0370745519946167</v>
      </c>
      <c r="F705" s="16" t="n">
        <f aca="false" t="array" ref="F705:F705">IF(D705="","",IFERROR(INDEX(Dados_Evap!$C$2:$N$15,MATCH($B$9,Dados_Evap!$A$2:$A$15,0),C705),0))</f>
        <v>262.9</v>
      </c>
      <c r="G705" s="16" t="n">
        <f aca="false">IF(F705="","",F705/1000)</f>
        <v>0.2629</v>
      </c>
      <c r="H705" s="16" t="n">
        <f aca="false">IF(D705="","",MAX(0,MIN($B$8,IFERROR(LOOKUP(2,1/($U$24:U704&lt;&gt;""),$U$24:U704),$B$11))))</f>
        <v>27.9878462576662</v>
      </c>
      <c r="I705" s="16" t="n">
        <f aca="false" t="array" ref="I705: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>5.02349470832066</v>
      </c>
      <c r="J705" s="16" t="n">
        <f aca="false">IF(D705="","",$B$12)</f>
        <v>0.35</v>
      </c>
      <c r="K705" s="16" t="n">
        <f aca="false">IF(J705="","",J705*$B$15)</f>
        <v>0.9072</v>
      </c>
      <c r="L705" s="16" t="n">
        <f aca="false">IF(D705="","",H705+E705-K705-G705*I705)</f>
        <v>25.7970440508433</v>
      </c>
      <c r="M705" s="16" t="n">
        <f aca="false" t="array" ref="M705: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>4.79590651790314</v>
      </c>
      <c r="N705" s="16" t="n">
        <f aca="false">IF(D705="","",(I705+M705)/2)</f>
        <v>4.9097006131119</v>
      </c>
      <c r="O705" s="16" t="n">
        <f aca="false">IF(D705="","",G705*N705)</f>
        <v>1.29076029118712</v>
      </c>
      <c r="P705" s="16" t="n">
        <f aca="false">IF(D705="","",H705+E705-K705-O705)</f>
        <v>25.8269605184737</v>
      </c>
      <c r="Q705" s="16" t="n">
        <f aca="false">IF(D705="","",IF(P705&gt;=0,K705,MAX(0,K705+P705)))</f>
        <v>0.9072</v>
      </c>
      <c r="R705" s="16" t="n">
        <f aca="false">IF(D705="","",Q705/$B$15)</f>
        <v>0.35</v>
      </c>
      <c r="S705" s="16" t="n">
        <f aca="false">IF(D705="","",MAX(0,J705-R705))</f>
        <v>0</v>
      </c>
      <c r="T705" s="16" t="n">
        <f aca="false">IF(D705="","",MAX(0,Z705-$B$8))</f>
        <v>0</v>
      </c>
      <c r="U705" s="16" t="n">
        <f aca="false">IF(D705="","",MAX(0,MIN($B$8,Z705)))</f>
        <v>25.8269605184737</v>
      </c>
      <c r="V705" s="16" t="str">
        <f aca="false">IF(D705="","",IF(S705&gt;0.0000001,"Sim","Não"))</f>
        <v>Não</v>
      </c>
      <c r="W705" s="16" t="n">
        <f aca="false">IF(D705="","",U705-(H705+E705-Q705-O705-T705))</f>
        <v>0</v>
      </c>
      <c r="X705" s="16" t="n">
        <f aca="false">IF(W705="","",ABS(W705))</f>
        <v>0</v>
      </c>
      <c r="Y705" s="16" t="n">
        <f aca="false">IF(U705="","",IF($B$8=0,0,U705/$B$8*100))</f>
        <v>54.6949608608083</v>
      </c>
      <c r="Z705" s="18" t="n">
        <f aca="false">IF(D705="","",MAX(0,IF(P705&gt;=0,P705,IF(K705+P705&gt;=0,0,P705+K705))))</f>
        <v>25.8269605184737</v>
      </c>
      <c r="AA705" s="18" t="n">
        <f aca="false">IF(D705="","",IF(H705&lt;=$B$16,1,IF(H705&gt;=$B$17,$B$21,MATCH(H705,Aux_CAV!$A$2:$A$121,1))))</f>
        <v>12</v>
      </c>
      <c r="AB705" s="18" t="n">
        <f aca="false">IF(D705="","",IF(L705&lt;=$B$16,1,IF(L705&gt;=$B$17,$B$21,MATCH(L705,Aux_CAV!$A$2:$A$121,1))))</f>
        <v>12</v>
      </c>
      <c r="AC705" s="19" t="n">
        <f aca="false">IF(D705="","",COUNT($D$24:D705))</f>
        <v>670</v>
      </c>
    </row>
    <row r="706" customFormat="false" ht="12.75" hidden="false" customHeight="true" outlineLevel="0" collapsed="false">
      <c r="A706" s="14" t="n">
        <f aca="false">IF(D706="","",DATE(B706,C706,1))</f>
        <v>24412</v>
      </c>
      <c r="B706" s="15" t="n">
        <f aca="false" t="array" ref="B706:B706">IF(D706="","",IFERROR(VALUE(INDEX(Vazoes_COLAR!$A$2:$A$200,INT((ROW()-24)/12)+1)),""))</f>
        <v>1966</v>
      </c>
      <c r="C706" s="15" t="n">
        <f aca="false">IF(D706="","",MOD(ROW()-24,12)+1)</f>
        <v>11</v>
      </c>
      <c r="D706" s="16" t="n">
        <f aca="false" t="array" ref="D706: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0.0203301907513825</v>
      </c>
      <c r="E706" s="16" t="n">
        <f aca="false">IF(D706="","",D706*$B$15)</f>
        <v>0.0526958544275834</v>
      </c>
      <c r="F706" s="16" t="n">
        <f aca="false" t="array" ref="F706:F706">IF(D706="","",IFERROR(INDEX(Dados_Evap!$C$2:$N$15,MATCH($B$9,Dados_Evap!$A$2:$A$15,0),C706),0))</f>
        <v>223.7</v>
      </c>
      <c r="G706" s="16" t="n">
        <f aca="false">IF(F706="","",F706/1000)</f>
        <v>0.2237</v>
      </c>
      <c r="H706" s="16" t="n">
        <f aca="false">IF(D706="","",MAX(0,MIN($B$8,IFERROR(LOOKUP(2,1/($U$24:U705&lt;&gt;""),$U$24:U705),$B$11))))</f>
        <v>25.8269605184737</v>
      </c>
      <c r="I706" s="16" t="n">
        <f aca="false" t="array" ref="I706: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>4.79901434512299</v>
      </c>
      <c r="J706" s="16" t="n">
        <f aca="false">IF(D706="","",$B$12)</f>
        <v>0.35</v>
      </c>
      <c r="K706" s="16" t="n">
        <f aca="false">IF(J706="","",J706*$B$15)</f>
        <v>0.9072</v>
      </c>
      <c r="L706" s="16" t="n">
        <f aca="false">IF(D706="","",H706+E706-K706-G706*I706)</f>
        <v>23.8989168638972</v>
      </c>
      <c r="M706" s="16" t="n">
        <f aca="false" t="array" ref="M706: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>4.59401689349016</v>
      </c>
      <c r="N706" s="16" t="n">
        <f aca="false">IF(D706="","",(I706+M706)/2)</f>
        <v>4.69651561930658</v>
      </c>
      <c r="O706" s="16" t="n">
        <f aca="false">IF(D706="","",G706*N706)</f>
        <v>1.05061054403888</v>
      </c>
      <c r="P706" s="16" t="n">
        <f aca="false">IF(D706="","",H706+E706-K706-O706)</f>
        <v>23.9218458288624</v>
      </c>
      <c r="Q706" s="16" t="n">
        <f aca="false">IF(D706="","",IF(P706&gt;=0,K706,MAX(0,K706+P706)))</f>
        <v>0.9072</v>
      </c>
      <c r="R706" s="16" t="n">
        <f aca="false">IF(D706="","",Q706/$B$15)</f>
        <v>0.35</v>
      </c>
      <c r="S706" s="16" t="n">
        <f aca="false">IF(D706="","",MAX(0,J706-R706))</f>
        <v>0</v>
      </c>
      <c r="T706" s="16" t="n">
        <f aca="false">IF(D706="","",MAX(0,Z706-$B$8))</f>
        <v>0</v>
      </c>
      <c r="U706" s="16" t="n">
        <f aca="false">IF(D706="","",MAX(0,MIN($B$8,Z706)))</f>
        <v>23.9218458288624</v>
      </c>
      <c r="V706" s="16" t="str">
        <f aca="false">IF(D706="","",IF(S706&gt;0.0000001,"Sim","Não"))</f>
        <v>Não</v>
      </c>
      <c r="W706" s="16" t="n">
        <f aca="false">IF(D706="","",U706-(H706+E706-Q706-O706-T706))</f>
        <v>0</v>
      </c>
      <c r="X706" s="16" t="n">
        <f aca="false">IF(W706="","",ABS(W706))</f>
        <v>0</v>
      </c>
      <c r="Y706" s="16" t="n">
        <f aca="false">IF(U706="","",IF($B$8=0,0,U706/$B$8*100))</f>
        <v>50.6604104804371</v>
      </c>
      <c r="Z706" s="18" t="n">
        <f aca="false">IF(D706="","",MAX(0,IF(P706&gt;=0,P706,IF(K706+P706&gt;=0,0,P706+K706))))</f>
        <v>23.9218458288624</v>
      </c>
      <c r="AA706" s="18" t="n">
        <f aca="false">IF(D706="","",IF(H706&lt;=$B$16,1,IF(H706&gt;=$B$17,$B$21,MATCH(H706,Aux_CAV!$A$2:$A$121,1))))</f>
        <v>12</v>
      </c>
      <c r="AB706" s="18" t="n">
        <f aca="false">IF(D706="","",IF(L706&lt;=$B$16,1,IF(L706&gt;=$B$17,$B$21,MATCH(L706,Aux_CAV!$A$2:$A$121,1))))</f>
        <v>11</v>
      </c>
      <c r="AC706" s="19" t="n">
        <f aca="false">IF(D706="","",COUNT($D$24:D706))</f>
        <v>671</v>
      </c>
    </row>
    <row r="707" customFormat="false" ht="12.75" hidden="false" customHeight="true" outlineLevel="0" collapsed="false">
      <c r="A707" s="14" t="n">
        <f aca="false">IF(D707="","",DATE(B707,C707,1))</f>
        <v>24442</v>
      </c>
      <c r="B707" s="15" t="n">
        <f aca="false" t="array" ref="B707:B707">IF(D707="","",IFERROR(VALUE(INDEX(Vazoes_COLAR!$A$2:$A$200,INT((ROW()-24)/12)+1)),""))</f>
        <v>1966</v>
      </c>
      <c r="C707" s="15" t="n">
        <f aca="false">IF(D707="","",MOD(ROW()-24,12)+1)</f>
        <v>12</v>
      </c>
      <c r="D707" s="16" t="n">
        <f aca="false" t="array" ref="D707: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0.062060396264301</v>
      </c>
      <c r="E707" s="16" t="n">
        <f aca="false">IF(D707="","",D707*$B$15)</f>
        <v>0.160860547117068</v>
      </c>
      <c r="F707" s="16" t="n">
        <f aca="false" t="array" ref="F707:F707">IF(D707="","",IFERROR(INDEX(Dados_Evap!$C$2:$N$15,MATCH($B$9,Dados_Evap!$A$2:$A$15,0),C707),0))</f>
        <v>216.1</v>
      </c>
      <c r="G707" s="16" t="n">
        <f aca="false">IF(F707="","",F707/1000)</f>
        <v>0.2161</v>
      </c>
      <c r="H707" s="16" t="n">
        <f aca="false">IF(D707="","",MAX(0,MIN($B$8,IFERROR(LOOKUP(2,1/($U$24:U706&lt;&gt;""),$U$24:U706),$B$11))))</f>
        <v>23.9218458288624</v>
      </c>
      <c r="I707" s="16" t="n">
        <f aca="false" t="array" ref="I707: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>4.59675718442502</v>
      </c>
      <c r="J707" s="16" t="n">
        <f aca="false">IF(D707="","",$B$12)</f>
        <v>0.35</v>
      </c>
      <c r="K707" s="16" t="n">
        <f aca="false">IF(J707="","",J707*$B$15)</f>
        <v>0.9072</v>
      </c>
      <c r="L707" s="16" t="n">
        <f aca="false">IF(D707="","",H707+E707-K707-G707*I707)</f>
        <v>22.1821471484252</v>
      </c>
      <c r="M707" s="16" t="n">
        <f aca="false" t="array" ref="M707: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>4.38884197627521</v>
      </c>
      <c r="N707" s="16" t="n">
        <f aca="false">IF(D707="","",(I707+M707)/2)</f>
        <v>4.49279958035011</v>
      </c>
      <c r="O707" s="16" t="n">
        <f aca="false">IF(D707="","",G707*N707)</f>
        <v>0.970893989313659</v>
      </c>
      <c r="P707" s="16" t="n">
        <f aca="false">IF(D707="","",H707+E707-K707-O707)</f>
        <v>22.2046123866658</v>
      </c>
      <c r="Q707" s="16" t="n">
        <f aca="false">IF(D707="","",IF(P707&gt;=0,K707,MAX(0,K707+P707)))</f>
        <v>0.9072</v>
      </c>
      <c r="R707" s="16" t="n">
        <f aca="false">IF(D707="","",Q707/$B$15)</f>
        <v>0.35</v>
      </c>
      <c r="S707" s="16" t="n">
        <f aca="false">IF(D707="","",MAX(0,J707-R707))</f>
        <v>0</v>
      </c>
      <c r="T707" s="16" t="n">
        <f aca="false">IF(D707="","",MAX(0,Z707-$B$8))</f>
        <v>0</v>
      </c>
      <c r="U707" s="16" t="n">
        <f aca="false">IF(D707="","",MAX(0,MIN($B$8,Z707)))</f>
        <v>22.2046123866658</v>
      </c>
      <c r="V707" s="16" t="str">
        <f aca="false">IF(D707="","",IF(S707&gt;0.0000001,"Sim","Não"))</f>
        <v>Não</v>
      </c>
      <c r="W707" s="16" t="n">
        <f aca="false">IF(D707="","",U707-(H707+E707-Q707-O707-T707))</f>
        <v>0</v>
      </c>
      <c r="X707" s="16" t="n">
        <f aca="false">IF(W707="","",ABS(W707))</f>
        <v>0</v>
      </c>
      <c r="Y707" s="16" t="n">
        <f aca="false">IF(U707="","",IF($B$8=0,0,U707/$B$8*100))</f>
        <v>47.0237449950567</v>
      </c>
      <c r="Z707" s="18" t="n">
        <f aca="false">IF(D707="","",MAX(0,IF(P707&gt;=0,P707,IF(K707+P707&gt;=0,0,P707+K707))))</f>
        <v>22.2046123866658</v>
      </c>
      <c r="AA707" s="18" t="n">
        <f aca="false">IF(D707="","",IF(H707&lt;=$B$16,1,IF(H707&gt;=$B$17,$B$21,MATCH(H707,Aux_CAV!$A$2:$A$121,1))))</f>
        <v>11</v>
      </c>
      <c r="AB707" s="18" t="n">
        <f aca="false">IF(D707="","",IF(L707&lt;=$B$16,1,IF(L707&gt;=$B$17,$B$21,MATCH(L707,Aux_CAV!$A$2:$A$121,1))))</f>
        <v>11</v>
      </c>
      <c r="AC707" s="19" t="n">
        <f aca="false">IF(D707="","",COUNT($D$24:D707))</f>
        <v>672</v>
      </c>
    </row>
    <row r="708" customFormat="false" ht="12.75" hidden="false" customHeight="true" outlineLevel="0" collapsed="false">
      <c r="A708" s="14" t="n">
        <f aca="false">IF(D708="","",DATE(B708,C708,1))</f>
        <v>24473</v>
      </c>
      <c r="B708" s="15" t="n">
        <f aca="false" t="array" ref="B708:B708">IF(D708="","",IFERROR(VALUE(INDEX(Vazoes_COLAR!$A$2:$A$200,INT((ROW()-24)/12)+1)),""))</f>
        <v>1967</v>
      </c>
      <c r="C708" s="15" t="n">
        <f aca="false">IF(D708="","",MOD(ROW()-24,12)+1)</f>
        <v>1</v>
      </c>
      <c r="D708" s="16" t="n">
        <f aca="false" t="array" ref="D708: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0.341306361997018</v>
      </c>
      <c r="E708" s="16" t="n">
        <f aca="false">IF(D708="","",D708*$B$15)</f>
        <v>0.884666090296271</v>
      </c>
      <c r="F708" s="16" t="n">
        <f aca="false" t="array" ref="F708:F708">IF(D708="","",IFERROR(INDEX(Dados_Evap!$C$2:$N$15,MATCH($B$9,Dados_Evap!$A$2:$A$15,0),C708),0))</f>
        <v>160</v>
      </c>
      <c r="G708" s="16" t="n">
        <f aca="false">IF(F708="","",F708/1000)</f>
        <v>0.16</v>
      </c>
      <c r="H708" s="16" t="n">
        <f aca="false">IF(D708="","",MAX(0,MIN($B$8,IFERROR(LOOKUP(2,1/($U$24:U707&lt;&gt;""),$U$24:U707),$B$11))))</f>
        <v>22.2046123866658</v>
      </c>
      <c r="I708" s="16" t="n">
        <f aca="false" t="array" ref="I708: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>4.39152684621128</v>
      </c>
      <c r="J708" s="16" t="n">
        <f aca="false">IF(D708="","",$B$12)</f>
        <v>0.35</v>
      </c>
      <c r="K708" s="16" t="n">
        <f aca="false">IF(J708="","",J708*$B$15)</f>
        <v>0.9072</v>
      </c>
      <c r="L708" s="16" t="n">
        <f aca="false">IF(D708="","",H708+E708-K708-G708*I708)</f>
        <v>21.4794341815683</v>
      </c>
      <c r="M708" s="16" t="n">
        <f aca="false" t="array" ref="M708: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>4.30485920706547</v>
      </c>
      <c r="N708" s="16" t="n">
        <f aca="false">IF(D708="","",(I708+M708)/2)</f>
        <v>4.34819302663838</v>
      </c>
      <c r="O708" s="16" t="n">
        <f aca="false">IF(D708="","",G708*N708)</f>
        <v>0.69571088426214</v>
      </c>
      <c r="P708" s="16" t="n">
        <f aca="false">IF(D708="","",H708+E708-K708-O708)</f>
        <v>21.4863675926999</v>
      </c>
      <c r="Q708" s="16" t="n">
        <f aca="false">IF(D708="","",IF(P708&gt;=0,K708,MAX(0,K708+P708)))</f>
        <v>0.9072</v>
      </c>
      <c r="R708" s="16" t="n">
        <f aca="false">IF(D708="","",Q708/$B$15)</f>
        <v>0.35</v>
      </c>
      <c r="S708" s="16" t="n">
        <f aca="false">IF(D708="","",MAX(0,J708-R708))</f>
        <v>0</v>
      </c>
      <c r="T708" s="16" t="n">
        <f aca="false">IF(D708="","",MAX(0,Z708-$B$8))</f>
        <v>0</v>
      </c>
      <c r="U708" s="16" t="n">
        <f aca="false">IF(D708="","",MAX(0,MIN($B$8,Z708)))</f>
        <v>21.4863675926999</v>
      </c>
      <c r="V708" s="16" t="str">
        <f aca="false">IF(D708="","",IF(S708&gt;0.0000001,"Sim","Não"))</f>
        <v>Não</v>
      </c>
      <c r="W708" s="16" t="n">
        <f aca="false">IF(D708="","",U708-(H708+E708-Q708-O708-T708))</f>
        <v>0</v>
      </c>
      <c r="X708" s="16" t="n">
        <f aca="false">IF(W708="","",ABS(W708))</f>
        <v>0</v>
      </c>
      <c r="Y708" s="16" t="n">
        <f aca="false">IF(U708="","",IF($B$8=0,0,U708/$B$8*100))</f>
        <v>45.5026844402794</v>
      </c>
      <c r="Z708" s="18" t="n">
        <f aca="false">IF(D708="","",MAX(0,IF(P708&gt;=0,P708,IF(K708+P708&gt;=0,0,P708+K708))))</f>
        <v>21.4863675926999</v>
      </c>
      <c r="AA708" s="18" t="n">
        <f aca="false">IF(D708="","",IF(H708&lt;=$B$16,1,IF(H708&gt;=$B$17,$B$21,MATCH(H708,Aux_CAV!$A$2:$A$121,1))))</f>
        <v>11</v>
      </c>
      <c r="AB708" s="18" t="n">
        <f aca="false">IF(D708="","",IF(L708&lt;=$B$16,1,IF(L708&gt;=$B$17,$B$21,MATCH(L708,Aux_CAV!$A$2:$A$121,1))))</f>
        <v>11</v>
      </c>
      <c r="AC708" s="19" t="n">
        <f aca="false">IF(D708="","",COUNT($D$24:D708))</f>
        <v>673</v>
      </c>
    </row>
    <row r="709" customFormat="false" ht="12.75" hidden="false" customHeight="true" outlineLevel="0" collapsed="false">
      <c r="A709" s="14" t="n">
        <f aca="false">IF(D709="","",DATE(B709,C709,1))</f>
        <v>24504</v>
      </c>
      <c r="B709" s="15" t="n">
        <f aca="false" t="array" ref="B709:B709">IF(D709="","",IFERROR(VALUE(INDEX(Vazoes_COLAR!$A$2:$A$200,INT((ROW()-24)/12)+1)),""))</f>
        <v>1967</v>
      </c>
      <c r="C709" s="15" t="n">
        <f aca="false">IF(D709="","",MOD(ROW()-24,12)+1)</f>
        <v>2</v>
      </c>
      <c r="D709" s="16" t="n">
        <f aca="false" t="array" ref="D709: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3.14596020911558</v>
      </c>
      <c r="E709" s="16" t="n">
        <f aca="false">IF(D709="","",D709*$B$15)</f>
        <v>8.15432886202758</v>
      </c>
      <c r="F709" s="16" t="n">
        <f aca="false" t="array" ref="F709:F709">IF(D709="","",IFERROR(INDEX(Dados_Evap!$C$2:$N$15,MATCH($B$9,Dados_Evap!$A$2:$A$15,0),C709),0))</f>
        <v>124.3</v>
      </c>
      <c r="G709" s="16" t="n">
        <f aca="false">IF(F709="","",F709/1000)</f>
        <v>0.1243</v>
      </c>
      <c r="H709" s="16" t="n">
        <f aca="false">IF(D709="","",MAX(0,MIN($B$8,IFERROR(LOOKUP(2,1/($U$24:U708&lt;&gt;""),$U$24:U708),$B$11))))</f>
        <v>21.4863675926999</v>
      </c>
      <c r="I709" s="16" t="n">
        <f aca="false" t="array" ref="I709: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>4.3056878342495</v>
      </c>
      <c r="J709" s="16" t="n">
        <f aca="false">IF(D709="","",$B$12)</f>
        <v>0.35</v>
      </c>
      <c r="K709" s="16" t="n">
        <f aca="false">IF(J709="","",J709*$B$15)</f>
        <v>0.9072</v>
      </c>
      <c r="L709" s="16" t="n">
        <f aca="false">IF(D709="","",H709+E709-K709-G709*I709)</f>
        <v>28.1982994569303</v>
      </c>
      <c r="M709" s="16" t="n">
        <f aca="false" t="array" ref="M709: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>5.0453573222248</v>
      </c>
      <c r="N709" s="16" t="n">
        <f aca="false">IF(D709="","",(I709+M709)/2)</f>
        <v>4.67552257823715</v>
      </c>
      <c r="O709" s="16" t="n">
        <f aca="false">IF(D709="","",G709*N709)</f>
        <v>0.581167456474878</v>
      </c>
      <c r="P709" s="16" t="n">
        <f aca="false">IF(D709="","",H709+E709-K709-O709)</f>
        <v>28.1523289982526</v>
      </c>
      <c r="Q709" s="16" t="n">
        <f aca="false">IF(D709="","",IF(P709&gt;=0,K709,MAX(0,K709+P709)))</f>
        <v>0.9072</v>
      </c>
      <c r="R709" s="16" t="n">
        <f aca="false">IF(D709="","",Q709/$B$15)</f>
        <v>0.35</v>
      </c>
      <c r="S709" s="16" t="n">
        <f aca="false">IF(D709="","",MAX(0,J709-R709))</f>
        <v>0</v>
      </c>
      <c r="T709" s="16" t="n">
        <f aca="false">IF(D709="","",MAX(0,Z709-$B$8))</f>
        <v>0</v>
      </c>
      <c r="U709" s="16" t="n">
        <f aca="false">IF(D709="","",MAX(0,MIN($B$8,Z709)))</f>
        <v>28.1523289982526</v>
      </c>
      <c r="V709" s="16" t="str">
        <f aca="false">IF(D709="","",IF(S709&gt;0.0000001,"Sim","Não"))</f>
        <v>Não</v>
      </c>
      <c r="W709" s="16" t="n">
        <f aca="false">IF(D709="","",U709-(H709+E709-Q709-O709-T709))</f>
        <v>0</v>
      </c>
      <c r="X709" s="16" t="n">
        <f aca="false">IF(W709="","",ABS(W709))</f>
        <v>0</v>
      </c>
      <c r="Y709" s="16" t="n">
        <f aca="false">IF(U709="","",IF($B$8=0,0,U709/$B$8*100))</f>
        <v>59.6195023258209</v>
      </c>
      <c r="Z709" s="18" t="n">
        <f aca="false">IF(D709="","",MAX(0,IF(P709&gt;=0,P709,IF(K709+P709&gt;=0,0,P709+K709))))</f>
        <v>28.1523289982526</v>
      </c>
      <c r="AA709" s="18" t="n">
        <f aca="false">IF(D709="","",IF(H709&lt;=$B$16,1,IF(H709&gt;=$B$17,$B$21,MATCH(H709,Aux_CAV!$A$2:$A$121,1))))</f>
        <v>11</v>
      </c>
      <c r="AB709" s="18" t="n">
        <f aca="false">IF(D709="","",IF(L709&lt;=$B$16,1,IF(L709&gt;=$B$17,$B$21,MATCH(L709,Aux_CAV!$A$2:$A$121,1))))</f>
        <v>12</v>
      </c>
      <c r="AC709" s="19" t="n">
        <f aca="false">IF(D709="","",COUNT($D$24:D709))</f>
        <v>674</v>
      </c>
    </row>
    <row r="710" customFormat="false" ht="12.75" hidden="false" customHeight="true" outlineLevel="0" collapsed="false">
      <c r="A710" s="14" t="n">
        <f aca="false">IF(D710="","",DATE(B710,C710,1))</f>
        <v>24532</v>
      </c>
      <c r="B710" s="15" t="n">
        <f aca="false" t="array" ref="B710:B710">IF(D710="","",IFERROR(VALUE(INDEX(Vazoes_COLAR!$A$2:$A$200,INT((ROW()-24)/12)+1)),""))</f>
        <v>1967</v>
      </c>
      <c r="C710" s="15" t="n">
        <f aca="false">IF(D710="","",MOD(ROW()-24,12)+1)</f>
        <v>3</v>
      </c>
      <c r="D710" s="16" t="n">
        <f aca="false" t="array" ref="D710: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12.1073041149848</v>
      </c>
      <c r="E710" s="16" t="n">
        <f aca="false">IF(D710="","",D710*$B$15)</f>
        <v>31.3821322660406</v>
      </c>
      <c r="F710" s="16" t="n">
        <f aca="false" t="array" ref="F710:F710">IF(D710="","",IFERROR(INDEX(Dados_Evap!$C$2:$N$15,MATCH($B$9,Dados_Evap!$A$2:$A$15,0),C710),0))</f>
        <v>107.7</v>
      </c>
      <c r="G710" s="16" t="n">
        <f aca="false">IF(F710="","",F710/1000)</f>
        <v>0.1077</v>
      </c>
      <c r="H710" s="16" t="n">
        <f aca="false">IF(D710="","",MAX(0,MIN($B$8,IFERROR(LOOKUP(2,1/($U$24:U709&lt;&gt;""),$U$24:U709),$B$11))))</f>
        <v>28.1523289982526</v>
      </c>
      <c r="I710" s="16" t="n">
        <f aca="false" t="array" ref="I710: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>5.04058175030391</v>
      </c>
      <c r="J710" s="16" t="n">
        <f aca="false">IF(D710="","",$B$12)</f>
        <v>0.35</v>
      </c>
      <c r="K710" s="16" t="n">
        <f aca="false">IF(J710="","",J710*$B$15)</f>
        <v>0.9072</v>
      </c>
      <c r="L710" s="16" t="n">
        <f aca="false">IF(D710="","",H710+E710-K710-G710*I710)</f>
        <v>58.0843906097855</v>
      </c>
      <c r="M710" s="16" t="n">
        <f aca="false" t="array" ref="M710: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>8.27140074216392</v>
      </c>
      <c r="N710" s="16" t="n">
        <f aca="false">IF(D710="","",(I710+M710)/2)</f>
        <v>6.65599124623392</v>
      </c>
      <c r="O710" s="16" t="n">
        <f aca="false">IF(D710="","",G710*N710)</f>
        <v>0.716850257219393</v>
      </c>
      <c r="P710" s="16" t="n">
        <f aca="false">IF(D710="","",H710+E710-K710-O710)</f>
        <v>57.9104110070738</v>
      </c>
      <c r="Q710" s="16" t="n">
        <f aca="false">IF(D710="","",IF(P710&gt;=0,K710,MAX(0,K710+P710)))</f>
        <v>0.9072</v>
      </c>
      <c r="R710" s="16" t="n">
        <f aca="false">IF(D710="","",Q710/$B$15)</f>
        <v>0.35</v>
      </c>
      <c r="S710" s="16" t="n">
        <f aca="false">IF(D710="","",MAX(0,J710-R710))</f>
        <v>0</v>
      </c>
      <c r="T710" s="16" t="n">
        <f aca="false">IF(D710="","",MAX(0,Z710-$B$8))</f>
        <v>10.6904110070738</v>
      </c>
      <c r="U710" s="16" t="n">
        <f aca="false">IF(D710="","",MAX(0,MIN($B$8,Z710)))</f>
        <v>47.22</v>
      </c>
      <c r="V710" s="16" t="str">
        <f aca="false">IF(D710="","",IF(S710&gt;0.0000001,"Sim","Não"))</f>
        <v>Não</v>
      </c>
      <c r="W710" s="16" t="n">
        <f aca="false">IF(D710="","",U710-(H710+E710-Q710-O710-T710))</f>
        <v>0</v>
      </c>
      <c r="X710" s="16" t="n">
        <f aca="false">IF(W710="","",ABS(W710))</f>
        <v>0</v>
      </c>
      <c r="Y710" s="16" t="n">
        <f aca="false">IF(U710="","",IF($B$8=0,0,U710/$B$8*100))</f>
        <v>100</v>
      </c>
      <c r="Z710" s="18" t="n">
        <f aca="false">IF(D710="","",MAX(0,IF(P710&gt;=0,P710,IF(K710+P710&gt;=0,0,P710+K710))))</f>
        <v>57.9104110070738</v>
      </c>
      <c r="AA710" s="18" t="n">
        <f aca="false">IF(D710="","",IF(H710&lt;=$B$16,1,IF(H710&gt;=$B$17,$B$21,MATCH(H710,Aux_CAV!$A$2:$A$121,1))))</f>
        <v>12</v>
      </c>
      <c r="AB710" s="18" t="n">
        <f aca="false">IF(D710="","",IF(L710&lt;=$B$16,1,IF(L710&gt;=$B$17,$B$21,MATCH(L710,Aux_CAV!$A$2:$A$121,1))))</f>
        <v>15</v>
      </c>
      <c r="AC710" s="19" t="n">
        <f aca="false">IF(D710="","",COUNT($D$24:D710))</f>
        <v>675</v>
      </c>
    </row>
    <row r="711" customFormat="false" ht="12.75" hidden="false" customHeight="true" outlineLevel="0" collapsed="false">
      <c r="A711" s="14" t="n">
        <f aca="false">IF(D711="","",DATE(B711,C711,1))</f>
        <v>24563</v>
      </c>
      <c r="B711" s="15" t="n">
        <f aca="false" t="array" ref="B711:B711">IF(D711="","",IFERROR(VALUE(INDEX(Vazoes_COLAR!$A$2:$A$200,INT((ROW()-24)/12)+1)),""))</f>
        <v>1967</v>
      </c>
      <c r="C711" s="15" t="n">
        <f aca="false">IF(D711="","",MOD(ROW()-24,12)+1)</f>
        <v>4</v>
      </c>
      <c r="D711" s="16" t="n">
        <f aca="false" t="array" ref="D711: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17.4558838597568</v>
      </c>
      <c r="E711" s="16" t="n">
        <f aca="false">IF(D711="","",D711*$B$15)</f>
        <v>45.2456509644896</v>
      </c>
      <c r="F711" s="16" t="n">
        <f aca="false" t="array" ref="F711:F711">IF(D711="","",IFERROR(INDEX(Dados_Evap!$C$2:$N$15,MATCH($B$9,Dados_Evap!$A$2:$A$15,0),C711),0))</f>
        <v>100.5</v>
      </c>
      <c r="G711" s="16" t="n">
        <f aca="false">IF(F711="","",F711/1000)</f>
        <v>0.1005</v>
      </c>
      <c r="H711" s="16" t="n">
        <f aca="false">IF(D711="","",MAX(0,MIN($B$8,IFERROR(LOOKUP(2,1/($U$24:U710&lt;&gt;""),$U$24:U710),$B$11))))</f>
        <v>47.22</v>
      </c>
      <c r="I711" s="16" t="n">
        <f aca="false" t="array" ref="I711: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>6.97</v>
      </c>
      <c r="J711" s="16" t="n">
        <f aca="false">IF(D711="","",$B$12)</f>
        <v>0.35</v>
      </c>
      <c r="K711" s="16" t="n">
        <f aca="false">IF(J711="","",J711*$B$15)</f>
        <v>0.9072</v>
      </c>
      <c r="L711" s="16" t="n">
        <f aca="false">IF(D711="","",H711+E711-K711-G711*I711)</f>
        <v>90.8579659644896</v>
      </c>
      <c r="M711" s="16" t="n">
        <f aca="false" t="array" ref="M711: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>10.96</v>
      </c>
      <c r="N711" s="16" t="n">
        <f aca="false">IF(D711="","",(I711+M711)/2)</f>
        <v>8.965</v>
      </c>
      <c r="O711" s="16" t="n">
        <f aca="false">IF(D711="","",G711*N711)</f>
        <v>0.9009825</v>
      </c>
      <c r="P711" s="16" t="n">
        <f aca="false">IF(D711="","",H711+E711-K711-O711)</f>
        <v>90.6574684644896</v>
      </c>
      <c r="Q711" s="16" t="n">
        <f aca="false">IF(D711="","",IF(P711&gt;=0,K711,MAX(0,K711+P711)))</f>
        <v>0.9072</v>
      </c>
      <c r="R711" s="16" t="n">
        <f aca="false">IF(D711="","",Q711/$B$15)</f>
        <v>0.35</v>
      </c>
      <c r="S711" s="16" t="n">
        <f aca="false">IF(D711="","",MAX(0,J711-R711))</f>
        <v>0</v>
      </c>
      <c r="T711" s="16" t="n">
        <f aca="false">IF(D711="","",MAX(0,Z711-$B$8))</f>
        <v>43.4374684644896</v>
      </c>
      <c r="U711" s="16" t="n">
        <f aca="false">IF(D711="","",MAX(0,MIN($B$8,Z711)))</f>
        <v>47.22</v>
      </c>
      <c r="V711" s="16" t="str">
        <f aca="false">IF(D711="","",IF(S711&gt;0.0000001,"Sim","Não"))</f>
        <v>Não</v>
      </c>
      <c r="W711" s="16" t="n">
        <f aca="false">IF(D711="","",U711-(H711+E711-Q711-O711-T711))</f>
        <v>0</v>
      </c>
      <c r="X711" s="16" t="n">
        <f aca="false">IF(W711="","",ABS(W711))</f>
        <v>0</v>
      </c>
      <c r="Y711" s="16" t="n">
        <f aca="false">IF(U711="","",IF($B$8=0,0,U711/$B$8*100))</f>
        <v>100</v>
      </c>
      <c r="Z711" s="18" t="n">
        <f aca="false">IF(D711="","",MAX(0,IF(P711&gt;=0,P711,IF(K711+P711&gt;=0,0,P711+K711))))</f>
        <v>90.6574684644896</v>
      </c>
      <c r="AA711" s="18" t="n">
        <f aca="false">IF(D711="","",IF(H711&lt;=$B$16,1,IF(H711&gt;=$B$17,$B$21,MATCH(H711,Aux_CAV!$A$2:$A$121,1))))</f>
        <v>14</v>
      </c>
      <c r="AB711" s="18" t="n">
        <f aca="false">IF(D711="","",IF(L711&lt;=$B$16,1,IF(L711&gt;=$B$17,$B$21,MATCH(L711,Aux_CAV!$A$2:$A$121,1))))</f>
        <v>18</v>
      </c>
      <c r="AC711" s="19" t="n">
        <f aca="false">IF(D711="","",COUNT($D$24:D711))</f>
        <v>676</v>
      </c>
    </row>
    <row r="712" customFormat="false" ht="12.75" hidden="false" customHeight="true" outlineLevel="0" collapsed="false">
      <c r="A712" s="14" t="n">
        <f aca="false">IF(D712="","",DATE(B712,C712,1))</f>
        <v>24593</v>
      </c>
      <c r="B712" s="15" t="n">
        <f aca="false" t="array" ref="B712:B712">IF(D712="","",IFERROR(VALUE(INDEX(Vazoes_COLAR!$A$2:$A$200,INT((ROW()-24)/12)+1)),""))</f>
        <v>1967</v>
      </c>
      <c r="C712" s="15" t="n">
        <f aca="false">IF(D712="","",MOD(ROW()-24,12)+1)</f>
        <v>5</v>
      </c>
      <c r="D712" s="16" t="n">
        <f aca="false" t="array" ref="D712: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7.95127096326843</v>
      </c>
      <c r="E712" s="16" t="n">
        <f aca="false">IF(D712="","",D712*$B$15)</f>
        <v>20.6096943367918</v>
      </c>
      <c r="F712" s="16" t="n">
        <f aca="false" t="array" ref="F712:F712">IF(D712="","",IFERROR(INDEX(Dados_Evap!$C$2:$N$15,MATCH($B$9,Dados_Evap!$A$2:$A$15,0),C712),0))</f>
        <v>145.8</v>
      </c>
      <c r="G712" s="16" t="n">
        <f aca="false">IF(F712="","",F712/1000)</f>
        <v>0.1458</v>
      </c>
      <c r="H712" s="16" t="n">
        <f aca="false">IF(D712="","",MAX(0,MIN($B$8,IFERROR(LOOKUP(2,1/($U$24:U711&lt;&gt;""),$U$24:U711),$B$11))))</f>
        <v>47.22</v>
      </c>
      <c r="I712" s="16" t="n">
        <f aca="false" t="array" ref="I712: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>6.97</v>
      </c>
      <c r="J712" s="16" t="n">
        <f aca="false">IF(D712="","",$B$12)</f>
        <v>0.35</v>
      </c>
      <c r="K712" s="16" t="n">
        <f aca="false">IF(J712="","",J712*$B$15)</f>
        <v>0.9072</v>
      </c>
      <c r="L712" s="16" t="n">
        <f aca="false">IF(D712="","",H712+E712-K712-G712*I712)</f>
        <v>65.9062683367918</v>
      </c>
      <c r="M712" s="16" t="n">
        <f aca="false" t="array" ref="M712: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>9.20223017806647</v>
      </c>
      <c r="N712" s="16" t="n">
        <f aca="false">IF(D712="","",(I712+M712)/2)</f>
        <v>8.08611508903323</v>
      </c>
      <c r="O712" s="16" t="n">
        <f aca="false">IF(D712="","",G712*N712)</f>
        <v>1.17895557998105</v>
      </c>
      <c r="P712" s="16" t="n">
        <f aca="false">IF(D712="","",H712+E712-K712-O712)</f>
        <v>65.7435387568107</v>
      </c>
      <c r="Q712" s="16" t="n">
        <f aca="false">IF(D712="","",IF(P712&gt;=0,K712,MAX(0,K712+P712)))</f>
        <v>0.9072</v>
      </c>
      <c r="R712" s="16" t="n">
        <f aca="false">IF(D712="","",Q712/$B$15)</f>
        <v>0.35</v>
      </c>
      <c r="S712" s="16" t="n">
        <f aca="false">IF(D712="","",MAX(0,J712-R712))</f>
        <v>0</v>
      </c>
      <c r="T712" s="16" t="n">
        <f aca="false">IF(D712="","",MAX(0,Z712-$B$8))</f>
        <v>18.5235387568107</v>
      </c>
      <c r="U712" s="16" t="n">
        <f aca="false">IF(D712="","",MAX(0,MIN($B$8,Z712)))</f>
        <v>47.22</v>
      </c>
      <c r="V712" s="16" t="str">
        <f aca="false">IF(D712="","",IF(S712&gt;0.0000001,"Sim","Não"))</f>
        <v>Não</v>
      </c>
      <c r="W712" s="16" t="n">
        <f aca="false">IF(D712="","",U712-(H712+E712-Q712-O712-T712))</f>
        <v>0</v>
      </c>
      <c r="X712" s="16" t="n">
        <f aca="false">IF(W712="","",ABS(W712))</f>
        <v>0</v>
      </c>
      <c r="Y712" s="16" t="n">
        <f aca="false">IF(U712="","",IF($B$8=0,0,U712/$B$8*100))</f>
        <v>100</v>
      </c>
      <c r="Z712" s="18" t="n">
        <f aca="false">IF(D712="","",MAX(0,IF(P712&gt;=0,P712,IF(K712+P712&gt;=0,0,P712+K712))))</f>
        <v>65.7435387568107</v>
      </c>
      <c r="AA712" s="18" t="n">
        <f aca="false">IF(D712="","",IF(H712&lt;=$B$16,1,IF(H712&gt;=$B$17,$B$21,MATCH(H712,Aux_CAV!$A$2:$A$121,1))))</f>
        <v>14</v>
      </c>
      <c r="AB712" s="18" t="n">
        <f aca="false">IF(D712="","",IF(L712&lt;=$B$16,1,IF(L712&gt;=$B$17,$B$21,MATCH(L712,Aux_CAV!$A$2:$A$121,1))))</f>
        <v>16</v>
      </c>
      <c r="AC712" s="19" t="n">
        <f aca="false">IF(D712="","",COUNT($D$24:D712))</f>
        <v>677</v>
      </c>
    </row>
    <row r="713" customFormat="false" ht="12.75" hidden="false" customHeight="true" outlineLevel="0" collapsed="false">
      <c r="A713" s="14" t="n">
        <f aca="false">IF(D713="","",DATE(B713,C713,1))</f>
        <v>24624</v>
      </c>
      <c r="B713" s="15" t="n">
        <f aca="false" t="array" ref="B713:B713">IF(D713="","",IFERROR(VALUE(INDEX(Vazoes_COLAR!$A$2:$A$200,INT((ROW()-24)/12)+1)),""))</f>
        <v>1967</v>
      </c>
      <c r="C713" s="15" t="n">
        <f aca="false">IF(D713="","",MOD(ROW()-24,12)+1)</f>
        <v>6</v>
      </c>
      <c r="D713" s="16" t="n">
        <f aca="false" t="array" ref="D713: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0.66078160064268</v>
      </c>
      <c r="E713" s="16" t="n">
        <f aca="false">IF(D713="","",D713*$B$15)</f>
        <v>1.71274590886583</v>
      </c>
      <c r="F713" s="16" t="n">
        <f aca="false" t="array" ref="F713:F713">IF(D713="","",IFERROR(INDEX(Dados_Evap!$C$2:$N$15,MATCH($B$9,Dados_Evap!$A$2:$A$15,0),C713),0))</f>
        <v>161.3</v>
      </c>
      <c r="G713" s="16" t="n">
        <f aca="false">IF(F713="","",F713/1000)</f>
        <v>0.1613</v>
      </c>
      <c r="H713" s="16" t="n">
        <f aca="false">IF(D713="","",MAX(0,MIN($B$8,IFERROR(LOOKUP(2,1/($U$24:U712&lt;&gt;""),$U$24:U712),$B$11))))</f>
        <v>47.22</v>
      </c>
      <c r="I713" s="16" t="n">
        <f aca="false" t="array" ref="I713: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>6.97</v>
      </c>
      <c r="J713" s="16" t="n">
        <f aca="false">IF(D713="","",$B$12)</f>
        <v>0.35</v>
      </c>
      <c r="K713" s="16" t="n">
        <f aca="false">IF(J713="","",J713*$B$15)</f>
        <v>0.9072</v>
      </c>
      <c r="L713" s="16" t="n">
        <f aca="false">IF(D713="","",H713+E713-K713-G713*I713)</f>
        <v>46.9012849088658</v>
      </c>
      <c r="M713" s="16" t="n">
        <f aca="false" t="array" ref="M713: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>6.9381786033223</v>
      </c>
      <c r="N713" s="16" t="n">
        <f aca="false">IF(D713="","",(I713+M713)/2)</f>
        <v>6.95408930166115</v>
      </c>
      <c r="O713" s="16" t="n">
        <f aca="false">IF(D713="","",G713*N713)</f>
        <v>1.12169460435794</v>
      </c>
      <c r="P713" s="16" t="n">
        <f aca="false">IF(D713="","",H713+E713-K713-O713)</f>
        <v>46.9038513045079</v>
      </c>
      <c r="Q713" s="16" t="n">
        <f aca="false">IF(D713="","",IF(P713&gt;=0,K713,MAX(0,K713+P713)))</f>
        <v>0.9072</v>
      </c>
      <c r="R713" s="16" t="n">
        <f aca="false">IF(D713="","",Q713/$B$15)</f>
        <v>0.35</v>
      </c>
      <c r="S713" s="16" t="n">
        <f aca="false">IF(D713="","",MAX(0,J713-R713))</f>
        <v>0</v>
      </c>
      <c r="T713" s="16" t="n">
        <f aca="false">IF(D713="","",MAX(0,Z713-$B$8))</f>
        <v>0</v>
      </c>
      <c r="U713" s="16" t="n">
        <f aca="false">IF(D713="","",MAX(0,MIN($B$8,Z713)))</f>
        <v>46.9038513045079</v>
      </c>
      <c r="V713" s="16" t="str">
        <f aca="false">IF(D713="","",IF(S713&gt;0.0000001,"Sim","Não"))</f>
        <v>Não</v>
      </c>
      <c r="W713" s="16" t="n">
        <f aca="false">IF(D713="","",U713-(H713+E713-Q713-O713-T713))</f>
        <v>0</v>
      </c>
      <c r="X713" s="16" t="n">
        <f aca="false">IF(W713="","",ABS(W713))</f>
        <v>0</v>
      </c>
      <c r="Y713" s="16" t="n">
        <f aca="false">IF(U713="","",IF($B$8=0,0,U713/$B$8*100))</f>
        <v>99.330477137882</v>
      </c>
      <c r="Z713" s="18" t="n">
        <f aca="false">IF(D713="","",MAX(0,IF(P713&gt;=0,P713,IF(K713+P713&gt;=0,0,P713+K713))))</f>
        <v>46.9038513045079</v>
      </c>
      <c r="AA713" s="18" t="n">
        <f aca="false">IF(D713="","",IF(H713&lt;=$B$16,1,IF(H713&gt;=$B$17,$B$21,MATCH(H713,Aux_CAV!$A$2:$A$121,1))))</f>
        <v>14</v>
      </c>
      <c r="AB713" s="18" t="n">
        <f aca="false">IF(D713="","",IF(L713&lt;=$B$16,1,IF(L713&gt;=$B$17,$B$21,MATCH(L713,Aux_CAV!$A$2:$A$121,1))))</f>
        <v>13</v>
      </c>
      <c r="AC713" s="19" t="n">
        <f aca="false">IF(D713="","",COUNT($D$24:D713))</f>
        <v>678</v>
      </c>
    </row>
    <row r="714" customFormat="false" ht="12.75" hidden="false" customHeight="true" outlineLevel="0" collapsed="false">
      <c r="A714" s="14" t="n">
        <f aca="false">IF(D714="","",DATE(B714,C714,1))</f>
        <v>24654</v>
      </c>
      <c r="B714" s="15" t="n">
        <f aca="false" t="array" ref="B714:B714">IF(D714="","",IFERROR(VALUE(INDEX(Vazoes_COLAR!$A$2:$A$200,INT((ROW()-24)/12)+1)),""))</f>
        <v>1967</v>
      </c>
      <c r="C714" s="15" t="n">
        <f aca="false">IF(D714="","",MOD(ROW()-24,12)+1)</f>
        <v>7</v>
      </c>
      <c r="D714" s="16" t="n">
        <f aca="false" t="array" ref="D714: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0.165820318966473</v>
      </c>
      <c r="E714" s="16" t="n">
        <f aca="false">IF(D714="","",D714*$B$15)</f>
        <v>0.429806266761098</v>
      </c>
      <c r="F714" s="16" t="n">
        <f aca="false" t="array" ref="F714:F714">IF(D714="","",IFERROR(INDEX(Dados_Evap!$C$2:$N$15,MATCH($B$9,Dados_Evap!$A$2:$A$15,0),C714),0))</f>
        <v>224.8</v>
      </c>
      <c r="G714" s="16" t="n">
        <f aca="false">IF(F714="","",F714/1000)</f>
        <v>0.2248</v>
      </c>
      <c r="H714" s="16" t="n">
        <f aca="false">IF(D714="","",MAX(0,MIN($B$8,IFERROR(LOOKUP(2,1/($U$24:U713&lt;&gt;""),$U$24:U713),$B$11))))</f>
        <v>46.9038513045079</v>
      </c>
      <c r="I714" s="16" t="n">
        <f aca="false" t="array" ref="I714: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>6.93843483936517</v>
      </c>
      <c r="J714" s="16" t="n">
        <f aca="false">IF(D714="","",$B$12)</f>
        <v>0.35</v>
      </c>
      <c r="K714" s="16" t="n">
        <f aca="false">IF(J714="","",J714*$B$15)</f>
        <v>0.9072</v>
      </c>
      <c r="L714" s="16" t="n">
        <f aca="false">IF(D714="","",H714+E714-K714-G714*I714)</f>
        <v>44.8666974193797</v>
      </c>
      <c r="M714" s="16" t="n">
        <f aca="false" t="array" ref="M714: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>6.735039758067</v>
      </c>
      <c r="N714" s="16" t="n">
        <f aca="false">IF(D714="","",(I714+M714)/2)</f>
        <v>6.83673729871609</v>
      </c>
      <c r="O714" s="16" t="n">
        <f aca="false">IF(D714="","",G714*N714)</f>
        <v>1.53689854475138</v>
      </c>
      <c r="P714" s="16" t="n">
        <f aca="false">IF(D714="","",H714+E714-K714-O714)</f>
        <v>44.8895590265176</v>
      </c>
      <c r="Q714" s="16" t="n">
        <f aca="false">IF(D714="","",IF(P714&gt;=0,K714,MAX(0,K714+P714)))</f>
        <v>0.9072</v>
      </c>
      <c r="R714" s="16" t="n">
        <f aca="false">IF(D714="","",Q714/$B$15)</f>
        <v>0.35</v>
      </c>
      <c r="S714" s="16" t="n">
        <f aca="false">IF(D714="","",MAX(0,J714-R714))</f>
        <v>0</v>
      </c>
      <c r="T714" s="16" t="n">
        <f aca="false">IF(D714="","",MAX(0,Z714-$B$8))</f>
        <v>0</v>
      </c>
      <c r="U714" s="16" t="n">
        <f aca="false">IF(D714="","",MAX(0,MIN($B$8,Z714)))</f>
        <v>44.8895590265176</v>
      </c>
      <c r="V714" s="16" t="str">
        <f aca="false">IF(D714="","",IF(S714&gt;0.0000001,"Sim","Não"))</f>
        <v>Não</v>
      </c>
      <c r="W714" s="16" t="n">
        <f aca="false">IF(D714="","",U714-(H714+E714-Q714-O714-T714))</f>
        <v>0</v>
      </c>
      <c r="X714" s="16" t="n">
        <f aca="false">IF(W714="","",ABS(W714))</f>
        <v>0</v>
      </c>
      <c r="Y714" s="16" t="n">
        <f aca="false">IF(U714="","",IF($B$8=0,0,U714/$B$8*100))</f>
        <v>95.0647162780974</v>
      </c>
      <c r="Z714" s="18" t="n">
        <f aca="false">IF(D714="","",MAX(0,IF(P714&gt;=0,P714,IF(K714+P714&gt;=0,0,P714+K714))))</f>
        <v>44.8895590265176</v>
      </c>
      <c r="AA714" s="18" t="n">
        <f aca="false">IF(D714="","",IF(H714&lt;=$B$16,1,IF(H714&gt;=$B$17,$B$21,MATCH(H714,Aux_CAV!$A$2:$A$121,1))))</f>
        <v>13</v>
      </c>
      <c r="AB714" s="18" t="n">
        <f aca="false">IF(D714="","",IF(L714&lt;=$B$16,1,IF(L714&gt;=$B$17,$B$21,MATCH(L714,Aux_CAV!$A$2:$A$121,1))))</f>
        <v>13</v>
      </c>
      <c r="AC714" s="19" t="n">
        <f aca="false">IF(D714="","",COUNT($D$24:D714))</f>
        <v>679</v>
      </c>
    </row>
    <row r="715" customFormat="false" ht="12.75" hidden="false" customHeight="true" outlineLevel="0" collapsed="false">
      <c r="A715" s="14" t="n">
        <f aca="false">IF(D715="","",DATE(B715,C715,1))</f>
        <v>24685</v>
      </c>
      <c r="B715" s="15" t="n">
        <f aca="false" t="array" ref="B715:B715">IF(D715="","",IFERROR(VALUE(INDEX(Vazoes_COLAR!$A$2:$A$200,INT((ROW()-24)/12)+1)),""))</f>
        <v>1967</v>
      </c>
      <c r="C715" s="15" t="n">
        <f aca="false">IF(D715="","",MOD(ROW()-24,12)+1)</f>
        <v>8</v>
      </c>
      <c r="D715" s="16" t="n">
        <f aca="false" t="array" ref="D715: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0.0694320525289675</v>
      </c>
      <c r="E715" s="16" t="n">
        <f aca="false">IF(D715="","",D715*$B$15)</f>
        <v>0.179967880155084</v>
      </c>
      <c r="F715" s="16" t="n">
        <f aca="false" t="array" ref="F715:F715">IF(D715="","",IFERROR(INDEX(Dados_Evap!$C$2:$N$15,MATCH($B$9,Dados_Evap!$A$2:$A$15,0),C715),0))</f>
        <v>268.7</v>
      </c>
      <c r="G715" s="16" t="n">
        <f aca="false">IF(F715="","",F715/1000)</f>
        <v>0.2687</v>
      </c>
      <c r="H715" s="16" t="n">
        <f aca="false">IF(D715="","",MAX(0,MIN($B$8,IFERROR(LOOKUP(2,1/($U$24:U714&lt;&gt;""),$U$24:U714),$B$11))))</f>
        <v>44.8895590265176</v>
      </c>
      <c r="I715" s="16" t="n">
        <f aca="false" t="array" ref="I715: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>6.73732232418847</v>
      </c>
      <c r="J715" s="16" t="n">
        <f aca="false">IF(D715="","",$B$12)</f>
        <v>0.35</v>
      </c>
      <c r="K715" s="16" t="n">
        <f aca="false">IF(J715="","",J715*$B$15)</f>
        <v>0.9072</v>
      </c>
      <c r="L715" s="16" t="n">
        <f aca="false">IF(D715="","",H715+E715-K715-G715*I715)</f>
        <v>42.3520083981632</v>
      </c>
      <c r="M715" s="16" t="n">
        <f aca="false" t="array" ref="M715: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>6.48396624730089</v>
      </c>
      <c r="N715" s="16" t="n">
        <f aca="false">IF(D715="","",(I715+M715)/2)</f>
        <v>6.61064428574468</v>
      </c>
      <c r="O715" s="16" t="n">
        <f aca="false">IF(D715="","",G715*N715)</f>
        <v>1.7762801195796</v>
      </c>
      <c r="P715" s="16" t="n">
        <f aca="false">IF(D715="","",H715+E715-K715-O715)</f>
        <v>42.3860467870931</v>
      </c>
      <c r="Q715" s="16" t="n">
        <f aca="false">IF(D715="","",IF(P715&gt;=0,K715,MAX(0,K715+P715)))</f>
        <v>0.9072</v>
      </c>
      <c r="R715" s="16" t="n">
        <f aca="false">IF(D715="","",Q715/$B$15)</f>
        <v>0.35</v>
      </c>
      <c r="S715" s="16" t="n">
        <f aca="false">IF(D715="","",MAX(0,J715-R715))</f>
        <v>0</v>
      </c>
      <c r="T715" s="16" t="n">
        <f aca="false">IF(D715="","",MAX(0,Z715-$B$8))</f>
        <v>0</v>
      </c>
      <c r="U715" s="16" t="n">
        <f aca="false">IF(D715="","",MAX(0,MIN($B$8,Z715)))</f>
        <v>42.3860467870931</v>
      </c>
      <c r="V715" s="16" t="str">
        <f aca="false">IF(D715="","",IF(S715&gt;0.0000001,"Sim","Não"))</f>
        <v>Não</v>
      </c>
      <c r="W715" s="16" t="n">
        <f aca="false">IF(D715="","",U715-(H715+E715-Q715-O715-T715))</f>
        <v>0</v>
      </c>
      <c r="X715" s="16" t="n">
        <f aca="false">IF(W715="","",ABS(W715))</f>
        <v>0</v>
      </c>
      <c r="Y715" s="16" t="n">
        <f aca="false">IF(U715="","",IF($B$8=0,0,U715/$B$8*100))</f>
        <v>89.7629114508536</v>
      </c>
      <c r="Z715" s="18" t="n">
        <f aca="false">IF(D715="","",MAX(0,IF(P715&gt;=0,P715,IF(K715+P715&gt;=0,0,P715+K715))))</f>
        <v>42.3860467870931</v>
      </c>
      <c r="AA715" s="18" t="n">
        <f aca="false">IF(D715="","",IF(H715&lt;=$B$16,1,IF(H715&gt;=$B$17,$B$21,MATCH(H715,Aux_CAV!$A$2:$A$121,1))))</f>
        <v>13</v>
      </c>
      <c r="AB715" s="18" t="n">
        <f aca="false">IF(D715="","",IF(L715&lt;=$B$16,1,IF(L715&gt;=$B$17,$B$21,MATCH(L715,Aux_CAV!$A$2:$A$121,1))))</f>
        <v>13</v>
      </c>
      <c r="AC715" s="19" t="n">
        <f aca="false">IF(D715="","",COUNT($D$24:D715))</f>
        <v>680</v>
      </c>
    </row>
    <row r="716" customFormat="false" ht="12.75" hidden="false" customHeight="true" outlineLevel="0" collapsed="false">
      <c r="A716" s="14" t="n">
        <f aca="false">IF(D716="","",DATE(B716,C716,1))</f>
        <v>24716</v>
      </c>
      <c r="B716" s="15" t="n">
        <f aca="false" t="array" ref="B716:B716">IF(D716="","",IFERROR(VALUE(INDEX(Vazoes_COLAR!$A$2:$A$200,INT((ROW()-24)/12)+1)),""))</f>
        <v>1967</v>
      </c>
      <c r="C716" s="15" t="n">
        <f aca="false">IF(D716="","",MOD(ROW()-24,12)+1)</f>
        <v>9</v>
      </c>
      <c r="D716" s="16" t="n">
        <f aca="false" t="array" ref="D716: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0.0522810103157947</v>
      </c>
      <c r="E716" s="16" t="n">
        <f aca="false">IF(D716="","",D716*$B$15)</f>
        <v>0.13551237873854</v>
      </c>
      <c r="F716" s="16" t="n">
        <f aca="false" t="array" ref="F716:F716">IF(D716="","",IFERROR(INDEX(Dados_Evap!$C$2:$N$15,MATCH($B$9,Dados_Evap!$A$2:$A$15,0),C716),0))</f>
        <v>292.8</v>
      </c>
      <c r="G716" s="16" t="n">
        <f aca="false">IF(F716="","",F716/1000)</f>
        <v>0.2928</v>
      </c>
      <c r="H716" s="16" t="n">
        <f aca="false">IF(D716="","",MAX(0,MIN($B$8,IFERROR(LOOKUP(2,1/($U$24:U715&lt;&gt;""),$U$24:U715),$B$11))))</f>
        <v>42.3860467870931</v>
      </c>
      <c r="I716" s="16" t="n">
        <f aca="false" t="array" ref="I716: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>6.48736473424593</v>
      </c>
      <c r="J716" s="16" t="n">
        <f aca="false">IF(D716="","",$B$12)</f>
        <v>0.35</v>
      </c>
      <c r="K716" s="16" t="n">
        <f aca="false">IF(J716="","",J716*$B$15)</f>
        <v>0.9072</v>
      </c>
      <c r="L716" s="16" t="n">
        <f aca="false">IF(D716="","",H716+E716-K716-G716*I716)</f>
        <v>39.7148587716444</v>
      </c>
      <c r="M716" s="16" t="n">
        <f aca="false" t="array" ref="M716: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>6.2206659308167</v>
      </c>
      <c r="N716" s="16" t="n">
        <f aca="false">IF(D716="","",(I716+M716)/2)</f>
        <v>6.35401533253131</v>
      </c>
      <c r="O716" s="16" t="n">
        <f aca="false">IF(D716="","",G716*N716)</f>
        <v>1.86045568936517</v>
      </c>
      <c r="P716" s="16" t="n">
        <f aca="false">IF(D716="","",H716+E716-K716-O716)</f>
        <v>39.7539034764665</v>
      </c>
      <c r="Q716" s="16" t="n">
        <f aca="false">IF(D716="","",IF(P716&gt;=0,K716,MAX(0,K716+P716)))</f>
        <v>0.9072</v>
      </c>
      <c r="R716" s="16" t="n">
        <f aca="false">IF(D716="","",Q716/$B$15)</f>
        <v>0.35</v>
      </c>
      <c r="S716" s="16" t="n">
        <f aca="false">IF(D716="","",MAX(0,J716-R716))</f>
        <v>0</v>
      </c>
      <c r="T716" s="16" t="n">
        <f aca="false">IF(D716="","",MAX(0,Z716-$B$8))</f>
        <v>0</v>
      </c>
      <c r="U716" s="16" t="n">
        <f aca="false">IF(D716="","",MAX(0,MIN($B$8,Z716)))</f>
        <v>39.7539034764665</v>
      </c>
      <c r="V716" s="16" t="str">
        <f aca="false">IF(D716="","",IF(S716&gt;0.0000001,"Sim","Não"))</f>
        <v>Não</v>
      </c>
      <c r="W716" s="16" t="n">
        <f aca="false">IF(D716="","",U716-(H716+E716-Q716-O716-T716))</f>
        <v>0</v>
      </c>
      <c r="X716" s="16" t="n">
        <f aca="false">IF(W716="","",ABS(W716))</f>
        <v>0</v>
      </c>
      <c r="Y716" s="16" t="n">
        <f aca="false">IF(U716="","",IF($B$8=0,0,U716/$B$8*100))</f>
        <v>84.188698594804</v>
      </c>
      <c r="Z716" s="18" t="n">
        <f aca="false">IF(D716="","",MAX(0,IF(P716&gt;=0,P716,IF(K716+P716&gt;=0,0,P716+K716))))</f>
        <v>39.7539034764665</v>
      </c>
      <c r="AA716" s="18" t="n">
        <f aca="false">IF(D716="","",IF(H716&lt;=$B$16,1,IF(H716&gt;=$B$17,$B$21,MATCH(H716,Aux_CAV!$A$2:$A$121,1))))</f>
        <v>13</v>
      </c>
      <c r="AB716" s="18" t="n">
        <f aca="false">IF(D716="","",IF(L716&lt;=$B$16,1,IF(L716&gt;=$B$17,$B$21,MATCH(L716,Aux_CAV!$A$2:$A$121,1))))</f>
        <v>13</v>
      </c>
      <c r="AC716" s="19" t="n">
        <f aca="false">IF(D716="","",COUNT($D$24:D716))</f>
        <v>681</v>
      </c>
    </row>
    <row r="717" customFormat="false" ht="12.75" hidden="false" customHeight="true" outlineLevel="0" collapsed="false">
      <c r="A717" s="14" t="n">
        <f aca="false">IF(D717="","",DATE(B717,C717,1))</f>
        <v>24746</v>
      </c>
      <c r="B717" s="15" t="n">
        <f aca="false" t="array" ref="B717:B717">IF(D717="","",IFERROR(VALUE(INDEX(Vazoes_COLAR!$A$2:$A$200,INT((ROW()-24)/12)+1)),""))</f>
        <v>1967</v>
      </c>
      <c r="C717" s="15" t="n">
        <f aca="false">IF(D717="","",MOD(ROW()-24,12)+1)</f>
        <v>10</v>
      </c>
      <c r="D717" s="16" t="n">
        <f aca="false" t="array" ref="D717: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0.0466998674156977</v>
      </c>
      <c r="E717" s="16" t="n">
        <f aca="false">IF(D717="","",D717*$B$15)</f>
        <v>0.121046056341488</v>
      </c>
      <c r="F717" s="16" t="n">
        <f aca="false" t="array" ref="F717:F717">IF(D717="","",IFERROR(INDEX(Dados_Evap!$C$2:$N$15,MATCH($B$9,Dados_Evap!$A$2:$A$15,0),C717),0))</f>
        <v>262.9</v>
      </c>
      <c r="G717" s="16" t="n">
        <f aca="false">IF(F717="","",F717/1000)</f>
        <v>0.2629</v>
      </c>
      <c r="H717" s="16" t="n">
        <f aca="false">IF(D717="","",MAX(0,MIN($B$8,IFERROR(LOOKUP(2,1/($U$24:U716&lt;&gt;""),$U$24:U716),$B$11))))</f>
        <v>39.7539034764665</v>
      </c>
      <c r="I717" s="16" t="n">
        <f aca="false" t="array" ref="I717: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>6.22456426219437</v>
      </c>
      <c r="J717" s="16" t="n">
        <f aca="false">IF(D717="","",$B$12)</f>
        <v>0.35</v>
      </c>
      <c r="K717" s="16" t="n">
        <f aca="false">IF(J717="","",J717*$B$15)</f>
        <v>0.9072</v>
      </c>
      <c r="L717" s="16" t="n">
        <f aca="false">IF(D717="","",H717+E717-K717-G717*I717)</f>
        <v>37.331311588277</v>
      </c>
      <c r="M717" s="16" t="n">
        <f aca="false" t="array" ref="M717: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>5.98268598404967</v>
      </c>
      <c r="N717" s="16" t="n">
        <f aca="false">IF(D717="","",(I717+M717)/2)</f>
        <v>6.10362512312202</v>
      </c>
      <c r="O717" s="16" t="n">
        <f aca="false">IF(D717="","",G717*N717)</f>
        <v>1.60464304486878</v>
      </c>
      <c r="P717" s="16" t="n">
        <f aca="false">IF(D717="","",H717+E717-K717-O717)</f>
        <v>37.3631064879392</v>
      </c>
      <c r="Q717" s="16" t="n">
        <f aca="false">IF(D717="","",IF(P717&gt;=0,K717,MAX(0,K717+P717)))</f>
        <v>0.9072</v>
      </c>
      <c r="R717" s="16" t="n">
        <f aca="false">IF(D717="","",Q717/$B$15)</f>
        <v>0.35</v>
      </c>
      <c r="S717" s="16" t="n">
        <f aca="false">IF(D717="","",MAX(0,J717-R717))</f>
        <v>0</v>
      </c>
      <c r="T717" s="16" t="n">
        <f aca="false">IF(D717="","",MAX(0,Z717-$B$8))</f>
        <v>0</v>
      </c>
      <c r="U717" s="16" t="n">
        <f aca="false">IF(D717="","",MAX(0,MIN($B$8,Z717)))</f>
        <v>37.3631064879392</v>
      </c>
      <c r="V717" s="16" t="str">
        <f aca="false">IF(D717="","",IF(S717&gt;0.0000001,"Sim","Não"))</f>
        <v>Não</v>
      </c>
      <c r="W717" s="16" t="n">
        <f aca="false">IF(D717="","",U717-(H717+E717-Q717-O717-T717))</f>
        <v>0</v>
      </c>
      <c r="X717" s="16" t="n">
        <f aca="false">IF(W717="","",ABS(W717))</f>
        <v>0</v>
      </c>
      <c r="Y717" s="16" t="n">
        <f aca="false">IF(U717="","",IF($B$8=0,0,U717/$B$8*100))</f>
        <v>79.1255961201592</v>
      </c>
      <c r="Z717" s="18" t="n">
        <f aca="false">IF(D717="","",MAX(0,IF(P717&gt;=0,P717,IF(K717+P717&gt;=0,0,P717+K717))))</f>
        <v>37.3631064879392</v>
      </c>
      <c r="AA717" s="18" t="n">
        <f aca="false">IF(D717="","",IF(H717&lt;=$B$16,1,IF(H717&gt;=$B$17,$B$21,MATCH(H717,Aux_CAV!$A$2:$A$121,1))))</f>
        <v>13</v>
      </c>
      <c r="AB717" s="18" t="n">
        <f aca="false">IF(D717="","",IF(L717&lt;=$B$16,1,IF(L717&gt;=$B$17,$B$21,MATCH(L717,Aux_CAV!$A$2:$A$121,1))))</f>
        <v>13</v>
      </c>
      <c r="AC717" s="19" t="n">
        <f aca="false">IF(D717="","",COUNT($D$24:D717))</f>
        <v>682</v>
      </c>
    </row>
    <row r="718" customFormat="false" ht="12.75" hidden="false" customHeight="true" outlineLevel="0" collapsed="false">
      <c r="A718" s="14" t="n">
        <f aca="false">IF(D718="","",DATE(B718,C718,1))</f>
        <v>24777</v>
      </c>
      <c r="B718" s="15" t="n">
        <f aca="false" t="array" ref="B718:B718">IF(D718="","",IFERROR(VALUE(INDEX(Vazoes_COLAR!$A$2:$A$200,INT((ROW()-24)/12)+1)),""))</f>
        <v>1967</v>
      </c>
      <c r="C718" s="15" t="n">
        <f aca="false">IF(D718="","",MOD(ROW()-24,12)+1)</f>
        <v>11</v>
      </c>
      <c r="D718" s="16" t="n">
        <f aca="false" t="array" ref="D718: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0.0348445924782926</v>
      </c>
      <c r="E718" s="16" t="n">
        <f aca="false">IF(D718="","",D718*$B$15)</f>
        <v>0.0903171837037344</v>
      </c>
      <c r="F718" s="16" t="n">
        <f aca="false" t="array" ref="F718:F718">IF(D718="","",IFERROR(INDEX(Dados_Evap!$C$2:$N$15,MATCH($B$9,Dados_Evap!$A$2:$A$15,0),C718),0))</f>
        <v>223.7</v>
      </c>
      <c r="G718" s="16" t="n">
        <f aca="false">IF(F718="","",F718/1000)</f>
        <v>0.2237</v>
      </c>
      <c r="H718" s="16" t="n">
        <f aca="false">IF(D718="","",MAX(0,MIN($B$8,IFERROR(LOOKUP(2,1/($U$24:U717&lt;&gt;""),$U$24:U717),$B$11))))</f>
        <v>37.3631064879392</v>
      </c>
      <c r="I718" s="16" t="n">
        <f aca="false" t="array" ref="I718: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>5.98586047481783</v>
      </c>
      <c r="J718" s="16" t="n">
        <f aca="false">IF(D718="","",$B$12)</f>
        <v>0.35</v>
      </c>
      <c r="K718" s="16" t="n">
        <f aca="false">IF(J718="","",J718*$B$15)</f>
        <v>0.9072</v>
      </c>
      <c r="L718" s="16" t="n">
        <f aca="false">IF(D718="","",H718+E718-K718-G718*I718)</f>
        <v>35.2071866834261</v>
      </c>
      <c r="M718" s="16" t="n">
        <f aca="false" t="array" ref="M718: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>5.77060747546786</v>
      </c>
      <c r="N718" s="16" t="n">
        <f aca="false">IF(D718="","",(I718+M718)/2)</f>
        <v>5.87823397514284</v>
      </c>
      <c r="O718" s="16" t="n">
        <f aca="false">IF(D718="","",G718*N718)</f>
        <v>1.31496094023945</v>
      </c>
      <c r="P718" s="16" t="n">
        <f aca="false">IF(D718="","",H718+E718-K718-O718)</f>
        <v>35.2312627314034</v>
      </c>
      <c r="Q718" s="16" t="n">
        <f aca="false">IF(D718="","",IF(P718&gt;=0,K718,MAX(0,K718+P718)))</f>
        <v>0.9072</v>
      </c>
      <c r="R718" s="16" t="n">
        <f aca="false">IF(D718="","",Q718/$B$15)</f>
        <v>0.35</v>
      </c>
      <c r="S718" s="16" t="n">
        <f aca="false">IF(D718="","",MAX(0,J718-R718))</f>
        <v>0</v>
      </c>
      <c r="T718" s="16" t="n">
        <f aca="false">IF(D718="","",MAX(0,Z718-$B$8))</f>
        <v>0</v>
      </c>
      <c r="U718" s="16" t="n">
        <f aca="false">IF(D718="","",MAX(0,MIN($B$8,Z718)))</f>
        <v>35.2312627314034</v>
      </c>
      <c r="V718" s="16" t="str">
        <f aca="false">IF(D718="","",IF(S718&gt;0.0000001,"Sim","Não"))</f>
        <v>Não</v>
      </c>
      <c r="W718" s="16" t="n">
        <f aca="false">IF(D718="","",U718-(H718+E718-Q718-O718-T718))</f>
        <v>0</v>
      </c>
      <c r="X718" s="16" t="n">
        <f aca="false">IF(W718="","",ABS(W718))</f>
        <v>0</v>
      </c>
      <c r="Y718" s="16" t="n">
        <f aca="false">IF(U718="","",IF($B$8=0,0,U718/$B$8*100))</f>
        <v>74.6108910025486</v>
      </c>
      <c r="Z718" s="18" t="n">
        <f aca="false">IF(D718="","",MAX(0,IF(P718&gt;=0,P718,IF(K718+P718&gt;=0,0,P718+K718))))</f>
        <v>35.2312627314034</v>
      </c>
      <c r="AA718" s="18" t="n">
        <f aca="false">IF(D718="","",IF(H718&lt;=$B$16,1,IF(H718&gt;=$B$17,$B$21,MATCH(H718,Aux_CAV!$A$2:$A$121,1))))</f>
        <v>13</v>
      </c>
      <c r="AB718" s="18" t="n">
        <f aca="false">IF(D718="","",IF(L718&lt;=$B$16,1,IF(L718&gt;=$B$17,$B$21,MATCH(L718,Aux_CAV!$A$2:$A$121,1))))</f>
        <v>13</v>
      </c>
      <c r="AC718" s="19" t="n">
        <f aca="false">IF(D718="","",COUNT($D$24:D718))</f>
        <v>683</v>
      </c>
    </row>
    <row r="719" customFormat="false" ht="12.75" hidden="false" customHeight="true" outlineLevel="0" collapsed="false">
      <c r="A719" s="14" t="n">
        <f aca="false">IF(D719="","",DATE(B719,C719,1))</f>
        <v>24807</v>
      </c>
      <c r="B719" s="15" t="n">
        <f aca="false" t="array" ref="B719:B719">IF(D719="","",IFERROR(VALUE(INDEX(Vazoes_COLAR!$A$2:$A$200,INT((ROW()-24)/12)+1)),""))</f>
        <v>1967</v>
      </c>
      <c r="C719" s="15" t="n">
        <f aca="false">IF(D719="","",MOD(ROW()-24,12)+1)</f>
        <v>12</v>
      </c>
      <c r="D719" s="16" t="n">
        <f aca="false" t="array" ref="D719: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0.0975602951985419</v>
      </c>
      <c r="E719" s="16" t="n">
        <f aca="false">IF(D719="","",D719*$B$15)</f>
        <v>0.252876285154621</v>
      </c>
      <c r="F719" s="16" t="n">
        <f aca="false" t="array" ref="F719:F719">IF(D719="","",IFERROR(INDEX(Dados_Evap!$C$2:$N$15,MATCH($B$9,Dados_Evap!$A$2:$A$15,0),C719),0))</f>
        <v>216.1</v>
      </c>
      <c r="G719" s="16" t="n">
        <f aca="false">IF(F719="","",F719/1000)</f>
        <v>0.2161</v>
      </c>
      <c r="H719" s="16" t="n">
        <f aca="false">IF(D719="","",MAX(0,MIN($B$8,IFERROR(LOOKUP(2,1/($U$24:U718&lt;&gt;""),$U$24:U718),$B$11))))</f>
        <v>35.2312627314034</v>
      </c>
      <c r="I719" s="16" t="n">
        <f aca="false" t="array" ref="I719: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>5.77301129472346</v>
      </c>
      <c r="J719" s="16" t="n">
        <f aca="false">IF(D719="","",$B$12)</f>
        <v>0.35</v>
      </c>
      <c r="K719" s="16" t="n">
        <f aca="false">IF(J719="","",J719*$B$15)</f>
        <v>0.9072</v>
      </c>
      <c r="L719" s="16" t="n">
        <f aca="false">IF(D719="","",H719+E719-K719-G719*I719)</f>
        <v>33.3293912757683</v>
      </c>
      <c r="M719" s="16" t="n">
        <f aca="false" t="array" ref="M719: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>5.57839307427885</v>
      </c>
      <c r="N719" s="16" t="n">
        <f aca="false">IF(D719="","",(I719+M719)/2)</f>
        <v>5.67570218450115</v>
      </c>
      <c r="O719" s="16" t="n">
        <f aca="false">IF(D719="","",G719*N719)</f>
        <v>1.2265192420707</v>
      </c>
      <c r="P719" s="16" t="n">
        <f aca="false">IF(D719="","",H719+E719-K719-O719)</f>
        <v>33.3504197744874</v>
      </c>
      <c r="Q719" s="16" t="n">
        <f aca="false">IF(D719="","",IF(P719&gt;=0,K719,MAX(0,K719+P719)))</f>
        <v>0.9072</v>
      </c>
      <c r="R719" s="16" t="n">
        <f aca="false">IF(D719="","",Q719/$B$15)</f>
        <v>0.35</v>
      </c>
      <c r="S719" s="16" t="n">
        <f aca="false">IF(D719="","",MAX(0,J719-R719))</f>
        <v>0</v>
      </c>
      <c r="T719" s="16" t="n">
        <f aca="false">IF(D719="","",MAX(0,Z719-$B$8))</f>
        <v>0</v>
      </c>
      <c r="U719" s="16" t="n">
        <f aca="false">IF(D719="","",MAX(0,MIN($B$8,Z719)))</f>
        <v>33.3504197744874</v>
      </c>
      <c r="V719" s="16" t="str">
        <f aca="false">IF(D719="","",IF(S719&gt;0.0000001,"Sim","Não"))</f>
        <v>Não</v>
      </c>
      <c r="W719" s="16" t="n">
        <f aca="false">IF(D719="","",U719-(H719+E719-Q719-O719-T719))</f>
        <v>0</v>
      </c>
      <c r="X719" s="16" t="n">
        <f aca="false">IF(W719="","",ABS(W719))</f>
        <v>0</v>
      </c>
      <c r="Y719" s="16" t="n">
        <f aca="false">IF(U719="","",IF($B$8=0,0,U719/$B$8*100))</f>
        <v>70.6277420044205</v>
      </c>
      <c r="Z719" s="18" t="n">
        <f aca="false">IF(D719="","",MAX(0,IF(P719&gt;=0,P719,IF(K719+P719&gt;=0,0,P719+K719))))</f>
        <v>33.3504197744874</v>
      </c>
      <c r="AA719" s="18" t="n">
        <f aca="false">IF(D719="","",IF(H719&lt;=$B$16,1,IF(H719&gt;=$B$17,$B$21,MATCH(H719,Aux_CAV!$A$2:$A$121,1))))</f>
        <v>13</v>
      </c>
      <c r="AB719" s="18" t="n">
        <f aca="false">IF(D719="","",IF(L719&lt;=$B$16,1,IF(L719&gt;=$B$17,$B$21,MATCH(L719,Aux_CAV!$A$2:$A$121,1))))</f>
        <v>12</v>
      </c>
      <c r="AC719" s="19" t="n">
        <f aca="false">IF(D719="","",COUNT($D$24:D719))</f>
        <v>684</v>
      </c>
    </row>
    <row r="720" customFormat="false" ht="12.75" hidden="false" customHeight="true" outlineLevel="0" collapsed="false">
      <c r="A720" s="14" t="n">
        <f aca="false">IF(D720="","",DATE(B720,C720,1))</f>
        <v>24838</v>
      </c>
      <c r="B720" s="15" t="n">
        <f aca="false" t="array" ref="B720:B720">IF(D720="","",IFERROR(VALUE(INDEX(Vazoes_COLAR!$A$2:$A$200,INT((ROW()-24)/12)+1)),""))</f>
        <v>1968</v>
      </c>
      <c r="C720" s="15" t="n">
        <f aca="false">IF(D720="","",MOD(ROW()-24,12)+1)</f>
        <v>1</v>
      </c>
      <c r="D720" s="16" t="n">
        <f aca="false" t="array" ref="D720: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0.554014903478325</v>
      </c>
      <c r="E720" s="16" t="n">
        <f aca="false">IF(D720="","",D720*$B$15)</f>
        <v>1.43600662981582</v>
      </c>
      <c r="F720" s="16" t="n">
        <f aca="false" t="array" ref="F720:F720">IF(D720="","",IFERROR(INDEX(Dados_Evap!$C$2:$N$15,MATCH($B$9,Dados_Evap!$A$2:$A$15,0),C720),0))</f>
        <v>160</v>
      </c>
      <c r="G720" s="16" t="n">
        <f aca="false">IF(F720="","",F720/1000)</f>
        <v>0.16</v>
      </c>
      <c r="H720" s="16" t="n">
        <f aca="false">IF(D720="","",MAX(0,MIN($B$8,IFERROR(LOOKUP(2,1/($U$24:U719&lt;&gt;""),$U$24:U719),$B$11))))</f>
        <v>33.3504197744874</v>
      </c>
      <c r="I720" s="16" t="n">
        <f aca="false" t="array" ref="I720: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>5.58057758822344</v>
      </c>
      <c r="J720" s="16" t="n">
        <f aca="false">IF(D720="","",$B$12)</f>
        <v>0.35</v>
      </c>
      <c r="K720" s="16" t="n">
        <f aca="false">IF(J720="","",J720*$B$15)</f>
        <v>0.9072</v>
      </c>
      <c r="L720" s="16" t="n">
        <f aca="false">IF(D720="","",H720+E720-K720-G720*I720)</f>
        <v>32.9863339901874</v>
      </c>
      <c r="M720" s="16" t="n">
        <f aca="false" t="array" ref="M720: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>5.54275508441753</v>
      </c>
      <c r="N720" s="16" t="n">
        <f aca="false">IF(D720="","",(I720+M720)/2)</f>
        <v>5.56166633632049</v>
      </c>
      <c r="O720" s="16" t="n">
        <f aca="false">IF(D720="","",G720*N720)</f>
        <v>0.889866613811278</v>
      </c>
      <c r="P720" s="16" t="n">
        <f aca="false">IF(D720="","",H720+E720-K720-O720)</f>
        <v>32.9893597904919</v>
      </c>
      <c r="Q720" s="16" t="n">
        <f aca="false">IF(D720="","",IF(P720&gt;=0,K720,MAX(0,K720+P720)))</f>
        <v>0.9072</v>
      </c>
      <c r="R720" s="16" t="n">
        <f aca="false">IF(D720="","",Q720/$B$15)</f>
        <v>0.35</v>
      </c>
      <c r="S720" s="16" t="n">
        <f aca="false">IF(D720="","",MAX(0,J720-R720))</f>
        <v>0</v>
      </c>
      <c r="T720" s="16" t="n">
        <f aca="false">IF(D720="","",MAX(0,Z720-$B$8))</f>
        <v>0</v>
      </c>
      <c r="U720" s="16" t="n">
        <f aca="false">IF(D720="","",MAX(0,MIN($B$8,Z720)))</f>
        <v>32.9893597904919</v>
      </c>
      <c r="V720" s="16" t="str">
        <f aca="false">IF(D720="","",IF(S720&gt;0.0000001,"Sim","Não"))</f>
        <v>Não</v>
      </c>
      <c r="W720" s="16" t="n">
        <f aca="false">IF(D720="","",U720-(H720+E720-Q720-O720-T720))</f>
        <v>0</v>
      </c>
      <c r="X720" s="16" t="n">
        <f aca="false">IF(W720="","",ABS(W720))</f>
        <v>0</v>
      </c>
      <c r="Y720" s="16" t="n">
        <f aca="false">IF(U720="","",IF($B$8=0,0,U720/$B$8*100))</f>
        <v>69.8631084084962</v>
      </c>
      <c r="Z720" s="18" t="n">
        <f aca="false">IF(D720="","",MAX(0,IF(P720&gt;=0,P720,IF(K720+P720&gt;=0,0,P720+K720))))</f>
        <v>32.9893597904919</v>
      </c>
      <c r="AA720" s="18" t="n">
        <f aca="false">IF(D720="","",IF(H720&lt;=$B$16,1,IF(H720&gt;=$B$17,$B$21,MATCH(H720,Aux_CAV!$A$2:$A$121,1))))</f>
        <v>12</v>
      </c>
      <c r="AB720" s="18" t="n">
        <f aca="false">IF(D720="","",IF(L720&lt;=$B$16,1,IF(L720&gt;=$B$17,$B$21,MATCH(L720,Aux_CAV!$A$2:$A$121,1))))</f>
        <v>12</v>
      </c>
      <c r="AC720" s="19" t="n">
        <f aca="false">IF(D720="","",COUNT($D$24:D720))</f>
        <v>685</v>
      </c>
    </row>
    <row r="721" customFormat="false" ht="12.75" hidden="false" customHeight="true" outlineLevel="0" collapsed="false">
      <c r="A721" s="14" t="n">
        <f aca="false">IF(D721="","",DATE(B721,C721,1))</f>
        <v>24869</v>
      </c>
      <c r="B721" s="15" t="n">
        <f aca="false" t="array" ref="B721:B721">IF(D721="","",IFERROR(VALUE(INDEX(Vazoes_COLAR!$A$2:$A$200,INT((ROW()-24)/12)+1)),""))</f>
        <v>1968</v>
      </c>
      <c r="C721" s="15" t="n">
        <f aca="false">IF(D721="","",MOD(ROW()-24,12)+1)</f>
        <v>2</v>
      </c>
      <c r="D721" s="16" t="n">
        <f aca="false" t="array" ref="D721: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0.862621787714679</v>
      </c>
      <c r="E721" s="16" t="n">
        <f aca="false">IF(D721="","",D721*$B$15)</f>
        <v>2.23591567375645</v>
      </c>
      <c r="F721" s="16" t="n">
        <f aca="false" t="array" ref="F721:F721">IF(D721="","",IFERROR(INDEX(Dados_Evap!$C$2:$N$15,MATCH($B$9,Dados_Evap!$A$2:$A$15,0),C721),0))</f>
        <v>124.3</v>
      </c>
      <c r="G721" s="16" t="n">
        <f aca="false">IF(F721="","",F721/1000)</f>
        <v>0.1243</v>
      </c>
      <c r="H721" s="16" t="n">
        <f aca="false">IF(D721="","",MAX(0,MIN($B$8,IFERROR(LOOKUP(2,1/($U$24:U720&lt;&gt;""),$U$24:U720),$B$11))))</f>
        <v>32.9893597904919</v>
      </c>
      <c r="I721" s="16" t="n">
        <f aca="false" t="array" ref="I721: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>5.54306941512877</v>
      </c>
      <c r="J721" s="16" t="n">
        <f aca="false">IF(D721="","",$B$12)</f>
        <v>0.35</v>
      </c>
      <c r="K721" s="16" t="n">
        <f aca="false">IF(J721="","",J721*$B$15)</f>
        <v>0.9072</v>
      </c>
      <c r="L721" s="16" t="n">
        <f aca="false">IF(D721="","",H721+E721-K721-G721*I721)</f>
        <v>33.6290719359478</v>
      </c>
      <c r="M721" s="16" t="n">
        <f aca="false" t="array" ref="M721: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>5.60952494868584</v>
      </c>
      <c r="N721" s="16" t="n">
        <f aca="false">IF(D721="","",(I721+M721)/2)</f>
        <v>5.57629718190731</v>
      </c>
      <c r="O721" s="16" t="n">
        <f aca="false">IF(D721="","",G721*N721)</f>
        <v>0.693133739711078</v>
      </c>
      <c r="P721" s="16" t="n">
        <f aca="false">IF(D721="","",H721+E721-K721-O721)</f>
        <v>33.6249417245373</v>
      </c>
      <c r="Q721" s="16" t="n">
        <f aca="false">IF(D721="","",IF(P721&gt;=0,K721,MAX(0,K721+P721)))</f>
        <v>0.9072</v>
      </c>
      <c r="R721" s="16" t="n">
        <f aca="false">IF(D721="","",Q721/$B$15)</f>
        <v>0.35</v>
      </c>
      <c r="S721" s="16" t="n">
        <f aca="false">IF(D721="","",MAX(0,J721-R721))</f>
        <v>0</v>
      </c>
      <c r="T721" s="16" t="n">
        <f aca="false">IF(D721="","",MAX(0,Z721-$B$8))</f>
        <v>0</v>
      </c>
      <c r="U721" s="16" t="n">
        <f aca="false">IF(D721="","",MAX(0,MIN($B$8,Z721)))</f>
        <v>33.6249417245373</v>
      </c>
      <c r="V721" s="16" t="str">
        <f aca="false">IF(D721="","",IF(S721&gt;0.0000001,"Sim","Não"))</f>
        <v>Não</v>
      </c>
      <c r="W721" s="16" t="n">
        <f aca="false">IF(D721="","",U721-(H721+E721-Q721-O721-T721))</f>
        <v>0</v>
      </c>
      <c r="X721" s="16" t="n">
        <f aca="false">IF(W721="","",ABS(W721))</f>
        <v>0</v>
      </c>
      <c r="Y721" s="16" t="n">
        <f aca="false">IF(U721="","",IF($B$8=0,0,U721/$B$8*100))</f>
        <v>71.2091099630183</v>
      </c>
      <c r="Z721" s="18" t="n">
        <f aca="false">IF(D721="","",MAX(0,IF(P721&gt;=0,P721,IF(K721+P721&gt;=0,0,P721+K721))))</f>
        <v>33.6249417245373</v>
      </c>
      <c r="AA721" s="18" t="n">
        <f aca="false">IF(D721="","",IF(H721&lt;=$B$16,1,IF(H721&gt;=$B$17,$B$21,MATCH(H721,Aux_CAV!$A$2:$A$121,1))))</f>
        <v>12</v>
      </c>
      <c r="AB721" s="18" t="n">
        <f aca="false">IF(D721="","",IF(L721&lt;=$B$16,1,IF(L721&gt;=$B$17,$B$21,MATCH(L721,Aux_CAV!$A$2:$A$121,1))))</f>
        <v>12</v>
      </c>
      <c r="AC721" s="19" t="n">
        <f aca="false">IF(D721="","",COUNT($D$24:D721))</f>
        <v>686</v>
      </c>
    </row>
    <row r="722" customFormat="false" ht="12.75" hidden="false" customHeight="true" outlineLevel="0" collapsed="false">
      <c r="A722" s="14" t="n">
        <f aca="false">IF(D722="","",DATE(B722,C722,1))</f>
        <v>24898</v>
      </c>
      <c r="B722" s="15" t="n">
        <f aca="false" t="array" ref="B722:B722">IF(D722="","",IFERROR(VALUE(INDEX(Vazoes_COLAR!$A$2:$A$200,INT((ROW()-24)/12)+1)),""))</f>
        <v>1968</v>
      </c>
      <c r="C722" s="15" t="n">
        <f aca="false">IF(D722="","",MOD(ROW()-24,12)+1)</f>
        <v>3</v>
      </c>
      <c r="D722" s="16" t="n">
        <f aca="false" t="array" ref="D722: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12.9041672167888</v>
      </c>
      <c r="E722" s="16" t="n">
        <f aca="false">IF(D722="","",D722*$B$15)</f>
        <v>33.4476014259166</v>
      </c>
      <c r="F722" s="16" t="n">
        <f aca="false" t="array" ref="F722:F722">IF(D722="","",IFERROR(INDEX(Dados_Evap!$C$2:$N$15,MATCH($B$9,Dados_Evap!$A$2:$A$15,0),C722),0))</f>
        <v>107.7</v>
      </c>
      <c r="G722" s="16" t="n">
        <f aca="false">IF(F722="","",F722/1000)</f>
        <v>0.1077</v>
      </c>
      <c r="H722" s="16" t="n">
        <f aca="false">IF(D722="","",MAX(0,MIN($B$8,IFERROR(LOOKUP(2,1/($U$24:U721&lt;&gt;""),$U$24:U721),$B$11))))</f>
        <v>33.6249417245373</v>
      </c>
      <c r="I722" s="16" t="n">
        <f aca="false" t="array" ref="I722: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>5.60909588788882</v>
      </c>
      <c r="J722" s="16" t="n">
        <f aca="false">IF(D722="","",$B$12)</f>
        <v>0.35</v>
      </c>
      <c r="K722" s="16" t="n">
        <f aca="false">IF(J722="","",J722*$B$15)</f>
        <v>0.9072</v>
      </c>
      <c r="L722" s="16" t="n">
        <f aca="false">IF(D722="","",H722+E722-K722-G722*I722)</f>
        <v>65.5612435233282</v>
      </c>
      <c r="M722" s="16" t="n">
        <f aca="false" t="array" ref="M722: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>9.16397582774641</v>
      </c>
      <c r="N722" s="16" t="n">
        <f aca="false">IF(D722="","",(I722+M722)/2)</f>
        <v>7.38653585781762</v>
      </c>
      <c r="O722" s="16" t="n">
        <f aca="false">IF(D722="","",G722*N722)</f>
        <v>0.795529911886957</v>
      </c>
      <c r="P722" s="16" t="n">
        <f aca="false">IF(D722="","",H722+E722-K722-O722)</f>
        <v>65.3698132385669</v>
      </c>
      <c r="Q722" s="16" t="n">
        <f aca="false">IF(D722="","",IF(P722&gt;=0,K722,MAX(0,K722+P722)))</f>
        <v>0.9072</v>
      </c>
      <c r="R722" s="16" t="n">
        <f aca="false">IF(D722="","",Q722/$B$15)</f>
        <v>0.35</v>
      </c>
      <c r="S722" s="16" t="n">
        <f aca="false">IF(D722="","",MAX(0,J722-R722))</f>
        <v>0</v>
      </c>
      <c r="T722" s="16" t="n">
        <f aca="false">IF(D722="","",MAX(0,Z722-$B$8))</f>
        <v>18.1498132385669</v>
      </c>
      <c r="U722" s="16" t="n">
        <f aca="false">IF(D722="","",MAX(0,MIN($B$8,Z722)))</f>
        <v>47.22</v>
      </c>
      <c r="V722" s="16" t="str">
        <f aca="false">IF(D722="","",IF(S722&gt;0.0000001,"Sim","Não"))</f>
        <v>Não</v>
      </c>
      <c r="W722" s="16" t="n">
        <f aca="false">IF(D722="","",U722-(H722+E722-Q722-O722-T722))</f>
        <v>0</v>
      </c>
      <c r="X722" s="16" t="n">
        <f aca="false">IF(W722="","",ABS(W722))</f>
        <v>0</v>
      </c>
      <c r="Y722" s="16" t="n">
        <f aca="false">IF(U722="","",IF($B$8=0,0,U722/$B$8*100))</f>
        <v>100</v>
      </c>
      <c r="Z722" s="18" t="n">
        <f aca="false">IF(D722="","",MAX(0,IF(P722&gt;=0,P722,IF(K722+P722&gt;=0,0,P722+K722))))</f>
        <v>65.3698132385669</v>
      </c>
      <c r="AA722" s="18" t="n">
        <f aca="false">IF(D722="","",IF(H722&lt;=$B$16,1,IF(H722&gt;=$B$17,$B$21,MATCH(H722,Aux_CAV!$A$2:$A$121,1))))</f>
        <v>12</v>
      </c>
      <c r="AB722" s="18" t="n">
        <f aca="false">IF(D722="","",IF(L722&lt;=$B$16,1,IF(L722&gt;=$B$17,$B$21,MATCH(L722,Aux_CAV!$A$2:$A$121,1))))</f>
        <v>16</v>
      </c>
      <c r="AC722" s="19" t="n">
        <f aca="false">IF(D722="","",COUNT($D$24:D722))</f>
        <v>687</v>
      </c>
    </row>
    <row r="723" customFormat="false" ht="12.75" hidden="false" customHeight="true" outlineLevel="0" collapsed="false">
      <c r="A723" s="14" t="n">
        <f aca="false">IF(D723="","",DATE(B723,C723,1))</f>
        <v>24929</v>
      </c>
      <c r="B723" s="15" t="n">
        <f aca="false" t="array" ref="B723:B723">IF(D723="","",IFERROR(VALUE(INDEX(Vazoes_COLAR!$A$2:$A$200,INT((ROW()-24)/12)+1)),""))</f>
        <v>1968</v>
      </c>
      <c r="C723" s="15" t="n">
        <f aca="false">IF(D723="","",MOD(ROW()-24,12)+1)</f>
        <v>4</v>
      </c>
      <c r="D723" s="16" t="n">
        <f aca="false" t="array" ref="D723: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3.3710193924128</v>
      </c>
      <c r="E723" s="16" t="n">
        <f aca="false">IF(D723="","",D723*$B$15)</f>
        <v>8.73768226513398</v>
      </c>
      <c r="F723" s="16" t="n">
        <f aca="false" t="array" ref="F723:F723">IF(D723="","",IFERROR(INDEX(Dados_Evap!$C$2:$N$15,MATCH($B$9,Dados_Evap!$A$2:$A$15,0),C723),0))</f>
        <v>100.5</v>
      </c>
      <c r="G723" s="16" t="n">
        <f aca="false">IF(F723="","",F723/1000)</f>
        <v>0.1005</v>
      </c>
      <c r="H723" s="16" t="n">
        <f aca="false">IF(D723="","",MAX(0,MIN($B$8,IFERROR(LOOKUP(2,1/($U$24:U722&lt;&gt;""),$U$24:U722),$B$11))))</f>
        <v>47.22</v>
      </c>
      <c r="I723" s="16" t="n">
        <f aca="false" t="array" ref="I723: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>6.97</v>
      </c>
      <c r="J723" s="16" t="n">
        <f aca="false">IF(D723="","",$B$12)</f>
        <v>0.35</v>
      </c>
      <c r="K723" s="16" t="n">
        <f aca="false">IF(J723="","",J723*$B$15)</f>
        <v>0.9072</v>
      </c>
      <c r="L723" s="16" t="n">
        <f aca="false">IF(D723="","",H723+E723-K723-G723*I723)</f>
        <v>54.349997265134</v>
      </c>
      <c r="M723" s="16" t="n">
        <f aca="false" t="array" ref="M723: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>7.81052813288165</v>
      </c>
      <c r="N723" s="16" t="n">
        <f aca="false">IF(D723="","",(I723+M723)/2)</f>
        <v>7.39026406644082</v>
      </c>
      <c r="O723" s="16" t="n">
        <f aca="false">IF(D723="","",G723*N723)</f>
        <v>0.742721538677303</v>
      </c>
      <c r="P723" s="16" t="n">
        <f aca="false">IF(D723="","",H723+E723-K723-O723)</f>
        <v>54.3077607264567</v>
      </c>
      <c r="Q723" s="16" t="n">
        <f aca="false">IF(D723="","",IF(P723&gt;=0,K723,MAX(0,K723+P723)))</f>
        <v>0.9072</v>
      </c>
      <c r="R723" s="16" t="n">
        <f aca="false">IF(D723="","",Q723/$B$15)</f>
        <v>0.35</v>
      </c>
      <c r="S723" s="16" t="n">
        <f aca="false">IF(D723="","",MAX(0,J723-R723))</f>
        <v>0</v>
      </c>
      <c r="T723" s="16" t="n">
        <f aca="false">IF(D723="","",MAX(0,Z723-$B$8))</f>
        <v>7.08776072645667</v>
      </c>
      <c r="U723" s="16" t="n">
        <f aca="false">IF(D723="","",MAX(0,MIN($B$8,Z723)))</f>
        <v>47.22</v>
      </c>
      <c r="V723" s="16" t="str">
        <f aca="false">IF(D723="","",IF(S723&gt;0.0000001,"Sim","Não"))</f>
        <v>Não</v>
      </c>
      <c r="W723" s="16" t="n">
        <f aca="false">IF(D723="","",U723-(H723+E723-Q723-O723-T723))</f>
        <v>0</v>
      </c>
      <c r="X723" s="16" t="n">
        <f aca="false">IF(W723="","",ABS(W723))</f>
        <v>0</v>
      </c>
      <c r="Y723" s="16" t="n">
        <f aca="false">IF(U723="","",IF($B$8=0,0,U723/$B$8*100))</f>
        <v>100</v>
      </c>
      <c r="Z723" s="18" t="n">
        <f aca="false">IF(D723="","",MAX(0,IF(P723&gt;=0,P723,IF(K723+P723&gt;=0,0,P723+K723))))</f>
        <v>54.3077607264567</v>
      </c>
      <c r="AA723" s="18" t="n">
        <f aca="false">IF(D723="","",IF(H723&lt;=$B$16,1,IF(H723&gt;=$B$17,$B$21,MATCH(H723,Aux_CAV!$A$2:$A$121,1))))</f>
        <v>14</v>
      </c>
      <c r="AB723" s="18" t="n">
        <f aca="false">IF(D723="","",IF(L723&lt;=$B$16,1,IF(L723&gt;=$B$17,$B$21,MATCH(L723,Aux_CAV!$A$2:$A$121,1))))</f>
        <v>14</v>
      </c>
      <c r="AC723" s="19" t="n">
        <f aca="false">IF(D723="","",COUNT($D$24:D723))</f>
        <v>688</v>
      </c>
    </row>
    <row r="724" customFormat="false" ht="12.75" hidden="false" customHeight="true" outlineLevel="0" collapsed="false">
      <c r="A724" s="14" t="n">
        <f aca="false">IF(D724="","",DATE(B724,C724,1))</f>
        <v>24959</v>
      </c>
      <c r="B724" s="15" t="n">
        <f aca="false" t="array" ref="B724:B724">IF(D724="","",IFERROR(VALUE(INDEX(Vazoes_COLAR!$A$2:$A$200,INT((ROW()-24)/12)+1)),""))</f>
        <v>1968</v>
      </c>
      <c r="C724" s="15" t="n">
        <f aca="false">IF(D724="","",MOD(ROW()-24,12)+1)</f>
        <v>5</v>
      </c>
      <c r="D724" s="16" t="n">
        <f aca="false" t="array" ref="D724: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2.35256460678878</v>
      </c>
      <c r="E724" s="16" t="n">
        <f aca="false">IF(D724="","",D724*$B$15)</f>
        <v>6.09784746079652</v>
      </c>
      <c r="F724" s="16" t="n">
        <f aca="false" t="array" ref="F724:F724">IF(D724="","",IFERROR(INDEX(Dados_Evap!$C$2:$N$15,MATCH($B$9,Dados_Evap!$A$2:$A$15,0),C724),0))</f>
        <v>145.8</v>
      </c>
      <c r="G724" s="16" t="n">
        <f aca="false">IF(F724="","",F724/1000)</f>
        <v>0.1458</v>
      </c>
      <c r="H724" s="16" t="n">
        <f aca="false">IF(D724="","",MAX(0,MIN($B$8,IFERROR(LOOKUP(2,1/($U$24:U723&lt;&gt;""),$U$24:U723),$B$11))))</f>
        <v>47.22</v>
      </c>
      <c r="I724" s="16" t="n">
        <f aca="false" t="array" ref="I724: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>6.97</v>
      </c>
      <c r="J724" s="16" t="n">
        <f aca="false">IF(D724="","",$B$12)</f>
        <v>0.35</v>
      </c>
      <c r="K724" s="16" t="n">
        <f aca="false">IF(J724="","",J724*$B$15)</f>
        <v>0.9072</v>
      </c>
      <c r="L724" s="16" t="n">
        <f aca="false">IF(D724="","",H724+E724-K724-G724*I724)</f>
        <v>51.3944214607965</v>
      </c>
      <c r="M724" s="16" t="n">
        <f aca="false" t="array" ref="M724: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>7.46210659497195</v>
      </c>
      <c r="N724" s="16" t="n">
        <f aca="false">IF(D724="","",(I724+M724)/2)</f>
        <v>7.21605329748597</v>
      </c>
      <c r="O724" s="16" t="n">
        <f aca="false">IF(D724="","",G724*N724)</f>
        <v>1.05210057077345</v>
      </c>
      <c r="P724" s="16" t="n">
        <f aca="false">IF(D724="","",H724+E724-K724-O724)</f>
        <v>51.3585468900231</v>
      </c>
      <c r="Q724" s="16" t="n">
        <f aca="false">IF(D724="","",IF(P724&gt;=0,K724,MAX(0,K724+P724)))</f>
        <v>0.9072</v>
      </c>
      <c r="R724" s="16" t="n">
        <f aca="false">IF(D724="","",Q724/$B$15)</f>
        <v>0.35</v>
      </c>
      <c r="S724" s="16" t="n">
        <f aca="false">IF(D724="","",MAX(0,J724-R724))</f>
        <v>0</v>
      </c>
      <c r="T724" s="16" t="n">
        <f aca="false">IF(D724="","",MAX(0,Z724-$B$8))</f>
        <v>4.13854689002306</v>
      </c>
      <c r="U724" s="16" t="n">
        <f aca="false">IF(D724="","",MAX(0,MIN($B$8,Z724)))</f>
        <v>47.22</v>
      </c>
      <c r="V724" s="16" t="str">
        <f aca="false">IF(D724="","",IF(S724&gt;0.0000001,"Sim","Não"))</f>
        <v>Não</v>
      </c>
      <c r="W724" s="16" t="n">
        <f aca="false">IF(D724="","",U724-(H724+E724-Q724-O724-T724))</f>
        <v>0</v>
      </c>
      <c r="X724" s="16" t="n">
        <f aca="false">IF(W724="","",ABS(W724))</f>
        <v>0</v>
      </c>
      <c r="Y724" s="16" t="n">
        <f aca="false">IF(U724="","",IF($B$8=0,0,U724/$B$8*100))</f>
        <v>100</v>
      </c>
      <c r="Z724" s="18" t="n">
        <f aca="false">IF(D724="","",MAX(0,IF(P724&gt;=0,P724,IF(K724+P724&gt;=0,0,P724+K724))))</f>
        <v>51.3585468900231</v>
      </c>
      <c r="AA724" s="18" t="n">
        <f aca="false">IF(D724="","",IF(H724&lt;=$B$16,1,IF(H724&gt;=$B$17,$B$21,MATCH(H724,Aux_CAV!$A$2:$A$121,1))))</f>
        <v>14</v>
      </c>
      <c r="AB724" s="18" t="n">
        <f aca="false">IF(D724="","",IF(L724&lt;=$B$16,1,IF(L724&gt;=$B$17,$B$21,MATCH(L724,Aux_CAV!$A$2:$A$121,1))))</f>
        <v>14</v>
      </c>
      <c r="AC724" s="19" t="n">
        <f aca="false">IF(D724="","",COUNT($D$24:D724))</f>
        <v>689</v>
      </c>
    </row>
    <row r="725" customFormat="false" ht="12.75" hidden="false" customHeight="true" outlineLevel="0" collapsed="false">
      <c r="A725" s="14" t="n">
        <f aca="false">IF(D725="","",DATE(B725,C725,1))</f>
        <v>24990</v>
      </c>
      <c r="B725" s="15" t="n">
        <f aca="false" t="array" ref="B725:B725">IF(D725="","",IFERROR(VALUE(INDEX(Vazoes_COLAR!$A$2:$A$200,INT((ROW()-24)/12)+1)),""))</f>
        <v>1968</v>
      </c>
      <c r="C725" s="15" t="n">
        <f aca="false">IF(D725="","",MOD(ROW()-24,12)+1)</f>
        <v>6</v>
      </c>
      <c r="D725" s="16" t="n">
        <f aca="false" t="array" ref="D725: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0.188414812960803</v>
      </c>
      <c r="E725" s="16" t="n">
        <f aca="false">IF(D725="","",D725*$B$15)</f>
        <v>0.488371195194401</v>
      </c>
      <c r="F725" s="16" t="n">
        <f aca="false" t="array" ref="F725:F725">IF(D725="","",IFERROR(INDEX(Dados_Evap!$C$2:$N$15,MATCH($B$9,Dados_Evap!$A$2:$A$15,0),C725),0))</f>
        <v>161.3</v>
      </c>
      <c r="G725" s="16" t="n">
        <f aca="false">IF(F725="","",F725/1000)</f>
        <v>0.1613</v>
      </c>
      <c r="H725" s="16" t="n">
        <f aca="false">IF(D725="","",MAX(0,MIN($B$8,IFERROR(LOOKUP(2,1/($U$24:U724&lt;&gt;""),$U$24:U724),$B$11))))</f>
        <v>47.22</v>
      </c>
      <c r="I725" s="16" t="n">
        <f aca="false" t="array" ref="I725: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>6.97</v>
      </c>
      <c r="J725" s="16" t="n">
        <f aca="false">IF(D725="","",$B$12)</f>
        <v>0.35</v>
      </c>
      <c r="K725" s="16" t="n">
        <f aca="false">IF(J725="","",J725*$B$15)</f>
        <v>0.9072</v>
      </c>
      <c r="L725" s="16" t="n">
        <f aca="false">IF(D725="","",H725+E725-K725-G725*I725)</f>
        <v>45.6769101951944</v>
      </c>
      <c r="M725" s="16" t="n">
        <f aca="false" t="array" ref="M725: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>6.81593364370259</v>
      </c>
      <c r="N725" s="16" t="n">
        <f aca="false">IF(D725="","",(I725+M725)/2)</f>
        <v>6.89296682185129</v>
      </c>
      <c r="O725" s="16" t="n">
        <f aca="false">IF(D725="","",G725*N725)</f>
        <v>1.11183554836461</v>
      </c>
      <c r="P725" s="16" t="n">
        <f aca="false">IF(D725="","",H725+E725-K725-O725)</f>
        <v>45.6893356468298</v>
      </c>
      <c r="Q725" s="16" t="n">
        <f aca="false">IF(D725="","",IF(P725&gt;=0,K725,MAX(0,K725+P725)))</f>
        <v>0.9072</v>
      </c>
      <c r="R725" s="16" t="n">
        <f aca="false">IF(D725="","",Q725/$B$15)</f>
        <v>0.35</v>
      </c>
      <c r="S725" s="16" t="n">
        <f aca="false">IF(D725="","",MAX(0,J725-R725))</f>
        <v>0</v>
      </c>
      <c r="T725" s="16" t="n">
        <f aca="false">IF(D725="","",MAX(0,Z725-$B$8))</f>
        <v>0</v>
      </c>
      <c r="U725" s="16" t="n">
        <f aca="false">IF(D725="","",MAX(0,MIN($B$8,Z725)))</f>
        <v>45.6893356468298</v>
      </c>
      <c r="V725" s="16" t="str">
        <f aca="false">IF(D725="","",IF(S725&gt;0.0000001,"Sim","Não"))</f>
        <v>Não</v>
      </c>
      <c r="W725" s="16" t="n">
        <f aca="false">IF(D725="","",U725-(H725+E725-Q725-O725-T725))</f>
        <v>0</v>
      </c>
      <c r="X725" s="16" t="n">
        <f aca="false">IF(W725="","",ABS(W725))</f>
        <v>0</v>
      </c>
      <c r="Y725" s="16" t="n">
        <f aca="false">IF(U725="","",IF($B$8=0,0,U725/$B$8*100))</f>
        <v>96.7584405904909</v>
      </c>
      <c r="Z725" s="18" t="n">
        <f aca="false">IF(D725="","",MAX(0,IF(P725&gt;=0,P725,IF(K725+P725&gt;=0,0,P725+K725))))</f>
        <v>45.6893356468298</v>
      </c>
      <c r="AA725" s="18" t="n">
        <f aca="false">IF(D725="","",IF(H725&lt;=$B$16,1,IF(H725&gt;=$B$17,$B$21,MATCH(H725,Aux_CAV!$A$2:$A$121,1))))</f>
        <v>14</v>
      </c>
      <c r="AB725" s="18" t="n">
        <f aca="false">IF(D725="","",IF(L725&lt;=$B$16,1,IF(L725&gt;=$B$17,$B$21,MATCH(L725,Aux_CAV!$A$2:$A$121,1))))</f>
        <v>13</v>
      </c>
      <c r="AC725" s="19" t="n">
        <f aca="false">IF(D725="","",COUNT($D$24:D725))</f>
        <v>690</v>
      </c>
    </row>
    <row r="726" customFormat="false" ht="12.75" hidden="false" customHeight="true" outlineLevel="0" collapsed="false">
      <c r="A726" s="14" t="n">
        <f aca="false">IF(D726="","",DATE(B726,C726,1))</f>
        <v>25020</v>
      </c>
      <c r="B726" s="15" t="n">
        <f aca="false" t="array" ref="B726:B726">IF(D726="","",IFERROR(VALUE(INDEX(Vazoes_COLAR!$A$2:$A$200,INT((ROW()-24)/12)+1)),""))</f>
        <v>1968</v>
      </c>
      <c r="C726" s="15" t="n">
        <f aca="false">IF(D726="","",MOD(ROW()-24,12)+1)</f>
        <v>7</v>
      </c>
      <c r="D726" s="16" t="n">
        <f aca="false" t="array" ref="D726: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0.0800608996399204</v>
      </c>
      <c r="E726" s="16" t="n">
        <f aca="false">IF(D726="","",D726*$B$15)</f>
        <v>0.207517851866674</v>
      </c>
      <c r="F726" s="16" t="n">
        <f aca="false" t="array" ref="F726:F726">IF(D726="","",IFERROR(INDEX(Dados_Evap!$C$2:$N$15,MATCH($B$9,Dados_Evap!$A$2:$A$15,0),C726),0))</f>
        <v>224.8</v>
      </c>
      <c r="G726" s="16" t="n">
        <f aca="false">IF(F726="","",F726/1000)</f>
        <v>0.2248</v>
      </c>
      <c r="H726" s="16" t="n">
        <f aca="false">IF(D726="","",MAX(0,MIN($B$8,IFERROR(LOOKUP(2,1/($U$24:U725&lt;&gt;""),$U$24:U725),$B$11))))</f>
        <v>45.6893356468298</v>
      </c>
      <c r="I726" s="16" t="n">
        <f aca="false" t="array" ref="I726: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>6.81717423517876</v>
      </c>
      <c r="J726" s="16" t="n">
        <f aca="false">IF(D726="","",$B$12)</f>
        <v>0.35</v>
      </c>
      <c r="K726" s="16" t="n">
        <f aca="false">IF(J726="","",J726*$B$15)</f>
        <v>0.9072</v>
      </c>
      <c r="L726" s="16" t="n">
        <f aca="false">IF(D726="","",H726+E726-K726-G726*I726)</f>
        <v>43.4571527306283</v>
      </c>
      <c r="M726" s="16" t="n">
        <f aca="false" t="array" ref="M726: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>6.59430691571524</v>
      </c>
      <c r="N726" s="16" t="n">
        <f aca="false">IF(D726="","",(I726+M726)/2)</f>
        <v>6.705740575447</v>
      </c>
      <c r="O726" s="16" t="n">
        <f aca="false">IF(D726="","",G726*N726)</f>
        <v>1.50745048136049</v>
      </c>
      <c r="P726" s="16" t="n">
        <f aca="false">IF(D726="","",H726+E726-K726-O726)</f>
        <v>43.482203017336</v>
      </c>
      <c r="Q726" s="16" t="n">
        <f aca="false">IF(D726="","",IF(P726&gt;=0,K726,MAX(0,K726+P726)))</f>
        <v>0.9072</v>
      </c>
      <c r="R726" s="16" t="n">
        <f aca="false">IF(D726="","",Q726/$B$15)</f>
        <v>0.35</v>
      </c>
      <c r="S726" s="16" t="n">
        <f aca="false">IF(D726="","",MAX(0,J726-R726))</f>
        <v>0</v>
      </c>
      <c r="T726" s="16" t="n">
        <f aca="false">IF(D726="","",MAX(0,Z726-$B$8))</f>
        <v>0</v>
      </c>
      <c r="U726" s="16" t="n">
        <f aca="false">IF(D726="","",MAX(0,MIN($B$8,Z726)))</f>
        <v>43.482203017336</v>
      </c>
      <c r="V726" s="16" t="str">
        <f aca="false">IF(D726="","",IF(S726&gt;0.0000001,"Sim","Não"))</f>
        <v>Não</v>
      </c>
      <c r="W726" s="16" t="n">
        <f aca="false">IF(D726="","",U726-(H726+E726-Q726-O726-T726))</f>
        <v>0</v>
      </c>
      <c r="X726" s="16" t="n">
        <f aca="false">IF(W726="","",ABS(W726))</f>
        <v>0</v>
      </c>
      <c r="Y726" s="16" t="n">
        <f aca="false">IF(U726="","",IF($B$8=0,0,U726/$B$8*100))</f>
        <v>92.0842927093096</v>
      </c>
      <c r="Z726" s="18" t="n">
        <f aca="false">IF(D726="","",MAX(0,IF(P726&gt;=0,P726,IF(K726+P726&gt;=0,0,P726+K726))))</f>
        <v>43.482203017336</v>
      </c>
      <c r="AA726" s="18" t="n">
        <f aca="false">IF(D726="","",IF(H726&lt;=$B$16,1,IF(H726&gt;=$B$17,$B$21,MATCH(H726,Aux_CAV!$A$2:$A$121,1))))</f>
        <v>13</v>
      </c>
      <c r="AB726" s="18" t="n">
        <f aca="false">IF(D726="","",IF(L726&lt;=$B$16,1,IF(L726&gt;=$B$17,$B$21,MATCH(L726,Aux_CAV!$A$2:$A$121,1))))</f>
        <v>13</v>
      </c>
      <c r="AC726" s="19" t="n">
        <f aca="false">IF(D726="","",COUNT($D$24:D726))</f>
        <v>691</v>
      </c>
    </row>
    <row r="727" customFormat="false" ht="12.75" hidden="false" customHeight="true" outlineLevel="0" collapsed="false">
      <c r="A727" s="14" t="n">
        <f aca="false">IF(D727="","",DATE(B727,C727,1))</f>
        <v>25051</v>
      </c>
      <c r="B727" s="15" t="n">
        <f aca="false" t="array" ref="B727:B727">IF(D727="","",IFERROR(VALUE(INDEX(Vazoes_COLAR!$A$2:$A$200,INT((ROW()-24)/12)+1)),""))</f>
        <v>1968</v>
      </c>
      <c r="C727" s="15" t="n">
        <f aca="false">IF(D727="","",MOD(ROW()-24,12)+1)</f>
        <v>8</v>
      </c>
      <c r="D727" s="16" t="n">
        <f aca="false" t="array" ref="D727: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0.0331594185978416</v>
      </c>
      <c r="E727" s="16" t="n">
        <f aca="false">IF(D727="","",D727*$B$15)</f>
        <v>0.0859492130056054</v>
      </c>
      <c r="F727" s="16" t="n">
        <f aca="false" t="array" ref="F727:F727">IF(D727="","",IFERROR(INDEX(Dados_Evap!$C$2:$N$15,MATCH($B$9,Dados_Evap!$A$2:$A$15,0),C727),0))</f>
        <v>268.7</v>
      </c>
      <c r="G727" s="16" t="n">
        <f aca="false">IF(F727="","",F727/1000)</f>
        <v>0.2687</v>
      </c>
      <c r="H727" s="16" t="n">
        <f aca="false">IF(D727="","",MAX(0,MIN($B$8,IFERROR(LOOKUP(2,1/($U$24:U726&lt;&gt;""),$U$24:U726),$B$11))))</f>
        <v>43.482203017336</v>
      </c>
      <c r="I727" s="16" t="n">
        <f aca="false" t="array" ref="I727: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>6.59680800566169</v>
      </c>
      <c r="J727" s="16" t="n">
        <f aca="false">IF(D727="","",$B$12)</f>
        <v>0.35</v>
      </c>
      <c r="K727" s="16" t="n">
        <f aca="false">IF(J727="","",J727*$B$15)</f>
        <v>0.9072</v>
      </c>
      <c r="L727" s="16" t="n">
        <f aca="false">IF(D727="","",H727+E727-K727-G727*I727)</f>
        <v>40.8883899192203</v>
      </c>
      <c r="M727" s="16" t="n">
        <f aca="false" t="array" ref="M727: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>6.33783452809825</v>
      </c>
      <c r="N727" s="16" t="n">
        <f aca="false">IF(D727="","",(I727+M727)/2)</f>
        <v>6.46732126687997</v>
      </c>
      <c r="O727" s="16" t="n">
        <f aca="false">IF(D727="","",G727*N727)</f>
        <v>1.73776922441065</v>
      </c>
      <c r="P727" s="16" t="n">
        <f aca="false">IF(D727="","",H727+E727-K727-O727)</f>
        <v>40.9231830059309</v>
      </c>
      <c r="Q727" s="16" t="n">
        <f aca="false">IF(D727="","",IF(P727&gt;=0,K727,MAX(0,K727+P727)))</f>
        <v>0.9072</v>
      </c>
      <c r="R727" s="16" t="n">
        <f aca="false">IF(D727="","",Q727/$B$15)</f>
        <v>0.35</v>
      </c>
      <c r="S727" s="16" t="n">
        <f aca="false">IF(D727="","",MAX(0,J727-R727))</f>
        <v>0</v>
      </c>
      <c r="T727" s="16" t="n">
        <f aca="false">IF(D727="","",MAX(0,Z727-$B$8))</f>
        <v>0</v>
      </c>
      <c r="U727" s="16" t="n">
        <f aca="false">IF(D727="","",MAX(0,MIN($B$8,Z727)))</f>
        <v>40.9231830059309</v>
      </c>
      <c r="V727" s="16" t="str">
        <f aca="false">IF(D727="","",IF(S727&gt;0.0000001,"Sim","Não"))</f>
        <v>Não</v>
      </c>
      <c r="W727" s="16" t="n">
        <f aca="false">IF(D727="","",U727-(H727+E727-Q727-O727-T727))</f>
        <v>0</v>
      </c>
      <c r="X727" s="16" t="n">
        <f aca="false">IF(W727="","",ABS(W727))</f>
        <v>0</v>
      </c>
      <c r="Y727" s="16" t="n">
        <f aca="false">IF(U727="","",IF($B$8=0,0,U727/$B$8*100))</f>
        <v>86.6649364801587</v>
      </c>
      <c r="Z727" s="18" t="n">
        <f aca="false">IF(D727="","",MAX(0,IF(P727&gt;=0,P727,IF(K727+P727&gt;=0,0,P727+K727))))</f>
        <v>40.9231830059309</v>
      </c>
      <c r="AA727" s="18" t="n">
        <f aca="false">IF(D727="","",IF(H727&lt;=$B$16,1,IF(H727&gt;=$B$17,$B$21,MATCH(H727,Aux_CAV!$A$2:$A$121,1))))</f>
        <v>13</v>
      </c>
      <c r="AB727" s="18" t="n">
        <f aca="false">IF(D727="","",IF(L727&lt;=$B$16,1,IF(L727&gt;=$B$17,$B$21,MATCH(L727,Aux_CAV!$A$2:$A$121,1))))</f>
        <v>13</v>
      </c>
      <c r="AC727" s="19" t="n">
        <f aca="false">IF(D727="","",COUNT($D$24:D727))</f>
        <v>692</v>
      </c>
    </row>
    <row r="728" customFormat="false" ht="12.75" hidden="false" customHeight="true" outlineLevel="0" collapsed="false">
      <c r="A728" s="14" t="n">
        <f aca="false">IF(D728="","",DATE(B728,C728,1))</f>
        <v>25082</v>
      </c>
      <c r="B728" s="15" t="n">
        <f aca="false" t="array" ref="B728:B728">IF(D728="","",IFERROR(VALUE(INDEX(Vazoes_COLAR!$A$2:$A$200,INT((ROW()-24)/12)+1)),""))</f>
        <v>1968</v>
      </c>
      <c r="C728" s="15" t="n">
        <f aca="false">IF(D728="","",MOD(ROW()-24,12)+1)</f>
        <v>9</v>
      </c>
      <c r="D728" s="16" t="n">
        <f aca="false" t="array" ref="D728: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0.0304537614808125</v>
      </c>
      <c r="E728" s="16" t="n">
        <f aca="false">IF(D728="","",D728*$B$15)</f>
        <v>0.078936149758266</v>
      </c>
      <c r="F728" s="16" t="n">
        <f aca="false" t="array" ref="F728:F728">IF(D728="","",IFERROR(INDEX(Dados_Evap!$C$2:$N$15,MATCH($B$9,Dados_Evap!$A$2:$A$15,0),C728),0))</f>
        <v>292.8</v>
      </c>
      <c r="G728" s="16" t="n">
        <f aca="false">IF(F728="","",F728/1000)</f>
        <v>0.2928</v>
      </c>
      <c r="H728" s="16" t="n">
        <f aca="false">IF(D728="","",MAX(0,MIN($B$8,IFERROR(LOOKUP(2,1/($U$24:U727&lt;&gt;""),$U$24:U727),$B$11))))</f>
        <v>40.9231830059309</v>
      </c>
      <c r="I728" s="16" t="n">
        <f aca="false" t="array" ref="I728: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>6.3413083661582</v>
      </c>
      <c r="J728" s="16" t="n">
        <f aca="false">IF(D728="","",$B$12)</f>
        <v>0.35</v>
      </c>
      <c r="K728" s="16" t="n">
        <f aca="false">IF(J728="","",J728*$B$15)</f>
        <v>0.9072</v>
      </c>
      <c r="L728" s="16" t="n">
        <f aca="false">IF(D728="","",H728+E728-K728-G728*I728)</f>
        <v>38.2381840660781</v>
      </c>
      <c r="M728" s="16" t="n">
        <f aca="false" t="array" ref="M728: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>6.07323064181754</v>
      </c>
      <c r="N728" s="16" t="n">
        <f aca="false">IF(D728="","",(I728+M728)/2)</f>
        <v>6.20726950398787</v>
      </c>
      <c r="O728" s="16" t="n">
        <f aca="false">IF(D728="","",G728*N728)</f>
        <v>1.81748851076765</v>
      </c>
      <c r="P728" s="16" t="n">
        <f aca="false">IF(D728="","",H728+E728-K728-O728)</f>
        <v>38.2774306449215</v>
      </c>
      <c r="Q728" s="16" t="n">
        <f aca="false">IF(D728="","",IF(P728&gt;=0,K728,MAX(0,K728+P728)))</f>
        <v>0.9072</v>
      </c>
      <c r="R728" s="16" t="n">
        <f aca="false">IF(D728="","",Q728/$B$15)</f>
        <v>0.35</v>
      </c>
      <c r="S728" s="16" t="n">
        <f aca="false">IF(D728="","",MAX(0,J728-R728))</f>
        <v>0</v>
      </c>
      <c r="T728" s="16" t="n">
        <f aca="false">IF(D728="","",MAX(0,Z728-$B$8))</f>
        <v>0</v>
      </c>
      <c r="U728" s="16" t="n">
        <f aca="false">IF(D728="","",MAX(0,MIN($B$8,Z728)))</f>
        <v>38.2774306449215</v>
      </c>
      <c r="V728" s="16" t="str">
        <f aca="false">IF(D728="","",IF(S728&gt;0.0000001,"Sim","Não"))</f>
        <v>Não</v>
      </c>
      <c r="W728" s="16" t="n">
        <f aca="false">IF(D728="","",U728-(H728+E728-Q728-O728-T728))</f>
        <v>0</v>
      </c>
      <c r="X728" s="16" t="n">
        <f aca="false">IF(W728="","",ABS(W728))</f>
        <v>0</v>
      </c>
      <c r="Y728" s="16" t="n">
        <f aca="false">IF(U728="","",IF($B$8=0,0,U728/$B$8*100))</f>
        <v>81.0619031023328</v>
      </c>
      <c r="Z728" s="18" t="n">
        <f aca="false">IF(D728="","",MAX(0,IF(P728&gt;=0,P728,IF(K728+P728&gt;=0,0,P728+K728))))</f>
        <v>38.2774306449215</v>
      </c>
      <c r="AA728" s="18" t="n">
        <f aca="false">IF(D728="","",IF(H728&lt;=$B$16,1,IF(H728&gt;=$B$17,$B$21,MATCH(H728,Aux_CAV!$A$2:$A$121,1))))</f>
        <v>13</v>
      </c>
      <c r="AB728" s="18" t="n">
        <f aca="false">IF(D728="","",IF(L728&lt;=$B$16,1,IF(L728&gt;=$B$17,$B$21,MATCH(L728,Aux_CAV!$A$2:$A$121,1))))</f>
        <v>13</v>
      </c>
      <c r="AC728" s="19" t="n">
        <f aca="false">IF(D728="","",COUNT($D$24:D728))</f>
        <v>693</v>
      </c>
    </row>
    <row r="729" customFormat="false" ht="12.75" hidden="false" customHeight="true" outlineLevel="0" collapsed="false">
      <c r="A729" s="14" t="n">
        <f aca="false">IF(D729="","",DATE(B729,C729,1))</f>
        <v>25112</v>
      </c>
      <c r="B729" s="15" t="n">
        <f aca="false" t="array" ref="B729:B729">IF(D729="","",IFERROR(VALUE(INDEX(Vazoes_COLAR!$A$2:$A$200,INT((ROW()-24)/12)+1)),""))</f>
        <v>1968</v>
      </c>
      <c r="C729" s="15" t="n">
        <f aca="false">IF(D729="","",MOD(ROW()-24,12)+1)</f>
        <v>10</v>
      </c>
      <c r="D729" s="16" t="n">
        <f aca="false" t="array" ref="D729: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0.0303807420970628</v>
      </c>
      <c r="E729" s="16" t="n">
        <f aca="false">IF(D729="","",D729*$B$15)</f>
        <v>0.0787468835155868</v>
      </c>
      <c r="F729" s="16" t="n">
        <f aca="false" t="array" ref="F729:F729">IF(D729="","",IFERROR(INDEX(Dados_Evap!$C$2:$N$15,MATCH($B$9,Dados_Evap!$A$2:$A$15,0),C729),0))</f>
        <v>262.9</v>
      </c>
      <c r="G729" s="16" t="n">
        <f aca="false">IF(F729="","",F729/1000)</f>
        <v>0.2629</v>
      </c>
      <c r="H729" s="16" t="n">
        <f aca="false">IF(D729="","",MAX(0,MIN($B$8,IFERROR(LOOKUP(2,1/($U$24:U728&lt;&gt;""),$U$24:U728),$B$11))))</f>
        <v>38.2774306449215</v>
      </c>
      <c r="I729" s="16" t="n">
        <f aca="false" t="array" ref="I729: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>6.07714912885616</v>
      </c>
      <c r="J729" s="16" t="n">
        <f aca="false">IF(D729="","",$B$12)</f>
        <v>0.35</v>
      </c>
      <c r="K729" s="16" t="n">
        <f aca="false">IF(J729="","",J729*$B$15)</f>
        <v>0.9072</v>
      </c>
      <c r="L729" s="16" t="n">
        <f aca="false">IF(D729="","",H729+E729-K729-G729*I729)</f>
        <v>35.8512950224608</v>
      </c>
      <c r="M729" s="16" t="n">
        <f aca="false" t="array" ref="M729: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>5.83491703447526</v>
      </c>
      <c r="N729" s="16" t="n">
        <f aca="false">IF(D729="","",(I729+M729)/2)</f>
        <v>5.95603308166571</v>
      </c>
      <c r="O729" s="16" t="n">
        <f aca="false">IF(D729="","",G729*N729)</f>
        <v>1.56584109716991</v>
      </c>
      <c r="P729" s="16" t="n">
        <f aca="false">IF(D729="","",H729+E729-K729-O729)</f>
        <v>35.8831364312672</v>
      </c>
      <c r="Q729" s="16" t="n">
        <f aca="false">IF(D729="","",IF(P729&gt;=0,K729,MAX(0,K729+P729)))</f>
        <v>0.9072</v>
      </c>
      <c r="R729" s="16" t="n">
        <f aca="false">IF(D729="","",Q729/$B$15)</f>
        <v>0.35</v>
      </c>
      <c r="S729" s="16" t="n">
        <f aca="false">IF(D729="","",MAX(0,J729-R729))</f>
        <v>0</v>
      </c>
      <c r="T729" s="16" t="n">
        <f aca="false">IF(D729="","",MAX(0,Z729-$B$8))</f>
        <v>0</v>
      </c>
      <c r="U729" s="16" t="n">
        <f aca="false">IF(D729="","",MAX(0,MIN($B$8,Z729)))</f>
        <v>35.8831364312672</v>
      </c>
      <c r="V729" s="16" t="str">
        <f aca="false">IF(D729="","",IF(S729&gt;0.0000001,"Sim","Não"))</f>
        <v>Não</v>
      </c>
      <c r="W729" s="16" t="n">
        <f aca="false">IF(D729="","",U729-(H729+E729-Q729-O729-T729))</f>
        <v>0</v>
      </c>
      <c r="X729" s="16" t="n">
        <f aca="false">IF(W729="","",ABS(W729))</f>
        <v>0</v>
      </c>
      <c r="Y729" s="16" t="n">
        <f aca="false">IF(U729="","",IF($B$8=0,0,U729/$B$8*100))</f>
        <v>75.9913943906548</v>
      </c>
      <c r="Z729" s="18" t="n">
        <f aca="false">IF(D729="","",MAX(0,IF(P729&gt;=0,P729,IF(K729+P729&gt;=0,0,P729+K729))))</f>
        <v>35.8831364312672</v>
      </c>
      <c r="AA729" s="18" t="n">
        <f aca="false">IF(D729="","",IF(H729&lt;=$B$16,1,IF(H729&gt;=$B$17,$B$21,MATCH(H729,Aux_CAV!$A$2:$A$121,1))))</f>
        <v>13</v>
      </c>
      <c r="AB729" s="18" t="n">
        <f aca="false">IF(D729="","",IF(L729&lt;=$B$16,1,IF(L729&gt;=$B$17,$B$21,MATCH(L729,Aux_CAV!$A$2:$A$121,1))))</f>
        <v>13</v>
      </c>
      <c r="AC729" s="19" t="n">
        <f aca="false">IF(D729="","",COUNT($D$24:D729))</f>
        <v>694</v>
      </c>
    </row>
    <row r="730" customFormat="false" ht="12.75" hidden="false" customHeight="true" outlineLevel="0" collapsed="false">
      <c r="A730" s="14" t="n">
        <f aca="false">IF(D730="","",DATE(B730,C730,1))</f>
        <v>25143</v>
      </c>
      <c r="B730" s="15" t="n">
        <f aca="false" t="array" ref="B730:B730">IF(D730="","",IFERROR(VALUE(INDEX(Vazoes_COLAR!$A$2:$A$200,INT((ROW()-24)/12)+1)),""))</f>
        <v>1968</v>
      </c>
      <c r="C730" s="15" t="n">
        <f aca="false">IF(D730="","",MOD(ROW()-24,12)+1)</f>
        <v>11</v>
      </c>
      <c r="D730" s="16" t="n">
        <f aca="false" t="array" ref="D730: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0.0763552209710158</v>
      </c>
      <c r="E730" s="16" t="n">
        <f aca="false">IF(D730="","",D730*$B$15)</f>
        <v>0.197912732756873</v>
      </c>
      <c r="F730" s="16" t="n">
        <f aca="false" t="array" ref="F730:F730">IF(D730="","",IFERROR(INDEX(Dados_Evap!$C$2:$N$15,MATCH($B$9,Dados_Evap!$A$2:$A$15,0),C730),0))</f>
        <v>223.7</v>
      </c>
      <c r="G730" s="16" t="n">
        <f aca="false">IF(F730="","",F730/1000)</f>
        <v>0.2237</v>
      </c>
      <c r="H730" s="16" t="n">
        <f aca="false">IF(D730="","",MAX(0,MIN($B$8,IFERROR(LOOKUP(2,1/($U$24:U729&lt;&gt;""),$U$24:U729),$B$11))))</f>
        <v>35.8831364312672</v>
      </c>
      <c r="I730" s="16" t="n">
        <f aca="false" t="array" ref="I730: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>5.83809616884508</v>
      </c>
      <c r="J730" s="16" t="n">
        <f aca="false">IF(D730="","",$B$12)</f>
        <v>0.35</v>
      </c>
      <c r="K730" s="16" t="n">
        <f aca="false">IF(J730="","",J730*$B$15)</f>
        <v>0.9072</v>
      </c>
      <c r="L730" s="16" t="n">
        <f aca="false">IF(D730="","",H730+E730-K730-G730*I730)</f>
        <v>33.8678670510534</v>
      </c>
      <c r="M730" s="16" t="n">
        <f aca="false" t="array" ref="M730: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>5.63433181986672</v>
      </c>
      <c r="N730" s="16" t="n">
        <f aca="false">IF(D730="","",(I730+M730)/2)</f>
        <v>5.7362139943559</v>
      </c>
      <c r="O730" s="16" t="n">
        <f aca="false">IF(D730="","",G730*N730)</f>
        <v>1.28319107053741</v>
      </c>
      <c r="P730" s="16" t="n">
        <f aca="false">IF(D730="","",H730+E730-K730-O730)</f>
        <v>33.8906580934867</v>
      </c>
      <c r="Q730" s="16" t="n">
        <f aca="false">IF(D730="","",IF(P730&gt;=0,K730,MAX(0,K730+P730)))</f>
        <v>0.9072</v>
      </c>
      <c r="R730" s="16" t="n">
        <f aca="false">IF(D730="","",Q730/$B$15)</f>
        <v>0.35</v>
      </c>
      <c r="S730" s="16" t="n">
        <f aca="false">IF(D730="","",MAX(0,J730-R730))</f>
        <v>0</v>
      </c>
      <c r="T730" s="16" t="n">
        <f aca="false">IF(D730="","",MAX(0,Z730-$B$8))</f>
        <v>0</v>
      </c>
      <c r="U730" s="16" t="n">
        <f aca="false">IF(D730="","",MAX(0,MIN($B$8,Z730)))</f>
        <v>33.8906580934867</v>
      </c>
      <c r="V730" s="16" t="str">
        <f aca="false">IF(D730="","",IF(S730&gt;0.0000001,"Sim","Não"))</f>
        <v>Não</v>
      </c>
      <c r="W730" s="16" t="n">
        <f aca="false">IF(D730="","",U730-(H730+E730-Q730-O730-T730))</f>
        <v>0</v>
      </c>
      <c r="X730" s="16" t="n">
        <f aca="false">IF(W730="","",ABS(W730))</f>
        <v>0</v>
      </c>
      <c r="Y730" s="16" t="n">
        <f aca="false">IF(U730="","",IF($B$8=0,0,U730/$B$8*100))</f>
        <v>71.771829931145</v>
      </c>
      <c r="Z730" s="18" t="n">
        <f aca="false">IF(D730="","",MAX(0,IF(P730&gt;=0,P730,IF(K730+P730&gt;=0,0,P730+K730))))</f>
        <v>33.8906580934867</v>
      </c>
      <c r="AA730" s="18" t="n">
        <f aca="false">IF(D730="","",IF(H730&lt;=$B$16,1,IF(H730&gt;=$B$17,$B$21,MATCH(H730,Aux_CAV!$A$2:$A$121,1))))</f>
        <v>13</v>
      </c>
      <c r="AB730" s="18" t="n">
        <f aca="false">IF(D730="","",IF(L730&lt;=$B$16,1,IF(L730&gt;=$B$17,$B$21,MATCH(L730,Aux_CAV!$A$2:$A$121,1))))</f>
        <v>12</v>
      </c>
      <c r="AC730" s="19" t="n">
        <f aca="false">IF(D730="","",COUNT($D$24:D730))</f>
        <v>695</v>
      </c>
    </row>
    <row r="731" customFormat="false" ht="12.75" hidden="false" customHeight="true" outlineLevel="0" collapsed="false">
      <c r="A731" s="14" t="n">
        <f aca="false">IF(D731="","",DATE(B731,C731,1))</f>
        <v>25173</v>
      </c>
      <c r="B731" s="15" t="n">
        <f aca="false" t="array" ref="B731:B731">IF(D731="","",IFERROR(VALUE(INDEX(Vazoes_COLAR!$A$2:$A$200,INT((ROW()-24)/12)+1)),""))</f>
        <v>1968</v>
      </c>
      <c r="C731" s="15" t="n">
        <f aca="false">IF(D731="","",MOD(ROW()-24,12)+1)</f>
        <v>12</v>
      </c>
      <c r="D731" s="16" t="n">
        <f aca="false" t="array" ref="D731: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0.0811245481176067</v>
      </c>
      <c r="E731" s="16" t="n">
        <f aca="false">IF(D731="","",D731*$B$15)</f>
        <v>0.210274828720837</v>
      </c>
      <c r="F731" s="16" t="n">
        <f aca="false" t="array" ref="F731:F731">IF(D731="","",IFERROR(INDEX(Dados_Evap!$C$2:$N$15,MATCH($B$9,Dados_Evap!$A$2:$A$15,0),C731),0))</f>
        <v>216.1</v>
      </c>
      <c r="G731" s="16" t="n">
        <f aca="false">IF(F731="","",F731/1000)</f>
        <v>0.2161</v>
      </c>
      <c r="H731" s="16" t="n">
        <f aca="false">IF(D731="","",MAX(0,MIN($B$8,IFERROR(LOOKUP(2,1/($U$24:U730&lt;&gt;""),$U$24:U730),$B$11))))</f>
        <v>33.8906580934867</v>
      </c>
      <c r="I731" s="16" t="n">
        <f aca="false" t="array" ref="I731: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>5.63669943301269</v>
      </c>
      <c r="J731" s="16" t="n">
        <f aca="false">IF(D731="","",$B$12)</f>
        <v>0.35</v>
      </c>
      <c r="K731" s="16" t="n">
        <f aca="false">IF(J731="","",J731*$B$15)</f>
        <v>0.9072</v>
      </c>
      <c r="L731" s="16" t="n">
        <f aca="false">IF(D731="","",H731+E731-K731-G731*I731)</f>
        <v>31.9756421747335</v>
      </c>
      <c r="M731" s="16" t="n">
        <f aca="false" t="array" ref="M731: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>5.43776088611309</v>
      </c>
      <c r="N731" s="16" t="n">
        <f aca="false">IF(D731="","",(I731+M731)/2)</f>
        <v>5.53723015956289</v>
      </c>
      <c r="O731" s="16" t="n">
        <f aca="false">IF(D731="","",G731*N731)</f>
        <v>1.19659543748154</v>
      </c>
      <c r="P731" s="16" t="n">
        <f aca="false">IF(D731="","",H731+E731-K731-O731)</f>
        <v>31.997137484726</v>
      </c>
      <c r="Q731" s="16" t="n">
        <f aca="false">IF(D731="","",IF(P731&gt;=0,K731,MAX(0,K731+P731)))</f>
        <v>0.9072</v>
      </c>
      <c r="R731" s="16" t="n">
        <f aca="false">IF(D731="","",Q731/$B$15)</f>
        <v>0.35</v>
      </c>
      <c r="S731" s="16" t="n">
        <f aca="false">IF(D731="","",MAX(0,J731-R731))</f>
        <v>0</v>
      </c>
      <c r="T731" s="16" t="n">
        <f aca="false">IF(D731="","",MAX(0,Z731-$B$8))</f>
        <v>0</v>
      </c>
      <c r="U731" s="16" t="n">
        <f aca="false">IF(D731="","",MAX(0,MIN($B$8,Z731)))</f>
        <v>31.997137484726</v>
      </c>
      <c r="V731" s="16" t="str">
        <f aca="false">IF(D731="","",IF(S731&gt;0.0000001,"Sim","Não"))</f>
        <v>Não</v>
      </c>
      <c r="W731" s="16" t="n">
        <f aca="false">IF(D731="","",U731-(H731+E731-Q731-O731-T731))</f>
        <v>0</v>
      </c>
      <c r="X731" s="16" t="n">
        <f aca="false">IF(W731="","",ABS(W731))</f>
        <v>0</v>
      </c>
      <c r="Y731" s="16" t="n">
        <f aca="false">IF(U731="","",IF($B$8=0,0,U731/$B$8*100))</f>
        <v>67.7618328774374</v>
      </c>
      <c r="Z731" s="18" t="n">
        <f aca="false">IF(D731="","",MAX(0,IF(P731&gt;=0,P731,IF(K731+P731&gt;=0,0,P731+K731))))</f>
        <v>31.997137484726</v>
      </c>
      <c r="AA731" s="18" t="n">
        <f aca="false">IF(D731="","",IF(H731&lt;=$B$16,1,IF(H731&gt;=$B$17,$B$21,MATCH(H731,Aux_CAV!$A$2:$A$121,1))))</f>
        <v>12</v>
      </c>
      <c r="AB731" s="18" t="n">
        <f aca="false">IF(D731="","",IF(L731&lt;=$B$16,1,IF(L731&gt;=$B$17,$B$21,MATCH(L731,Aux_CAV!$A$2:$A$121,1))))</f>
        <v>12</v>
      </c>
      <c r="AC731" s="19" t="n">
        <f aca="false">IF(D731="","",COUNT($D$24:D731))</f>
        <v>696</v>
      </c>
    </row>
    <row r="732" customFormat="false" ht="12.75" hidden="false" customHeight="true" outlineLevel="0" collapsed="false">
      <c r="A732" s="14" t="n">
        <f aca="false">IF(D732="","",DATE(B732,C732,1))</f>
        <v>25204</v>
      </c>
      <c r="B732" s="15" t="n">
        <f aca="false" t="array" ref="B732:B732">IF(D732="","",IFERROR(VALUE(INDEX(Vazoes_COLAR!$A$2:$A$200,INT((ROW()-24)/12)+1)),""))</f>
        <v>1969</v>
      </c>
      <c r="C732" s="15" t="n">
        <f aca="false">IF(D732="","",MOD(ROW()-24,12)+1)</f>
        <v>1</v>
      </c>
      <c r="D732" s="16" t="n">
        <f aca="false" t="array" ref="D732: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0.464940643904894</v>
      </c>
      <c r="E732" s="16" t="n">
        <f aca="false">IF(D732="","",D732*$B$15)</f>
        <v>1.20512614900149</v>
      </c>
      <c r="F732" s="16" t="n">
        <f aca="false" t="array" ref="F732:F732">IF(D732="","",IFERROR(INDEX(Dados_Evap!$C$2:$N$15,MATCH($B$9,Dados_Evap!$A$2:$A$15,0),C732),0))</f>
        <v>160</v>
      </c>
      <c r="G732" s="16" t="n">
        <f aca="false">IF(F732="","",F732/1000)</f>
        <v>0.16</v>
      </c>
      <c r="H732" s="16" t="n">
        <f aca="false">IF(D732="","",MAX(0,MIN($B$8,IFERROR(LOOKUP(2,1/($U$24:U731&lt;&gt;""),$U$24:U731),$B$11))))</f>
        <v>31.997137484726</v>
      </c>
      <c r="I732" s="16" t="n">
        <f aca="false" t="array" ref="I732: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>5.43999389404435</v>
      </c>
      <c r="J732" s="16" t="n">
        <f aca="false">IF(D732="","",$B$12)</f>
        <v>0.35</v>
      </c>
      <c r="K732" s="16" t="n">
        <f aca="false">IF(J732="","",J732*$B$15)</f>
        <v>0.9072</v>
      </c>
      <c r="L732" s="16" t="n">
        <f aca="false">IF(D732="","",H732+E732-K732-G732*I732)</f>
        <v>31.4246646106804</v>
      </c>
      <c r="M732" s="16" t="n">
        <f aca="false" t="array" ref="M732: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>5.38052341101242</v>
      </c>
      <c r="N732" s="16" t="n">
        <f aca="false">IF(D732="","",(I732+M732)/2)</f>
        <v>5.41025865252839</v>
      </c>
      <c r="O732" s="16" t="n">
        <f aca="false">IF(D732="","",G732*N732)</f>
        <v>0.865641384404542</v>
      </c>
      <c r="P732" s="16" t="n">
        <f aca="false">IF(D732="","",H732+E732-K732-O732)</f>
        <v>31.4294222493229</v>
      </c>
      <c r="Q732" s="16" t="n">
        <f aca="false">IF(D732="","",IF(P732&gt;=0,K732,MAX(0,K732+P732)))</f>
        <v>0.9072</v>
      </c>
      <c r="R732" s="16" t="n">
        <f aca="false">IF(D732="","",Q732/$B$15)</f>
        <v>0.35</v>
      </c>
      <c r="S732" s="16" t="n">
        <f aca="false">IF(D732="","",MAX(0,J732-R732))</f>
        <v>0</v>
      </c>
      <c r="T732" s="16" t="n">
        <f aca="false">IF(D732="","",MAX(0,Z732-$B$8))</f>
        <v>0</v>
      </c>
      <c r="U732" s="16" t="n">
        <f aca="false">IF(D732="","",MAX(0,MIN($B$8,Z732)))</f>
        <v>31.4294222493229</v>
      </c>
      <c r="V732" s="16" t="str">
        <f aca="false">IF(D732="","",IF(S732&gt;0.0000001,"Sim","Não"))</f>
        <v>Não</v>
      </c>
      <c r="W732" s="16" t="n">
        <f aca="false">IF(D732="","",U732-(H732+E732-Q732-O732-T732))</f>
        <v>0</v>
      </c>
      <c r="X732" s="16" t="n">
        <f aca="false">IF(W732="","",ABS(W732))</f>
        <v>0</v>
      </c>
      <c r="Y732" s="16" t="n">
        <f aca="false">IF(U732="","",IF($B$8=0,0,U732/$B$8*100))</f>
        <v>66.5595558011921</v>
      </c>
      <c r="Z732" s="18" t="n">
        <f aca="false">IF(D732="","",MAX(0,IF(P732&gt;=0,P732,IF(K732+P732&gt;=0,0,P732+K732))))</f>
        <v>31.4294222493229</v>
      </c>
      <c r="AA732" s="18" t="n">
        <f aca="false">IF(D732="","",IF(H732&lt;=$B$16,1,IF(H732&gt;=$B$17,$B$21,MATCH(H732,Aux_CAV!$A$2:$A$121,1))))</f>
        <v>12</v>
      </c>
      <c r="AB732" s="18" t="n">
        <f aca="false">IF(D732="","",IF(L732&lt;=$B$16,1,IF(L732&gt;=$B$17,$B$21,MATCH(L732,Aux_CAV!$A$2:$A$121,1))))</f>
        <v>12</v>
      </c>
      <c r="AC732" s="19" t="n">
        <f aca="false">IF(D732="","",COUNT($D$24:D732))</f>
        <v>697</v>
      </c>
    </row>
    <row r="733" customFormat="false" ht="12.75" hidden="false" customHeight="true" outlineLevel="0" collapsed="false">
      <c r="A733" s="14" t="n">
        <f aca="false">IF(D733="","",DATE(B733,C733,1))</f>
        <v>25235</v>
      </c>
      <c r="B733" s="15" t="n">
        <f aca="false" t="array" ref="B733:B733">IF(D733="","",IFERROR(VALUE(INDEX(Vazoes_COLAR!$A$2:$A$200,INT((ROW()-24)/12)+1)),""))</f>
        <v>1969</v>
      </c>
      <c r="C733" s="15" t="n">
        <f aca="false">IF(D733="","",MOD(ROW()-24,12)+1)</f>
        <v>2</v>
      </c>
      <c r="D733" s="16" t="n">
        <f aca="false" t="array" ref="D733: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0.871001883819899</v>
      </c>
      <c r="E733" s="16" t="n">
        <f aca="false">IF(D733="","",D733*$B$15)</f>
        <v>2.25763688286118</v>
      </c>
      <c r="F733" s="16" t="n">
        <f aca="false" t="array" ref="F733:F733">IF(D733="","",IFERROR(INDEX(Dados_Evap!$C$2:$N$15,MATCH($B$9,Dados_Evap!$A$2:$A$15,0),C733),0))</f>
        <v>124.3</v>
      </c>
      <c r="G733" s="16" t="n">
        <f aca="false">IF(F733="","",F733/1000)</f>
        <v>0.1243</v>
      </c>
      <c r="H733" s="16" t="n">
        <f aca="false">IF(D733="","",MAX(0,MIN($B$8,IFERROR(LOOKUP(2,1/($U$24:U732&lt;&gt;""),$U$24:U732),$B$11))))</f>
        <v>31.4294222493229</v>
      </c>
      <c r="I733" s="16" t="n">
        <f aca="false" t="array" ref="I733: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>5.38101765114325</v>
      </c>
      <c r="J733" s="16" t="n">
        <f aca="false">IF(D733="","",$B$12)</f>
        <v>0.35</v>
      </c>
      <c r="K733" s="16" t="n">
        <f aca="false">IF(J733="","",J733*$B$15)</f>
        <v>0.9072</v>
      </c>
      <c r="L733" s="16" t="n">
        <f aca="false">IF(D733="","",H733+E733-K733-G733*I733)</f>
        <v>32.110998638147</v>
      </c>
      <c r="M733" s="16" t="n">
        <f aca="false" t="array" ref="M733: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>5.45182218862304</v>
      </c>
      <c r="N733" s="16" t="n">
        <f aca="false">IF(D733="","",(I733+M733)/2)</f>
        <v>5.41641991988314</v>
      </c>
      <c r="O733" s="16" t="n">
        <f aca="false">IF(D733="","",G733*N733)</f>
        <v>0.673260996041475</v>
      </c>
      <c r="P733" s="16" t="n">
        <f aca="false">IF(D733="","",H733+E733-K733-O733)</f>
        <v>32.1065981361426</v>
      </c>
      <c r="Q733" s="16" t="n">
        <f aca="false">IF(D733="","",IF(P733&gt;=0,K733,MAX(0,K733+P733)))</f>
        <v>0.9072</v>
      </c>
      <c r="R733" s="16" t="n">
        <f aca="false">IF(D733="","",Q733/$B$15)</f>
        <v>0.35</v>
      </c>
      <c r="S733" s="16" t="n">
        <f aca="false">IF(D733="","",MAX(0,J733-R733))</f>
        <v>0</v>
      </c>
      <c r="T733" s="16" t="n">
        <f aca="false">IF(D733="","",MAX(0,Z733-$B$8))</f>
        <v>0</v>
      </c>
      <c r="U733" s="16" t="n">
        <f aca="false">IF(D733="","",MAX(0,MIN($B$8,Z733)))</f>
        <v>32.1065981361426</v>
      </c>
      <c r="V733" s="16" t="str">
        <f aca="false">IF(D733="","",IF(S733&gt;0.0000001,"Sim","Não"))</f>
        <v>Não</v>
      </c>
      <c r="W733" s="16" t="n">
        <f aca="false">IF(D733="","",U733-(H733+E733-Q733-O733-T733))</f>
        <v>0</v>
      </c>
      <c r="X733" s="16" t="n">
        <f aca="false">IF(W733="","",ABS(W733))</f>
        <v>0</v>
      </c>
      <c r="Y733" s="16" t="n">
        <f aca="false">IF(U733="","",IF($B$8=0,0,U733/$B$8*100))</f>
        <v>67.9936428126696</v>
      </c>
      <c r="Z733" s="18" t="n">
        <f aca="false">IF(D733="","",MAX(0,IF(P733&gt;=0,P733,IF(K733+P733&gt;=0,0,P733+K733))))</f>
        <v>32.1065981361426</v>
      </c>
      <c r="AA733" s="18" t="n">
        <f aca="false">IF(D733="","",IF(H733&lt;=$B$16,1,IF(H733&gt;=$B$17,$B$21,MATCH(H733,Aux_CAV!$A$2:$A$121,1))))</f>
        <v>12</v>
      </c>
      <c r="AB733" s="18" t="n">
        <f aca="false">IF(D733="","",IF(L733&lt;=$B$16,1,IF(L733&gt;=$B$17,$B$21,MATCH(L733,Aux_CAV!$A$2:$A$121,1))))</f>
        <v>12</v>
      </c>
      <c r="AC733" s="19" t="n">
        <f aca="false">IF(D733="","",COUNT($D$24:D733))</f>
        <v>698</v>
      </c>
    </row>
    <row r="734" customFormat="false" ht="12.75" hidden="false" customHeight="true" outlineLevel="0" collapsed="false">
      <c r="A734" s="14" t="n">
        <f aca="false">IF(D734="","",DATE(B734,C734,1))</f>
        <v>25263</v>
      </c>
      <c r="B734" s="15" t="n">
        <f aca="false" t="array" ref="B734:B734">IF(D734="","",IFERROR(VALUE(INDEX(Vazoes_COLAR!$A$2:$A$200,INT((ROW()-24)/12)+1)),""))</f>
        <v>1969</v>
      </c>
      <c r="C734" s="15" t="n">
        <f aca="false">IF(D734="","",MOD(ROW()-24,12)+1)</f>
        <v>3</v>
      </c>
      <c r="D734" s="16" t="n">
        <f aca="false" t="array" ref="D734: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2.98331234865177</v>
      </c>
      <c r="E734" s="16" t="n">
        <f aca="false">IF(D734="","",D734*$B$15)</f>
        <v>7.73274560770539</v>
      </c>
      <c r="F734" s="16" t="n">
        <f aca="false" t="array" ref="F734:F734">IF(D734="","",IFERROR(INDEX(Dados_Evap!$C$2:$N$15,MATCH($B$9,Dados_Evap!$A$2:$A$15,0),C734),0))</f>
        <v>107.7</v>
      </c>
      <c r="G734" s="16" t="n">
        <f aca="false">IF(F734="","",F734/1000)</f>
        <v>0.1077</v>
      </c>
      <c r="H734" s="16" t="n">
        <f aca="false">IF(D734="","",MAX(0,MIN($B$8,IFERROR(LOOKUP(2,1/($U$24:U733&lt;&gt;""),$U$24:U733),$B$11))))</f>
        <v>32.1065981361426</v>
      </c>
      <c r="I734" s="16" t="n">
        <f aca="false" t="array" ref="I734: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>5.45136504909443</v>
      </c>
      <c r="J734" s="16" t="n">
        <f aca="false">IF(D734="","",$B$12)</f>
        <v>0.35</v>
      </c>
      <c r="K734" s="16" t="n">
        <f aca="false">IF(J734="","",J734*$B$15)</f>
        <v>0.9072</v>
      </c>
      <c r="L734" s="16" t="n">
        <f aca="false">IF(D734="","",H734+E734-K734-G734*I734)</f>
        <v>38.3450317280605</v>
      </c>
      <c r="M734" s="16" t="n">
        <f aca="false" t="array" ref="M734: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>6.08389860806894</v>
      </c>
      <c r="N734" s="16" t="n">
        <f aca="false">IF(D734="","",(I734+M734)/2)</f>
        <v>5.76763182858168</v>
      </c>
      <c r="O734" s="16" t="n">
        <f aca="false">IF(D734="","",G734*N734)</f>
        <v>0.621173947938247</v>
      </c>
      <c r="P734" s="16" t="n">
        <f aca="false">IF(D734="","",H734+E734-K734-O734)</f>
        <v>38.3109697959097</v>
      </c>
      <c r="Q734" s="16" t="n">
        <f aca="false">IF(D734="","",IF(P734&gt;=0,K734,MAX(0,K734+P734)))</f>
        <v>0.9072</v>
      </c>
      <c r="R734" s="16" t="n">
        <f aca="false">IF(D734="","",Q734/$B$15)</f>
        <v>0.35</v>
      </c>
      <c r="S734" s="16" t="n">
        <f aca="false">IF(D734="","",MAX(0,J734-R734))</f>
        <v>0</v>
      </c>
      <c r="T734" s="16" t="n">
        <f aca="false">IF(D734="","",MAX(0,Z734-$B$8))</f>
        <v>0</v>
      </c>
      <c r="U734" s="16" t="n">
        <f aca="false">IF(D734="","",MAX(0,MIN($B$8,Z734)))</f>
        <v>38.3109697959097</v>
      </c>
      <c r="V734" s="16" t="str">
        <f aca="false">IF(D734="","",IF(S734&gt;0.0000001,"Sim","Não"))</f>
        <v>Não</v>
      </c>
      <c r="W734" s="16" t="n">
        <f aca="false">IF(D734="","",U734-(H734+E734-Q734-O734-T734))</f>
        <v>0</v>
      </c>
      <c r="X734" s="16" t="n">
        <f aca="false">IF(W734="","",ABS(W734))</f>
        <v>0</v>
      </c>
      <c r="Y734" s="16" t="n">
        <f aca="false">IF(U734="","",IF($B$8=0,0,U734/$B$8*100))</f>
        <v>81.1329305292455</v>
      </c>
      <c r="Z734" s="18" t="n">
        <f aca="false">IF(D734="","",MAX(0,IF(P734&gt;=0,P734,IF(K734+P734&gt;=0,0,P734+K734))))</f>
        <v>38.3109697959097</v>
      </c>
      <c r="AA734" s="18" t="n">
        <f aca="false">IF(D734="","",IF(H734&lt;=$B$16,1,IF(H734&gt;=$B$17,$B$21,MATCH(H734,Aux_CAV!$A$2:$A$121,1))))</f>
        <v>12</v>
      </c>
      <c r="AB734" s="18" t="n">
        <f aca="false">IF(D734="","",IF(L734&lt;=$B$16,1,IF(L734&gt;=$B$17,$B$21,MATCH(L734,Aux_CAV!$A$2:$A$121,1))))</f>
        <v>13</v>
      </c>
      <c r="AC734" s="19" t="n">
        <f aca="false">IF(D734="","",COUNT($D$24:D734))</f>
        <v>699</v>
      </c>
    </row>
    <row r="735" customFormat="false" ht="12.75" hidden="false" customHeight="true" outlineLevel="0" collapsed="false">
      <c r="A735" s="14" t="n">
        <f aca="false">IF(D735="","",DATE(B735,C735,1))</f>
        <v>25294</v>
      </c>
      <c r="B735" s="15" t="n">
        <f aca="false" t="array" ref="B735:B735">IF(D735="","",IFERROR(VALUE(INDEX(Vazoes_COLAR!$A$2:$A$200,INT((ROW()-24)/12)+1)),""))</f>
        <v>1969</v>
      </c>
      <c r="C735" s="15" t="n">
        <f aca="false">IF(D735="","",MOD(ROW()-24,12)+1)</f>
        <v>4</v>
      </c>
      <c r="D735" s="16" t="n">
        <f aca="false" t="array" ref="D735: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3.90817289635585</v>
      </c>
      <c r="E735" s="16" t="n">
        <f aca="false">IF(D735="","",D735*$B$15)</f>
        <v>10.1299841473544</v>
      </c>
      <c r="F735" s="16" t="n">
        <f aca="false" t="array" ref="F735:F735">IF(D735="","",IFERROR(INDEX(Dados_Evap!$C$2:$N$15,MATCH($B$9,Dados_Evap!$A$2:$A$15,0),C735),0))</f>
        <v>100.5</v>
      </c>
      <c r="G735" s="16" t="n">
        <f aca="false">IF(F735="","",F735/1000)</f>
        <v>0.1005</v>
      </c>
      <c r="H735" s="16" t="n">
        <f aca="false">IF(D735="","",MAX(0,MIN($B$8,IFERROR(LOOKUP(2,1/($U$24:U734&lt;&gt;""),$U$24:U734),$B$11))))</f>
        <v>38.3109697959097</v>
      </c>
      <c r="I735" s="16" t="n">
        <f aca="false" t="array" ref="I735: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>6.08049777050357</v>
      </c>
      <c r="J735" s="16" t="n">
        <f aca="false">IF(D735="","",$B$12)</f>
        <v>0.35</v>
      </c>
      <c r="K735" s="16" t="n">
        <f aca="false">IF(J735="","",J735*$B$15)</f>
        <v>0.9072</v>
      </c>
      <c r="L735" s="16" t="n">
        <f aca="false">IF(D735="","",H735+E735-K735-G735*I735)</f>
        <v>46.9226639173285</v>
      </c>
      <c r="M735" s="16" t="n">
        <f aca="false" t="array" ref="M735: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>6.94031314268924</v>
      </c>
      <c r="N735" s="16" t="n">
        <f aca="false">IF(D735="","",(I735+M735)/2)</f>
        <v>6.51040545659641</v>
      </c>
      <c r="O735" s="16" t="n">
        <f aca="false">IF(D735="","",G735*N735)</f>
        <v>0.654295748387939</v>
      </c>
      <c r="P735" s="16" t="n">
        <f aca="false">IF(D735="","",H735+E735-K735-O735)</f>
        <v>46.8794581948762</v>
      </c>
      <c r="Q735" s="16" t="n">
        <f aca="false">IF(D735="","",IF(P735&gt;=0,K735,MAX(0,K735+P735)))</f>
        <v>0.9072</v>
      </c>
      <c r="R735" s="16" t="n">
        <f aca="false">IF(D735="","",Q735/$B$15)</f>
        <v>0.35</v>
      </c>
      <c r="S735" s="16" t="n">
        <f aca="false">IF(D735="","",MAX(0,J735-R735))</f>
        <v>0</v>
      </c>
      <c r="T735" s="16" t="n">
        <f aca="false">IF(D735="","",MAX(0,Z735-$B$8))</f>
        <v>0</v>
      </c>
      <c r="U735" s="16" t="n">
        <f aca="false">IF(D735="","",MAX(0,MIN($B$8,Z735)))</f>
        <v>46.8794581948762</v>
      </c>
      <c r="V735" s="16" t="str">
        <f aca="false">IF(D735="","",IF(S735&gt;0.0000001,"Sim","Não"))</f>
        <v>Não</v>
      </c>
      <c r="W735" s="16" t="n">
        <f aca="false">IF(D735="","",U735-(H735+E735-Q735-O735-T735))</f>
        <v>0</v>
      </c>
      <c r="X735" s="16" t="n">
        <f aca="false">IF(W735="","",ABS(W735))</f>
        <v>0</v>
      </c>
      <c r="Y735" s="16" t="n">
        <f aca="false">IF(U735="","",IF($B$8=0,0,U735/$B$8*100))</f>
        <v>99.27881871003</v>
      </c>
      <c r="Z735" s="18" t="n">
        <f aca="false">IF(D735="","",MAX(0,IF(P735&gt;=0,P735,IF(K735+P735&gt;=0,0,P735+K735))))</f>
        <v>46.8794581948762</v>
      </c>
      <c r="AA735" s="18" t="n">
        <f aca="false">IF(D735="","",IF(H735&lt;=$B$16,1,IF(H735&gt;=$B$17,$B$21,MATCH(H735,Aux_CAV!$A$2:$A$121,1))))</f>
        <v>13</v>
      </c>
      <c r="AB735" s="18" t="n">
        <f aca="false">IF(D735="","",IF(L735&lt;=$B$16,1,IF(L735&gt;=$B$17,$B$21,MATCH(L735,Aux_CAV!$A$2:$A$121,1))))</f>
        <v>13</v>
      </c>
      <c r="AC735" s="19" t="n">
        <f aca="false">IF(D735="","",COUNT($D$24:D735))</f>
        <v>700</v>
      </c>
    </row>
    <row r="736" customFormat="false" ht="12.75" hidden="false" customHeight="true" outlineLevel="0" collapsed="false">
      <c r="A736" s="14" t="n">
        <f aca="false">IF(D736="","",DATE(B736,C736,1))</f>
        <v>25324</v>
      </c>
      <c r="B736" s="15" t="n">
        <f aca="false" t="array" ref="B736:B736">IF(D736="","",IFERROR(VALUE(INDEX(Vazoes_COLAR!$A$2:$A$200,INT((ROW()-24)/12)+1)),""))</f>
        <v>1969</v>
      </c>
      <c r="C736" s="15" t="n">
        <f aca="false">IF(D736="","",MOD(ROW()-24,12)+1)</f>
        <v>5</v>
      </c>
      <c r="D736" s="16" t="n">
        <f aca="false" t="array" ref="D736: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2.41878017903936</v>
      </c>
      <c r="E736" s="16" t="n">
        <f aca="false">IF(D736="","",D736*$B$15)</f>
        <v>6.26947822407002</v>
      </c>
      <c r="F736" s="16" t="n">
        <f aca="false" t="array" ref="F736:F736">IF(D736="","",IFERROR(INDEX(Dados_Evap!$C$2:$N$15,MATCH($B$9,Dados_Evap!$A$2:$A$15,0),C736),0))</f>
        <v>145.8</v>
      </c>
      <c r="G736" s="16" t="n">
        <f aca="false">IF(F736="","",F736/1000)</f>
        <v>0.1458</v>
      </c>
      <c r="H736" s="16" t="n">
        <f aca="false">IF(D736="","",MAX(0,MIN($B$8,IFERROR(LOOKUP(2,1/($U$24:U735&lt;&gt;""),$U$24:U735),$B$11))))</f>
        <v>46.8794581948762</v>
      </c>
      <c r="I736" s="16" t="n">
        <f aca="false" t="array" ref="I736: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>6.9359993637966</v>
      </c>
      <c r="J736" s="16" t="n">
        <f aca="false">IF(D736="","",$B$12)</f>
        <v>0.35</v>
      </c>
      <c r="K736" s="16" t="n">
        <f aca="false">IF(J736="","",J736*$B$15)</f>
        <v>0.9072</v>
      </c>
      <c r="L736" s="16" t="n">
        <f aca="false">IF(D736="","",H736+E736-K736-G736*I736)</f>
        <v>51.2304677117046</v>
      </c>
      <c r="M736" s="16" t="n">
        <f aca="false" t="array" ref="M736: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>7.44277871398144</v>
      </c>
      <c r="N736" s="16" t="n">
        <f aca="false">IF(D736="","",(I736+M736)/2)</f>
        <v>7.18938903888902</v>
      </c>
      <c r="O736" s="16" t="n">
        <f aca="false">IF(D736="","",G736*N736)</f>
        <v>1.04821292187002</v>
      </c>
      <c r="P736" s="16" t="n">
        <f aca="false">IF(D736="","",H736+E736-K736-O736)</f>
        <v>51.1935234970762</v>
      </c>
      <c r="Q736" s="16" t="n">
        <f aca="false">IF(D736="","",IF(P736&gt;=0,K736,MAX(0,K736+P736)))</f>
        <v>0.9072</v>
      </c>
      <c r="R736" s="16" t="n">
        <f aca="false">IF(D736="","",Q736/$B$15)</f>
        <v>0.35</v>
      </c>
      <c r="S736" s="16" t="n">
        <f aca="false">IF(D736="","",MAX(0,J736-R736))</f>
        <v>0</v>
      </c>
      <c r="T736" s="16" t="n">
        <f aca="false">IF(D736="","",MAX(0,Z736-$B$8))</f>
        <v>3.97352349707617</v>
      </c>
      <c r="U736" s="16" t="n">
        <f aca="false">IF(D736="","",MAX(0,MIN($B$8,Z736)))</f>
        <v>47.22</v>
      </c>
      <c r="V736" s="16" t="str">
        <f aca="false">IF(D736="","",IF(S736&gt;0.0000001,"Sim","Não"))</f>
        <v>Não</v>
      </c>
      <c r="W736" s="16" t="n">
        <f aca="false">IF(D736="","",U736-(H736+E736-Q736-O736-T736))</f>
        <v>0</v>
      </c>
      <c r="X736" s="16" t="n">
        <f aca="false">IF(W736="","",ABS(W736))</f>
        <v>0</v>
      </c>
      <c r="Y736" s="16" t="n">
        <f aca="false">IF(U736="","",IF($B$8=0,0,U736/$B$8*100))</f>
        <v>100</v>
      </c>
      <c r="Z736" s="18" t="n">
        <f aca="false">IF(D736="","",MAX(0,IF(P736&gt;=0,P736,IF(K736+P736&gt;=0,0,P736+K736))))</f>
        <v>51.1935234970762</v>
      </c>
      <c r="AA736" s="18" t="n">
        <f aca="false">IF(D736="","",IF(H736&lt;=$B$16,1,IF(H736&gt;=$B$17,$B$21,MATCH(H736,Aux_CAV!$A$2:$A$121,1))))</f>
        <v>13</v>
      </c>
      <c r="AB736" s="18" t="n">
        <f aca="false">IF(D736="","",IF(L736&lt;=$B$16,1,IF(L736&gt;=$B$17,$B$21,MATCH(L736,Aux_CAV!$A$2:$A$121,1))))</f>
        <v>14</v>
      </c>
      <c r="AC736" s="19" t="n">
        <f aca="false">IF(D736="","",COUNT($D$24:D736))</f>
        <v>701</v>
      </c>
    </row>
    <row r="737" customFormat="false" ht="12.75" hidden="false" customHeight="true" outlineLevel="0" collapsed="false">
      <c r="A737" s="14" t="n">
        <f aca="false">IF(D737="","",DATE(B737,C737,1))</f>
        <v>25355</v>
      </c>
      <c r="B737" s="15" t="n">
        <f aca="false" t="array" ref="B737:B737">IF(D737="","",IFERROR(VALUE(INDEX(Vazoes_COLAR!$A$2:$A$200,INT((ROW()-24)/12)+1)),""))</f>
        <v>1969</v>
      </c>
      <c r="C737" s="15" t="n">
        <f aca="false">IF(D737="","",MOD(ROW()-24,12)+1)</f>
        <v>6</v>
      </c>
      <c r="D737" s="16" t="n">
        <f aca="false" t="array" ref="D737: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0.855792799473659</v>
      </c>
      <c r="E737" s="16" t="n">
        <f aca="false">IF(D737="","",D737*$B$15)</f>
        <v>2.21821493623572</v>
      </c>
      <c r="F737" s="16" t="n">
        <f aca="false" t="array" ref="F737:F737">IF(D737="","",IFERROR(INDEX(Dados_Evap!$C$2:$N$15,MATCH($B$9,Dados_Evap!$A$2:$A$15,0),C737),0))</f>
        <v>161.3</v>
      </c>
      <c r="G737" s="16" t="n">
        <f aca="false">IF(F737="","",F737/1000)</f>
        <v>0.1613</v>
      </c>
      <c r="H737" s="16" t="n">
        <f aca="false">IF(D737="","",MAX(0,MIN($B$8,IFERROR(LOOKUP(2,1/($U$24:U736&lt;&gt;""),$U$24:U736),$B$11))))</f>
        <v>47.22</v>
      </c>
      <c r="I737" s="16" t="n">
        <f aca="false" t="array" ref="I737: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>6.97</v>
      </c>
      <c r="J737" s="16" t="n">
        <f aca="false">IF(D737="","",$B$12)</f>
        <v>0.35</v>
      </c>
      <c r="K737" s="16" t="n">
        <f aca="false">IF(J737="","",J737*$B$15)</f>
        <v>0.9072</v>
      </c>
      <c r="L737" s="16" t="n">
        <f aca="false">IF(D737="","",H737+E737-K737-G737*I737)</f>
        <v>47.4067539362357</v>
      </c>
      <c r="M737" s="16" t="n">
        <f aca="false" t="array" ref="M737: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>6.99201570793023</v>
      </c>
      <c r="N737" s="16" t="n">
        <f aca="false">IF(D737="","",(I737+M737)/2)</f>
        <v>6.98100785396511</v>
      </c>
      <c r="O737" s="16" t="n">
        <f aca="false">IF(D737="","",G737*N737)</f>
        <v>1.12603656684457</v>
      </c>
      <c r="P737" s="16" t="n">
        <f aca="false">IF(D737="","",H737+E737-K737-O737)</f>
        <v>47.4049783693911</v>
      </c>
      <c r="Q737" s="16" t="n">
        <f aca="false">IF(D737="","",IF(P737&gt;=0,K737,MAX(0,K737+P737)))</f>
        <v>0.9072</v>
      </c>
      <c r="R737" s="16" t="n">
        <f aca="false">IF(D737="","",Q737/$B$15)</f>
        <v>0.35</v>
      </c>
      <c r="S737" s="16" t="n">
        <f aca="false">IF(D737="","",MAX(0,J737-R737))</f>
        <v>0</v>
      </c>
      <c r="T737" s="16" t="n">
        <f aca="false">IF(D737="","",MAX(0,Z737-$B$8))</f>
        <v>0.184978369391146</v>
      </c>
      <c r="U737" s="16" t="n">
        <f aca="false">IF(D737="","",MAX(0,MIN($B$8,Z737)))</f>
        <v>47.22</v>
      </c>
      <c r="V737" s="16" t="str">
        <f aca="false">IF(D737="","",IF(S737&gt;0.0000001,"Sim","Não"))</f>
        <v>Não</v>
      </c>
      <c r="W737" s="16" t="n">
        <f aca="false">IF(D737="","",U737-(H737+E737-Q737-O737-T737))</f>
        <v>0</v>
      </c>
      <c r="X737" s="16" t="n">
        <f aca="false">IF(W737="","",ABS(W737))</f>
        <v>0</v>
      </c>
      <c r="Y737" s="16" t="n">
        <f aca="false">IF(U737="","",IF($B$8=0,0,U737/$B$8*100))</f>
        <v>100</v>
      </c>
      <c r="Z737" s="18" t="n">
        <f aca="false">IF(D737="","",MAX(0,IF(P737&gt;=0,P737,IF(K737+P737&gt;=0,0,P737+K737))))</f>
        <v>47.4049783693911</v>
      </c>
      <c r="AA737" s="18" t="n">
        <f aca="false">IF(D737="","",IF(H737&lt;=$B$16,1,IF(H737&gt;=$B$17,$B$21,MATCH(H737,Aux_CAV!$A$2:$A$121,1))))</f>
        <v>14</v>
      </c>
      <c r="AB737" s="18" t="n">
        <f aca="false">IF(D737="","",IF(L737&lt;=$B$16,1,IF(L737&gt;=$B$17,$B$21,MATCH(L737,Aux_CAV!$A$2:$A$121,1))))</f>
        <v>14</v>
      </c>
      <c r="AC737" s="19" t="n">
        <f aca="false">IF(D737="","",COUNT($D$24:D737))</f>
        <v>702</v>
      </c>
    </row>
    <row r="738" customFormat="false" ht="12.75" hidden="false" customHeight="true" outlineLevel="0" collapsed="false">
      <c r="A738" s="14" t="n">
        <f aca="false">IF(D738="","",DATE(B738,C738,1))</f>
        <v>25385</v>
      </c>
      <c r="B738" s="15" t="n">
        <f aca="false" t="array" ref="B738:B738">IF(D738="","",IFERROR(VALUE(INDEX(Vazoes_COLAR!$A$2:$A$200,INT((ROW()-24)/12)+1)),""))</f>
        <v>1969</v>
      </c>
      <c r="C738" s="15" t="n">
        <f aca="false">IF(D738="","",MOD(ROW()-24,12)+1)</f>
        <v>7</v>
      </c>
      <c r="D738" s="16" t="n">
        <f aca="false" t="array" ref="D738: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0.470541495968729</v>
      </c>
      <c r="E738" s="16" t="n">
        <f aca="false">IF(D738="","",D738*$B$15)</f>
        <v>1.21964355755095</v>
      </c>
      <c r="F738" s="16" t="n">
        <f aca="false" t="array" ref="F738:F738">IF(D738="","",IFERROR(INDEX(Dados_Evap!$C$2:$N$15,MATCH($B$9,Dados_Evap!$A$2:$A$15,0),C738),0))</f>
        <v>224.8</v>
      </c>
      <c r="G738" s="16" t="n">
        <f aca="false">IF(F738="","",F738/1000)</f>
        <v>0.2248</v>
      </c>
      <c r="H738" s="16" t="n">
        <f aca="false">IF(D738="","",MAX(0,MIN($B$8,IFERROR(LOOKUP(2,1/($U$24:U737&lt;&gt;""),$U$24:U737),$B$11))))</f>
        <v>47.22</v>
      </c>
      <c r="I738" s="16" t="n">
        <f aca="false" t="array" ref="I738: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>6.97</v>
      </c>
      <c r="J738" s="16" t="n">
        <f aca="false">IF(D738="","",$B$12)</f>
        <v>0.35</v>
      </c>
      <c r="K738" s="16" t="n">
        <f aca="false">IF(J738="","",J738*$B$15)</f>
        <v>0.9072</v>
      </c>
      <c r="L738" s="16" t="n">
        <f aca="false">IF(D738="","",H738+E738-K738-G738*I738)</f>
        <v>45.9655875575509</v>
      </c>
      <c r="M738" s="16" t="n">
        <f aca="false" t="array" ref="M738: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>6.84475599041586</v>
      </c>
      <c r="N738" s="16" t="n">
        <f aca="false">IF(D738="","",(I738+M738)/2)</f>
        <v>6.90737799520793</v>
      </c>
      <c r="O738" s="16" t="n">
        <f aca="false">IF(D738="","",G738*N738)</f>
        <v>1.55277857332274</v>
      </c>
      <c r="P738" s="16" t="n">
        <f aca="false">IF(D738="","",H738+E738-K738-O738)</f>
        <v>45.9796649842282</v>
      </c>
      <c r="Q738" s="16" t="n">
        <f aca="false">IF(D738="","",IF(P738&gt;=0,K738,MAX(0,K738+P738)))</f>
        <v>0.9072</v>
      </c>
      <c r="R738" s="16" t="n">
        <f aca="false">IF(D738="","",Q738/$B$15)</f>
        <v>0.35</v>
      </c>
      <c r="S738" s="16" t="n">
        <f aca="false">IF(D738="","",MAX(0,J738-R738))</f>
        <v>0</v>
      </c>
      <c r="T738" s="16" t="n">
        <f aca="false">IF(D738="","",MAX(0,Z738-$B$8))</f>
        <v>0</v>
      </c>
      <c r="U738" s="16" t="n">
        <f aca="false">IF(D738="","",MAX(0,MIN($B$8,Z738)))</f>
        <v>45.9796649842282</v>
      </c>
      <c r="V738" s="16" t="str">
        <f aca="false">IF(D738="","",IF(S738&gt;0.0000001,"Sim","Não"))</f>
        <v>Não</v>
      </c>
      <c r="W738" s="16" t="n">
        <f aca="false">IF(D738="","",U738-(H738+E738-Q738-O738-T738))</f>
        <v>0</v>
      </c>
      <c r="X738" s="16" t="n">
        <f aca="false">IF(W738="","",ABS(W738))</f>
        <v>0</v>
      </c>
      <c r="Y738" s="16" t="n">
        <f aca="false">IF(U738="","",IF($B$8=0,0,U738/$B$8*100))</f>
        <v>97.3732845917582</v>
      </c>
      <c r="Z738" s="18" t="n">
        <f aca="false">IF(D738="","",MAX(0,IF(P738&gt;=0,P738,IF(K738+P738&gt;=0,0,P738+K738))))</f>
        <v>45.9796649842282</v>
      </c>
      <c r="AA738" s="18" t="n">
        <f aca="false">IF(D738="","",IF(H738&lt;=$B$16,1,IF(H738&gt;=$B$17,$B$21,MATCH(H738,Aux_CAV!$A$2:$A$121,1))))</f>
        <v>14</v>
      </c>
      <c r="AB738" s="18" t="n">
        <f aca="false">IF(D738="","",IF(L738&lt;=$B$16,1,IF(L738&gt;=$B$17,$B$21,MATCH(L738,Aux_CAV!$A$2:$A$121,1))))</f>
        <v>13</v>
      </c>
      <c r="AC738" s="19" t="n">
        <f aca="false">IF(D738="","",COUNT($D$24:D738))</f>
        <v>703</v>
      </c>
    </row>
    <row r="739" customFormat="false" ht="12.75" hidden="false" customHeight="true" outlineLevel="0" collapsed="false">
      <c r="A739" s="14" t="n">
        <f aca="false">IF(D739="","",DATE(B739,C739,1))</f>
        <v>25416</v>
      </c>
      <c r="B739" s="15" t="n">
        <f aca="false" t="array" ref="B739:B739">IF(D739="","",IFERROR(VALUE(INDEX(Vazoes_COLAR!$A$2:$A$200,INT((ROW()-24)/12)+1)),""))</f>
        <v>1969</v>
      </c>
      <c r="C739" s="15" t="n">
        <f aca="false">IF(D739="","",MOD(ROW()-24,12)+1)</f>
        <v>8</v>
      </c>
      <c r="D739" s="16" t="n">
        <f aca="false" t="array" ref="D739: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0.0395933354857658</v>
      </c>
      <c r="E739" s="16" t="n">
        <f aca="false">IF(D739="","",D739*$B$15)</f>
        <v>0.102625925579105</v>
      </c>
      <c r="F739" s="16" t="n">
        <f aca="false" t="array" ref="F739:F739">IF(D739="","",IFERROR(INDEX(Dados_Evap!$C$2:$N$15,MATCH($B$9,Dados_Evap!$A$2:$A$15,0),C739),0))</f>
        <v>268.7</v>
      </c>
      <c r="G739" s="16" t="n">
        <f aca="false">IF(F739="","",F739/1000)</f>
        <v>0.2687</v>
      </c>
      <c r="H739" s="16" t="n">
        <f aca="false">IF(D739="","",MAX(0,MIN($B$8,IFERROR(LOOKUP(2,1/($U$24:U738&lt;&gt;""),$U$24:U738),$B$11))))</f>
        <v>45.9796649842282</v>
      </c>
      <c r="I739" s="16" t="n">
        <f aca="false" t="array" ref="I739: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>6.84616151965172</v>
      </c>
      <c r="J739" s="16" t="n">
        <f aca="false">IF(D739="","",$B$12)</f>
        <v>0.35</v>
      </c>
      <c r="K739" s="16" t="n">
        <f aca="false">IF(J739="","",J739*$B$15)</f>
        <v>0.9072</v>
      </c>
      <c r="L739" s="16" t="n">
        <f aca="false">IF(D739="","",H739+E739-K739-G739*I739)</f>
        <v>43.3355273094769</v>
      </c>
      <c r="M739" s="16" t="n">
        <f aca="false" t="array" ref="M739: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>6.582163497094</v>
      </c>
      <c r="N739" s="16" t="n">
        <f aca="false">IF(D739="","",(I739+M739)/2)</f>
        <v>6.71416250837286</v>
      </c>
      <c r="O739" s="16" t="n">
        <f aca="false">IF(D739="","",G739*N739)</f>
        <v>1.80409546599979</v>
      </c>
      <c r="P739" s="16" t="n">
        <f aca="false">IF(D739="","",H739+E739-K739-O739)</f>
        <v>43.3709954438075</v>
      </c>
      <c r="Q739" s="16" t="n">
        <f aca="false">IF(D739="","",IF(P739&gt;=0,K739,MAX(0,K739+P739)))</f>
        <v>0.9072</v>
      </c>
      <c r="R739" s="16" t="n">
        <f aca="false">IF(D739="","",Q739/$B$15)</f>
        <v>0.35</v>
      </c>
      <c r="S739" s="16" t="n">
        <f aca="false">IF(D739="","",MAX(0,J739-R739))</f>
        <v>0</v>
      </c>
      <c r="T739" s="16" t="n">
        <f aca="false">IF(D739="","",MAX(0,Z739-$B$8))</f>
        <v>0</v>
      </c>
      <c r="U739" s="16" t="n">
        <f aca="false">IF(D739="","",MAX(0,MIN($B$8,Z739)))</f>
        <v>43.3709954438075</v>
      </c>
      <c r="V739" s="16" t="str">
        <f aca="false">IF(D739="","",IF(S739&gt;0.0000001,"Sim","Não"))</f>
        <v>Não</v>
      </c>
      <c r="W739" s="16" t="n">
        <f aca="false">IF(D739="","",U739-(H739+E739-Q739-O739-T739))</f>
        <v>0</v>
      </c>
      <c r="X739" s="16" t="n">
        <f aca="false">IF(W739="","",ABS(W739))</f>
        <v>0</v>
      </c>
      <c r="Y739" s="16" t="n">
        <f aca="false">IF(U739="","",IF($B$8=0,0,U739/$B$8*100))</f>
        <v>91.8487832355094</v>
      </c>
      <c r="Z739" s="18" t="n">
        <f aca="false">IF(D739="","",MAX(0,IF(P739&gt;=0,P739,IF(K739+P739&gt;=0,0,P739+K739))))</f>
        <v>43.3709954438075</v>
      </c>
      <c r="AA739" s="18" t="n">
        <f aca="false">IF(D739="","",IF(H739&lt;=$B$16,1,IF(H739&gt;=$B$17,$B$21,MATCH(H739,Aux_CAV!$A$2:$A$121,1))))</f>
        <v>13</v>
      </c>
      <c r="AB739" s="18" t="n">
        <f aca="false">IF(D739="","",IF(L739&lt;=$B$16,1,IF(L739&gt;=$B$17,$B$21,MATCH(L739,Aux_CAV!$A$2:$A$121,1))))</f>
        <v>13</v>
      </c>
      <c r="AC739" s="19" t="n">
        <f aca="false">IF(D739="","",COUNT($D$24:D739))</f>
        <v>704</v>
      </c>
    </row>
    <row r="740" customFormat="false" ht="12.75" hidden="false" customHeight="true" outlineLevel="0" collapsed="false">
      <c r="A740" s="14" t="n">
        <f aca="false">IF(D740="","",DATE(B740,C740,1))</f>
        <v>25447</v>
      </c>
      <c r="B740" s="15" t="n">
        <f aca="false" t="array" ref="B740:B740">IF(D740="","",IFERROR(VALUE(INDEX(Vazoes_COLAR!$A$2:$A$200,INT((ROW()-24)/12)+1)),""))</f>
        <v>1969</v>
      </c>
      <c r="C740" s="15" t="n">
        <f aca="false">IF(D740="","",MOD(ROW()-24,12)+1)</f>
        <v>9</v>
      </c>
      <c r="D740" s="16" t="n">
        <f aca="false" t="array" ref="D740: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0.0632304564721626</v>
      </c>
      <c r="E740" s="16" t="n">
        <f aca="false">IF(D740="","",D740*$B$15)</f>
        <v>0.163893343175845</v>
      </c>
      <c r="F740" s="16" t="n">
        <f aca="false" t="array" ref="F740:F740">IF(D740="","",IFERROR(INDEX(Dados_Evap!$C$2:$N$15,MATCH($B$9,Dados_Evap!$A$2:$A$15,0),C740),0))</f>
        <v>292.8</v>
      </c>
      <c r="G740" s="16" t="n">
        <f aca="false">IF(F740="","",F740/1000)</f>
        <v>0.2928</v>
      </c>
      <c r="H740" s="16" t="n">
        <f aca="false">IF(D740="","",MAX(0,MIN($B$8,IFERROR(LOOKUP(2,1/($U$24:U739&lt;&gt;""),$U$24:U739),$B$11))))</f>
        <v>43.3709954438075</v>
      </c>
      <c r="I740" s="16" t="n">
        <f aca="false" t="array" ref="I740: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>6.58570473377638</v>
      </c>
      <c r="J740" s="16" t="n">
        <f aca="false">IF(D740="","",$B$12)</f>
        <v>0.35</v>
      </c>
      <c r="K740" s="16" t="n">
        <f aca="false">IF(J740="","",J740*$B$15)</f>
        <v>0.9072</v>
      </c>
      <c r="L740" s="16" t="n">
        <f aca="false">IF(D740="","",H740+E740-K740-G740*I740)</f>
        <v>40.6993944409336</v>
      </c>
      <c r="M740" s="16" t="n">
        <f aca="false" t="array" ref="M740: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>6.31896469653976</v>
      </c>
      <c r="N740" s="16" t="n">
        <f aca="false">IF(D740="","",(I740+M740)/2)</f>
        <v>6.45233471515807</v>
      </c>
      <c r="O740" s="16" t="n">
        <f aca="false">IF(D740="","",G740*N740)</f>
        <v>1.88924360459828</v>
      </c>
      <c r="P740" s="16" t="n">
        <f aca="false">IF(D740="","",H740+E740-K740-O740)</f>
        <v>40.7384451823851</v>
      </c>
      <c r="Q740" s="16" t="n">
        <f aca="false">IF(D740="","",IF(P740&gt;=0,K740,MAX(0,K740+P740)))</f>
        <v>0.9072</v>
      </c>
      <c r="R740" s="16" t="n">
        <f aca="false">IF(D740="","",Q740/$B$15)</f>
        <v>0.35</v>
      </c>
      <c r="S740" s="16" t="n">
        <f aca="false">IF(D740="","",MAX(0,J740-R740))</f>
        <v>0</v>
      </c>
      <c r="T740" s="16" t="n">
        <f aca="false">IF(D740="","",MAX(0,Z740-$B$8))</f>
        <v>0</v>
      </c>
      <c r="U740" s="16" t="n">
        <f aca="false">IF(D740="","",MAX(0,MIN($B$8,Z740)))</f>
        <v>40.7384451823851</v>
      </c>
      <c r="V740" s="16" t="str">
        <f aca="false">IF(D740="","",IF(S740&gt;0.0000001,"Sim","Não"))</f>
        <v>Não</v>
      </c>
      <c r="W740" s="16" t="n">
        <f aca="false">IF(D740="","",U740-(H740+E740-Q740-O740-T740))</f>
        <v>0</v>
      </c>
      <c r="X740" s="16" t="n">
        <f aca="false">IF(W740="","",ABS(W740))</f>
        <v>0</v>
      </c>
      <c r="Y740" s="16" t="n">
        <f aca="false">IF(U740="","",IF($B$8=0,0,U740/$B$8*100))</f>
        <v>86.2737085607477</v>
      </c>
      <c r="Z740" s="18" t="n">
        <f aca="false">IF(D740="","",MAX(0,IF(P740&gt;=0,P740,IF(K740+P740&gt;=0,0,P740+K740))))</f>
        <v>40.7384451823851</v>
      </c>
      <c r="AA740" s="18" t="n">
        <f aca="false">IF(D740="","",IF(H740&lt;=$B$16,1,IF(H740&gt;=$B$17,$B$21,MATCH(H740,Aux_CAV!$A$2:$A$121,1))))</f>
        <v>13</v>
      </c>
      <c r="AB740" s="18" t="n">
        <f aca="false">IF(D740="","",IF(L740&lt;=$B$16,1,IF(L740&gt;=$B$17,$B$21,MATCH(L740,Aux_CAV!$A$2:$A$121,1))))</f>
        <v>13</v>
      </c>
      <c r="AC740" s="19" t="n">
        <f aca="false">IF(D740="","",COUNT($D$24:D740))</f>
        <v>705</v>
      </c>
    </row>
    <row r="741" customFormat="false" ht="12.75" hidden="false" customHeight="true" outlineLevel="0" collapsed="false">
      <c r="A741" s="14" t="n">
        <f aca="false">IF(D741="","",DATE(B741,C741,1))</f>
        <v>25477</v>
      </c>
      <c r="B741" s="15" t="n">
        <f aca="false" t="array" ref="B741:B741">IF(D741="","",IFERROR(VALUE(INDEX(Vazoes_COLAR!$A$2:$A$200,INT((ROW()-24)/12)+1)),""))</f>
        <v>1969</v>
      </c>
      <c r="C741" s="15" t="n">
        <f aca="false">IF(D741="","",MOD(ROW()-24,12)+1)</f>
        <v>10</v>
      </c>
      <c r="D741" s="16" t="n">
        <f aca="false" t="array" ref="D741: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0.0328958564863687</v>
      </c>
      <c r="E741" s="16" t="n">
        <f aca="false">IF(D741="","",D741*$B$15)</f>
        <v>0.0852660600126677</v>
      </c>
      <c r="F741" s="16" t="n">
        <f aca="false" t="array" ref="F741:F741">IF(D741="","",IFERROR(INDEX(Dados_Evap!$C$2:$N$15,MATCH($B$9,Dados_Evap!$A$2:$A$15,0),C741),0))</f>
        <v>262.9</v>
      </c>
      <c r="G741" s="16" t="n">
        <f aca="false">IF(F741="","",F741/1000)</f>
        <v>0.2629</v>
      </c>
      <c r="H741" s="16" t="n">
        <f aca="false">IF(D741="","",MAX(0,MIN($B$8,IFERROR(LOOKUP(2,1/($U$24:U740&lt;&gt;""),$U$24:U740),$B$11))))</f>
        <v>40.7384451823851</v>
      </c>
      <c r="I741" s="16" t="n">
        <f aca="false" t="array" ref="I741: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>6.32286363063121</v>
      </c>
      <c r="J741" s="16" t="n">
        <f aca="false">IF(D741="","",$B$12)</f>
        <v>0.35</v>
      </c>
      <c r="K741" s="16" t="n">
        <f aca="false">IF(J741="","",J741*$B$15)</f>
        <v>0.9072</v>
      </c>
      <c r="L741" s="16" t="n">
        <f aca="false">IF(D741="","",H741+E741-K741-G741*I741)</f>
        <v>38.2542303939048</v>
      </c>
      <c r="M741" s="16" t="n">
        <f aca="false" t="array" ref="M741: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>6.0748327515927</v>
      </c>
      <c r="N741" s="16" t="n">
        <f aca="false">IF(D741="","",(I741+M741)/2)</f>
        <v>6.19884819111196</v>
      </c>
      <c r="O741" s="16" t="n">
        <f aca="false">IF(D741="","",G741*N741)</f>
        <v>1.62967718944333</v>
      </c>
      <c r="P741" s="16" t="n">
        <f aca="false">IF(D741="","",H741+E741-K741-O741)</f>
        <v>38.2868340529544</v>
      </c>
      <c r="Q741" s="16" t="n">
        <f aca="false">IF(D741="","",IF(P741&gt;=0,K741,MAX(0,K741+P741)))</f>
        <v>0.9072</v>
      </c>
      <c r="R741" s="16" t="n">
        <f aca="false">IF(D741="","",Q741/$B$15)</f>
        <v>0.35</v>
      </c>
      <c r="S741" s="16" t="n">
        <f aca="false">IF(D741="","",MAX(0,J741-R741))</f>
        <v>0</v>
      </c>
      <c r="T741" s="16" t="n">
        <f aca="false">IF(D741="","",MAX(0,Z741-$B$8))</f>
        <v>0</v>
      </c>
      <c r="U741" s="16" t="n">
        <f aca="false">IF(D741="","",MAX(0,MIN($B$8,Z741)))</f>
        <v>38.2868340529544</v>
      </c>
      <c r="V741" s="16" t="str">
        <f aca="false">IF(D741="","",IF(S741&gt;0.0000001,"Sim","Não"))</f>
        <v>Não</v>
      </c>
      <c r="W741" s="16" t="n">
        <f aca="false">IF(D741="","",U741-(H741+E741-Q741-O741-T741))</f>
        <v>0</v>
      </c>
      <c r="X741" s="16" t="n">
        <f aca="false">IF(W741="","",ABS(W741))</f>
        <v>0</v>
      </c>
      <c r="Y741" s="16" t="n">
        <f aca="false">IF(U741="","",IF($B$8=0,0,U741/$B$8*100))</f>
        <v>81.0818171388276</v>
      </c>
      <c r="Z741" s="18" t="n">
        <f aca="false">IF(D741="","",MAX(0,IF(P741&gt;=0,P741,IF(K741+P741&gt;=0,0,P741+K741))))</f>
        <v>38.2868340529544</v>
      </c>
      <c r="AA741" s="18" t="n">
        <f aca="false">IF(D741="","",IF(H741&lt;=$B$16,1,IF(H741&gt;=$B$17,$B$21,MATCH(H741,Aux_CAV!$A$2:$A$121,1))))</f>
        <v>13</v>
      </c>
      <c r="AB741" s="18" t="n">
        <f aca="false">IF(D741="","",IF(L741&lt;=$B$16,1,IF(L741&gt;=$B$17,$B$21,MATCH(L741,Aux_CAV!$A$2:$A$121,1))))</f>
        <v>13</v>
      </c>
      <c r="AC741" s="19" t="n">
        <f aca="false">IF(D741="","",COUNT($D$24:D741))</f>
        <v>706</v>
      </c>
    </row>
    <row r="742" customFormat="false" ht="12.75" hidden="false" customHeight="true" outlineLevel="0" collapsed="false">
      <c r="A742" s="14" t="n">
        <f aca="false">IF(D742="","",DATE(B742,C742,1))</f>
        <v>25508</v>
      </c>
      <c r="B742" s="15" t="n">
        <f aca="false" t="array" ref="B742:B742">IF(D742="","",IFERROR(VALUE(INDEX(Vazoes_COLAR!$A$2:$A$200,INT((ROW()-24)/12)+1)),""))</f>
        <v>1969</v>
      </c>
      <c r="C742" s="15" t="n">
        <f aca="false">IF(D742="","",MOD(ROW()-24,12)+1)</f>
        <v>11</v>
      </c>
      <c r="D742" s="16" t="n">
        <f aca="false" t="array" ref="D742: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0.0204069319733222</v>
      </c>
      <c r="E742" s="16" t="n">
        <f aca="false">IF(D742="","",D742*$B$15)</f>
        <v>0.0528947676748511</v>
      </c>
      <c r="F742" s="16" t="n">
        <f aca="false" t="array" ref="F742:F742">IF(D742="","",IFERROR(INDEX(Dados_Evap!$C$2:$N$15,MATCH($B$9,Dados_Evap!$A$2:$A$15,0),C742),0))</f>
        <v>223.7</v>
      </c>
      <c r="G742" s="16" t="n">
        <f aca="false">IF(F742="","",F742/1000)</f>
        <v>0.2237</v>
      </c>
      <c r="H742" s="16" t="n">
        <f aca="false">IF(D742="","",MAX(0,MIN($B$8,IFERROR(LOOKUP(2,1/($U$24:U741&lt;&gt;""),$U$24:U741),$B$11))))</f>
        <v>38.2868340529544</v>
      </c>
      <c r="I742" s="16" t="n">
        <f aca="false" t="array" ref="I742: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>6.07808799113617</v>
      </c>
      <c r="J742" s="16" t="n">
        <f aca="false">IF(D742="","",$B$12)</f>
        <v>0.35</v>
      </c>
      <c r="K742" s="16" t="n">
        <f aca="false">IF(J742="","",J742*$B$15)</f>
        <v>0.9072</v>
      </c>
      <c r="L742" s="16" t="n">
        <f aca="false">IF(D742="","",H742+E742-K742-G742*I742)</f>
        <v>36.0728605370121</v>
      </c>
      <c r="M742" s="16" t="n">
        <f aca="false" t="array" ref="M742: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>5.85703874858533</v>
      </c>
      <c r="N742" s="16" t="n">
        <f aca="false">IF(D742="","",(I742+M742)/2)</f>
        <v>5.96756336986075</v>
      </c>
      <c r="O742" s="16" t="n">
        <f aca="false">IF(D742="","",G742*N742)</f>
        <v>1.33494392583785</v>
      </c>
      <c r="P742" s="16" t="n">
        <f aca="false">IF(D742="","",H742+E742-K742-O742)</f>
        <v>36.0975848947914</v>
      </c>
      <c r="Q742" s="16" t="n">
        <f aca="false">IF(D742="","",IF(P742&gt;=0,K742,MAX(0,K742+P742)))</f>
        <v>0.9072</v>
      </c>
      <c r="R742" s="16" t="n">
        <f aca="false">IF(D742="","",Q742/$B$15)</f>
        <v>0.35</v>
      </c>
      <c r="S742" s="16" t="n">
        <f aca="false">IF(D742="","",MAX(0,J742-R742))</f>
        <v>0</v>
      </c>
      <c r="T742" s="16" t="n">
        <f aca="false">IF(D742="","",MAX(0,Z742-$B$8))</f>
        <v>0</v>
      </c>
      <c r="U742" s="16" t="n">
        <f aca="false">IF(D742="","",MAX(0,MIN($B$8,Z742)))</f>
        <v>36.0975848947914</v>
      </c>
      <c r="V742" s="16" t="str">
        <f aca="false">IF(D742="","",IF(S742&gt;0.0000001,"Sim","Não"))</f>
        <v>Não</v>
      </c>
      <c r="W742" s="16" t="n">
        <f aca="false">IF(D742="","",U742-(H742+E742-Q742-O742-T742))</f>
        <v>0</v>
      </c>
      <c r="X742" s="16" t="n">
        <f aca="false">IF(W742="","",ABS(W742))</f>
        <v>0</v>
      </c>
      <c r="Y742" s="16" t="n">
        <f aca="false">IF(U742="","",IF($B$8=0,0,U742/$B$8*100))</f>
        <v>76.4455419203545</v>
      </c>
      <c r="Z742" s="18" t="n">
        <f aca="false">IF(D742="","",MAX(0,IF(P742&gt;=0,P742,IF(K742+P742&gt;=0,0,P742+K742))))</f>
        <v>36.0975848947914</v>
      </c>
      <c r="AA742" s="18" t="n">
        <f aca="false">IF(D742="","",IF(H742&lt;=$B$16,1,IF(H742&gt;=$B$17,$B$21,MATCH(H742,Aux_CAV!$A$2:$A$121,1))))</f>
        <v>13</v>
      </c>
      <c r="AB742" s="18" t="n">
        <f aca="false">IF(D742="","",IF(L742&lt;=$B$16,1,IF(L742&gt;=$B$17,$B$21,MATCH(L742,Aux_CAV!$A$2:$A$121,1))))</f>
        <v>13</v>
      </c>
      <c r="AC742" s="19" t="n">
        <f aca="false">IF(D742="","",COUNT($D$24:D742))</f>
        <v>707</v>
      </c>
    </row>
    <row r="743" customFormat="false" ht="12.75" hidden="false" customHeight="true" outlineLevel="0" collapsed="false">
      <c r="A743" s="14" t="n">
        <f aca="false">IF(D743="","",DATE(B743,C743,1))</f>
        <v>25538</v>
      </c>
      <c r="B743" s="15" t="n">
        <f aca="false" t="array" ref="B743:B743">IF(D743="","",IFERROR(VALUE(INDEX(Vazoes_COLAR!$A$2:$A$200,INT((ROW()-24)/12)+1)),""))</f>
        <v>1969</v>
      </c>
      <c r="C743" s="15" t="n">
        <f aca="false">IF(D743="","",MOD(ROW()-24,12)+1)</f>
        <v>12</v>
      </c>
      <c r="D743" s="16" t="n">
        <f aca="false" t="array" ref="D743: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0.0414701189134104</v>
      </c>
      <c r="E743" s="16" t="n">
        <f aca="false">IF(D743="","",D743*$B$15)</f>
        <v>0.10749054822356</v>
      </c>
      <c r="F743" s="16" t="n">
        <f aca="false" t="array" ref="F743:F743">IF(D743="","",IFERROR(INDEX(Dados_Evap!$C$2:$N$15,MATCH($B$9,Dados_Evap!$A$2:$A$15,0),C743),0))</f>
        <v>216.1</v>
      </c>
      <c r="G743" s="16" t="n">
        <f aca="false">IF(F743="","",F743/1000)</f>
        <v>0.2161</v>
      </c>
      <c r="H743" s="16" t="n">
        <f aca="false">IF(D743="","",MAX(0,MIN($B$8,IFERROR(LOOKUP(2,1/($U$24:U742&lt;&gt;""),$U$24:U742),$B$11))))</f>
        <v>36.0975848947914</v>
      </c>
      <c r="I743" s="16" t="n">
        <f aca="false" t="array" ref="I743: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>5.85950729688562</v>
      </c>
      <c r="J743" s="16" t="n">
        <f aca="false">IF(D743="","",$B$12)</f>
        <v>0.35</v>
      </c>
      <c r="K743" s="16" t="n">
        <f aca="false">IF(J743="","",J743*$B$15)</f>
        <v>0.9072</v>
      </c>
      <c r="L743" s="16" t="n">
        <f aca="false">IF(D743="","",H743+E743-K743-G743*I743)</f>
        <v>34.031635916158</v>
      </c>
      <c r="M743" s="16" t="n">
        <f aca="false" t="array" ref="M743: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>5.65134470196981</v>
      </c>
      <c r="N743" s="16" t="n">
        <f aca="false">IF(D743="","",(I743+M743)/2)</f>
        <v>5.75542599942772</v>
      </c>
      <c r="O743" s="16" t="n">
        <f aca="false">IF(D743="","",G743*N743)</f>
        <v>1.24374755847633</v>
      </c>
      <c r="P743" s="16" t="n">
        <f aca="false">IF(D743="","",H743+E743-K743-O743)</f>
        <v>34.0541278845386</v>
      </c>
      <c r="Q743" s="16" t="n">
        <f aca="false">IF(D743="","",IF(P743&gt;=0,K743,MAX(0,K743+P743)))</f>
        <v>0.9072</v>
      </c>
      <c r="R743" s="16" t="n">
        <f aca="false">IF(D743="","",Q743/$B$15)</f>
        <v>0.35</v>
      </c>
      <c r="S743" s="16" t="n">
        <f aca="false">IF(D743="","",MAX(0,J743-R743))</f>
        <v>0</v>
      </c>
      <c r="T743" s="16" t="n">
        <f aca="false">IF(D743="","",MAX(0,Z743-$B$8))</f>
        <v>0</v>
      </c>
      <c r="U743" s="16" t="n">
        <f aca="false">IF(D743="","",MAX(0,MIN($B$8,Z743)))</f>
        <v>34.0541278845386</v>
      </c>
      <c r="V743" s="16" t="str">
        <f aca="false">IF(D743="","",IF(S743&gt;0.0000001,"Sim","Não"))</f>
        <v>Não</v>
      </c>
      <c r="W743" s="16" t="n">
        <f aca="false">IF(D743="","",U743-(H743+E743-Q743-O743-T743))</f>
        <v>0</v>
      </c>
      <c r="X743" s="16" t="n">
        <f aca="false">IF(W743="","",ABS(W743))</f>
        <v>0</v>
      </c>
      <c r="Y743" s="16" t="n">
        <f aca="false">IF(U743="","",IF($B$8=0,0,U743/$B$8*100))</f>
        <v>72.1180175445545</v>
      </c>
      <c r="Z743" s="18" t="n">
        <f aca="false">IF(D743="","",MAX(0,IF(P743&gt;=0,P743,IF(K743+P743&gt;=0,0,P743+K743))))</f>
        <v>34.0541278845386</v>
      </c>
      <c r="AA743" s="18" t="n">
        <f aca="false">IF(D743="","",IF(H743&lt;=$B$16,1,IF(H743&gt;=$B$17,$B$21,MATCH(H743,Aux_CAV!$A$2:$A$121,1))))</f>
        <v>13</v>
      </c>
      <c r="AB743" s="18" t="n">
        <f aca="false">IF(D743="","",IF(L743&lt;=$B$16,1,IF(L743&gt;=$B$17,$B$21,MATCH(L743,Aux_CAV!$A$2:$A$121,1))))</f>
        <v>12</v>
      </c>
      <c r="AC743" s="19" t="n">
        <f aca="false">IF(D743="","",COUNT($D$24:D743))</f>
        <v>708</v>
      </c>
    </row>
    <row r="744" customFormat="false" ht="12.75" hidden="false" customHeight="true" outlineLevel="0" collapsed="false">
      <c r="A744" s="14" t="n">
        <f aca="false">IF(D744="","",DATE(B744,C744,1))</f>
        <v>25569</v>
      </c>
      <c r="B744" s="15" t="n">
        <f aca="false" t="array" ref="B744:B744">IF(D744="","",IFERROR(VALUE(INDEX(Vazoes_COLAR!$A$2:$A$200,INT((ROW()-24)/12)+1)),""))</f>
        <v>1970</v>
      </c>
      <c r="C744" s="15" t="n">
        <f aca="false">IF(D744="","",MOD(ROW()-24,12)+1)</f>
        <v>1</v>
      </c>
      <c r="D744" s="16" t="n">
        <f aca="false" t="array" ref="D744: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0.253362385278114</v>
      </c>
      <c r="E744" s="16" t="n">
        <f aca="false">IF(D744="","",D744*$B$15)</f>
        <v>0.656715302640872</v>
      </c>
      <c r="F744" s="16" t="n">
        <f aca="false" t="array" ref="F744:F744">IF(D744="","",IFERROR(INDEX(Dados_Evap!$C$2:$N$15,MATCH($B$9,Dados_Evap!$A$2:$A$15,0),C744),0))</f>
        <v>160</v>
      </c>
      <c r="G744" s="16" t="n">
        <f aca="false">IF(F744="","",F744/1000)</f>
        <v>0.16</v>
      </c>
      <c r="H744" s="16" t="n">
        <f aca="false">IF(D744="","",MAX(0,MIN($B$8,IFERROR(LOOKUP(2,1/($U$24:U743&lt;&gt;""),$U$24:U743),$B$11))))</f>
        <v>34.0541278845386</v>
      </c>
      <c r="I744" s="16" t="n">
        <f aca="false" t="array" ref="I744: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>5.6536812462579</v>
      </c>
      <c r="J744" s="16" t="n">
        <f aca="false">IF(D744="","",$B$12)</f>
        <v>0.35</v>
      </c>
      <c r="K744" s="16" t="n">
        <f aca="false">IF(J744="","",J744*$B$15)</f>
        <v>0.9072</v>
      </c>
      <c r="L744" s="16" t="n">
        <f aca="false">IF(D744="","",H744+E744-K744-G744*I744)</f>
        <v>32.8990541877782</v>
      </c>
      <c r="M744" s="16" t="n">
        <f aca="false" t="array" ref="M744: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>5.53368815348764</v>
      </c>
      <c r="N744" s="16" t="n">
        <f aca="false">IF(D744="","",(I744+M744)/2)</f>
        <v>5.59368469987277</v>
      </c>
      <c r="O744" s="16" t="n">
        <f aca="false">IF(D744="","",G744*N744)</f>
        <v>0.894989551979643</v>
      </c>
      <c r="P744" s="16" t="n">
        <f aca="false">IF(D744="","",H744+E744-K744-O744)</f>
        <v>32.9086536351999</v>
      </c>
      <c r="Q744" s="16" t="n">
        <f aca="false">IF(D744="","",IF(P744&gt;=0,K744,MAX(0,K744+P744)))</f>
        <v>0.9072</v>
      </c>
      <c r="R744" s="16" t="n">
        <f aca="false">IF(D744="","",Q744/$B$15)</f>
        <v>0.35</v>
      </c>
      <c r="S744" s="16" t="n">
        <f aca="false">IF(D744="","",MAX(0,J744-R744))</f>
        <v>0</v>
      </c>
      <c r="T744" s="16" t="n">
        <f aca="false">IF(D744="","",MAX(0,Z744-$B$8))</f>
        <v>0</v>
      </c>
      <c r="U744" s="16" t="n">
        <f aca="false">IF(D744="","",MAX(0,MIN($B$8,Z744)))</f>
        <v>32.9086536351999</v>
      </c>
      <c r="V744" s="16" t="str">
        <f aca="false">IF(D744="","",IF(S744&gt;0.0000001,"Sim","Não"))</f>
        <v>Não</v>
      </c>
      <c r="W744" s="16" t="n">
        <f aca="false">IF(D744="","",U744-(H744+E744-Q744-O744-T744))</f>
        <v>0</v>
      </c>
      <c r="X744" s="16" t="n">
        <f aca="false">IF(W744="","",ABS(W744))</f>
        <v>0</v>
      </c>
      <c r="Y744" s="16" t="n">
        <f aca="false">IF(U744="","",IF($B$8=0,0,U744/$B$8*100))</f>
        <v>69.692193213045</v>
      </c>
      <c r="Z744" s="18" t="n">
        <f aca="false">IF(D744="","",MAX(0,IF(P744&gt;=0,P744,IF(K744+P744&gt;=0,0,P744+K744))))</f>
        <v>32.9086536351999</v>
      </c>
      <c r="AA744" s="18" t="n">
        <f aca="false">IF(D744="","",IF(H744&lt;=$B$16,1,IF(H744&gt;=$B$17,$B$21,MATCH(H744,Aux_CAV!$A$2:$A$121,1))))</f>
        <v>12</v>
      </c>
      <c r="AB744" s="18" t="n">
        <f aca="false">IF(D744="","",IF(L744&lt;=$B$16,1,IF(L744&gt;=$B$17,$B$21,MATCH(L744,Aux_CAV!$A$2:$A$121,1))))</f>
        <v>12</v>
      </c>
      <c r="AC744" s="19" t="n">
        <f aca="false">IF(D744="","",COUNT($D$24:D744))</f>
        <v>709</v>
      </c>
    </row>
    <row r="745" customFormat="false" ht="12.75" hidden="false" customHeight="true" outlineLevel="0" collapsed="false">
      <c r="A745" s="14" t="n">
        <f aca="false">IF(D745="","",DATE(B745,C745,1))</f>
        <v>25600</v>
      </c>
      <c r="B745" s="15" t="n">
        <f aca="false" t="array" ref="B745:B745">IF(D745="","",IFERROR(VALUE(INDEX(Vazoes_COLAR!$A$2:$A$200,INT((ROW()-24)/12)+1)),""))</f>
        <v>1970</v>
      </c>
      <c r="C745" s="15" t="n">
        <f aca="false">IF(D745="","",MOD(ROW()-24,12)+1)</f>
        <v>2</v>
      </c>
      <c r="D745" s="16" t="n">
        <f aca="false" t="array" ref="D745: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0.315615846237763</v>
      </c>
      <c r="E745" s="16" t="n">
        <f aca="false">IF(D745="","",D745*$B$15)</f>
        <v>0.818076273448282</v>
      </c>
      <c r="F745" s="16" t="n">
        <f aca="false" t="array" ref="F745:F745">IF(D745="","",IFERROR(INDEX(Dados_Evap!$C$2:$N$15,MATCH($B$9,Dados_Evap!$A$2:$A$15,0),C745),0))</f>
        <v>124.3</v>
      </c>
      <c r="G745" s="16" t="n">
        <f aca="false">IF(F745="","",F745/1000)</f>
        <v>0.1243</v>
      </c>
      <c r="H745" s="16" t="n">
        <f aca="false">IF(D745="","",MAX(0,MIN($B$8,IFERROR(LOOKUP(2,1/($U$24:U744&lt;&gt;""),$U$24:U744),$B$11))))</f>
        <v>32.9086536351999</v>
      </c>
      <c r="I745" s="16" t="n">
        <f aca="false" t="array" ref="I745: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>5.53468537763727</v>
      </c>
      <c r="J745" s="16" t="n">
        <f aca="false">IF(D745="","",$B$12)</f>
        <v>0.35</v>
      </c>
      <c r="K745" s="16" t="n">
        <f aca="false">IF(J745="","",J745*$B$15)</f>
        <v>0.9072</v>
      </c>
      <c r="L745" s="16" t="n">
        <f aca="false">IF(D745="","",H745+E745-K745-G745*I745)</f>
        <v>32.1315685162078</v>
      </c>
      <c r="M745" s="16" t="n">
        <f aca="false" t="array" ref="M745: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>5.45395905945072</v>
      </c>
      <c r="N745" s="16" t="n">
        <f aca="false">IF(D745="","",(I745+M745)/2)</f>
        <v>5.49432221854399</v>
      </c>
      <c r="O745" s="16" t="n">
        <f aca="false">IF(D745="","",G745*N745)</f>
        <v>0.682944251765018</v>
      </c>
      <c r="P745" s="16" t="n">
        <f aca="false">IF(D745="","",H745+E745-K745-O745)</f>
        <v>32.1365856568831</v>
      </c>
      <c r="Q745" s="16" t="n">
        <f aca="false">IF(D745="","",IF(P745&gt;=0,K745,MAX(0,K745+P745)))</f>
        <v>0.9072</v>
      </c>
      <c r="R745" s="16" t="n">
        <f aca="false">IF(D745="","",Q745/$B$15)</f>
        <v>0.35</v>
      </c>
      <c r="S745" s="16" t="n">
        <f aca="false">IF(D745="","",MAX(0,J745-R745))</f>
        <v>0</v>
      </c>
      <c r="T745" s="16" t="n">
        <f aca="false">IF(D745="","",MAX(0,Z745-$B$8))</f>
        <v>0</v>
      </c>
      <c r="U745" s="16" t="n">
        <f aca="false">IF(D745="","",MAX(0,MIN($B$8,Z745)))</f>
        <v>32.1365856568831</v>
      </c>
      <c r="V745" s="16" t="str">
        <f aca="false">IF(D745="","",IF(S745&gt;0.0000001,"Sim","Não"))</f>
        <v>Não</v>
      </c>
      <c r="W745" s="16" t="n">
        <f aca="false">IF(D745="","",U745-(H745+E745-Q745-O745-T745))</f>
        <v>0</v>
      </c>
      <c r="X745" s="16" t="n">
        <f aca="false">IF(W745="","",ABS(W745))</f>
        <v>0</v>
      </c>
      <c r="Y745" s="16" t="n">
        <f aca="false">IF(U745="","",IF($B$8=0,0,U745/$B$8*100))</f>
        <v>68.0571487862836</v>
      </c>
      <c r="Z745" s="18" t="n">
        <f aca="false">IF(D745="","",MAX(0,IF(P745&gt;=0,P745,IF(K745+P745&gt;=0,0,P745+K745))))</f>
        <v>32.1365856568831</v>
      </c>
      <c r="AA745" s="18" t="n">
        <f aca="false">IF(D745="","",IF(H745&lt;=$B$16,1,IF(H745&gt;=$B$17,$B$21,MATCH(H745,Aux_CAV!$A$2:$A$121,1))))</f>
        <v>12</v>
      </c>
      <c r="AB745" s="18" t="n">
        <f aca="false">IF(D745="","",IF(L745&lt;=$B$16,1,IF(L745&gt;=$B$17,$B$21,MATCH(L745,Aux_CAV!$A$2:$A$121,1))))</f>
        <v>12</v>
      </c>
      <c r="AC745" s="19" t="n">
        <f aca="false">IF(D745="","",COUNT($D$24:D745))</f>
        <v>710</v>
      </c>
    </row>
    <row r="746" customFormat="false" ht="12.75" hidden="false" customHeight="true" outlineLevel="0" collapsed="false">
      <c r="A746" s="14" t="n">
        <f aca="false">IF(D746="","",DATE(B746,C746,1))</f>
        <v>25628</v>
      </c>
      <c r="B746" s="15" t="n">
        <f aca="false" t="array" ref="B746:B746">IF(D746="","",IFERROR(VALUE(INDEX(Vazoes_COLAR!$A$2:$A$200,INT((ROW()-24)/12)+1)),""))</f>
        <v>1970</v>
      </c>
      <c r="C746" s="15" t="n">
        <f aca="false">IF(D746="","",MOD(ROW()-24,12)+1)</f>
        <v>3</v>
      </c>
      <c r="D746" s="16" t="n">
        <f aca="false" t="array" ref="D746: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1.6285441540554</v>
      </c>
      <c r="E746" s="16" t="n">
        <f aca="false">IF(D746="","",D746*$B$15)</f>
        <v>4.2211864473116</v>
      </c>
      <c r="F746" s="16" t="n">
        <f aca="false" t="array" ref="F746:F746">IF(D746="","",IFERROR(INDEX(Dados_Evap!$C$2:$N$15,MATCH($B$9,Dados_Evap!$A$2:$A$15,0),C746),0))</f>
        <v>107.7</v>
      </c>
      <c r="G746" s="16" t="n">
        <f aca="false">IF(F746="","",F746/1000)</f>
        <v>0.1077</v>
      </c>
      <c r="H746" s="16" t="n">
        <f aca="false">IF(D746="","",MAX(0,MIN($B$8,IFERROR(LOOKUP(2,1/($U$24:U745&lt;&gt;""),$U$24:U745),$B$11))))</f>
        <v>32.1365856568831</v>
      </c>
      <c r="I746" s="16" t="n">
        <f aca="false" t="array" ref="I746: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>5.4544802575597</v>
      </c>
      <c r="J746" s="16" t="n">
        <f aca="false">IF(D746="","",$B$12)</f>
        <v>0.35</v>
      </c>
      <c r="K746" s="16" t="n">
        <f aca="false">IF(J746="","",J746*$B$15)</f>
        <v>0.9072</v>
      </c>
      <c r="L746" s="16" t="n">
        <f aca="false">IF(D746="","",H746+E746-K746-G746*I746)</f>
        <v>34.8631245804555</v>
      </c>
      <c r="M746" s="16" t="n">
        <f aca="false" t="array" ref="M746: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>5.73625536298573</v>
      </c>
      <c r="N746" s="16" t="n">
        <f aca="false">IF(D746="","",(I746+M746)/2)</f>
        <v>5.59536781027272</v>
      </c>
      <c r="O746" s="16" t="n">
        <f aca="false">IF(D746="","",G746*N746)</f>
        <v>0.602621113166372</v>
      </c>
      <c r="P746" s="16" t="n">
        <f aca="false">IF(D746="","",H746+E746-K746-O746)</f>
        <v>34.8479509910283</v>
      </c>
      <c r="Q746" s="16" t="n">
        <f aca="false">IF(D746="","",IF(P746&gt;=0,K746,MAX(0,K746+P746)))</f>
        <v>0.9072</v>
      </c>
      <c r="R746" s="16" t="n">
        <f aca="false">IF(D746="","",Q746/$B$15)</f>
        <v>0.35</v>
      </c>
      <c r="S746" s="16" t="n">
        <f aca="false">IF(D746="","",MAX(0,J746-R746))</f>
        <v>0</v>
      </c>
      <c r="T746" s="16" t="n">
        <f aca="false">IF(D746="","",MAX(0,Z746-$B$8))</f>
        <v>0</v>
      </c>
      <c r="U746" s="16" t="n">
        <f aca="false">IF(D746="","",MAX(0,MIN($B$8,Z746)))</f>
        <v>34.8479509910283</v>
      </c>
      <c r="V746" s="16" t="str">
        <f aca="false">IF(D746="","",IF(S746&gt;0.0000001,"Sim","Não"))</f>
        <v>Não</v>
      </c>
      <c r="W746" s="16" t="n">
        <f aca="false">IF(D746="","",U746-(H746+E746-Q746-O746-T746))</f>
        <v>0</v>
      </c>
      <c r="X746" s="16" t="n">
        <f aca="false">IF(W746="","",ABS(W746))</f>
        <v>0</v>
      </c>
      <c r="Y746" s="16" t="n">
        <f aca="false">IF(U746="","",IF($B$8=0,0,U746/$B$8*100))</f>
        <v>73.7991338225929</v>
      </c>
      <c r="Z746" s="18" t="n">
        <f aca="false">IF(D746="","",MAX(0,IF(P746&gt;=0,P746,IF(K746+P746&gt;=0,0,P746+K746))))</f>
        <v>34.8479509910283</v>
      </c>
      <c r="AA746" s="18" t="n">
        <f aca="false">IF(D746="","",IF(H746&lt;=$B$16,1,IF(H746&gt;=$B$17,$B$21,MATCH(H746,Aux_CAV!$A$2:$A$121,1))))</f>
        <v>12</v>
      </c>
      <c r="AB746" s="18" t="n">
        <f aca="false">IF(D746="","",IF(L746&lt;=$B$16,1,IF(L746&gt;=$B$17,$B$21,MATCH(L746,Aux_CAV!$A$2:$A$121,1))))</f>
        <v>13</v>
      </c>
      <c r="AC746" s="19" t="n">
        <f aca="false">IF(D746="","",COUNT($D$24:D746))</f>
        <v>711</v>
      </c>
    </row>
    <row r="747" customFormat="false" ht="12.75" hidden="false" customHeight="true" outlineLevel="0" collapsed="false">
      <c r="A747" s="14" t="n">
        <f aca="false">IF(D747="","",DATE(B747,C747,1))</f>
        <v>25659</v>
      </c>
      <c r="B747" s="15" t="n">
        <f aca="false" t="array" ref="B747:B747">IF(D747="","",IFERROR(VALUE(INDEX(Vazoes_COLAR!$A$2:$A$200,INT((ROW()-24)/12)+1)),""))</f>
        <v>1970</v>
      </c>
      <c r="C747" s="15" t="n">
        <f aca="false">IF(D747="","",MOD(ROW()-24,12)+1)</f>
        <v>4</v>
      </c>
      <c r="D747" s="16" t="n">
        <f aca="false" t="array" ref="D747: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1.43121035922546</v>
      </c>
      <c r="E747" s="16" t="n">
        <f aca="false">IF(D747="","",D747*$B$15)</f>
        <v>3.70969725111239</v>
      </c>
      <c r="F747" s="16" t="n">
        <f aca="false" t="array" ref="F747:F747">IF(D747="","",IFERROR(INDEX(Dados_Evap!$C$2:$N$15,MATCH($B$9,Dados_Evap!$A$2:$A$15,0),C747),0))</f>
        <v>100.5</v>
      </c>
      <c r="G747" s="16" t="n">
        <f aca="false">IF(F747="","",F747/1000)</f>
        <v>0.1005</v>
      </c>
      <c r="H747" s="16" t="n">
        <f aca="false">IF(D747="","",MAX(0,MIN($B$8,IFERROR(LOOKUP(2,1/($U$24:U746&lt;&gt;""),$U$24:U746),$B$11))))</f>
        <v>34.8479509910283</v>
      </c>
      <c r="I747" s="16" t="n">
        <f aca="false" t="array" ref="I747: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>5.73474038982752</v>
      </c>
      <c r="J747" s="16" t="n">
        <f aca="false">IF(D747="","",$B$12)</f>
        <v>0.35</v>
      </c>
      <c r="K747" s="16" t="n">
        <f aca="false">IF(J747="","",J747*$B$15)</f>
        <v>0.9072</v>
      </c>
      <c r="L747" s="16" t="n">
        <f aca="false">IF(D747="","",H747+E747-K747-G747*I747)</f>
        <v>37.0741068329631</v>
      </c>
      <c r="M747" s="16" t="n">
        <f aca="false" t="array" ref="M747: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>5.95700594951754</v>
      </c>
      <c r="N747" s="16" t="n">
        <f aca="false">IF(D747="","",(I747+M747)/2)</f>
        <v>5.84587316967253</v>
      </c>
      <c r="O747" s="16" t="n">
        <f aca="false">IF(D747="","",G747*N747)</f>
        <v>0.587510253552089</v>
      </c>
      <c r="P747" s="16" t="n">
        <f aca="false">IF(D747="","",H747+E747-K747-O747)</f>
        <v>37.0629379885886</v>
      </c>
      <c r="Q747" s="16" t="n">
        <f aca="false">IF(D747="","",IF(P747&gt;=0,K747,MAX(0,K747+P747)))</f>
        <v>0.9072</v>
      </c>
      <c r="R747" s="16" t="n">
        <f aca="false">IF(D747="","",Q747/$B$15)</f>
        <v>0.35</v>
      </c>
      <c r="S747" s="16" t="n">
        <f aca="false">IF(D747="","",MAX(0,J747-R747))</f>
        <v>0</v>
      </c>
      <c r="T747" s="16" t="n">
        <f aca="false">IF(D747="","",MAX(0,Z747-$B$8))</f>
        <v>0</v>
      </c>
      <c r="U747" s="16" t="n">
        <f aca="false">IF(D747="","",MAX(0,MIN($B$8,Z747)))</f>
        <v>37.0629379885886</v>
      </c>
      <c r="V747" s="16" t="str">
        <f aca="false">IF(D747="","",IF(S747&gt;0.0000001,"Sim","Não"))</f>
        <v>Não</v>
      </c>
      <c r="W747" s="16" t="n">
        <f aca="false">IF(D747="","",U747-(H747+E747-Q747-O747-T747))</f>
        <v>0</v>
      </c>
      <c r="X747" s="16" t="n">
        <f aca="false">IF(W747="","",ABS(W747))</f>
        <v>0</v>
      </c>
      <c r="Y747" s="16" t="n">
        <f aca="false">IF(U747="","",IF($B$8=0,0,U747/$B$8*100))</f>
        <v>78.4899152659649</v>
      </c>
      <c r="Z747" s="18" t="n">
        <f aca="false">IF(D747="","",MAX(0,IF(P747&gt;=0,P747,IF(K747+P747&gt;=0,0,P747+K747))))</f>
        <v>37.0629379885886</v>
      </c>
      <c r="AA747" s="18" t="n">
        <f aca="false">IF(D747="","",IF(H747&lt;=$B$16,1,IF(H747&gt;=$B$17,$B$21,MATCH(H747,Aux_CAV!$A$2:$A$121,1))))</f>
        <v>13</v>
      </c>
      <c r="AB747" s="18" t="n">
        <f aca="false">IF(D747="","",IF(L747&lt;=$B$16,1,IF(L747&gt;=$B$17,$B$21,MATCH(L747,Aux_CAV!$A$2:$A$121,1))))</f>
        <v>13</v>
      </c>
      <c r="AC747" s="19" t="n">
        <f aca="false">IF(D747="","",COUNT($D$24:D747))</f>
        <v>712</v>
      </c>
    </row>
    <row r="748" customFormat="false" ht="12.75" hidden="false" customHeight="true" outlineLevel="0" collapsed="false">
      <c r="A748" s="14" t="n">
        <f aca="false">IF(D748="","",DATE(B748,C748,1))</f>
        <v>25689</v>
      </c>
      <c r="B748" s="15" t="n">
        <f aca="false" t="array" ref="B748:B748">IF(D748="","",IFERROR(VALUE(INDEX(Vazoes_COLAR!$A$2:$A$200,INT((ROW()-24)/12)+1)),""))</f>
        <v>1970</v>
      </c>
      <c r="C748" s="15" t="n">
        <f aca="false">IF(D748="","",MOD(ROW()-24,12)+1)</f>
        <v>5</v>
      </c>
      <c r="D748" s="16" t="n">
        <f aca="false" t="array" ref="D748: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0.0586435744126325</v>
      </c>
      <c r="E748" s="16" t="n">
        <f aca="false">IF(D748="","",D748*$B$15)</f>
        <v>0.152004144877543</v>
      </c>
      <c r="F748" s="16" t="n">
        <f aca="false" t="array" ref="F748:F748">IF(D748="","",IFERROR(INDEX(Dados_Evap!$C$2:$N$15,MATCH($B$9,Dados_Evap!$A$2:$A$15,0),C748),0))</f>
        <v>145.8</v>
      </c>
      <c r="G748" s="16" t="n">
        <f aca="false">IF(F748="","",F748/1000)</f>
        <v>0.1458</v>
      </c>
      <c r="H748" s="16" t="n">
        <f aca="false">IF(D748="","",MAX(0,MIN($B$8,IFERROR(LOOKUP(2,1/($U$24:U747&lt;&gt;""),$U$24:U747),$B$11))))</f>
        <v>37.0629379885886</v>
      </c>
      <c r="I748" s="16" t="n">
        <f aca="false" t="array" ref="I748: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>5.9558908211877</v>
      </c>
      <c r="J748" s="16" t="n">
        <f aca="false">IF(D748="","",$B$12)</f>
        <v>0.35</v>
      </c>
      <c r="K748" s="16" t="n">
        <f aca="false">IF(J748="","",J748*$B$15)</f>
        <v>0.9072</v>
      </c>
      <c r="L748" s="16" t="n">
        <f aca="false">IF(D748="","",H748+E748-K748-G748*I748)</f>
        <v>35.439373251737</v>
      </c>
      <c r="M748" s="16" t="n">
        <f aca="false" t="array" ref="M748: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>5.79378962497689</v>
      </c>
      <c r="N748" s="16" t="n">
        <f aca="false">IF(D748="","",(I748+M748)/2)</f>
        <v>5.8748402230823</v>
      </c>
      <c r="O748" s="16" t="n">
        <f aca="false">IF(D748="","",G748*N748)</f>
        <v>0.856551704525399</v>
      </c>
      <c r="P748" s="16" t="n">
        <f aca="false">IF(D748="","",H748+E748-K748-O748)</f>
        <v>35.4511904289408</v>
      </c>
      <c r="Q748" s="16" t="n">
        <f aca="false">IF(D748="","",IF(P748&gt;=0,K748,MAX(0,K748+P748)))</f>
        <v>0.9072</v>
      </c>
      <c r="R748" s="16" t="n">
        <f aca="false">IF(D748="","",Q748/$B$15)</f>
        <v>0.35</v>
      </c>
      <c r="S748" s="16" t="n">
        <f aca="false">IF(D748="","",MAX(0,J748-R748))</f>
        <v>0</v>
      </c>
      <c r="T748" s="16" t="n">
        <f aca="false">IF(D748="","",MAX(0,Z748-$B$8))</f>
        <v>0</v>
      </c>
      <c r="U748" s="16" t="n">
        <f aca="false">IF(D748="","",MAX(0,MIN($B$8,Z748)))</f>
        <v>35.4511904289408</v>
      </c>
      <c r="V748" s="16" t="str">
        <f aca="false">IF(D748="","",IF(S748&gt;0.0000001,"Sim","Não"))</f>
        <v>Não</v>
      </c>
      <c r="W748" s="16" t="n">
        <f aca="false">IF(D748="","",U748-(H748+E748-Q748-O748-T748))</f>
        <v>0</v>
      </c>
      <c r="X748" s="16" t="n">
        <f aca="false">IF(W748="","",ABS(W748))</f>
        <v>0</v>
      </c>
      <c r="Y748" s="16" t="n">
        <f aca="false">IF(U748="","",IF($B$8=0,0,U748/$B$8*100))</f>
        <v>75.076642162094</v>
      </c>
      <c r="Z748" s="18" t="n">
        <f aca="false">IF(D748="","",MAX(0,IF(P748&gt;=0,P748,IF(K748+P748&gt;=0,0,P748+K748))))</f>
        <v>35.4511904289408</v>
      </c>
      <c r="AA748" s="18" t="n">
        <f aca="false">IF(D748="","",IF(H748&lt;=$B$16,1,IF(H748&gt;=$B$17,$B$21,MATCH(H748,Aux_CAV!$A$2:$A$121,1))))</f>
        <v>13</v>
      </c>
      <c r="AB748" s="18" t="n">
        <f aca="false">IF(D748="","",IF(L748&lt;=$B$16,1,IF(L748&gt;=$B$17,$B$21,MATCH(L748,Aux_CAV!$A$2:$A$121,1))))</f>
        <v>13</v>
      </c>
      <c r="AC748" s="19" t="n">
        <f aca="false">IF(D748="","",COUNT($D$24:D748))</f>
        <v>713</v>
      </c>
    </row>
    <row r="749" customFormat="false" ht="12.75" hidden="false" customHeight="true" outlineLevel="0" collapsed="false">
      <c r="A749" s="14" t="n">
        <f aca="false">IF(D749="","",DATE(B749,C749,1))</f>
        <v>25720</v>
      </c>
      <c r="B749" s="15" t="n">
        <f aca="false" t="array" ref="B749:B749">IF(D749="","",IFERROR(VALUE(INDEX(Vazoes_COLAR!$A$2:$A$200,INT((ROW()-24)/12)+1)),""))</f>
        <v>1970</v>
      </c>
      <c r="C749" s="15" t="n">
        <f aca="false">IF(D749="","",MOD(ROW()-24,12)+1)</f>
        <v>6</v>
      </c>
      <c r="D749" s="16" t="n">
        <f aca="false" t="array" ref="D749: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0.0374864467101366</v>
      </c>
      <c r="E749" s="16" t="n">
        <f aca="false">IF(D749="","",D749*$B$15)</f>
        <v>0.0971648698726741</v>
      </c>
      <c r="F749" s="16" t="n">
        <f aca="false" t="array" ref="F749:F749">IF(D749="","",IFERROR(INDEX(Dados_Evap!$C$2:$N$15,MATCH($B$9,Dados_Evap!$A$2:$A$15,0),C749),0))</f>
        <v>161.3</v>
      </c>
      <c r="G749" s="16" t="n">
        <f aca="false">IF(F749="","",F749/1000)</f>
        <v>0.1613</v>
      </c>
      <c r="H749" s="16" t="n">
        <f aca="false">IF(D749="","",MAX(0,MIN($B$8,IFERROR(LOOKUP(2,1/($U$24:U748&lt;&gt;""),$U$24:U748),$B$11))))</f>
        <v>35.4511904289408</v>
      </c>
      <c r="I749" s="16" t="n">
        <f aca="false" t="array" ref="I749: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>5.79496948465053</v>
      </c>
      <c r="J749" s="16" t="n">
        <f aca="false">IF(D749="","",$B$12)</f>
        <v>0.35</v>
      </c>
      <c r="K749" s="16" t="n">
        <f aca="false">IF(J749="","",J749*$B$15)</f>
        <v>0.9072</v>
      </c>
      <c r="L749" s="16" t="n">
        <f aca="false">IF(D749="","",H749+E749-K749-G749*I749)</f>
        <v>33.7064267209393</v>
      </c>
      <c r="M749" s="16" t="n">
        <f aca="false" t="array" ref="M749: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>5.617560834117</v>
      </c>
      <c r="N749" s="16" t="n">
        <f aca="false">IF(D749="","",(I749+M749)/2)</f>
        <v>5.70626515938377</v>
      </c>
      <c r="O749" s="16" t="n">
        <f aca="false">IF(D749="","",G749*N749)</f>
        <v>0.920420570208602</v>
      </c>
      <c r="P749" s="16" t="n">
        <f aca="false">IF(D749="","",H749+E749-K749-O749)</f>
        <v>33.7207347286049</v>
      </c>
      <c r="Q749" s="16" t="n">
        <f aca="false">IF(D749="","",IF(P749&gt;=0,K749,MAX(0,K749+P749)))</f>
        <v>0.9072</v>
      </c>
      <c r="R749" s="16" t="n">
        <f aca="false">IF(D749="","",Q749/$B$15)</f>
        <v>0.35</v>
      </c>
      <c r="S749" s="16" t="n">
        <f aca="false">IF(D749="","",MAX(0,J749-R749))</f>
        <v>0</v>
      </c>
      <c r="T749" s="16" t="n">
        <f aca="false">IF(D749="","",MAX(0,Z749-$B$8))</f>
        <v>0</v>
      </c>
      <c r="U749" s="16" t="n">
        <f aca="false">IF(D749="","",MAX(0,MIN($B$8,Z749)))</f>
        <v>33.7207347286049</v>
      </c>
      <c r="V749" s="16" t="str">
        <f aca="false">IF(D749="","",IF(S749&gt;0.0000001,"Sim","Não"))</f>
        <v>Não</v>
      </c>
      <c r="W749" s="16" t="n">
        <f aca="false">IF(D749="","",U749-(H749+E749-Q749-O749-T749))</f>
        <v>0</v>
      </c>
      <c r="X749" s="16" t="n">
        <f aca="false">IF(W749="","",ABS(W749))</f>
        <v>0</v>
      </c>
      <c r="Y749" s="16" t="n">
        <f aca="false">IF(U749="","",IF($B$8=0,0,U749/$B$8*100))</f>
        <v>71.4119752829412</v>
      </c>
      <c r="Z749" s="18" t="n">
        <f aca="false">IF(D749="","",MAX(0,IF(P749&gt;=0,P749,IF(K749+P749&gt;=0,0,P749+K749))))</f>
        <v>33.7207347286049</v>
      </c>
      <c r="AA749" s="18" t="n">
        <f aca="false">IF(D749="","",IF(H749&lt;=$B$16,1,IF(H749&gt;=$B$17,$B$21,MATCH(H749,Aux_CAV!$A$2:$A$121,1))))</f>
        <v>13</v>
      </c>
      <c r="AB749" s="18" t="n">
        <f aca="false">IF(D749="","",IF(L749&lt;=$B$16,1,IF(L749&gt;=$B$17,$B$21,MATCH(L749,Aux_CAV!$A$2:$A$121,1))))</f>
        <v>12</v>
      </c>
      <c r="AC749" s="19" t="n">
        <f aca="false">IF(D749="","",COUNT($D$24:D749))</f>
        <v>714</v>
      </c>
    </row>
    <row r="750" customFormat="false" ht="12.75" hidden="false" customHeight="true" outlineLevel="0" collapsed="false">
      <c r="A750" s="14" t="n">
        <f aca="false">IF(D750="","",DATE(B750,C750,1))</f>
        <v>25750</v>
      </c>
      <c r="B750" s="15" t="n">
        <f aca="false" t="array" ref="B750:B750">IF(D750="","",IFERROR(VALUE(INDEX(Vazoes_COLAR!$A$2:$A$200,INT((ROW()-24)/12)+1)),""))</f>
        <v>1970</v>
      </c>
      <c r="C750" s="15" t="n">
        <f aca="false">IF(D750="","",MOD(ROW()-24,12)+1)</f>
        <v>7</v>
      </c>
      <c r="D750" s="16" t="n">
        <f aca="false" t="array" ref="D750: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0.0145038244990592</v>
      </c>
      <c r="E750" s="16" t="n">
        <f aca="false">IF(D750="","",D750*$B$15)</f>
        <v>0.0375939131015614</v>
      </c>
      <c r="F750" s="16" t="n">
        <f aca="false" t="array" ref="F750:F750">IF(D750="","",IFERROR(INDEX(Dados_Evap!$C$2:$N$15,MATCH($B$9,Dados_Evap!$A$2:$A$15,0),C750),0))</f>
        <v>224.8</v>
      </c>
      <c r="G750" s="16" t="n">
        <f aca="false">IF(F750="","",F750/1000)</f>
        <v>0.2248</v>
      </c>
      <c r="H750" s="16" t="n">
        <f aca="false">IF(D750="","",MAX(0,MIN($B$8,IFERROR(LOOKUP(2,1/($U$24:U749&lt;&gt;""),$U$24:U749),$B$11))))</f>
        <v>33.7207347286049</v>
      </c>
      <c r="I750" s="16" t="n">
        <f aca="false" t="array" ref="I750: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>5.61904719996186</v>
      </c>
      <c r="J750" s="16" t="n">
        <f aca="false">IF(D750="","",$B$12)</f>
        <v>0.35</v>
      </c>
      <c r="K750" s="16" t="n">
        <f aca="false">IF(J750="","",J750*$B$15)</f>
        <v>0.9072</v>
      </c>
      <c r="L750" s="16" t="n">
        <f aca="false">IF(D750="","",H750+E750-K750-G750*I750)</f>
        <v>31.587966831155</v>
      </c>
      <c r="M750" s="16" t="n">
        <f aca="false" t="array" ref="M750: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>5.39748781644037</v>
      </c>
      <c r="N750" s="16" t="n">
        <f aca="false">IF(D750="","",(I750+M750)/2)</f>
        <v>5.50826750820112</v>
      </c>
      <c r="O750" s="16" t="n">
        <f aca="false">IF(D750="","",G750*N750)</f>
        <v>1.23825853584361</v>
      </c>
      <c r="P750" s="16" t="n">
        <f aca="false">IF(D750="","",H750+E750-K750-O750)</f>
        <v>31.6128701058628</v>
      </c>
      <c r="Q750" s="16" t="n">
        <f aca="false">IF(D750="","",IF(P750&gt;=0,K750,MAX(0,K750+P750)))</f>
        <v>0.9072</v>
      </c>
      <c r="R750" s="16" t="n">
        <f aca="false">IF(D750="","",Q750/$B$15)</f>
        <v>0.35</v>
      </c>
      <c r="S750" s="16" t="n">
        <f aca="false">IF(D750="","",MAX(0,J750-R750))</f>
        <v>0</v>
      </c>
      <c r="T750" s="16" t="n">
        <f aca="false">IF(D750="","",MAX(0,Z750-$B$8))</f>
        <v>0</v>
      </c>
      <c r="U750" s="16" t="n">
        <f aca="false">IF(D750="","",MAX(0,MIN($B$8,Z750)))</f>
        <v>31.6128701058628</v>
      </c>
      <c r="V750" s="16" t="str">
        <f aca="false">IF(D750="","",IF(S750&gt;0.0000001,"Sim","Não"))</f>
        <v>Não</v>
      </c>
      <c r="W750" s="16" t="n">
        <f aca="false">IF(D750="","",U750-(H750+E750-Q750-O750-T750))</f>
        <v>0</v>
      </c>
      <c r="X750" s="16" t="n">
        <f aca="false">IF(W750="","",ABS(W750))</f>
        <v>0</v>
      </c>
      <c r="Y750" s="16" t="n">
        <f aca="false">IF(U750="","",IF($B$8=0,0,U750/$B$8*100))</f>
        <v>66.9480518972105</v>
      </c>
      <c r="Z750" s="18" t="n">
        <f aca="false">IF(D750="","",MAX(0,IF(P750&gt;=0,P750,IF(K750+P750&gt;=0,0,P750+K750))))</f>
        <v>31.6128701058628</v>
      </c>
      <c r="AA750" s="18" t="n">
        <f aca="false">IF(D750="","",IF(H750&lt;=$B$16,1,IF(H750&gt;=$B$17,$B$21,MATCH(H750,Aux_CAV!$A$2:$A$121,1))))</f>
        <v>12</v>
      </c>
      <c r="AB750" s="18" t="n">
        <f aca="false">IF(D750="","",IF(L750&lt;=$B$16,1,IF(L750&gt;=$B$17,$B$21,MATCH(L750,Aux_CAV!$A$2:$A$121,1))))</f>
        <v>12</v>
      </c>
      <c r="AC750" s="19" t="n">
        <f aca="false">IF(D750="","",COUNT($D$24:D750))</f>
        <v>715</v>
      </c>
    </row>
    <row r="751" customFormat="false" ht="12.75" hidden="false" customHeight="true" outlineLevel="0" collapsed="false">
      <c r="A751" s="14" t="n">
        <f aca="false">IF(D751="","",DATE(B751,C751,1))</f>
        <v>25781</v>
      </c>
      <c r="B751" s="15" t="n">
        <f aca="false" t="array" ref="B751:B751">IF(D751="","",IFERROR(VALUE(INDEX(Vazoes_COLAR!$A$2:$A$200,INT((ROW()-24)/12)+1)),""))</f>
        <v>1970</v>
      </c>
      <c r="C751" s="15" t="n">
        <f aca="false">IF(D751="","",MOD(ROW()-24,12)+1)</f>
        <v>8</v>
      </c>
      <c r="D751" s="16" t="n">
        <f aca="false" t="array" ref="D751: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0.0146098489140968</v>
      </c>
      <c r="E751" s="16" t="n">
        <f aca="false">IF(D751="","",D751*$B$15)</f>
        <v>0.0378687283853389</v>
      </c>
      <c r="F751" s="16" t="n">
        <f aca="false" t="array" ref="F751:F751">IF(D751="","",IFERROR(INDEX(Dados_Evap!$C$2:$N$15,MATCH($B$9,Dados_Evap!$A$2:$A$15,0),C751),0))</f>
        <v>268.7</v>
      </c>
      <c r="G751" s="16" t="n">
        <f aca="false">IF(F751="","",F751/1000)</f>
        <v>0.2687</v>
      </c>
      <c r="H751" s="16" t="n">
        <f aca="false">IF(D751="","",MAX(0,MIN($B$8,IFERROR(LOOKUP(2,1/($U$24:U750&lt;&gt;""),$U$24:U750),$B$11))))</f>
        <v>31.6128701058628</v>
      </c>
      <c r="I751" s="16" t="n">
        <f aca="false" t="array" ref="I751: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>5.40007485565759</v>
      </c>
      <c r="J751" s="16" t="n">
        <f aca="false">IF(D751="","",$B$12)</f>
        <v>0.35</v>
      </c>
      <c r="K751" s="16" t="n">
        <f aca="false">IF(J751="","",J751*$B$15)</f>
        <v>0.9072</v>
      </c>
      <c r="L751" s="16" t="n">
        <f aca="false">IF(D751="","",H751+E751-K751-G751*I751)</f>
        <v>29.2925387205329</v>
      </c>
      <c r="M751" s="16" t="n">
        <f aca="false" t="array" ref="M751: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>5.15903072145342</v>
      </c>
      <c r="N751" s="16" t="n">
        <f aca="false">IF(D751="","",(I751+M751)/2)</f>
        <v>5.27955278855551</v>
      </c>
      <c r="O751" s="16" t="n">
        <f aca="false">IF(D751="","",G751*N751)</f>
        <v>1.41861583428486</v>
      </c>
      <c r="P751" s="16" t="n">
        <f aca="false">IF(D751="","",H751+E751-K751-O751)</f>
        <v>29.3249229999633</v>
      </c>
      <c r="Q751" s="16" t="n">
        <f aca="false">IF(D751="","",IF(P751&gt;=0,K751,MAX(0,K751+P751)))</f>
        <v>0.9072</v>
      </c>
      <c r="R751" s="16" t="n">
        <f aca="false">IF(D751="","",Q751/$B$15)</f>
        <v>0.35</v>
      </c>
      <c r="S751" s="16" t="n">
        <f aca="false">IF(D751="","",MAX(0,J751-R751))</f>
        <v>0</v>
      </c>
      <c r="T751" s="16" t="n">
        <f aca="false">IF(D751="","",MAX(0,Z751-$B$8))</f>
        <v>0</v>
      </c>
      <c r="U751" s="16" t="n">
        <f aca="false">IF(D751="","",MAX(0,MIN($B$8,Z751)))</f>
        <v>29.3249229999633</v>
      </c>
      <c r="V751" s="16" t="str">
        <f aca="false">IF(D751="","",IF(S751&gt;0.0000001,"Sim","Não"))</f>
        <v>Não</v>
      </c>
      <c r="W751" s="16" t="n">
        <f aca="false">IF(D751="","",U751-(H751+E751-Q751-O751-T751))</f>
        <v>0</v>
      </c>
      <c r="X751" s="16" t="n">
        <f aca="false">IF(W751="","",ABS(W751))</f>
        <v>0</v>
      </c>
      <c r="Y751" s="16" t="n">
        <f aca="false">IF(U751="","",IF($B$8=0,0,U751/$B$8*100))</f>
        <v>62.1027594238951</v>
      </c>
      <c r="Z751" s="18" t="n">
        <f aca="false">IF(D751="","",MAX(0,IF(P751&gt;=0,P751,IF(K751+P751&gt;=0,0,P751+K751))))</f>
        <v>29.3249229999633</v>
      </c>
      <c r="AA751" s="18" t="n">
        <f aca="false">IF(D751="","",IF(H751&lt;=$B$16,1,IF(H751&gt;=$B$17,$B$21,MATCH(H751,Aux_CAV!$A$2:$A$121,1))))</f>
        <v>12</v>
      </c>
      <c r="AB751" s="18" t="n">
        <f aca="false">IF(D751="","",IF(L751&lt;=$B$16,1,IF(L751&gt;=$B$17,$B$21,MATCH(L751,Aux_CAV!$A$2:$A$121,1))))</f>
        <v>12</v>
      </c>
      <c r="AC751" s="19" t="n">
        <f aca="false">IF(D751="","",COUNT($D$24:D751))</f>
        <v>716</v>
      </c>
    </row>
    <row r="752" customFormat="false" ht="12.75" hidden="false" customHeight="true" outlineLevel="0" collapsed="false">
      <c r="A752" s="14" t="n">
        <f aca="false">IF(D752="","",DATE(B752,C752,1))</f>
        <v>25812</v>
      </c>
      <c r="B752" s="15" t="n">
        <f aca="false" t="array" ref="B752:B752">IF(D752="","",IFERROR(VALUE(INDEX(Vazoes_COLAR!$A$2:$A$200,INT((ROW()-24)/12)+1)),""))</f>
        <v>1970</v>
      </c>
      <c r="C752" s="15" t="n">
        <f aca="false">IF(D752="","",MOD(ROW()-24,12)+1)</f>
        <v>9</v>
      </c>
      <c r="D752" s="16" t="n">
        <f aca="false" t="array" ref="D752: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0.0100490276751734</v>
      </c>
      <c r="E752" s="16" t="n">
        <f aca="false">IF(D752="","",D752*$B$15)</f>
        <v>0.0260470797340495</v>
      </c>
      <c r="F752" s="16" t="n">
        <f aca="false" t="array" ref="F752:F752">IF(D752="","",IFERROR(INDEX(Dados_Evap!$C$2:$N$15,MATCH($B$9,Dados_Evap!$A$2:$A$15,0),C752),0))</f>
        <v>292.8</v>
      </c>
      <c r="G752" s="16" t="n">
        <f aca="false">IF(F752="","",F752/1000)</f>
        <v>0.2928</v>
      </c>
      <c r="H752" s="16" t="n">
        <f aca="false">IF(D752="","",MAX(0,MIN($B$8,IFERROR(LOOKUP(2,1/($U$24:U751&lt;&gt;""),$U$24:U751),$B$11))))</f>
        <v>29.3249229999633</v>
      </c>
      <c r="I752" s="16" t="n">
        <f aca="false" t="array" ref="I752: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>5.16239491358842</v>
      </c>
      <c r="J752" s="16" t="n">
        <f aca="false">IF(D752="","",$B$12)</f>
        <v>0.35</v>
      </c>
      <c r="K752" s="16" t="n">
        <f aca="false">IF(J752="","",J752*$B$15)</f>
        <v>0.9072</v>
      </c>
      <c r="L752" s="16" t="n">
        <f aca="false">IF(D752="","",H752+E752-K752-G752*I752)</f>
        <v>26.9322208489986</v>
      </c>
      <c r="M752" s="16" t="n">
        <f aca="false" t="array" ref="M752: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>4.91383265130374</v>
      </c>
      <c r="N752" s="16" t="n">
        <f aca="false">IF(D752="","",(I752+M752)/2)</f>
        <v>5.03811378244608</v>
      </c>
      <c r="O752" s="16" t="n">
        <f aca="false">IF(D752="","",G752*N752)</f>
        <v>1.47515971550021</v>
      </c>
      <c r="P752" s="16" t="n">
        <f aca="false">IF(D752="","",H752+E752-K752-O752)</f>
        <v>26.9686103641971</v>
      </c>
      <c r="Q752" s="16" t="n">
        <f aca="false">IF(D752="","",IF(P752&gt;=0,K752,MAX(0,K752+P752)))</f>
        <v>0.9072</v>
      </c>
      <c r="R752" s="16" t="n">
        <f aca="false">IF(D752="","",Q752/$B$15)</f>
        <v>0.35</v>
      </c>
      <c r="S752" s="16" t="n">
        <f aca="false">IF(D752="","",MAX(0,J752-R752))</f>
        <v>0</v>
      </c>
      <c r="T752" s="16" t="n">
        <f aca="false">IF(D752="","",MAX(0,Z752-$B$8))</f>
        <v>0</v>
      </c>
      <c r="U752" s="16" t="n">
        <f aca="false">IF(D752="","",MAX(0,MIN($B$8,Z752)))</f>
        <v>26.9686103641971</v>
      </c>
      <c r="V752" s="16" t="str">
        <f aca="false">IF(D752="","",IF(S752&gt;0.0000001,"Sim","Não"))</f>
        <v>Não</v>
      </c>
      <c r="W752" s="16" t="n">
        <f aca="false">IF(D752="","",U752-(H752+E752-Q752-O752-T752))</f>
        <v>0</v>
      </c>
      <c r="X752" s="16" t="n">
        <f aca="false">IF(W752="","",ABS(W752))</f>
        <v>0</v>
      </c>
      <c r="Y752" s="16" t="n">
        <f aca="false">IF(U752="","",IF($B$8=0,0,U752/$B$8*100))</f>
        <v>57.112686074115</v>
      </c>
      <c r="Z752" s="18" t="n">
        <f aca="false">IF(D752="","",MAX(0,IF(P752&gt;=0,P752,IF(K752+P752&gt;=0,0,P752+K752))))</f>
        <v>26.9686103641971</v>
      </c>
      <c r="AA752" s="18" t="n">
        <f aca="false">IF(D752="","",IF(H752&lt;=$B$16,1,IF(H752&gt;=$B$17,$B$21,MATCH(H752,Aux_CAV!$A$2:$A$121,1))))</f>
        <v>12</v>
      </c>
      <c r="AB752" s="18" t="n">
        <f aca="false">IF(D752="","",IF(L752&lt;=$B$16,1,IF(L752&gt;=$B$17,$B$21,MATCH(L752,Aux_CAV!$A$2:$A$121,1))))</f>
        <v>12</v>
      </c>
      <c r="AC752" s="19" t="n">
        <f aca="false">IF(D752="","",COUNT($D$24:D752))</f>
        <v>717</v>
      </c>
    </row>
    <row r="753" customFormat="false" ht="12.75" hidden="false" customHeight="true" outlineLevel="0" collapsed="false">
      <c r="A753" s="14" t="n">
        <f aca="false">IF(D753="","",DATE(B753,C753,1))</f>
        <v>25842</v>
      </c>
      <c r="B753" s="15" t="n">
        <f aca="false" t="array" ref="B753:B753">IF(D753="","",IFERROR(VALUE(INDEX(Vazoes_COLAR!$A$2:$A$200,INT((ROW()-24)/12)+1)),""))</f>
        <v>1970</v>
      </c>
      <c r="C753" s="15" t="n">
        <f aca="false">IF(D753="","",MOD(ROW()-24,12)+1)</f>
        <v>10</v>
      </c>
      <c r="D753" s="16" t="n">
        <f aca="false" t="array" ref="D753: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0.0262615429637714</v>
      </c>
      <c r="E753" s="16" t="n">
        <f aca="false">IF(D753="","",D753*$B$15)</f>
        <v>0.0680699193620955</v>
      </c>
      <c r="F753" s="16" t="n">
        <f aca="false" t="array" ref="F753:F753">IF(D753="","",IFERROR(INDEX(Dados_Evap!$C$2:$N$15,MATCH($B$9,Dados_Evap!$A$2:$A$15,0),C753),0))</f>
        <v>262.9</v>
      </c>
      <c r="G753" s="16" t="n">
        <f aca="false">IF(F753="","",F753/1000)</f>
        <v>0.2629</v>
      </c>
      <c r="H753" s="16" t="n">
        <f aca="false">IF(D753="","",MAX(0,MIN($B$8,IFERROR(LOOKUP(2,1/($U$24:U752&lt;&gt;""),$U$24:U752),$B$11))))</f>
        <v>26.9686103641971</v>
      </c>
      <c r="I753" s="16" t="n">
        <f aca="false" t="array" ref="I753: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>4.91761292132921</v>
      </c>
      <c r="J753" s="16" t="n">
        <f aca="false">IF(D753="","",$B$12)</f>
        <v>0.35</v>
      </c>
      <c r="K753" s="16" t="n">
        <f aca="false">IF(J753="","",J753*$B$15)</f>
        <v>0.9072</v>
      </c>
      <c r="L753" s="16" t="n">
        <f aca="false">IF(D753="","",H753+E753-K753-G753*I753)</f>
        <v>24.8366398465418</v>
      </c>
      <c r="M753" s="16" t="n">
        <f aca="false" t="array" ref="M753: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>4.69613637240774</v>
      </c>
      <c r="N753" s="16" t="n">
        <f aca="false">IF(D753="","",(I753+M753)/2)</f>
        <v>4.80687464686848</v>
      </c>
      <c r="O753" s="16" t="n">
        <f aca="false">IF(D753="","",G753*N753)</f>
        <v>1.26372734466172</v>
      </c>
      <c r="P753" s="16" t="n">
        <f aca="false">IF(D753="","",H753+E753-K753-O753)</f>
        <v>24.8657529388975</v>
      </c>
      <c r="Q753" s="16" t="n">
        <f aca="false">IF(D753="","",IF(P753&gt;=0,K753,MAX(0,K753+P753)))</f>
        <v>0.9072</v>
      </c>
      <c r="R753" s="16" t="n">
        <f aca="false">IF(D753="","",Q753/$B$15)</f>
        <v>0.35</v>
      </c>
      <c r="S753" s="16" t="n">
        <f aca="false">IF(D753="","",MAX(0,J753-R753))</f>
        <v>0</v>
      </c>
      <c r="T753" s="16" t="n">
        <f aca="false">IF(D753="","",MAX(0,Z753-$B$8))</f>
        <v>0</v>
      </c>
      <c r="U753" s="16" t="n">
        <f aca="false">IF(D753="","",MAX(0,MIN($B$8,Z753)))</f>
        <v>24.8657529388975</v>
      </c>
      <c r="V753" s="16" t="str">
        <f aca="false">IF(D753="","",IF(S753&gt;0.0000001,"Sim","Não"))</f>
        <v>Não</v>
      </c>
      <c r="W753" s="16" t="n">
        <f aca="false">IF(D753="","",U753-(H753+E753-Q753-O753-T753))</f>
        <v>0</v>
      </c>
      <c r="X753" s="16" t="n">
        <f aca="false">IF(W753="","",ABS(W753))</f>
        <v>0</v>
      </c>
      <c r="Y753" s="16" t="n">
        <f aca="false">IF(U753="","",IF($B$8=0,0,U753/$B$8*100))</f>
        <v>52.6593666643318</v>
      </c>
      <c r="Z753" s="18" t="n">
        <f aca="false">IF(D753="","",MAX(0,IF(P753&gt;=0,P753,IF(K753+P753&gt;=0,0,P753+K753))))</f>
        <v>24.8657529388975</v>
      </c>
      <c r="AA753" s="18" t="n">
        <f aca="false">IF(D753="","",IF(H753&lt;=$B$16,1,IF(H753&gt;=$B$17,$B$21,MATCH(H753,Aux_CAV!$A$2:$A$121,1))))</f>
        <v>12</v>
      </c>
      <c r="AB753" s="18" t="n">
        <f aca="false">IF(D753="","",IF(L753&lt;=$B$16,1,IF(L753&gt;=$B$17,$B$21,MATCH(L753,Aux_CAV!$A$2:$A$121,1))))</f>
        <v>12</v>
      </c>
      <c r="AC753" s="19" t="n">
        <f aca="false">IF(D753="","",COUNT($D$24:D753))</f>
        <v>718</v>
      </c>
    </row>
    <row r="754" customFormat="false" ht="12.75" hidden="false" customHeight="true" outlineLevel="0" collapsed="false">
      <c r="A754" s="14" t="n">
        <f aca="false">IF(D754="","",DATE(B754,C754,1))</f>
        <v>25873</v>
      </c>
      <c r="B754" s="15" t="n">
        <f aca="false" t="array" ref="B754:B754">IF(D754="","",IFERROR(VALUE(INDEX(Vazoes_COLAR!$A$2:$A$200,INT((ROW()-24)/12)+1)),""))</f>
        <v>1970</v>
      </c>
      <c r="C754" s="15" t="n">
        <f aca="false">IF(D754="","",MOD(ROW()-24,12)+1)</f>
        <v>11</v>
      </c>
      <c r="D754" s="16" t="n">
        <f aca="false" t="array" ref="D754: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0.0145106927194852</v>
      </c>
      <c r="E754" s="16" t="n">
        <f aca="false">IF(D754="","",D754*$B$15)</f>
        <v>0.0376117155289056</v>
      </c>
      <c r="F754" s="16" t="n">
        <f aca="false" t="array" ref="F754:F754">IF(D754="","",IFERROR(INDEX(Dados_Evap!$C$2:$N$15,MATCH($B$9,Dados_Evap!$A$2:$A$15,0),C754),0))</f>
        <v>223.7</v>
      </c>
      <c r="G754" s="16" t="n">
        <f aca="false">IF(F754="","",F754/1000)</f>
        <v>0.2237</v>
      </c>
      <c r="H754" s="16" t="n">
        <f aca="false">IF(D754="","",MAX(0,MIN($B$8,IFERROR(LOOKUP(2,1/($U$24:U753&lt;&gt;""),$U$24:U753),$B$11))))</f>
        <v>24.8657529388975</v>
      </c>
      <c r="I754" s="16" t="n">
        <f aca="false" t="array" ref="I754: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>4.69916074219615</v>
      </c>
      <c r="J754" s="16" t="n">
        <f aca="false">IF(D754="","",$B$12)</f>
        <v>0.35</v>
      </c>
      <c r="K754" s="16" t="n">
        <f aca="false">IF(J754="","",J754*$B$15)</f>
        <v>0.9072</v>
      </c>
      <c r="L754" s="16" t="n">
        <f aca="false">IF(D754="","",H754+E754-K754-G754*I754)</f>
        <v>22.9449623963971</v>
      </c>
      <c r="M754" s="16" t="n">
        <f aca="false" t="array" ref="M754: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>4.48000770103283</v>
      </c>
      <c r="N754" s="16" t="n">
        <f aca="false">IF(D754="","",(I754+M754)/2)</f>
        <v>4.58958422161449</v>
      </c>
      <c r="O754" s="16" t="n">
        <f aca="false">IF(D754="","",G754*N754)</f>
        <v>1.02668999037516</v>
      </c>
      <c r="P754" s="16" t="n">
        <f aca="false">IF(D754="","",H754+E754-K754-O754)</f>
        <v>22.9694746640512</v>
      </c>
      <c r="Q754" s="16" t="n">
        <f aca="false">IF(D754="","",IF(P754&gt;=0,K754,MAX(0,K754+P754)))</f>
        <v>0.9072</v>
      </c>
      <c r="R754" s="16" t="n">
        <f aca="false">IF(D754="","",Q754/$B$15)</f>
        <v>0.35</v>
      </c>
      <c r="S754" s="16" t="n">
        <f aca="false">IF(D754="","",MAX(0,J754-R754))</f>
        <v>0</v>
      </c>
      <c r="T754" s="16" t="n">
        <f aca="false">IF(D754="","",MAX(0,Z754-$B$8))</f>
        <v>0</v>
      </c>
      <c r="U754" s="16" t="n">
        <f aca="false">IF(D754="","",MAX(0,MIN($B$8,Z754)))</f>
        <v>22.9694746640512</v>
      </c>
      <c r="V754" s="16" t="str">
        <f aca="false">IF(D754="","",IF(S754&gt;0.0000001,"Sim","Não"))</f>
        <v>Não</v>
      </c>
      <c r="W754" s="16" t="n">
        <f aca="false">IF(D754="","",U754-(H754+E754-Q754-O754-T754))</f>
        <v>0</v>
      </c>
      <c r="X754" s="16" t="n">
        <f aca="false">IF(W754="","",ABS(W754))</f>
        <v>0</v>
      </c>
      <c r="Y754" s="16" t="n">
        <f aca="false">IF(U754="","",IF($B$8=0,0,U754/$B$8*100))</f>
        <v>48.6435295723237</v>
      </c>
      <c r="Z754" s="18" t="n">
        <f aca="false">IF(D754="","",MAX(0,IF(P754&gt;=0,P754,IF(K754+P754&gt;=0,0,P754+K754))))</f>
        <v>22.9694746640512</v>
      </c>
      <c r="AA754" s="18" t="n">
        <f aca="false">IF(D754="","",IF(H754&lt;=$B$16,1,IF(H754&gt;=$B$17,$B$21,MATCH(H754,Aux_CAV!$A$2:$A$121,1))))</f>
        <v>12</v>
      </c>
      <c r="AB754" s="18" t="n">
        <f aca="false">IF(D754="","",IF(L754&lt;=$B$16,1,IF(L754&gt;=$B$17,$B$21,MATCH(L754,Aux_CAV!$A$2:$A$121,1))))</f>
        <v>11</v>
      </c>
      <c r="AC754" s="19" t="n">
        <f aca="false">IF(D754="","",COUNT($D$24:D754))</f>
        <v>719</v>
      </c>
    </row>
    <row r="755" customFormat="false" ht="12.75" hidden="false" customHeight="true" outlineLevel="0" collapsed="false">
      <c r="A755" s="14" t="n">
        <f aca="false">IF(D755="","",DATE(B755,C755,1))</f>
        <v>25903</v>
      </c>
      <c r="B755" s="15" t="n">
        <f aca="false" t="array" ref="B755:B755">IF(D755="","",IFERROR(VALUE(INDEX(Vazoes_COLAR!$A$2:$A$200,INT((ROW()-24)/12)+1)),""))</f>
        <v>1970</v>
      </c>
      <c r="C755" s="15" t="n">
        <f aca="false">IF(D755="","",MOD(ROW()-24,12)+1)</f>
        <v>12</v>
      </c>
      <c r="D755" s="16" t="n">
        <f aca="false" t="array" ref="D755: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0.011433084393121</v>
      </c>
      <c r="E755" s="16" t="n">
        <f aca="false">IF(D755="","",D755*$B$15)</f>
        <v>0.0296345547469696</v>
      </c>
      <c r="F755" s="16" t="n">
        <f aca="false" t="array" ref="F755:F755">IF(D755="","",IFERROR(INDEX(Dados_Evap!$C$2:$N$15,MATCH($B$9,Dados_Evap!$A$2:$A$15,0),C755),0))</f>
        <v>216.1</v>
      </c>
      <c r="G755" s="16" t="n">
        <f aca="false">IF(F755="","",F755/1000)</f>
        <v>0.2161</v>
      </c>
      <c r="H755" s="16" t="n">
        <f aca="false">IF(D755="","",MAX(0,MIN($B$8,IFERROR(LOOKUP(2,1/($U$24:U754&lt;&gt;""),$U$24:U754),$B$11))))</f>
        <v>22.9694746640512</v>
      </c>
      <c r="I755" s="16" t="n">
        <f aca="false" t="array" ref="I755: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>4.48293721594759</v>
      </c>
      <c r="J755" s="16" t="n">
        <f aca="false">IF(D755="","",$B$12)</f>
        <v>0.35</v>
      </c>
      <c r="K755" s="16" t="n">
        <f aca="false">IF(J755="","",J755*$B$15)</f>
        <v>0.9072</v>
      </c>
      <c r="L755" s="16" t="n">
        <f aca="false">IF(D755="","",H755+E755-K755-G755*I755)</f>
        <v>21.1231464864319</v>
      </c>
      <c r="M755" s="16" t="n">
        <f aca="false" t="array" ref="M755: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>4.26227848252479</v>
      </c>
      <c r="N755" s="16" t="n">
        <f aca="false">IF(D755="","",(I755+M755)/2)</f>
        <v>4.37260784923619</v>
      </c>
      <c r="O755" s="16" t="n">
        <f aca="false">IF(D755="","",G755*N755)</f>
        <v>0.94492055621994</v>
      </c>
      <c r="P755" s="16" t="n">
        <f aca="false">IF(D755="","",H755+E755-K755-O755)</f>
        <v>21.1469886625783</v>
      </c>
      <c r="Q755" s="16" t="n">
        <f aca="false">IF(D755="","",IF(P755&gt;=0,K755,MAX(0,K755+P755)))</f>
        <v>0.9072</v>
      </c>
      <c r="R755" s="16" t="n">
        <f aca="false">IF(D755="","",Q755/$B$15)</f>
        <v>0.35</v>
      </c>
      <c r="S755" s="16" t="n">
        <f aca="false">IF(D755="","",MAX(0,J755-R755))</f>
        <v>0</v>
      </c>
      <c r="T755" s="16" t="n">
        <f aca="false">IF(D755="","",MAX(0,Z755-$B$8))</f>
        <v>0</v>
      </c>
      <c r="U755" s="16" t="n">
        <f aca="false">IF(D755="","",MAX(0,MIN($B$8,Z755)))</f>
        <v>21.1469886625783</v>
      </c>
      <c r="V755" s="16" t="str">
        <f aca="false">IF(D755="","",IF(S755&gt;0.0000001,"Sim","Não"))</f>
        <v>Não</v>
      </c>
      <c r="W755" s="16" t="n">
        <f aca="false">IF(D755="","",U755-(H755+E755-Q755-O755-T755))</f>
        <v>0</v>
      </c>
      <c r="X755" s="16" t="n">
        <f aca="false">IF(W755="","",ABS(W755))</f>
        <v>0</v>
      </c>
      <c r="Y755" s="16" t="n">
        <f aca="false">IF(U755="","",IF($B$8=0,0,U755/$B$8*100))</f>
        <v>44.7839658250281</v>
      </c>
      <c r="Z755" s="18" t="n">
        <f aca="false">IF(D755="","",MAX(0,IF(P755&gt;=0,P755,IF(K755+P755&gt;=0,0,P755+K755))))</f>
        <v>21.1469886625783</v>
      </c>
      <c r="AA755" s="18" t="n">
        <f aca="false">IF(D755="","",IF(H755&lt;=$B$16,1,IF(H755&gt;=$B$17,$B$21,MATCH(H755,Aux_CAV!$A$2:$A$121,1))))</f>
        <v>11</v>
      </c>
      <c r="AB755" s="18" t="n">
        <f aca="false">IF(D755="","",IF(L755&lt;=$B$16,1,IF(L755&gt;=$B$17,$B$21,MATCH(L755,Aux_CAV!$A$2:$A$121,1))))</f>
        <v>11</v>
      </c>
      <c r="AC755" s="19" t="n">
        <f aca="false">IF(D755="","",COUNT($D$24:D755))</f>
        <v>720</v>
      </c>
    </row>
    <row r="756" customFormat="false" ht="12.75" hidden="false" customHeight="true" outlineLevel="0" collapsed="false">
      <c r="A756" s="14" t="n">
        <f aca="false">IF(D756="","",DATE(B756,C756,1))</f>
        <v>25934</v>
      </c>
      <c r="B756" s="15" t="n">
        <f aca="false" t="array" ref="B756:B756">IF(D756="","",IFERROR(VALUE(INDEX(Vazoes_COLAR!$A$2:$A$200,INT((ROW()-24)/12)+1)),""))</f>
        <v>1971</v>
      </c>
      <c r="C756" s="15" t="n">
        <f aca="false">IF(D756="","",MOD(ROW()-24,12)+1)</f>
        <v>1</v>
      </c>
      <c r="D756" s="16" t="n">
        <f aca="false" t="array" ref="D756: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0.177798657968021</v>
      </c>
      <c r="E756" s="16" t="n">
        <f aca="false">IF(D756="","",D756*$B$15)</f>
        <v>0.46085412145311</v>
      </c>
      <c r="F756" s="16" t="n">
        <f aca="false" t="array" ref="F756:F756">IF(D756="","",IFERROR(INDEX(Dados_Evap!$C$2:$N$15,MATCH($B$9,Dados_Evap!$A$2:$A$15,0),C756),0))</f>
        <v>160</v>
      </c>
      <c r="G756" s="16" t="n">
        <f aca="false">IF(F756="","",F756/1000)</f>
        <v>0.16</v>
      </c>
      <c r="H756" s="16" t="n">
        <f aca="false">IF(D756="","",MAX(0,MIN($B$8,IFERROR(LOOKUP(2,1/($U$24:U755&lt;&gt;""),$U$24:U755),$B$11))))</f>
        <v>21.1469886625783</v>
      </c>
      <c r="I756" s="16" t="n">
        <f aca="false" t="array" ref="I756: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>4.26512791333252</v>
      </c>
      <c r="J756" s="16" t="n">
        <f aca="false">IF(D756="","",$B$12)</f>
        <v>0.35</v>
      </c>
      <c r="K756" s="16" t="n">
        <f aca="false">IF(J756="","",J756*$B$15)</f>
        <v>0.9072</v>
      </c>
      <c r="L756" s="16" t="n">
        <f aca="false">IF(D756="","",H756+E756-K756-G756*I756)</f>
        <v>20.0182223178982</v>
      </c>
      <c r="M756" s="16" t="n">
        <f aca="false" t="array" ref="M756: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>4.13022656970002</v>
      </c>
      <c r="N756" s="16" t="n">
        <f aca="false">IF(D756="","",(I756+M756)/2)</f>
        <v>4.19767724151627</v>
      </c>
      <c r="O756" s="16" t="n">
        <f aca="false">IF(D756="","",G756*N756)</f>
        <v>0.671628358642604</v>
      </c>
      <c r="P756" s="16" t="n">
        <f aca="false">IF(D756="","",H756+E756-K756-O756)</f>
        <v>20.0290144253888</v>
      </c>
      <c r="Q756" s="16" t="n">
        <f aca="false">IF(D756="","",IF(P756&gt;=0,K756,MAX(0,K756+P756)))</f>
        <v>0.9072</v>
      </c>
      <c r="R756" s="16" t="n">
        <f aca="false">IF(D756="","",Q756/$B$15)</f>
        <v>0.35</v>
      </c>
      <c r="S756" s="16" t="n">
        <f aca="false">IF(D756="","",MAX(0,J756-R756))</f>
        <v>0</v>
      </c>
      <c r="T756" s="16" t="n">
        <f aca="false">IF(D756="","",MAX(0,Z756-$B$8))</f>
        <v>0</v>
      </c>
      <c r="U756" s="16" t="n">
        <f aca="false">IF(D756="","",MAX(0,MIN($B$8,Z756)))</f>
        <v>20.0290144253888</v>
      </c>
      <c r="V756" s="16" t="str">
        <f aca="false">IF(D756="","",IF(S756&gt;0.0000001,"Sim","Não"))</f>
        <v>Não</v>
      </c>
      <c r="W756" s="16" t="n">
        <f aca="false">IF(D756="","",U756-(H756+E756-Q756-O756-T756))</f>
        <v>0</v>
      </c>
      <c r="X756" s="16" t="n">
        <f aca="false">IF(W756="","",ABS(W756))</f>
        <v>0</v>
      </c>
      <c r="Y756" s="16" t="n">
        <f aca="false">IF(U756="","",IF($B$8=0,0,U756/$B$8*100))</f>
        <v>42.4163795539788</v>
      </c>
      <c r="Z756" s="18" t="n">
        <f aca="false">IF(D756="","",MAX(0,IF(P756&gt;=0,P756,IF(K756+P756&gt;=0,0,P756+K756))))</f>
        <v>20.0290144253888</v>
      </c>
      <c r="AA756" s="18" t="n">
        <f aca="false">IF(D756="","",IF(H756&lt;=$B$16,1,IF(H756&gt;=$B$17,$B$21,MATCH(H756,Aux_CAV!$A$2:$A$121,1))))</f>
        <v>11</v>
      </c>
      <c r="AB756" s="18" t="n">
        <f aca="false">IF(D756="","",IF(L756&lt;=$B$16,1,IF(L756&gt;=$B$17,$B$21,MATCH(L756,Aux_CAV!$A$2:$A$121,1))))</f>
        <v>11</v>
      </c>
      <c r="AC756" s="19" t="n">
        <f aca="false">IF(D756="","",COUNT($D$24:D756))</f>
        <v>721</v>
      </c>
    </row>
    <row r="757" customFormat="false" ht="12.75" hidden="false" customHeight="true" outlineLevel="0" collapsed="false">
      <c r="A757" s="14" t="n">
        <f aca="false">IF(D757="","",DATE(B757,C757,1))</f>
        <v>25965</v>
      </c>
      <c r="B757" s="15" t="n">
        <f aca="false" t="array" ref="B757:B757">IF(D757="","",IFERROR(VALUE(INDEX(Vazoes_COLAR!$A$2:$A$200,INT((ROW()-24)/12)+1)),""))</f>
        <v>1971</v>
      </c>
      <c r="C757" s="15" t="n">
        <f aca="false">IF(D757="","",MOD(ROW()-24,12)+1)</f>
        <v>2</v>
      </c>
      <c r="D757" s="16" t="n">
        <f aca="false" t="array" ref="D757: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1.13490969747923</v>
      </c>
      <c r="E757" s="16" t="n">
        <f aca="false">IF(D757="","",D757*$B$15)</f>
        <v>2.94168593586616</v>
      </c>
      <c r="F757" s="16" t="n">
        <f aca="false" t="array" ref="F757:F757">IF(D757="","",IFERROR(INDEX(Dados_Evap!$C$2:$N$15,MATCH($B$9,Dados_Evap!$A$2:$A$15,0),C757),0))</f>
        <v>124.3</v>
      </c>
      <c r="G757" s="16" t="n">
        <f aca="false">IF(F757="","",F757/1000)</f>
        <v>0.1243</v>
      </c>
      <c r="H757" s="16" t="n">
        <f aca="false">IF(D757="","",MAX(0,MIN($B$8,IFERROR(LOOKUP(2,1/($U$24:U756&lt;&gt;""),$U$24:U756),$B$11))))</f>
        <v>20.0290144253888</v>
      </c>
      <c r="I757" s="16" t="n">
        <f aca="false" t="array" ref="I757: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>4.13151635815622</v>
      </c>
      <c r="J757" s="16" t="n">
        <f aca="false">IF(D757="","",$B$12)</f>
        <v>0.35</v>
      </c>
      <c r="K757" s="16" t="n">
        <f aca="false">IF(J757="","",J757*$B$15)</f>
        <v>0.9072</v>
      </c>
      <c r="L757" s="16" t="n">
        <f aca="false">IF(D757="","",H757+E757-K757-G757*I757)</f>
        <v>21.5499528779361</v>
      </c>
      <c r="M757" s="16" t="n">
        <f aca="false" t="array" ref="M757: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>4.31328705126554</v>
      </c>
      <c r="N757" s="16" t="n">
        <f aca="false">IF(D757="","",(I757+M757)/2)</f>
        <v>4.22240170471088</v>
      </c>
      <c r="O757" s="16" t="n">
        <f aca="false">IF(D757="","",G757*N757)</f>
        <v>0.524844531895562</v>
      </c>
      <c r="P757" s="16" t="n">
        <f aca="false">IF(D757="","",H757+E757-K757-O757)</f>
        <v>21.5386558293594</v>
      </c>
      <c r="Q757" s="16" t="n">
        <f aca="false">IF(D757="","",IF(P757&gt;=0,K757,MAX(0,K757+P757)))</f>
        <v>0.9072</v>
      </c>
      <c r="R757" s="16" t="n">
        <f aca="false">IF(D757="","",Q757/$B$15)</f>
        <v>0.35</v>
      </c>
      <c r="S757" s="16" t="n">
        <f aca="false">IF(D757="","",MAX(0,J757-R757))</f>
        <v>0</v>
      </c>
      <c r="T757" s="16" t="n">
        <f aca="false">IF(D757="","",MAX(0,Z757-$B$8))</f>
        <v>0</v>
      </c>
      <c r="U757" s="16" t="n">
        <f aca="false">IF(D757="","",MAX(0,MIN($B$8,Z757)))</f>
        <v>21.5386558293594</v>
      </c>
      <c r="V757" s="16" t="str">
        <f aca="false">IF(D757="","",IF(S757&gt;0.0000001,"Sim","Não"))</f>
        <v>Não</v>
      </c>
      <c r="W757" s="16" t="n">
        <f aca="false">IF(D757="","",U757-(H757+E757-Q757-O757-T757))</f>
        <v>0</v>
      </c>
      <c r="X757" s="16" t="n">
        <f aca="false">IF(W757="","",ABS(W757))</f>
        <v>0</v>
      </c>
      <c r="Y757" s="16" t="n">
        <f aca="false">IF(U757="","",IF($B$8=0,0,U757/$B$8*100))</f>
        <v>45.6134176818284</v>
      </c>
      <c r="Z757" s="18" t="n">
        <f aca="false">IF(D757="","",MAX(0,IF(P757&gt;=0,P757,IF(K757+P757&gt;=0,0,P757+K757))))</f>
        <v>21.5386558293594</v>
      </c>
      <c r="AA757" s="18" t="n">
        <f aca="false">IF(D757="","",IF(H757&lt;=$B$16,1,IF(H757&gt;=$B$17,$B$21,MATCH(H757,Aux_CAV!$A$2:$A$121,1))))</f>
        <v>11</v>
      </c>
      <c r="AB757" s="18" t="n">
        <f aca="false">IF(D757="","",IF(L757&lt;=$B$16,1,IF(L757&gt;=$B$17,$B$21,MATCH(L757,Aux_CAV!$A$2:$A$121,1))))</f>
        <v>11</v>
      </c>
      <c r="AC757" s="19" t="n">
        <f aca="false">IF(D757="","",COUNT($D$24:D757))</f>
        <v>722</v>
      </c>
    </row>
    <row r="758" customFormat="false" ht="12.75" hidden="false" customHeight="true" outlineLevel="0" collapsed="false">
      <c r="A758" s="14" t="n">
        <f aca="false">IF(D758="","",DATE(B758,C758,1))</f>
        <v>25993</v>
      </c>
      <c r="B758" s="15" t="n">
        <f aca="false" t="array" ref="B758:B758">IF(D758="","",IFERROR(VALUE(INDEX(Vazoes_COLAR!$A$2:$A$200,INT((ROW()-24)/12)+1)),""))</f>
        <v>1971</v>
      </c>
      <c r="C758" s="15" t="n">
        <f aca="false">IF(D758="","",MOD(ROW()-24,12)+1)</f>
        <v>3</v>
      </c>
      <c r="D758" s="16" t="n">
        <f aca="false" t="array" ref="D758: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2.44531558791218</v>
      </c>
      <c r="E758" s="16" t="n">
        <f aca="false">IF(D758="","",D758*$B$15)</f>
        <v>6.33825800386837</v>
      </c>
      <c r="F758" s="16" t="n">
        <f aca="false" t="array" ref="F758:F758">IF(D758="","",IFERROR(INDEX(Dados_Evap!$C$2:$N$15,MATCH($B$9,Dados_Evap!$A$2:$A$15,0),C758),0))</f>
        <v>107.7</v>
      </c>
      <c r="G758" s="16" t="n">
        <f aca="false">IF(F758="","",F758/1000)</f>
        <v>0.1077</v>
      </c>
      <c r="H758" s="16" t="n">
        <f aca="false">IF(D758="","",MAX(0,MIN($B$8,IFERROR(LOOKUP(2,1/($U$24:U757&lt;&gt;""),$U$24:U757),$B$11))))</f>
        <v>21.5386558293594</v>
      </c>
      <c r="I758" s="16" t="n">
        <f aca="false" t="array" ref="I758: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>4.31193691619173</v>
      </c>
      <c r="J758" s="16" t="n">
        <f aca="false">IF(D758="","",$B$12)</f>
        <v>0.35</v>
      </c>
      <c r="K758" s="16" t="n">
        <f aca="false">IF(J758="","",J758*$B$15)</f>
        <v>0.9072</v>
      </c>
      <c r="L758" s="16" t="n">
        <f aca="false">IF(D758="","",H758+E758-K758-G758*I758)</f>
        <v>26.5053182273539</v>
      </c>
      <c r="M758" s="16" t="n">
        <f aca="false" t="array" ref="M758: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>4.86948451488045</v>
      </c>
      <c r="N758" s="16" t="n">
        <f aca="false">IF(D758="","",(I758+M758)/2)</f>
        <v>4.59071071553609</v>
      </c>
      <c r="O758" s="16" t="n">
        <f aca="false">IF(D758="","",G758*N758)</f>
        <v>0.494419544063237</v>
      </c>
      <c r="P758" s="16" t="n">
        <f aca="false">IF(D758="","",H758+E758-K758-O758)</f>
        <v>26.4752942891645</v>
      </c>
      <c r="Q758" s="16" t="n">
        <f aca="false">IF(D758="","",IF(P758&gt;=0,K758,MAX(0,K758+P758)))</f>
        <v>0.9072</v>
      </c>
      <c r="R758" s="16" t="n">
        <f aca="false">IF(D758="","",Q758/$B$15)</f>
        <v>0.35</v>
      </c>
      <c r="S758" s="16" t="n">
        <f aca="false">IF(D758="","",MAX(0,J758-R758))</f>
        <v>0</v>
      </c>
      <c r="T758" s="16" t="n">
        <f aca="false">IF(D758="","",MAX(0,Z758-$B$8))</f>
        <v>0</v>
      </c>
      <c r="U758" s="16" t="n">
        <f aca="false">IF(D758="","",MAX(0,MIN($B$8,Z758)))</f>
        <v>26.4752942891645</v>
      </c>
      <c r="V758" s="16" t="str">
        <f aca="false">IF(D758="","",IF(S758&gt;0.0000001,"Sim","Não"))</f>
        <v>Não</v>
      </c>
      <c r="W758" s="16" t="n">
        <f aca="false">IF(D758="","",U758-(H758+E758-Q758-O758-T758))</f>
        <v>0</v>
      </c>
      <c r="X758" s="16" t="n">
        <f aca="false">IF(W758="","",ABS(W758))</f>
        <v>0</v>
      </c>
      <c r="Y758" s="16" t="n">
        <f aca="false">IF(U758="","",IF($B$8=0,0,U758/$B$8*100))</f>
        <v>56.0679675755284</v>
      </c>
      <c r="Z758" s="18" t="n">
        <f aca="false">IF(D758="","",MAX(0,IF(P758&gt;=0,P758,IF(K758+P758&gt;=0,0,P758+K758))))</f>
        <v>26.4752942891645</v>
      </c>
      <c r="AA758" s="18" t="n">
        <f aca="false">IF(D758="","",IF(H758&lt;=$B$16,1,IF(H758&gt;=$B$17,$B$21,MATCH(H758,Aux_CAV!$A$2:$A$121,1))))</f>
        <v>11</v>
      </c>
      <c r="AB758" s="18" t="n">
        <f aca="false">IF(D758="","",IF(L758&lt;=$B$16,1,IF(L758&gt;=$B$17,$B$21,MATCH(L758,Aux_CAV!$A$2:$A$121,1))))</f>
        <v>12</v>
      </c>
      <c r="AC758" s="19" t="n">
        <f aca="false">IF(D758="","",COUNT($D$24:D758))</f>
        <v>723</v>
      </c>
    </row>
    <row r="759" customFormat="false" ht="12.75" hidden="false" customHeight="true" outlineLevel="0" collapsed="false">
      <c r="A759" s="14" t="n">
        <f aca="false">IF(D759="","",DATE(B759,C759,1))</f>
        <v>26024</v>
      </c>
      <c r="B759" s="15" t="n">
        <f aca="false" t="array" ref="B759:B759">IF(D759="","",IFERROR(VALUE(INDEX(Vazoes_COLAR!$A$2:$A$200,INT((ROW()-24)/12)+1)),""))</f>
        <v>1971</v>
      </c>
      <c r="C759" s="15" t="n">
        <f aca="false">IF(D759="","",MOD(ROW()-24,12)+1)</f>
        <v>4</v>
      </c>
      <c r="D759" s="16" t="n">
        <f aca="false" t="array" ref="D759: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5.87883150252433</v>
      </c>
      <c r="E759" s="16" t="n">
        <f aca="false">IF(D759="","",D759*$B$15)</f>
        <v>15.2379312545431</v>
      </c>
      <c r="F759" s="16" t="n">
        <f aca="false" t="array" ref="F759:F759">IF(D759="","",IFERROR(INDEX(Dados_Evap!$C$2:$N$15,MATCH($B$9,Dados_Evap!$A$2:$A$15,0),C759),0))</f>
        <v>100.5</v>
      </c>
      <c r="G759" s="16" t="n">
        <f aca="false">IF(F759="","",F759/1000)</f>
        <v>0.1005</v>
      </c>
      <c r="H759" s="16" t="n">
        <f aca="false">IF(D759="","",MAX(0,MIN($B$8,IFERROR(LOOKUP(2,1/($U$24:U758&lt;&gt;""),$U$24:U758),$B$11))))</f>
        <v>26.4752942891645</v>
      </c>
      <c r="I759" s="16" t="n">
        <f aca="false" t="array" ref="I759: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>4.8663655232433</v>
      </c>
      <c r="J759" s="16" t="n">
        <f aca="false">IF(D759="","",$B$12)</f>
        <v>0.35</v>
      </c>
      <c r="K759" s="16" t="n">
        <f aca="false">IF(J759="","",J759*$B$15)</f>
        <v>0.9072</v>
      </c>
      <c r="L759" s="16" t="n">
        <f aca="false">IF(D759="","",H759+E759-K759-G759*I759)</f>
        <v>40.3169558086216</v>
      </c>
      <c r="M759" s="16" t="n">
        <f aca="false" t="array" ref="M759: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>6.28078096516898</v>
      </c>
      <c r="N759" s="16" t="n">
        <f aca="false">IF(D759="","",(I759+M759)/2)</f>
        <v>5.57357324420614</v>
      </c>
      <c r="O759" s="16" t="n">
        <f aca="false">IF(D759="","",G759*N759)</f>
        <v>0.560144111042717</v>
      </c>
      <c r="P759" s="16" t="n">
        <f aca="false">IF(D759="","",H759+E759-K759-O759)</f>
        <v>40.2458814326648</v>
      </c>
      <c r="Q759" s="16" t="n">
        <f aca="false">IF(D759="","",IF(P759&gt;=0,K759,MAX(0,K759+P759)))</f>
        <v>0.9072</v>
      </c>
      <c r="R759" s="16" t="n">
        <f aca="false">IF(D759="","",Q759/$B$15)</f>
        <v>0.35</v>
      </c>
      <c r="S759" s="16" t="n">
        <f aca="false">IF(D759="","",MAX(0,J759-R759))</f>
        <v>0</v>
      </c>
      <c r="T759" s="16" t="n">
        <f aca="false">IF(D759="","",MAX(0,Z759-$B$8))</f>
        <v>0</v>
      </c>
      <c r="U759" s="16" t="n">
        <f aca="false">IF(D759="","",MAX(0,MIN($B$8,Z759)))</f>
        <v>40.2458814326648</v>
      </c>
      <c r="V759" s="16" t="str">
        <f aca="false">IF(D759="","",IF(S759&gt;0.0000001,"Sim","Não"))</f>
        <v>Não</v>
      </c>
      <c r="W759" s="16" t="n">
        <f aca="false">IF(D759="","",U759-(H759+E759-Q759-O759-T759))</f>
        <v>0</v>
      </c>
      <c r="X759" s="16" t="n">
        <f aca="false">IF(W759="","",ABS(W759))</f>
        <v>0</v>
      </c>
      <c r="Y759" s="16" t="n">
        <f aca="false">IF(U759="","",IF($B$8=0,0,U759/$B$8*100))</f>
        <v>85.2305832966219</v>
      </c>
      <c r="Z759" s="18" t="n">
        <f aca="false">IF(D759="","",MAX(0,IF(P759&gt;=0,P759,IF(K759+P759&gt;=0,0,P759+K759))))</f>
        <v>40.2458814326648</v>
      </c>
      <c r="AA759" s="18" t="n">
        <f aca="false">IF(D759="","",IF(H759&lt;=$B$16,1,IF(H759&gt;=$B$17,$B$21,MATCH(H759,Aux_CAV!$A$2:$A$121,1))))</f>
        <v>12</v>
      </c>
      <c r="AB759" s="18" t="n">
        <f aca="false">IF(D759="","",IF(L759&lt;=$B$16,1,IF(L759&gt;=$B$17,$B$21,MATCH(L759,Aux_CAV!$A$2:$A$121,1))))</f>
        <v>13</v>
      </c>
      <c r="AC759" s="19" t="n">
        <f aca="false">IF(D759="","",COUNT($D$24:D759))</f>
        <v>724</v>
      </c>
    </row>
    <row r="760" customFormat="false" ht="12.75" hidden="false" customHeight="true" outlineLevel="0" collapsed="false">
      <c r="A760" s="14" t="n">
        <f aca="false">IF(D760="","",DATE(B760,C760,1))</f>
        <v>26054</v>
      </c>
      <c r="B760" s="15" t="n">
        <f aca="false" t="array" ref="B760:B760">IF(D760="","",IFERROR(VALUE(INDEX(Vazoes_COLAR!$A$2:$A$200,INT((ROW()-24)/12)+1)),""))</f>
        <v>1971</v>
      </c>
      <c r="C760" s="15" t="n">
        <f aca="false">IF(D760="","",MOD(ROW()-24,12)+1)</f>
        <v>5</v>
      </c>
      <c r="D760" s="16" t="n">
        <f aca="false" t="array" ref="D760: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2.79957608325975</v>
      </c>
      <c r="E760" s="16" t="n">
        <f aca="false">IF(D760="","",D760*$B$15)</f>
        <v>7.25650120780927</v>
      </c>
      <c r="F760" s="16" t="n">
        <f aca="false" t="array" ref="F760:F760">IF(D760="","",IFERROR(INDEX(Dados_Evap!$C$2:$N$15,MATCH($B$9,Dados_Evap!$A$2:$A$15,0),C760),0))</f>
        <v>145.8</v>
      </c>
      <c r="G760" s="16" t="n">
        <f aca="false">IF(F760="","",F760/1000)</f>
        <v>0.1458</v>
      </c>
      <c r="H760" s="16" t="n">
        <f aca="false">IF(D760="","",MAX(0,MIN($B$8,IFERROR(LOOKUP(2,1/($U$24:U759&lt;&gt;""),$U$24:U759),$B$11))))</f>
        <v>40.2458814326648</v>
      </c>
      <c r="I760" s="16" t="n">
        <f aca="false" t="array" ref="I760: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>6.27368470278965</v>
      </c>
      <c r="J760" s="16" t="n">
        <f aca="false">IF(D760="","",$B$12)</f>
        <v>0.35</v>
      </c>
      <c r="K760" s="16" t="n">
        <f aca="false">IF(J760="","",J760*$B$15)</f>
        <v>0.9072</v>
      </c>
      <c r="L760" s="16" t="n">
        <f aca="false">IF(D760="","",H760+E760-K760-G760*I760)</f>
        <v>45.6804794108074</v>
      </c>
      <c r="M760" s="16" t="n">
        <f aca="false" t="array" ref="M760: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>6.81629000406646</v>
      </c>
      <c r="N760" s="16" t="n">
        <f aca="false">IF(D760="","",(I760+M760)/2)</f>
        <v>6.54498735342806</v>
      </c>
      <c r="O760" s="16" t="n">
        <f aca="false">IF(D760="","",G760*N760)</f>
        <v>0.954259156129811</v>
      </c>
      <c r="P760" s="16" t="n">
        <f aca="false">IF(D760="","",H760+E760-K760-O760)</f>
        <v>45.6409234843443</v>
      </c>
      <c r="Q760" s="16" t="n">
        <f aca="false">IF(D760="","",IF(P760&gt;=0,K760,MAX(0,K760+P760)))</f>
        <v>0.9072</v>
      </c>
      <c r="R760" s="16" t="n">
        <f aca="false">IF(D760="","",Q760/$B$15)</f>
        <v>0.35</v>
      </c>
      <c r="S760" s="16" t="n">
        <f aca="false">IF(D760="","",MAX(0,J760-R760))</f>
        <v>0</v>
      </c>
      <c r="T760" s="16" t="n">
        <f aca="false">IF(D760="","",MAX(0,Z760-$B$8))</f>
        <v>0</v>
      </c>
      <c r="U760" s="16" t="n">
        <f aca="false">IF(D760="","",MAX(0,MIN($B$8,Z760)))</f>
        <v>45.6409234843443</v>
      </c>
      <c r="V760" s="16" t="str">
        <f aca="false">IF(D760="","",IF(S760&gt;0.0000001,"Sim","Não"))</f>
        <v>Não</v>
      </c>
      <c r="W760" s="16" t="n">
        <f aca="false">IF(D760="","",U760-(H760+E760-Q760-O760-T760))</f>
        <v>0</v>
      </c>
      <c r="X760" s="16" t="n">
        <f aca="false">IF(W760="","",ABS(W760))</f>
        <v>0</v>
      </c>
      <c r="Y760" s="16" t="n">
        <f aca="false">IF(U760="","",IF($B$8=0,0,U760/$B$8*100))</f>
        <v>96.6559158923005</v>
      </c>
      <c r="Z760" s="18" t="n">
        <f aca="false">IF(D760="","",MAX(0,IF(P760&gt;=0,P760,IF(K760+P760&gt;=0,0,P760+K760))))</f>
        <v>45.6409234843443</v>
      </c>
      <c r="AA760" s="18" t="n">
        <f aca="false">IF(D760="","",IF(H760&lt;=$B$16,1,IF(H760&gt;=$B$17,$B$21,MATCH(H760,Aux_CAV!$A$2:$A$121,1))))</f>
        <v>13</v>
      </c>
      <c r="AB760" s="18" t="n">
        <f aca="false">IF(D760="","",IF(L760&lt;=$B$16,1,IF(L760&gt;=$B$17,$B$21,MATCH(L760,Aux_CAV!$A$2:$A$121,1))))</f>
        <v>13</v>
      </c>
      <c r="AC760" s="19" t="n">
        <f aca="false">IF(D760="","",COUNT($D$24:D760))</f>
        <v>725</v>
      </c>
    </row>
    <row r="761" customFormat="false" ht="12.75" hidden="false" customHeight="true" outlineLevel="0" collapsed="false">
      <c r="A761" s="14" t="n">
        <f aca="false">IF(D761="","",DATE(B761,C761,1))</f>
        <v>26085</v>
      </c>
      <c r="B761" s="15" t="n">
        <f aca="false" t="array" ref="B761:B761">IF(D761="","",IFERROR(VALUE(INDEX(Vazoes_COLAR!$A$2:$A$200,INT((ROW()-24)/12)+1)),""))</f>
        <v>1971</v>
      </c>
      <c r="C761" s="15" t="n">
        <f aca="false">IF(D761="","",MOD(ROW()-24,12)+1)</f>
        <v>6</v>
      </c>
      <c r="D761" s="16" t="n">
        <f aca="false" t="array" ref="D761: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0.774735932299428</v>
      </c>
      <c r="E761" s="16" t="n">
        <f aca="false">IF(D761="","",D761*$B$15)</f>
        <v>2.00811553652012</v>
      </c>
      <c r="F761" s="16" t="n">
        <f aca="false" t="array" ref="F761:F761">IF(D761="","",IFERROR(INDEX(Dados_Evap!$C$2:$N$15,MATCH($B$9,Dados_Evap!$A$2:$A$15,0),C761),0))</f>
        <v>161.3</v>
      </c>
      <c r="G761" s="16" t="n">
        <f aca="false">IF(F761="","",F761/1000)</f>
        <v>0.1613</v>
      </c>
      <c r="H761" s="16" t="n">
        <f aca="false">IF(D761="","",MAX(0,MIN($B$8,IFERROR(LOOKUP(2,1/($U$24:U760&lt;&gt;""),$U$24:U760),$B$11))))</f>
        <v>45.6409234843443</v>
      </c>
      <c r="I761" s="16" t="n">
        <f aca="false" t="array" ref="I761: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>6.81234063090545</v>
      </c>
      <c r="J761" s="16" t="n">
        <f aca="false">IF(D761="","",$B$12)</f>
        <v>0.35</v>
      </c>
      <c r="K761" s="16" t="n">
        <f aca="false">IF(J761="","",J761*$B$15)</f>
        <v>0.9072</v>
      </c>
      <c r="L761" s="16" t="n">
        <f aca="false">IF(D761="","",H761+E761-K761-G761*I761)</f>
        <v>45.6430084770994</v>
      </c>
      <c r="M761" s="16" t="n">
        <f aca="false" t="array" ref="M761: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>6.8125488023519</v>
      </c>
      <c r="N761" s="16" t="n">
        <f aca="false">IF(D761="","",(I761+M761)/2)</f>
        <v>6.81244471662867</v>
      </c>
      <c r="O761" s="16" t="n">
        <f aca="false">IF(D761="","",G761*N761)</f>
        <v>1.09884733279221</v>
      </c>
      <c r="P761" s="16" t="n">
        <f aca="false">IF(D761="","",H761+E761-K761-O761)</f>
        <v>45.6429916880722</v>
      </c>
      <c r="Q761" s="16" t="n">
        <f aca="false">IF(D761="","",IF(P761&gt;=0,K761,MAX(0,K761+P761)))</f>
        <v>0.9072</v>
      </c>
      <c r="R761" s="16" t="n">
        <f aca="false">IF(D761="","",Q761/$B$15)</f>
        <v>0.35</v>
      </c>
      <c r="S761" s="16" t="n">
        <f aca="false">IF(D761="","",MAX(0,J761-R761))</f>
        <v>0</v>
      </c>
      <c r="T761" s="16" t="n">
        <f aca="false">IF(D761="","",MAX(0,Z761-$B$8))</f>
        <v>0</v>
      </c>
      <c r="U761" s="16" t="n">
        <f aca="false">IF(D761="","",MAX(0,MIN($B$8,Z761)))</f>
        <v>45.6429916880722</v>
      </c>
      <c r="V761" s="16" t="str">
        <f aca="false">IF(D761="","",IF(S761&gt;0.0000001,"Sim","Não"))</f>
        <v>Não</v>
      </c>
      <c r="W761" s="16" t="n">
        <f aca="false">IF(D761="","",U761-(H761+E761-Q761-O761-T761))</f>
        <v>0</v>
      </c>
      <c r="X761" s="16" t="n">
        <f aca="false">IF(W761="","",ABS(W761))</f>
        <v>0</v>
      </c>
      <c r="Y761" s="16" t="n">
        <f aca="false">IF(U761="","",IF($B$8=0,0,U761/$B$8*100))</f>
        <v>96.6602958239564</v>
      </c>
      <c r="Z761" s="18" t="n">
        <f aca="false">IF(D761="","",MAX(0,IF(P761&gt;=0,P761,IF(K761+P761&gt;=0,0,P761+K761))))</f>
        <v>45.6429916880722</v>
      </c>
      <c r="AA761" s="18" t="n">
        <f aca="false">IF(D761="","",IF(H761&lt;=$B$16,1,IF(H761&gt;=$B$17,$B$21,MATCH(H761,Aux_CAV!$A$2:$A$121,1))))</f>
        <v>13</v>
      </c>
      <c r="AB761" s="18" t="n">
        <f aca="false">IF(D761="","",IF(L761&lt;=$B$16,1,IF(L761&gt;=$B$17,$B$21,MATCH(L761,Aux_CAV!$A$2:$A$121,1))))</f>
        <v>13</v>
      </c>
      <c r="AC761" s="19" t="n">
        <f aca="false">IF(D761="","",COUNT($D$24:D761))</f>
        <v>726</v>
      </c>
    </row>
    <row r="762" customFormat="false" ht="12.75" hidden="false" customHeight="true" outlineLevel="0" collapsed="false">
      <c r="A762" s="14" t="n">
        <f aca="false">IF(D762="","",DATE(B762,C762,1))</f>
        <v>26115</v>
      </c>
      <c r="B762" s="15" t="n">
        <f aca="false" t="array" ref="B762:B762">IF(D762="","",IFERROR(VALUE(INDEX(Vazoes_COLAR!$A$2:$A$200,INT((ROW()-24)/12)+1)),""))</f>
        <v>1971</v>
      </c>
      <c r="C762" s="15" t="n">
        <f aca="false">IF(D762="","",MOD(ROW()-24,12)+1)</f>
        <v>7</v>
      </c>
      <c r="D762" s="16" t="n">
        <f aca="false" t="array" ref="D762: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0.363925948575803</v>
      </c>
      <c r="E762" s="16" t="n">
        <f aca="false">IF(D762="","",D762*$B$15)</f>
        <v>0.943296058708481</v>
      </c>
      <c r="F762" s="16" t="n">
        <f aca="false" t="array" ref="F762:F762">IF(D762="","",IFERROR(INDEX(Dados_Evap!$C$2:$N$15,MATCH($B$9,Dados_Evap!$A$2:$A$15,0),C762),0))</f>
        <v>224.8</v>
      </c>
      <c r="G762" s="16" t="n">
        <f aca="false">IF(F762="","",F762/1000)</f>
        <v>0.2248</v>
      </c>
      <c r="H762" s="16" t="n">
        <f aca="false">IF(D762="","",MAX(0,MIN($B$8,IFERROR(LOOKUP(2,1/($U$24:U761&lt;&gt;""),$U$24:U761),$B$11))))</f>
        <v>45.6429916880722</v>
      </c>
      <c r="I762" s="16" t="n">
        <f aca="false" t="array" ref="I762: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>6.81254712608897</v>
      </c>
      <c r="J762" s="16" t="n">
        <f aca="false">IF(D762="","",$B$12)</f>
        <v>0.35</v>
      </c>
      <c r="K762" s="16" t="n">
        <f aca="false">IF(J762="","",J762*$B$15)</f>
        <v>0.9072</v>
      </c>
      <c r="L762" s="16" t="n">
        <f aca="false">IF(D762="","",H762+E762-K762-G762*I762)</f>
        <v>44.1476271528359</v>
      </c>
      <c r="M762" s="16" t="n">
        <f aca="false" t="array" ref="M762: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>6.66324579277528</v>
      </c>
      <c r="N762" s="16" t="n">
        <f aca="false">IF(D762="","",(I762+M762)/2)</f>
        <v>6.73789645943213</v>
      </c>
      <c r="O762" s="16" t="n">
        <f aca="false">IF(D762="","",G762*N762)</f>
        <v>1.51467912408034</v>
      </c>
      <c r="P762" s="16" t="n">
        <f aca="false">IF(D762="","",H762+E762-K762-O762)</f>
        <v>44.1644086227004</v>
      </c>
      <c r="Q762" s="16" t="n">
        <f aca="false">IF(D762="","",IF(P762&gt;=0,K762,MAX(0,K762+P762)))</f>
        <v>0.9072</v>
      </c>
      <c r="R762" s="16" t="n">
        <f aca="false">IF(D762="","",Q762/$B$15)</f>
        <v>0.35</v>
      </c>
      <c r="S762" s="16" t="n">
        <f aca="false">IF(D762="","",MAX(0,J762-R762))</f>
        <v>0</v>
      </c>
      <c r="T762" s="16" t="n">
        <f aca="false">IF(D762="","",MAX(0,Z762-$B$8))</f>
        <v>0</v>
      </c>
      <c r="U762" s="16" t="n">
        <f aca="false">IF(D762="","",MAX(0,MIN($B$8,Z762)))</f>
        <v>44.1644086227004</v>
      </c>
      <c r="V762" s="16" t="str">
        <f aca="false">IF(D762="","",IF(S762&gt;0.0000001,"Sim","Não"))</f>
        <v>Não</v>
      </c>
      <c r="W762" s="16" t="n">
        <f aca="false">IF(D762="","",U762-(H762+E762-Q762-O762-T762))</f>
        <v>0</v>
      </c>
      <c r="X762" s="16" t="n">
        <f aca="false">IF(W762="","",ABS(W762))</f>
        <v>0</v>
      </c>
      <c r="Y762" s="16" t="n">
        <f aca="false">IF(U762="","",IF($B$8=0,0,U762/$B$8*100))</f>
        <v>93.529031390725</v>
      </c>
      <c r="Z762" s="18" t="n">
        <f aca="false">IF(D762="","",MAX(0,IF(P762&gt;=0,P762,IF(K762+P762&gt;=0,0,P762+K762))))</f>
        <v>44.1644086227004</v>
      </c>
      <c r="AA762" s="18" t="n">
        <f aca="false">IF(D762="","",IF(H762&lt;=$B$16,1,IF(H762&gt;=$B$17,$B$21,MATCH(H762,Aux_CAV!$A$2:$A$121,1))))</f>
        <v>13</v>
      </c>
      <c r="AB762" s="18" t="n">
        <f aca="false">IF(D762="","",IF(L762&lt;=$B$16,1,IF(L762&gt;=$B$17,$B$21,MATCH(L762,Aux_CAV!$A$2:$A$121,1))))</f>
        <v>13</v>
      </c>
      <c r="AC762" s="19" t="n">
        <f aca="false">IF(D762="","",COUNT($D$24:D762))</f>
        <v>727</v>
      </c>
    </row>
    <row r="763" customFormat="false" ht="12.75" hidden="false" customHeight="true" outlineLevel="0" collapsed="false">
      <c r="A763" s="14" t="n">
        <f aca="false">IF(D763="","",DATE(B763,C763,1))</f>
        <v>26146</v>
      </c>
      <c r="B763" s="15" t="n">
        <f aca="false" t="array" ref="B763:B763">IF(D763="","",IFERROR(VALUE(INDEX(Vazoes_COLAR!$A$2:$A$200,INT((ROW()-24)/12)+1)),""))</f>
        <v>1971</v>
      </c>
      <c r="C763" s="15" t="n">
        <f aca="false">IF(D763="","",MOD(ROW()-24,12)+1)</f>
        <v>8</v>
      </c>
      <c r="D763" s="16" t="n">
        <f aca="false" t="array" ref="D763: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0.0325920684793827</v>
      </c>
      <c r="E763" s="16" t="n">
        <f aca="false">IF(D763="","",D763*$B$15)</f>
        <v>0.08447864149856</v>
      </c>
      <c r="F763" s="16" t="n">
        <f aca="false" t="array" ref="F763:F763">IF(D763="","",IFERROR(INDEX(Dados_Evap!$C$2:$N$15,MATCH($B$9,Dados_Evap!$A$2:$A$15,0),C763),0))</f>
        <v>268.7</v>
      </c>
      <c r="G763" s="16" t="n">
        <f aca="false">IF(F763="","",F763/1000)</f>
        <v>0.2687</v>
      </c>
      <c r="H763" s="16" t="n">
        <f aca="false">IF(D763="","",MAX(0,MIN($B$8,IFERROR(LOOKUP(2,1/($U$24:U762&lt;&gt;""),$U$24:U762),$B$11))))</f>
        <v>44.1644086227004</v>
      </c>
      <c r="I763" s="16" t="n">
        <f aca="false" t="array" ref="I763: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>6.66492130116584</v>
      </c>
      <c r="J763" s="16" t="n">
        <f aca="false">IF(D763="","",$B$12)</f>
        <v>0.35</v>
      </c>
      <c r="K763" s="16" t="n">
        <f aca="false">IF(J763="","",J763*$B$15)</f>
        <v>0.9072</v>
      </c>
      <c r="L763" s="16" t="n">
        <f aca="false">IF(D763="","",H763+E763-K763-G763*I763)</f>
        <v>41.5508229105757</v>
      </c>
      <c r="M763" s="16" t="n">
        <f aca="false" t="array" ref="M763: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>6.40397367110307</v>
      </c>
      <c r="N763" s="16" t="n">
        <f aca="false">IF(D763="","",(I763+M763)/2)</f>
        <v>6.53444748613445</v>
      </c>
      <c r="O763" s="16" t="n">
        <f aca="false">IF(D763="","",G763*N763)</f>
        <v>1.75580603952433</v>
      </c>
      <c r="P763" s="16" t="n">
        <f aca="false">IF(D763="","",H763+E763-K763-O763)</f>
        <v>41.5858812246746</v>
      </c>
      <c r="Q763" s="16" t="n">
        <f aca="false">IF(D763="","",IF(P763&gt;=0,K763,MAX(0,K763+P763)))</f>
        <v>0.9072</v>
      </c>
      <c r="R763" s="16" t="n">
        <f aca="false">IF(D763="","",Q763/$B$15)</f>
        <v>0.35</v>
      </c>
      <c r="S763" s="16" t="n">
        <f aca="false">IF(D763="","",MAX(0,J763-R763))</f>
        <v>0</v>
      </c>
      <c r="T763" s="16" t="n">
        <f aca="false">IF(D763="","",MAX(0,Z763-$B$8))</f>
        <v>0</v>
      </c>
      <c r="U763" s="16" t="n">
        <f aca="false">IF(D763="","",MAX(0,MIN($B$8,Z763)))</f>
        <v>41.5858812246746</v>
      </c>
      <c r="V763" s="16" t="str">
        <f aca="false">IF(D763="","",IF(S763&gt;0.0000001,"Sim","Não"))</f>
        <v>Não</v>
      </c>
      <c r="W763" s="16" t="n">
        <f aca="false">IF(D763="","",U763-(H763+E763-Q763-O763-T763))</f>
        <v>0</v>
      </c>
      <c r="X763" s="16" t="n">
        <f aca="false">IF(W763="","",ABS(W763))</f>
        <v>0</v>
      </c>
      <c r="Y763" s="16" t="n">
        <f aca="false">IF(U763="","",IF($B$8=0,0,U763/$B$8*100))</f>
        <v>88.0683634575912</v>
      </c>
      <c r="Z763" s="18" t="n">
        <f aca="false">IF(D763="","",MAX(0,IF(P763&gt;=0,P763,IF(K763+P763&gt;=0,0,P763+K763))))</f>
        <v>41.5858812246746</v>
      </c>
      <c r="AA763" s="18" t="n">
        <f aca="false">IF(D763="","",IF(H763&lt;=$B$16,1,IF(H763&gt;=$B$17,$B$21,MATCH(H763,Aux_CAV!$A$2:$A$121,1))))</f>
        <v>13</v>
      </c>
      <c r="AB763" s="18" t="n">
        <f aca="false">IF(D763="","",IF(L763&lt;=$B$16,1,IF(L763&gt;=$B$17,$B$21,MATCH(L763,Aux_CAV!$A$2:$A$121,1))))</f>
        <v>13</v>
      </c>
      <c r="AC763" s="19" t="n">
        <f aca="false">IF(D763="","",COUNT($D$24:D763))</f>
        <v>728</v>
      </c>
    </row>
    <row r="764" customFormat="false" ht="12.75" hidden="false" customHeight="true" outlineLevel="0" collapsed="false">
      <c r="A764" s="14" t="n">
        <f aca="false">IF(D764="","",DATE(B764,C764,1))</f>
        <v>26177</v>
      </c>
      <c r="B764" s="15" t="n">
        <f aca="false" t="array" ref="B764:B764">IF(D764="","",IFERROR(VALUE(INDEX(Vazoes_COLAR!$A$2:$A$200,INT((ROW()-24)/12)+1)),""))</f>
        <v>1971</v>
      </c>
      <c r="C764" s="15" t="n">
        <f aca="false">IF(D764="","",MOD(ROW()-24,12)+1)</f>
        <v>9</v>
      </c>
      <c r="D764" s="16" t="n">
        <f aca="false" t="array" ref="D764: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0.133802971993351</v>
      </c>
      <c r="E764" s="16" t="n">
        <f aca="false">IF(D764="","",D764*$B$15)</f>
        <v>0.346817303406766</v>
      </c>
      <c r="F764" s="16" t="n">
        <f aca="false" t="array" ref="F764:F764">IF(D764="","",IFERROR(INDEX(Dados_Evap!$C$2:$N$15,MATCH($B$9,Dados_Evap!$A$2:$A$15,0),C764),0))</f>
        <v>292.8</v>
      </c>
      <c r="G764" s="16" t="n">
        <f aca="false">IF(F764="","",F764/1000)</f>
        <v>0.2928</v>
      </c>
      <c r="H764" s="16" t="n">
        <f aca="false">IF(D764="","",MAX(0,MIN($B$8,IFERROR(LOOKUP(2,1/($U$24:U763&lt;&gt;""),$U$24:U763),$B$11))))</f>
        <v>41.5858812246746</v>
      </c>
      <c r="I764" s="16" t="n">
        <f aca="false" t="array" ref="I764: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>6.40747399019943</v>
      </c>
      <c r="J764" s="16" t="n">
        <f aca="false">IF(D764="","",$B$12)</f>
        <v>0.35</v>
      </c>
      <c r="K764" s="16" t="n">
        <f aca="false">IF(J764="","",J764*$B$15)</f>
        <v>0.9072</v>
      </c>
      <c r="L764" s="16" t="n">
        <f aca="false">IF(D764="","",H764+E764-K764-G764*I764)</f>
        <v>39.149390143751</v>
      </c>
      <c r="M764" s="16" t="n">
        <f aca="false" t="array" ref="M764: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>6.16420797818897</v>
      </c>
      <c r="N764" s="16" t="n">
        <f aca="false">IF(D764="","",(I764+M764)/2)</f>
        <v>6.2858409841942</v>
      </c>
      <c r="O764" s="16" t="n">
        <f aca="false">IF(D764="","",G764*N764)</f>
        <v>1.84049424017206</v>
      </c>
      <c r="P764" s="16" t="n">
        <f aca="false">IF(D764="","",H764+E764-K764-O764)</f>
        <v>39.1850042879093</v>
      </c>
      <c r="Q764" s="16" t="n">
        <f aca="false">IF(D764="","",IF(P764&gt;=0,K764,MAX(0,K764+P764)))</f>
        <v>0.9072</v>
      </c>
      <c r="R764" s="16" t="n">
        <f aca="false">IF(D764="","",Q764/$B$15)</f>
        <v>0.35</v>
      </c>
      <c r="S764" s="16" t="n">
        <f aca="false">IF(D764="","",MAX(0,J764-R764))</f>
        <v>0</v>
      </c>
      <c r="T764" s="16" t="n">
        <f aca="false">IF(D764="","",MAX(0,Z764-$B$8))</f>
        <v>0</v>
      </c>
      <c r="U764" s="16" t="n">
        <f aca="false">IF(D764="","",MAX(0,MIN($B$8,Z764)))</f>
        <v>39.1850042879093</v>
      </c>
      <c r="V764" s="16" t="str">
        <f aca="false">IF(D764="","",IF(S764&gt;0.0000001,"Sim","Não"))</f>
        <v>Não</v>
      </c>
      <c r="W764" s="16" t="n">
        <f aca="false">IF(D764="","",U764-(H764+E764-Q764-O764-T764))</f>
        <v>0</v>
      </c>
      <c r="X764" s="16" t="n">
        <f aca="false">IF(W764="","",ABS(W764))</f>
        <v>0</v>
      </c>
      <c r="Y764" s="16" t="n">
        <f aca="false">IF(U764="","",IF($B$8=0,0,U764/$B$8*100))</f>
        <v>82.9839142056529</v>
      </c>
      <c r="Z764" s="18" t="n">
        <f aca="false">IF(D764="","",MAX(0,IF(P764&gt;=0,P764,IF(K764+P764&gt;=0,0,P764+K764))))</f>
        <v>39.1850042879093</v>
      </c>
      <c r="AA764" s="18" t="n">
        <f aca="false">IF(D764="","",IF(H764&lt;=$B$16,1,IF(H764&gt;=$B$17,$B$21,MATCH(H764,Aux_CAV!$A$2:$A$121,1))))</f>
        <v>13</v>
      </c>
      <c r="AB764" s="18" t="n">
        <f aca="false">IF(D764="","",IF(L764&lt;=$B$16,1,IF(L764&gt;=$B$17,$B$21,MATCH(L764,Aux_CAV!$A$2:$A$121,1))))</f>
        <v>13</v>
      </c>
      <c r="AC764" s="19" t="n">
        <f aca="false">IF(D764="","",COUNT($D$24:D764))</f>
        <v>729</v>
      </c>
    </row>
    <row r="765" customFormat="false" ht="12.75" hidden="false" customHeight="true" outlineLevel="0" collapsed="false">
      <c r="A765" s="14" t="n">
        <f aca="false">IF(D765="","",DATE(B765,C765,1))</f>
        <v>26207</v>
      </c>
      <c r="B765" s="15" t="n">
        <f aca="false" t="array" ref="B765:B765">IF(D765="","",IFERROR(VALUE(INDEX(Vazoes_COLAR!$A$2:$A$200,INT((ROW()-24)/12)+1)),""))</f>
        <v>1971</v>
      </c>
      <c r="C765" s="15" t="n">
        <f aca="false">IF(D765="","",MOD(ROW()-24,12)+1)</f>
        <v>10</v>
      </c>
      <c r="D765" s="16" t="n">
        <f aca="false" t="array" ref="D765: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0.120183739034607</v>
      </c>
      <c r="E765" s="16" t="n">
        <f aca="false">IF(D765="","",D765*$B$15)</f>
        <v>0.311516251577701</v>
      </c>
      <c r="F765" s="16" t="n">
        <f aca="false" t="array" ref="F765:F765">IF(D765="","",IFERROR(INDEX(Dados_Evap!$C$2:$N$15,MATCH($B$9,Dados_Evap!$A$2:$A$15,0),C765),0))</f>
        <v>262.9</v>
      </c>
      <c r="G765" s="16" t="n">
        <f aca="false">IF(F765="","",F765/1000)</f>
        <v>0.2629</v>
      </c>
      <c r="H765" s="16" t="n">
        <f aca="false">IF(D765="","",MAX(0,MIN($B$8,IFERROR(LOOKUP(2,1/($U$24:U764&lt;&gt;""),$U$24:U764),$B$11))))</f>
        <v>39.1850042879093</v>
      </c>
      <c r="I765" s="16" t="n">
        <f aca="false" t="array" ref="I765: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>6.1677637928966</v>
      </c>
      <c r="J765" s="16" t="n">
        <f aca="false">IF(D765="","",$B$12)</f>
        <v>0.35</v>
      </c>
      <c r="K765" s="16" t="n">
        <f aca="false">IF(J765="","",J765*$B$15)</f>
        <v>0.9072</v>
      </c>
      <c r="L765" s="16" t="n">
        <f aca="false">IF(D765="","",H765+E765-K765-G765*I765)</f>
        <v>36.9678154383345</v>
      </c>
      <c r="M765" s="16" t="n">
        <f aca="false" t="array" ref="M765: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>5.94639352253811</v>
      </c>
      <c r="N765" s="16" t="n">
        <f aca="false">IF(D765="","",(I765+M765)/2)</f>
        <v>6.05707865771736</v>
      </c>
      <c r="O765" s="16" t="n">
        <f aca="false">IF(D765="","",G765*N765)</f>
        <v>1.59240597911389</v>
      </c>
      <c r="P765" s="16" t="n">
        <f aca="false">IF(D765="","",H765+E765-K765-O765)</f>
        <v>36.9969145603731</v>
      </c>
      <c r="Q765" s="16" t="n">
        <f aca="false">IF(D765="","",IF(P765&gt;=0,K765,MAX(0,K765+P765)))</f>
        <v>0.9072</v>
      </c>
      <c r="R765" s="16" t="n">
        <f aca="false">IF(D765="","",Q765/$B$15)</f>
        <v>0.35</v>
      </c>
      <c r="S765" s="16" t="n">
        <f aca="false">IF(D765="","",MAX(0,J765-R765))</f>
        <v>0</v>
      </c>
      <c r="T765" s="16" t="n">
        <f aca="false">IF(D765="","",MAX(0,Z765-$B$8))</f>
        <v>0</v>
      </c>
      <c r="U765" s="16" t="n">
        <f aca="false">IF(D765="","",MAX(0,MIN($B$8,Z765)))</f>
        <v>36.9969145603731</v>
      </c>
      <c r="V765" s="16" t="str">
        <f aca="false">IF(D765="","",IF(S765&gt;0.0000001,"Sim","Não"))</f>
        <v>Não</v>
      </c>
      <c r="W765" s="16" t="n">
        <f aca="false">IF(D765="","",U765-(H765+E765-Q765-O765-T765))</f>
        <v>0</v>
      </c>
      <c r="X765" s="16" t="n">
        <f aca="false">IF(W765="","",ABS(W765))</f>
        <v>0</v>
      </c>
      <c r="Y765" s="16" t="n">
        <f aca="false">IF(U765="","",IF($B$8=0,0,U765/$B$8*100))</f>
        <v>78.3500943675838</v>
      </c>
      <c r="Z765" s="18" t="n">
        <f aca="false">IF(D765="","",MAX(0,IF(P765&gt;=0,P765,IF(K765+P765&gt;=0,0,P765+K765))))</f>
        <v>36.9969145603731</v>
      </c>
      <c r="AA765" s="18" t="n">
        <f aca="false">IF(D765="","",IF(H765&lt;=$B$16,1,IF(H765&gt;=$B$17,$B$21,MATCH(H765,Aux_CAV!$A$2:$A$121,1))))</f>
        <v>13</v>
      </c>
      <c r="AB765" s="18" t="n">
        <f aca="false">IF(D765="","",IF(L765&lt;=$B$16,1,IF(L765&gt;=$B$17,$B$21,MATCH(L765,Aux_CAV!$A$2:$A$121,1))))</f>
        <v>13</v>
      </c>
      <c r="AC765" s="19" t="n">
        <f aca="false">IF(D765="","",COUNT($D$24:D765))</f>
        <v>730</v>
      </c>
    </row>
    <row r="766" customFormat="false" ht="12.75" hidden="false" customHeight="true" outlineLevel="0" collapsed="false">
      <c r="A766" s="14" t="n">
        <f aca="false">IF(D766="","",DATE(B766,C766,1))</f>
        <v>26238</v>
      </c>
      <c r="B766" s="15" t="n">
        <f aca="false" t="array" ref="B766:B766">IF(D766="","",IFERROR(VALUE(INDEX(Vazoes_COLAR!$A$2:$A$200,INT((ROW()-24)/12)+1)),""))</f>
        <v>1971</v>
      </c>
      <c r="C766" s="15" t="n">
        <f aca="false">IF(D766="","",MOD(ROW()-24,12)+1)</f>
        <v>11</v>
      </c>
      <c r="D766" s="16" t="n">
        <f aca="false" t="array" ref="D766: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0.0410125499728982</v>
      </c>
      <c r="E766" s="16" t="n">
        <f aca="false">IF(D766="","",D766*$B$15)</f>
        <v>0.106304529529752</v>
      </c>
      <c r="F766" s="16" t="n">
        <f aca="false" t="array" ref="F766:F766">IF(D766="","",IFERROR(INDEX(Dados_Evap!$C$2:$N$15,MATCH($B$9,Dados_Evap!$A$2:$A$15,0),C766),0))</f>
        <v>223.7</v>
      </c>
      <c r="G766" s="16" t="n">
        <f aca="false">IF(F766="","",F766/1000)</f>
        <v>0.2237</v>
      </c>
      <c r="H766" s="16" t="n">
        <f aca="false">IF(D766="","",MAX(0,MIN($B$8,IFERROR(LOOKUP(2,1/($U$24:U765&lt;&gt;""),$U$24:U765),$B$11))))</f>
        <v>36.9969145603731</v>
      </c>
      <c r="I766" s="16" t="n">
        <f aca="false" t="array" ref="I766: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>5.94929885940832</v>
      </c>
      <c r="J766" s="16" t="n">
        <f aca="false">IF(D766="","",$B$12)</f>
        <v>0.35</v>
      </c>
      <c r="K766" s="16" t="n">
        <f aca="false">IF(J766="","",J766*$B$15)</f>
        <v>0.9072</v>
      </c>
      <c r="L766" s="16" t="n">
        <f aca="false">IF(D766="","",H766+E766-K766-G766*I766)</f>
        <v>34.8651609350532</v>
      </c>
      <c r="M766" s="16" t="n">
        <f aca="false" t="array" ref="M766: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>5.73645867826396</v>
      </c>
      <c r="N766" s="16" t="n">
        <f aca="false">IF(D766="","",(I766+M766)/2)</f>
        <v>5.84287876883614</v>
      </c>
      <c r="O766" s="16" t="n">
        <f aca="false">IF(D766="","",G766*N766)</f>
        <v>1.30705198058864</v>
      </c>
      <c r="P766" s="16" t="n">
        <f aca="false">IF(D766="","",H766+E766-K766-O766)</f>
        <v>34.8889671093142</v>
      </c>
      <c r="Q766" s="16" t="n">
        <f aca="false">IF(D766="","",IF(P766&gt;=0,K766,MAX(0,K766+P766)))</f>
        <v>0.9072</v>
      </c>
      <c r="R766" s="16" t="n">
        <f aca="false">IF(D766="","",Q766/$B$15)</f>
        <v>0.35</v>
      </c>
      <c r="S766" s="16" t="n">
        <f aca="false">IF(D766="","",MAX(0,J766-R766))</f>
        <v>0</v>
      </c>
      <c r="T766" s="16" t="n">
        <f aca="false">IF(D766="","",MAX(0,Z766-$B$8))</f>
        <v>0</v>
      </c>
      <c r="U766" s="16" t="n">
        <f aca="false">IF(D766="","",MAX(0,MIN($B$8,Z766)))</f>
        <v>34.8889671093142</v>
      </c>
      <c r="V766" s="16" t="str">
        <f aca="false">IF(D766="","",IF(S766&gt;0.0000001,"Sim","Não"))</f>
        <v>Não</v>
      </c>
      <c r="W766" s="16" t="n">
        <f aca="false">IF(D766="","",U766-(H766+E766-Q766-O766-T766))</f>
        <v>0</v>
      </c>
      <c r="X766" s="16" t="n">
        <f aca="false">IF(W766="","",ABS(W766))</f>
        <v>0</v>
      </c>
      <c r="Y766" s="16" t="n">
        <f aca="false">IF(U766="","",IF($B$8=0,0,U766/$B$8*100))</f>
        <v>73.885995572457</v>
      </c>
      <c r="Z766" s="18" t="n">
        <f aca="false">IF(D766="","",MAX(0,IF(P766&gt;=0,P766,IF(K766+P766&gt;=0,0,P766+K766))))</f>
        <v>34.8889671093142</v>
      </c>
      <c r="AA766" s="18" t="n">
        <f aca="false">IF(D766="","",IF(H766&lt;=$B$16,1,IF(H766&gt;=$B$17,$B$21,MATCH(H766,Aux_CAV!$A$2:$A$121,1))))</f>
        <v>13</v>
      </c>
      <c r="AB766" s="18" t="n">
        <f aca="false">IF(D766="","",IF(L766&lt;=$B$16,1,IF(L766&gt;=$B$17,$B$21,MATCH(L766,Aux_CAV!$A$2:$A$121,1))))</f>
        <v>13</v>
      </c>
      <c r="AC766" s="19" t="n">
        <f aca="false">IF(D766="","",COUNT($D$24:D766))</f>
        <v>731</v>
      </c>
    </row>
    <row r="767" customFormat="false" ht="12.75" hidden="false" customHeight="true" outlineLevel="0" collapsed="false">
      <c r="A767" s="14" t="n">
        <f aca="false">IF(D767="","",DATE(B767,C767,1))</f>
        <v>26268</v>
      </c>
      <c r="B767" s="15" t="n">
        <f aca="false" t="array" ref="B767:B767">IF(D767="","",IFERROR(VALUE(INDEX(Vazoes_COLAR!$A$2:$A$200,INT((ROW()-24)/12)+1)),""))</f>
        <v>1971</v>
      </c>
      <c r="C767" s="15" t="n">
        <f aca="false">IF(D767="","",MOD(ROW()-24,12)+1)</f>
        <v>12</v>
      </c>
      <c r="D767" s="16" t="n">
        <f aca="false" t="array" ref="D767: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0.0569735455734875</v>
      </c>
      <c r="E767" s="16" t="n">
        <f aca="false">IF(D767="","",D767*$B$15)</f>
        <v>0.14767543012648</v>
      </c>
      <c r="F767" s="16" t="n">
        <f aca="false" t="array" ref="F767:F767">IF(D767="","",IFERROR(INDEX(Dados_Evap!$C$2:$N$15,MATCH($B$9,Dados_Evap!$A$2:$A$15,0),C767),0))</f>
        <v>216.1</v>
      </c>
      <c r="G767" s="16" t="n">
        <f aca="false">IF(F767="","",F767/1000)</f>
        <v>0.2161</v>
      </c>
      <c r="H767" s="16" t="n">
        <f aca="false">IF(D767="","",MAX(0,MIN($B$8,IFERROR(LOOKUP(2,1/($U$24:U766&lt;&gt;""),$U$24:U766),$B$11))))</f>
        <v>34.8889671093142</v>
      </c>
      <c r="I767" s="16" t="n">
        <f aca="false" t="array" ref="I767: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>5.7388355525809</v>
      </c>
      <c r="J767" s="16" t="n">
        <f aca="false">IF(D767="","",$B$12)</f>
        <v>0.35</v>
      </c>
      <c r="K767" s="16" t="n">
        <f aca="false">IF(J767="","",J767*$B$15)</f>
        <v>0.9072</v>
      </c>
      <c r="L767" s="16" t="n">
        <f aca="false">IF(D767="","",H767+E767-K767-G767*I767)</f>
        <v>32.8892801765279</v>
      </c>
      <c r="M767" s="16" t="n">
        <f aca="false" t="array" ref="M767: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>5.53267279503737</v>
      </c>
      <c r="N767" s="16" t="n">
        <f aca="false">IF(D767="","",(I767+M767)/2)</f>
        <v>5.63575417380913</v>
      </c>
      <c r="O767" s="16" t="n">
        <f aca="false">IF(D767="","",G767*N767)</f>
        <v>1.21788647696015</v>
      </c>
      <c r="P767" s="16" t="n">
        <f aca="false">IF(D767="","",H767+E767-K767-O767)</f>
        <v>32.9115560624805</v>
      </c>
      <c r="Q767" s="16" t="n">
        <f aca="false">IF(D767="","",IF(P767&gt;=0,K767,MAX(0,K767+P767)))</f>
        <v>0.9072</v>
      </c>
      <c r="R767" s="16" t="n">
        <f aca="false">IF(D767="","",Q767/$B$15)</f>
        <v>0.35</v>
      </c>
      <c r="S767" s="16" t="n">
        <f aca="false">IF(D767="","",MAX(0,J767-R767))</f>
        <v>0</v>
      </c>
      <c r="T767" s="16" t="n">
        <f aca="false">IF(D767="","",MAX(0,Z767-$B$8))</f>
        <v>0</v>
      </c>
      <c r="U767" s="16" t="n">
        <f aca="false">IF(D767="","",MAX(0,MIN($B$8,Z767)))</f>
        <v>32.9115560624805</v>
      </c>
      <c r="V767" s="16" t="str">
        <f aca="false">IF(D767="","",IF(S767&gt;0.0000001,"Sim","Não"))</f>
        <v>Não</v>
      </c>
      <c r="W767" s="16" t="n">
        <f aca="false">IF(D767="","",U767-(H767+E767-Q767-O767-T767))</f>
        <v>0</v>
      </c>
      <c r="X767" s="16" t="n">
        <f aca="false">IF(W767="","",ABS(W767))</f>
        <v>0</v>
      </c>
      <c r="Y767" s="16" t="n">
        <f aca="false">IF(U767="","",IF($B$8=0,0,U767/$B$8*100))</f>
        <v>69.6983398188914</v>
      </c>
      <c r="Z767" s="18" t="n">
        <f aca="false">IF(D767="","",MAX(0,IF(P767&gt;=0,P767,IF(K767+P767&gt;=0,0,P767+K767))))</f>
        <v>32.9115560624805</v>
      </c>
      <c r="AA767" s="18" t="n">
        <f aca="false">IF(D767="","",IF(H767&lt;=$B$16,1,IF(H767&gt;=$B$17,$B$21,MATCH(H767,Aux_CAV!$A$2:$A$121,1))))</f>
        <v>13</v>
      </c>
      <c r="AB767" s="18" t="n">
        <f aca="false">IF(D767="","",IF(L767&lt;=$B$16,1,IF(L767&gt;=$B$17,$B$21,MATCH(L767,Aux_CAV!$A$2:$A$121,1))))</f>
        <v>12</v>
      </c>
      <c r="AC767" s="19" t="n">
        <f aca="false">IF(D767="","",COUNT($D$24:D767))</f>
        <v>732</v>
      </c>
    </row>
    <row r="768" customFormat="false" ht="12.75" hidden="false" customHeight="true" outlineLevel="0" collapsed="false">
      <c r="A768" s="14" t="n">
        <f aca="false">IF(D768="","",DATE(B768,C768,1))</f>
        <v>26299</v>
      </c>
      <c r="B768" s="15" t="n">
        <f aca="false" t="array" ref="B768:B768">IF(D768="","",IFERROR(VALUE(INDEX(Vazoes_COLAR!$A$2:$A$200,INT((ROW()-24)/12)+1)),""))</f>
        <v>1972</v>
      </c>
      <c r="C768" s="15" t="n">
        <f aca="false">IF(D768="","",MOD(ROW()-24,12)+1)</f>
        <v>1</v>
      </c>
      <c r="D768" s="16" t="n">
        <f aca="false" t="array" ref="D768: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0.455287884894359</v>
      </c>
      <c r="E768" s="16" t="n">
        <f aca="false">IF(D768="","",D768*$B$15)</f>
        <v>1.18010619764618</v>
      </c>
      <c r="F768" s="16" t="n">
        <f aca="false" t="array" ref="F768:F768">IF(D768="","",IFERROR(INDEX(Dados_Evap!$C$2:$N$15,MATCH($B$9,Dados_Evap!$A$2:$A$15,0),C768),0))</f>
        <v>160</v>
      </c>
      <c r="G768" s="16" t="n">
        <f aca="false">IF(F768="","",F768/1000)</f>
        <v>0.16</v>
      </c>
      <c r="H768" s="16" t="n">
        <f aca="false">IF(D768="","",MAX(0,MIN($B$8,IFERROR(LOOKUP(2,1/($U$24:U767&lt;&gt;""),$U$24:U767),$B$11))))</f>
        <v>32.9115560624805</v>
      </c>
      <c r="I768" s="16" t="n">
        <f aca="false" t="array" ref="I768: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>5.53498689192759</v>
      </c>
      <c r="J768" s="16" t="n">
        <f aca="false">IF(D768="","",$B$12)</f>
        <v>0.35</v>
      </c>
      <c r="K768" s="16" t="n">
        <f aca="false">IF(J768="","",J768*$B$15)</f>
        <v>0.9072</v>
      </c>
      <c r="L768" s="16" t="n">
        <f aca="false">IF(D768="","",H768+E768-K768-G768*I768)</f>
        <v>32.2988643574183</v>
      </c>
      <c r="M768" s="16" t="n">
        <f aca="false" t="array" ref="M768: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>5.47133833615899</v>
      </c>
      <c r="N768" s="16" t="n">
        <f aca="false">IF(D768="","",(I768+M768)/2)</f>
        <v>5.50316261404329</v>
      </c>
      <c r="O768" s="16" t="n">
        <f aca="false">IF(D768="","",G768*N768)</f>
        <v>0.880506018246926</v>
      </c>
      <c r="P768" s="16" t="n">
        <f aca="false">IF(D768="","",H768+E768-K768-O768)</f>
        <v>32.3039562418798</v>
      </c>
      <c r="Q768" s="16" t="n">
        <f aca="false">IF(D768="","",IF(P768&gt;=0,K768,MAX(0,K768+P768)))</f>
        <v>0.9072</v>
      </c>
      <c r="R768" s="16" t="n">
        <f aca="false">IF(D768="","",Q768/$B$15)</f>
        <v>0.35</v>
      </c>
      <c r="S768" s="16" t="n">
        <f aca="false">IF(D768="","",MAX(0,J768-R768))</f>
        <v>0</v>
      </c>
      <c r="T768" s="16" t="n">
        <f aca="false">IF(D768="","",MAX(0,Z768-$B$8))</f>
        <v>0</v>
      </c>
      <c r="U768" s="16" t="n">
        <f aca="false">IF(D768="","",MAX(0,MIN($B$8,Z768)))</f>
        <v>32.3039562418798</v>
      </c>
      <c r="V768" s="16" t="str">
        <f aca="false">IF(D768="","",IF(S768&gt;0.0000001,"Sim","Não"))</f>
        <v>Não</v>
      </c>
      <c r="W768" s="16" t="n">
        <f aca="false">IF(D768="","",U768-(H768+E768-Q768-O768-T768))</f>
        <v>0</v>
      </c>
      <c r="X768" s="16" t="n">
        <f aca="false">IF(W768="","",ABS(W768))</f>
        <v>0</v>
      </c>
      <c r="Y768" s="16" t="n">
        <f aca="false">IF(U768="","",IF($B$8=0,0,U768/$B$8*100))</f>
        <v>68.4115972932651</v>
      </c>
      <c r="Z768" s="18" t="n">
        <f aca="false">IF(D768="","",MAX(0,IF(P768&gt;=0,P768,IF(K768+P768&gt;=0,0,P768+K768))))</f>
        <v>32.3039562418798</v>
      </c>
      <c r="AA768" s="18" t="n">
        <f aca="false">IF(D768="","",IF(H768&lt;=$B$16,1,IF(H768&gt;=$B$17,$B$21,MATCH(H768,Aux_CAV!$A$2:$A$121,1))))</f>
        <v>12</v>
      </c>
      <c r="AB768" s="18" t="n">
        <f aca="false">IF(D768="","",IF(L768&lt;=$B$16,1,IF(L768&gt;=$B$17,$B$21,MATCH(L768,Aux_CAV!$A$2:$A$121,1))))</f>
        <v>12</v>
      </c>
      <c r="AC768" s="19" t="n">
        <f aca="false">IF(D768="","",COUNT($D$24:D768))</f>
        <v>733</v>
      </c>
    </row>
    <row r="769" customFormat="false" ht="12.75" hidden="false" customHeight="true" outlineLevel="0" collapsed="false">
      <c r="A769" s="14" t="n">
        <f aca="false">IF(D769="","",DATE(B769,C769,1))</f>
        <v>26330</v>
      </c>
      <c r="B769" s="15" t="n">
        <f aca="false" t="array" ref="B769:B769">IF(D769="","",IFERROR(VALUE(INDEX(Vazoes_COLAR!$A$2:$A$200,INT((ROW()-24)/12)+1)),""))</f>
        <v>1972</v>
      </c>
      <c r="C769" s="15" t="n">
        <f aca="false">IF(D769="","",MOD(ROW()-24,12)+1)</f>
        <v>2</v>
      </c>
      <c r="D769" s="16" t="n">
        <f aca="false" t="array" ref="D769: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0.516324078122939</v>
      </c>
      <c r="E769" s="16" t="n">
        <f aca="false">IF(D769="","",D769*$B$15)</f>
        <v>1.33831201049466</v>
      </c>
      <c r="F769" s="16" t="n">
        <f aca="false" t="array" ref="F769:F769">IF(D769="","",IFERROR(INDEX(Dados_Evap!$C$2:$N$15,MATCH($B$9,Dados_Evap!$A$2:$A$15,0),C769),0))</f>
        <v>124.3</v>
      </c>
      <c r="G769" s="16" t="n">
        <f aca="false">IF(F769="","",F769/1000)</f>
        <v>0.1243</v>
      </c>
      <c r="H769" s="16" t="n">
        <f aca="false">IF(D769="","",MAX(0,MIN($B$8,IFERROR(LOOKUP(2,1/($U$24:U768&lt;&gt;""),$U$24:U768),$B$11))))</f>
        <v>32.3039562418798</v>
      </c>
      <c r="I769" s="16" t="n">
        <f aca="false" t="array" ref="I769: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>5.47186729891372</v>
      </c>
      <c r="J769" s="16" t="n">
        <f aca="false">IF(D769="","",$B$12)</f>
        <v>0.35</v>
      </c>
      <c r="K769" s="16" t="n">
        <f aca="false">IF(J769="","",J769*$B$15)</f>
        <v>0.9072</v>
      </c>
      <c r="L769" s="16" t="n">
        <f aca="false">IF(D769="","",H769+E769-K769-G769*I769)</f>
        <v>32.0549151471194</v>
      </c>
      <c r="M769" s="16" t="n">
        <f aca="false" t="array" ref="M769: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>5.44599603955513</v>
      </c>
      <c r="N769" s="16" t="n">
        <f aca="false">IF(D769="","",(I769+M769)/2)</f>
        <v>5.45893166923442</v>
      </c>
      <c r="O769" s="16" t="n">
        <f aca="false">IF(D769="","",G769*N769)</f>
        <v>0.678545206485839</v>
      </c>
      <c r="P769" s="16" t="n">
        <f aca="false">IF(D769="","",H769+E769-K769-O769)</f>
        <v>32.0565230458886</v>
      </c>
      <c r="Q769" s="16" t="n">
        <f aca="false">IF(D769="","",IF(P769&gt;=0,K769,MAX(0,K769+P769)))</f>
        <v>0.9072</v>
      </c>
      <c r="R769" s="16" t="n">
        <f aca="false">IF(D769="","",Q769/$B$15)</f>
        <v>0.35</v>
      </c>
      <c r="S769" s="16" t="n">
        <f aca="false">IF(D769="","",MAX(0,J769-R769))</f>
        <v>0</v>
      </c>
      <c r="T769" s="16" t="n">
        <f aca="false">IF(D769="","",MAX(0,Z769-$B$8))</f>
        <v>0</v>
      </c>
      <c r="U769" s="16" t="n">
        <f aca="false">IF(D769="","",MAX(0,MIN($B$8,Z769)))</f>
        <v>32.0565230458886</v>
      </c>
      <c r="V769" s="16" t="str">
        <f aca="false">IF(D769="","",IF(S769&gt;0.0000001,"Sim","Não"))</f>
        <v>Não</v>
      </c>
      <c r="W769" s="16" t="n">
        <f aca="false">IF(D769="","",U769-(H769+E769-Q769-O769-T769))</f>
        <v>0</v>
      </c>
      <c r="X769" s="16" t="n">
        <f aca="false">IF(W769="","",ABS(W769))</f>
        <v>0</v>
      </c>
      <c r="Y769" s="16" t="n">
        <f aca="false">IF(U769="","",IF($B$8=0,0,U769/$B$8*100))</f>
        <v>67.887596454656</v>
      </c>
      <c r="Z769" s="18" t="n">
        <f aca="false">IF(D769="","",MAX(0,IF(P769&gt;=0,P769,IF(K769+P769&gt;=0,0,P769+K769))))</f>
        <v>32.0565230458886</v>
      </c>
      <c r="AA769" s="18" t="n">
        <f aca="false">IF(D769="","",IF(H769&lt;=$B$16,1,IF(H769&gt;=$B$17,$B$21,MATCH(H769,Aux_CAV!$A$2:$A$121,1))))</f>
        <v>12</v>
      </c>
      <c r="AB769" s="18" t="n">
        <f aca="false">IF(D769="","",IF(L769&lt;=$B$16,1,IF(L769&gt;=$B$17,$B$21,MATCH(L769,Aux_CAV!$A$2:$A$121,1))))</f>
        <v>12</v>
      </c>
      <c r="AC769" s="19" t="n">
        <f aca="false">IF(D769="","",COUNT($D$24:D769))</f>
        <v>734</v>
      </c>
    </row>
    <row r="770" customFormat="false" ht="12.75" hidden="false" customHeight="true" outlineLevel="0" collapsed="false">
      <c r="A770" s="14" t="n">
        <f aca="false">IF(D770="","",DATE(B770,C770,1))</f>
        <v>26359</v>
      </c>
      <c r="B770" s="15" t="n">
        <f aca="false" t="array" ref="B770:B770">IF(D770="","",IFERROR(VALUE(INDEX(Vazoes_COLAR!$A$2:$A$200,INT((ROW()-24)/12)+1)),""))</f>
        <v>1972</v>
      </c>
      <c r="C770" s="15" t="n">
        <f aca="false">IF(D770="","",MOD(ROW()-24,12)+1)</f>
        <v>3</v>
      </c>
      <c r="D770" s="16" t="n">
        <f aca="false" t="array" ref="D770: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1.01313716835714</v>
      </c>
      <c r="E770" s="16" t="n">
        <f aca="false">IF(D770="","",D770*$B$15)</f>
        <v>2.62605154038171</v>
      </c>
      <c r="F770" s="16" t="n">
        <f aca="false" t="array" ref="F770:F770">IF(D770="","",IFERROR(INDEX(Dados_Evap!$C$2:$N$15,MATCH($B$9,Dados_Evap!$A$2:$A$15,0),C770),0))</f>
        <v>107.7</v>
      </c>
      <c r="G770" s="16" t="n">
        <f aca="false">IF(F770="","",F770/1000)</f>
        <v>0.1077</v>
      </c>
      <c r="H770" s="16" t="n">
        <f aca="false">IF(D770="","",MAX(0,MIN($B$8,IFERROR(LOOKUP(2,1/($U$24:U769&lt;&gt;""),$U$24:U769),$B$11))))</f>
        <v>32.0565230458886</v>
      </c>
      <c r="I770" s="16" t="n">
        <f aca="false" t="array" ref="I770: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>5.44616307369911</v>
      </c>
      <c r="J770" s="16" t="n">
        <f aca="false">IF(D770="","",$B$12)</f>
        <v>0.35</v>
      </c>
      <c r="K770" s="16" t="n">
        <f aca="false">IF(J770="","",J770*$B$15)</f>
        <v>0.9072</v>
      </c>
      <c r="L770" s="16" t="n">
        <f aca="false">IF(D770="","",H770+E770-K770-G770*I770)</f>
        <v>33.1888228232329</v>
      </c>
      <c r="M770" s="16" t="n">
        <f aca="false" t="array" ref="M770: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>5.56379033212225</v>
      </c>
      <c r="N770" s="16" t="n">
        <f aca="false">IF(D770="","",(I770+M770)/2)</f>
        <v>5.50497670291068</v>
      </c>
      <c r="O770" s="16" t="n">
        <f aca="false">IF(D770="","",G770*N770)</f>
        <v>0.59288599090348</v>
      </c>
      <c r="P770" s="16" t="n">
        <f aca="false">IF(D770="","",H770+E770-K770-O770)</f>
        <v>33.1824885953668</v>
      </c>
      <c r="Q770" s="16" t="n">
        <f aca="false">IF(D770="","",IF(P770&gt;=0,K770,MAX(0,K770+P770)))</f>
        <v>0.9072</v>
      </c>
      <c r="R770" s="16" t="n">
        <f aca="false">IF(D770="","",Q770/$B$15)</f>
        <v>0.35</v>
      </c>
      <c r="S770" s="16" t="n">
        <f aca="false">IF(D770="","",MAX(0,J770-R770))</f>
        <v>0</v>
      </c>
      <c r="T770" s="16" t="n">
        <f aca="false">IF(D770="","",MAX(0,Z770-$B$8))</f>
        <v>0</v>
      </c>
      <c r="U770" s="16" t="n">
        <f aca="false">IF(D770="","",MAX(0,MIN($B$8,Z770)))</f>
        <v>33.1824885953668</v>
      </c>
      <c r="V770" s="16" t="str">
        <f aca="false">IF(D770="","",IF(S770&gt;0.0000001,"Sim","Não"))</f>
        <v>Não</v>
      </c>
      <c r="W770" s="16" t="n">
        <f aca="false">IF(D770="","",U770-(H770+E770-Q770-O770-T770))</f>
        <v>0</v>
      </c>
      <c r="X770" s="16" t="n">
        <f aca="false">IF(W770="","",ABS(W770))</f>
        <v>0</v>
      </c>
      <c r="Y770" s="16" t="n">
        <f aca="false">IF(U770="","",IF($B$8=0,0,U770/$B$8*100))</f>
        <v>70.2721063010733</v>
      </c>
      <c r="Z770" s="18" t="n">
        <f aca="false">IF(D770="","",MAX(0,IF(P770&gt;=0,P770,IF(K770+P770&gt;=0,0,P770+K770))))</f>
        <v>33.1824885953668</v>
      </c>
      <c r="AA770" s="18" t="n">
        <f aca="false">IF(D770="","",IF(H770&lt;=$B$16,1,IF(H770&gt;=$B$17,$B$21,MATCH(H770,Aux_CAV!$A$2:$A$121,1))))</f>
        <v>12</v>
      </c>
      <c r="AB770" s="18" t="n">
        <f aca="false">IF(D770="","",IF(L770&lt;=$B$16,1,IF(L770&gt;=$B$17,$B$21,MATCH(L770,Aux_CAV!$A$2:$A$121,1))))</f>
        <v>12</v>
      </c>
      <c r="AC770" s="19" t="n">
        <f aca="false">IF(D770="","",COUNT($D$24:D770))</f>
        <v>735</v>
      </c>
    </row>
    <row r="771" customFormat="false" ht="12.75" hidden="false" customHeight="true" outlineLevel="0" collapsed="false">
      <c r="A771" s="14" t="n">
        <f aca="false">IF(D771="","",DATE(B771,C771,1))</f>
        <v>26390</v>
      </c>
      <c r="B771" s="15" t="n">
        <f aca="false" t="array" ref="B771:B771">IF(D771="","",IFERROR(VALUE(INDEX(Vazoes_COLAR!$A$2:$A$200,INT((ROW()-24)/12)+1)),""))</f>
        <v>1972</v>
      </c>
      <c r="C771" s="15" t="n">
        <f aca="false">IF(D771="","",MOD(ROW()-24,12)+1)</f>
        <v>4</v>
      </c>
      <c r="D771" s="16" t="n">
        <f aca="false" t="array" ref="D771: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0.754193271893691</v>
      </c>
      <c r="E771" s="16" t="n">
        <f aca="false">IF(D771="","",D771*$B$15)</f>
        <v>1.95486896074845</v>
      </c>
      <c r="F771" s="16" t="n">
        <f aca="false" t="array" ref="F771:F771">IF(D771="","",IFERROR(INDEX(Dados_Evap!$C$2:$N$15,MATCH($B$9,Dados_Evap!$A$2:$A$15,0),C771),0))</f>
        <v>100.5</v>
      </c>
      <c r="G771" s="16" t="n">
        <f aca="false">IF(F771="","",F771/1000)</f>
        <v>0.1005</v>
      </c>
      <c r="H771" s="16" t="n">
        <f aca="false">IF(D771="","",MAX(0,MIN($B$8,IFERROR(LOOKUP(2,1/($U$24:U770&lt;&gt;""),$U$24:U770),$B$11))))</f>
        <v>33.1824885953668</v>
      </c>
      <c r="I771" s="16" t="n">
        <f aca="false" t="array" ref="I771: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>5.56313231039247</v>
      </c>
      <c r="J771" s="16" t="n">
        <f aca="false">IF(D771="","",$B$12)</f>
        <v>0.35</v>
      </c>
      <c r="K771" s="16" t="n">
        <f aca="false">IF(J771="","",J771*$B$15)</f>
        <v>0.9072</v>
      </c>
      <c r="L771" s="16" t="n">
        <f aca="false">IF(D771="","",H771+E771-K771-G771*I771)</f>
        <v>33.6710627589208</v>
      </c>
      <c r="M771" s="16" t="n">
        <f aca="false" t="array" ref="M771: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>5.61388710214032</v>
      </c>
      <c r="N771" s="16" t="n">
        <f aca="false">IF(D771="","",(I771+M771)/2)</f>
        <v>5.5885097062664</v>
      </c>
      <c r="O771" s="16" t="n">
        <f aca="false">IF(D771="","",G771*N771)</f>
        <v>0.561645225479773</v>
      </c>
      <c r="P771" s="16" t="n">
        <f aca="false">IF(D771="","",H771+E771-K771-O771)</f>
        <v>33.6685123306355</v>
      </c>
      <c r="Q771" s="16" t="n">
        <f aca="false">IF(D771="","",IF(P771&gt;=0,K771,MAX(0,K771+P771)))</f>
        <v>0.9072</v>
      </c>
      <c r="R771" s="16" t="n">
        <f aca="false">IF(D771="","",Q771/$B$15)</f>
        <v>0.35</v>
      </c>
      <c r="S771" s="16" t="n">
        <f aca="false">IF(D771="","",MAX(0,J771-R771))</f>
        <v>0</v>
      </c>
      <c r="T771" s="16" t="n">
        <f aca="false">IF(D771="","",MAX(0,Z771-$B$8))</f>
        <v>0</v>
      </c>
      <c r="U771" s="16" t="n">
        <f aca="false">IF(D771="","",MAX(0,MIN($B$8,Z771)))</f>
        <v>33.6685123306355</v>
      </c>
      <c r="V771" s="16" t="str">
        <f aca="false">IF(D771="","",IF(S771&gt;0.0000001,"Sim","Não"))</f>
        <v>Não</v>
      </c>
      <c r="W771" s="16" t="n">
        <f aca="false">IF(D771="","",U771-(H771+E771-Q771-O771-T771))</f>
        <v>0</v>
      </c>
      <c r="X771" s="16" t="n">
        <f aca="false">IF(W771="","",ABS(W771))</f>
        <v>0</v>
      </c>
      <c r="Y771" s="16" t="n">
        <f aca="false">IF(U771="","",IF($B$8=0,0,U771/$B$8*100))</f>
        <v>71.301381471062</v>
      </c>
      <c r="Z771" s="18" t="n">
        <f aca="false">IF(D771="","",MAX(0,IF(P771&gt;=0,P771,IF(K771+P771&gt;=0,0,P771+K771))))</f>
        <v>33.6685123306355</v>
      </c>
      <c r="AA771" s="18" t="n">
        <f aca="false">IF(D771="","",IF(H771&lt;=$B$16,1,IF(H771&gt;=$B$17,$B$21,MATCH(H771,Aux_CAV!$A$2:$A$121,1))))</f>
        <v>12</v>
      </c>
      <c r="AB771" s="18" t="n">
        <f aca="false">IF(D771="","",IF(L771&lt;=$B$16,1,IF(L771&gt;=$B$17,$B$21,MATCH(L771,Aux_CAV!$A$2:$A$121,1))))</f>
        <v>12</v>
      </c>
      <c r="AC771" s="19" t="n">
        <f aca="false">IF(D771="","",COUNT($D$24:D771))</f>
        <v>736</v>
      </c>
    </row>
    <row r="772" customFormat="false" ht="12.75" hidden="false" customHeight="true" outlineLevel="0" collapsed="false">
      <c r="A772" s="14" t="n">
        <f aca="false">IF(D772="","",DATE(B772,C772,1))</f>
        <v>26420</v>
      </c>
      <c r="B772" s="15" t="n">
        <f aca="false" t="array" ref="B772:B772">IF(D772="","",IFERROR(VALUE(INDEX(Vazoes_COLAR!$A$2:$A$200,INT((ROW()-24)/12)+1)),""))</f>
        <v>1972</v>
      </c>
      <c r="C772" s="15" t="n">
        <f aca="false">IF(D772="","",MOD(ROW()-24,12)+1)</f>
        <v>5</v>
      </c>
      <c r="D772" s="16" t="n">
        <f aca="false" t="array" ref="D772: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0.885767248944925</v>
      </c>
      <c r="E772" s="16" t="n">
        <f aca="false">IF(D772="","",D772*$B$15)</f>
        <v>2.29590870926525</v>
      </c>
      <c r="F772" s="16" t="n">
        <f aca="false" t="array" ref="F772:F772">IF(D772="","",IFERROR(INDEX(Dados_Evap!$C$2:$N$15,MATCH($B$9,Dados_Evap!$A$2:$A$15,0),C772),0))</f>
        <v>145.8</v>
      </c>
      <c r="G772" s="16" t="n">
        <f aca="false">IF(F772="","",F772/1000)</f>
        <v>0.1458</v>
      </c>
      <c r="H772" s="16" t="n">
        <f aca="false">IF(D772="","",MAX(0,MIN($B$8,IFERROR(LOOKUP(2,1/($U$24:U771&lt;&gt;""),$U$24:U771),$B$11))))</f>
        <v>33.6685123306355</v>
      </c>
      <c r="I772" s="16" t="n">
        <f aca="false" t="array" ref="I772: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>5.61362215473592</v>
      </c>
      <c r="J772" s="16" t="n">
        <f aca="false">IF(D772="","",$B$12)</f>
        <v>0.35</v>
      </c>
      <c r="K772" s="16" t="n">
        <f aca="false">IF(J772="","",J772*$B$15)</f>
        <v>0.9072</v>
      </c>
      <c r="L772" s="16" t="n">
        <f aca="false">IF(D772="","",H772+E772-K772-G772*I772)</f>
        <v>34.2387549297402</v>
      </c>
      <c r="M772" s="16" t="n">
        <f aca="false" t="array" ref="M772: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>5.67286094901185</v>
      </c>
      <c r="N772" s="16" t="n">
        <f aca="false">IF(D772="","",(I772+M772)/2)</f>
        <v>5.64324155187388</v>
      </c>
      <c r="O772" s="16" t="n">
        <f aca="false">IF(D772="","",G772*N772)</f>
        <v>0.822784618263212</v>
      </c>
      <c r="P772" s="16" t="n">
        <f aca="false">IF(D772="","",H772+E772-K772-O772)</f>
        <v>34.2344364216375</v>
      </c>
      <c r="Q772" s="16" t="n">
        <f aca="false">IF(D772="","",IF(P772&gt;=0,K772,MAX(0,K772+P772)))</f>
        <v>0.9072</v>
      </c>
      <c r="R772" s="16" t="n">
        <f aca="false">IF(D772="","",Q772/$B$15)</f>
        <v>0.35</v>
      </c>
      <c r="S772" s="16" t="n">
        <f aca="false">IF(D772="","",MAX(0,J772-R772))</f>
        <v>0</v>
      </c>
      <c r="T772" s="16" t="n">
        <f aca="false">IF(D772="","",MAX(0,Z772-$B$8))</f>
        <v>0</v>
      </c>
      <c r="U772" s="16" t="n">
        <f aca="false">IF(D772="","",MAX(0,MIN($B$8,Z772)))</f>
        <v>34.2344364216375</v>
      </c>
      <c r="V772" s="16" t="str">
        <f aca="false">IF(D772="","",IF(S772&gt;0.0000001,"Sim","Não"))</f>
        <v>Não</v>
      </c>
      <c r="W772" s="16" t="n">
        <f aca="false">IF(D772="","",U772-(H772+E772-Q772-O772-T772))</f>
        <v>0</v>
      </c>
      <c r="X772" s="16" t="n">
        <f aca="false">IF(W772="","",ABS(W772))</f>
        <v>0</v>
      </c>
      <c r="Y772" s="16" t="n">
        <f aca="false">IF(U772="","",IF($B$8=0,0,U772/$B$8*100))</f>
        <v>72.4998653571315</v>
      </c>
      <c r="Z772" s="18" t="n">
        <f aca="false">IF(D772="","",MAX(0,IF(P772&gt;=0,P772,IF(K772+P772&gt;=0,0,P772+K772))))</f>
        <v>34.2344364216375</v>
      </c>
      <c r="AA772" s="18" t="n">
        <f aca="false">IF(D772="","",IF(H772&lt;=$B$16,1,IF(H772&gt;=$B$17,$B$21,MATCH(H772,Aux_CAV!$A$2:$A$121,1))))</f>
        <v>12</v>
      </c>
      <c r="AB772" s="18" t="n">
        <f aca="false">IF(D772="","",IF(L772&lt;=$B$16,1,IF(L772&gt;=$B$17,$B$21,MATCH(L772,Aux_CAV!$A$2:$A$121,1))))</f>
        <v>12</v>
      </c>
      <c r="AC772" s="19" t="n">
        <f aca="false">IF(D772="","",COUNT($D$24:D772))</f>
        <v>737</v>
      </c>
    </row>
    <row r="773" customFormat="false" ht="12.75" hidden="false" customHeight="true" outlineLevel="0" collapsed="false">
      <c r="A773" s="14" t="n">
        <f aca="false">IF(D773="","",DATE(B773,C773,1))</f>
        <v>26451</v>
      </c>
      <c r="B773" s="15" t="n">
        <f aca="false" t="array" ref="B773:B773">IF(D773="","",IFERROR(VALUE(INDEX(Vazoes_COLAR!$A$2:$A$200,INT((ROW()-24)/12)+1)),""))</f>
        <v>1972</v>
      </c>
      <c r="C773" s="15" t="n">
        <f aca="false">IF(D773="","",MOD(ROW()-24,12)+1)</f>
        <v>6</v>
      </c>
      <c r="D773" s="16" t="n">
        <f aca="false" t="array" ref="D773: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0.267973939110656</v>
      </c>
      <c r="E773" s="16" t="n">
        <f aca="false">IF(D773="","",D773*$B$15)</f>
        <v>0.69458845017482</v>
      </c>
      <c r="F773" s="16" t="n">
        <f aca="false" t="array" ref="F773:F773">IF(D773="","",IFERROR(INDEX(Dados_Evap!$C$2:$N$15,MATCH($B$9,Dados_Evap!$A$2:$A$15,0),C773),0))</f>
        <v>161.3</v>
      </c>
      <c r="G773" s="16" t="n">
        <f aca="false">IF(F773="","",F773/1000)</f>
        <v>0.1613</v>
      </c>
      <c r="H773" s="16" t="n">
        <f aca="false">IF(D773="","",MAX(0,MIN($B$8,IFERROR(LOOKUP(2,1/($U$24:U772&lt;&gt;""),$U$24:U772),$B$11))))</f>
        <v>34.2344364216375</v>
      </c>
      <c r="I773" s="16" t="n">
        <f aca="false" t="array" ref="I773: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>5.67241232729632</v>
      </c>
      <c r="J773" s="16" t="n">
        <f aca="false">IF(D773="","",$B$12)</f>
        <v>0.35</v>
      </c>
      <c r="K773" s="16" t="n">
        <f aca="false">IF(J773="","",J773*$B$15)</f>
        <v>0.9072</v>
      </c>
      <c r="L773" s="16" t="n">
        <f aca="false">IF(D773="","",H773+E773-K773-G773*I773)</f>
        <v>33.1068647634194</v>
      </c>
      <c r="M773" s="16" t="n">
        <f aca="false" t="array" ref="M773: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>5.55527624241347</v>
      </c>
      <c r="N773" s="16" t="n">
        <f aca="false">IF(D773="","",(I773+M773)/2)</f>
        <v>5.6138442848549</v>
      </c>
      <c r="O773" s="16" t="n">
        <f aca="false">IF(D773="","",G773*N773)</f>
        <v>0.905513083147095</v>
      </c>
      <c r="P773" s="16" t="n">
        <f aca="false">IF(D773="","",H773+E773-K773-O773)</f>
        <v>33.1163117886652</v>
      </c>
      <c r="Q773" s="16" t="n">
        <f aca="false">IF(D773="","",IF(P773&gt;=0,K773,MAX(0,K773+P773)))</f>
        <v>0.9072</v>
      </c>
      <c r="R773" s="16" t="n">
        <f aca="false">IF(D773="","",Q773/$B$15)</f>
        <v>0.35</v>
      </c>
      <c r="S773" s="16" t="n">
        <f aca="false">IF(D773="","",MAX(0,J773-R773))</f>
        <v>0</v>
      </c>
      <c r="T773" s="16" t="n">
        <f aca="false">IF(D773="","",MAX(0,Z773-$B$8))</f>
        <v>0</v>
      </c>
      <c r="U773" s="16" t="n">
        <f aca="false">IF(D773="","",MAX(0,MIN($B$8,Z773)))</f>
        <v>33.1163117886652</v>
      </c>
      <c r="V773" s="16" t="str">
        <f aca="false">IF(D773="","",IF(S773&gt;0.0000001,"Sim","Não"))</f>
        <v>Não</v>
      </c>
      <c r="W773" s="16" t="n">
        <f aca="false">IF(D773="","",U773-(H773+E773-Q773-O773-T773))</f>
        <v>0</v>
      </c>
      <c r="X773" s="16" t="n">
        <f aca="false">IF(W773="","",ABS(W773))</f>
        <v>0</v>
      </c>
      <c r="Y773" s="16" t="n">
        <f aca="false">IF(U773="","",IF($B$8=0,0,U773/$B$8*100))</f>
        <v>70.1319605859069</v>
      </c>
      <c r="Z773" s="18" t="n">
        <f aca="false">IF(D773="","",MAX(0,IF(P773&gt;=0,P773,IF(K773+P773&gt;=0,0,P773+K773))))</f>
        <v>33.1163117886652</v>
      </c>
      <c r="AA773" s="18" t="n">
        <f aca="false">IF(D773="","",IF(H773&lt;=$B$16,1,IF(H773&gt;=$B$17,$B$21,MATCH(H773,Aux_CAV!$A$2:$A$121,1))))</f>
        <v>12</v>
      </c>
      <c r="AB773" s="18" t="n">
        <f aca="false">IF(D773="","",IF(L773&lt;=$B$16,1,IF(L773&gt;=$B$17,$B$21,MATCH(L773,Aux_CAV!$A$2:$A$121,1))))</f>
        <v>12</v>
      </c>
      <c r="AC773" s="19" t="n">
        <f aca="false">IF(D773="","",COUNT($D$24:D773))</f>
        <v>738</v>
      </c>
    </row>
    <row r="774" customFormat="false" ht="12.75" hidden="false" customHeight="true" outlineLevel="0" collapsed="false">
      <c r="A774" s="14" t="n">
        <f aca="false">IF(D774="","",DATE(B774,C774,1))</f>
        <v>26481</v>
      </c>
      <c r="B774" s="15" t="n">
        <f aca="false" t="array" ref="B774:B774">IF(D774="","",IFERROR(VALUE(INDEX(Vazoes_COLAR!$A$2:$A$200,INT((ROW()-24)/12)+1)),""))</f>
        <v>1972</v>
      </c>
      <c r="C774" s="15" t="n">
        <f aca="false">IF(D774="","",MOD(ROW()-24,12)+1)</f>
        <v>7</v>
      </c>
      <c r="D774" s="16" t="n">
        <f aca="false" t="array" ref="D774: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0.0216172036351542</v>
      </c>
      <c r="E774" s="16" t="n">
        <f aca="false">IF(D774="","",D774*$B$15)</f>
        <v>0.0560317918223197</v>
      </c>
      <c r="F774" s="16" t="n">
        <f aca="false" t="array" ref="F774:F774">IF(D774="","",IFERROR(INDEX(Dados_Evap!$C$2:$N$15,MATCH($B$9,Dados_Evap!$A$2:$A$15,0),C774),0))</f>
        <v>224.8</v>
      </c>
      <c r="G774" s="16" t="n">
        <f aca="false">IF(F774="","",F774/1000)</f>
        <v>0.2248</v>
      </c>
      <c r="H774" s="16" t="n">
        <f aca="false">IF(D774="","",MAX(0,MIN($B$8,IFERROR(LOOKUP(2,1/($U$24:U773&lt;&gt;""),$U$24:U773),$B$11))))</f>
        <v>33.1163117886652</v>
      </c>
      <c r="I774" s="16" t="n">
        <f aca="false" t="array" ref="I774: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>5.55625763241474</v>
      </c>
      <c r="J774" s="16" t="n">
        <f aca="false">IF(D774="","",$B$12)</f>
        <v>0.35</v>
      </c>
      <c r="K774" s="16" t="n">
        <f aca="false">IF(J774="","",J774*$B$15)</f>
        <v>0.9072</v>
      </c>
      <c r="L774" s="16" t="n">
        <f aca="false">IF(D774="","",H774+E774-K774-G774*I774)</f>
        <v>31.0160968647207</v>
      </c>
      <c r="M774" s="16" t="n">
        <f aca="false" t="array" ref="M774: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>5.33807996555837</v>
      </c>
      <c r="N774" s="16" t="n">
        <f aca="false">IF(D774="","",(I774+M774)/2)</f>
        <v>5.44716879898655</v>
      </c>
      <c r="O774" s="16" t="n">
        <f aca="false">IF(D774="","",G774*N774)</f>
        <v>1.22452354601218</v>
      </c>
      <c r="P774" s="16" t="n">
        <f aca="false">IF(D774="","",H774+E774-K774-O774)</f>
        <v>31.0406200344754</v>
      </c>
      <c r="Q774" s="16" t="n">
        <f aca="false">IF(D774="","",IF(P774&gt;=0,K774,MAX(0,K774+P774)))</f>
        <v>0.9072</v>
      </c>
      <c r="R774" s="16" t="n">
        <f aca="false">IF(D774="","",Q774/$B$15)</f>
        <v>0.35</v>
      </c>
      <c r="S774" s="16" t="n">
        <f aca="false">IF(D774="","",MAX(0,J774-R774))</f>
        <v>0</v>
      </c>
      <c r="T774" s="16" t="n">
        <f aca="false">IF(D774="","",MAX(0,Z774-$B$8))</f>
        <v>0</v>
      </c>
      <c r="U774" s="16" t="n">
        <f aca="false">IF(D774="","",MAX(0,MIN($B$8,Z774)))</f>
        <v>31.0406200344754</v>
      </c>
      <c r="V774" s="16" t="str">
        <f aca="false">IF(D774="","",IF(S774&gt;0.0000001,"Sim","Não"))</f>
        <v>Não</v>
      </c>
      <c r="W774" s="16" t="n">
        <f aca="false">IF(D774="","",U774-(H774+E774-Q774-O774-T774))</f>
        <v>0</v>
      </c>
      <c r="X774" s="16" t="n">
        <f aca="false">IF(W774="","",ABS(W774))</f>
        <v>0</v>
      </c>
      <c r="Y774" s="16" t="n">
        <f aca="false">IF(U774="","",IF($B$8=0,0,U774/$B$8*100))</f>
        <v>65.7361711869449</v>
      </c>
      <c r="Z774" s="18" t="n">
        <f aca="false">IF(D774="","",MAX(0,IF(P774&gt;=0,P774,IF(K774+P774&gt;=0,0,P774+K774))))</f>
        <v>31.0406200344754</v>
      </c>
      <c r="AA774" s="18" t="n">
        <f aca="false">IF(D774="","",IF(H774&lt;=$B$16,1,IF(H774&gt;=$B$17,$B$21,MATCH(H774,Aux_CAV!$A$2:$A$121,1))))</f>
        <v>12</v>
      </c>
      <c r="AB774" s="18" t="n">
        <f aca="false">IF(D774="","",IF(L774&lt;=$B$16,1,IF(L774&gt;=$B$17,$B$21,MATCH(L774,Aux_CAV!$A$2:$A$121,1))))</f>
        <v>12</v>
      </c>
      <c r="AC774" s="19" t="n">
        <f aca="false">IF(D774="","",COUNT($D$24:D774))</f>
        <v>739</v>
      </c>
    </row>
    <row r="775" customFormat="false" ht="12.75" hidden="false" customHeight="true" outlineLevel="0" collapsed="false">
      <c r="A775" s="14" t="n">
        <f aca="false">IF(D775="","",DATE(B775,C775,1))</f>
        <v>26512</v>
      </c>
      <c r="B775" s="15" t="n">
        <f aca="false" t="array" ref="B775:B775">IF(D775="","",IFERROR(VALUE(INDEX(Vazoes_COLAR!$A$2:$A$200,INT((ROW()-24)/12)+1)),""))</f>
        <v>1972</v>
      </c>
      <c r="C775" s="15" t="n">
        <f aca="false">IF(D775="","",MOD(ROW()-24,12)+1)</f>
        <v>8</v>
      </c>
      <c r="D775" s="16" t="n">
        <f aca="false" t="array" ref="D775: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0.130075029822874</v>
      </c>
      <c r="E775" s="16" t="n">
        <f aca="false">IF(D775="","",D775*$B$15)</f>
        <v>0.337154477300889</v>
      </c>
      <c r="F775" s="16" t="n">
        <f aca="false" t="array" ref="F775:F775">IF(D775="","",IFERROR(INDEX(Dados_Evap!$C$2:$N$15,MATCH($B$9,Dados_Evap!$A$2:$A$15,0),C775),0))</f>
        <v>268.7</v>
      </c>
      <c r="G775" s="16" t="n">
        <f aca="false">IF(F775="","",F775/1000)</f>
        <v>0.2687</v>
      </c>
      <c r="H775" s="16" t="n">
        <f aca="false">IF(D775="","",MAX(0,MIN($B$8,IFERROR(LOOKUP(2,1/($U$24:U774&lt;&gt;""),$U$24:U774),$B$11))))</f>
        <v>31.0406200344754</v>
      </c>
      <c r="I775" s="16" t="n">
        <f aca="false" t="array" ref="I775: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>5.34062751814453</v>
      </c>
      <c r="J775" s="16" t="n">
        <f aca="false">IF(D775="","",$B$12)</f>
        <v>0.35</v>
      </c>
      <c r="K775" s="16" t="n">
        <f aca="false">IF(J775="","",J775*$B$15)</f>
        <v>0.9072</v>
      </c>
      <c r="L775" s="16" t="n">
        <f aca="false">IF(D775="","",H775+E775-K775-G775*I775)</f>
        <v>29.0355478976508</v>
      </c>
      <c r="M775" s="16" t="n">
        <f aca="false" t="array" ref="M775: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>5.13233361655208</v>
      </c>
      <c r="N775" s="16" t="n">
        <f aca="false">IF(D775="","",(I775+M775)/2)</f>
        <v>5.2364805673483</v>
      </c>
      <c r="O775" s="16" t="n">
        <f aca="false">IF(D775="","",G775*N775)</f>
        <v>1.40704232844649</v>
      </c>
      <c r="P775" s="16" t="n">
        <f aca="false">IF(D775="","",H775+E775-K775-O775)</f>
        <v>29.0635321833298</v>
      </c>
      <c r="Q775" s="16" t="n">
        <f aca="false">IF(D775="","",IF(P775&gt;=0,K775,MAX(0,K775+P775)))</f>
        <v>0.9072</v>
      </c>
      <c r="R775" s="16" t="n">
        <f aca="false">IF(D775="","",Q775/$B$15)</f>
        <v>0.35</v>
      </c>
      <c r="S775" s="16" t="n">
        <f aca="false">IF(D775="","",MAX(0,J775-R775))</f>
        <v>0</v>
      </c>
      <c r="T775" s="16" t="n">
        <f aca="false">IF(D775="","",MAX(0,Z775-$B$8))</f>
        <v>0</v>
      </c>
      <c r="U775" s="16" t="n">
        <f aca="false">IF(D775="","",MAX(0,MIN($B$8,Z775)))</f>
        <v>29.0635321833298</v>
      </c>
      <c r="V775" s="16" t="str">
        <f aca="false">IF(D775="","",IF(S775&gt;0.0000001,"Sim","Não"))</f>
        <v>Não</v>
      </c>
      <c r="W775" s="16" t="n">
        <f aca="false">IF(D775="","",U775-(H775+E775-Q775-O775-T775))</f>
        <v>0</v>
      </c>
      <c r="X775" s="16" t="n">
        <f aca="false">IF(W775="","",ABS(W775))</f>
        <v>0</v>
      </c>
      <c r="Y775" s="16" t="n">
        <f aca="false">IF(U775="","",IF($B$8=0,0,U775/$B$8*100))</f>
        <v>61.5491998799868</v>
      </c>
      <c r="Z775" s="18" t="n">
        <f aca="false">IF(D775="","",MAX(0,IF(P775&gt;=0,P775,IF(K775+P775&gt;=0,0,P775+K775))))</f>
        <v>29.0635321833298</v>
      </c>
      <c r="AA775" s="18" t="n">
        <f aca="false">IF(D775="","",IF(H775&lt;=$B$16,1,IF(H775&gt;=$B$17,$B$21,MATCH(H775,Aux_CAV!$A$2:$A$121,1))))</f>
        <v>12</v>
      </c>
      <c r="AB775" s="18" t="n">
        <f aca="false">IF(D775="","",IF(L775&lt;=$B$16,1,IF(L775&gt;=$B$17,$B$21,MATCH(L775,Aux_CAV!$A$2:$A$121,1))))</f>
        <v>12</v>
      </c>
      <c r="AC775" s="19" t="n">
        <f aca="false">IF(D775="","",COUNT($D$24:D775))</f>
        <v>740</v>
      </c>
    </row>
    <row r="776" customFormat="false" ht="12.75" hidden="false" customHeight="true" outlineLevel="0" collapsed="false">
      <c r="A776" s="14" t="n">
        <f aca="false">IF(D776="","",DATE(B776,C776,1))</f>
        <v>26543</v>
      </c>
      <c r="B776" s="15" t="n">
        <f aca="false" t="array" ref="B776:B776">IF(D776="","",IFERROR(VALUE(INDEX(Vazoes_COLAR!$A$2:$A$200,INT((ROW()-24)/12)+1)),""))</f>
        <v>1972</v>
      </c>
      <c r="C776" s="15" t="n">
        <f aca="false">IF(D776="","",MOD(ROW()-24,12)+1)</f>
        <v>9</v>
      </c>
      <c r="D776" s="16" t="n">
        <f aca="false" t="array" ref="D776: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0.00923594769841097</v>
      </c>
      <c r="E776" s="16" t="n">
        <f aca="false">IF(D776="","",D776*$B$15)</f>
        <v>0.0239395764342812</v>
      </c>
      <c r="F776" s="16" t="n">
        <f aca="false" t="array" ref="F776:F776">IF(D776="","",IFERROR(INDEX(Dados_Evap!$C$2:$N$15,MATCH($B$9,Dados_Evap!$A$2:$A$15,0),C776),0))</f>
        <v>292.8</v>
      </c>
      <c r="G776" s="16" t="n">
        <f aca="false">IF(F776="","",F776/1000)</f>
        <v>0.2928</v>
      </c>
      <c r="H776" s="16" t="n">
        <f aca="false">IF(D776="","",MAX(0,MIN($B$8,IFERROR(LOOKUP(2,1/($U$24:U775&lt;&gt;""),$U$24:U775),$B$11))))</f>
        <v>29.0635321833298</v>
      </c>
      <c r="I776" s="16" t="n">
        <f aca="false" t="array" ref="I776: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>5.13524072195756</v>
      </c>
      <c r="J776" s="16" t="n">
        <f aca="false">IF(D776="","",$B$12)</f>
        <v>0.35</v>
      </c>
      <c r="K776" s="16" t="n">
        <f aca="false">IF(J776="","",J776*$B$15)</f>
        <v>0.9072</v>
      </c>
      <c r="L776" s="16" t="n">
        <f aca="false">IF(D776="","",H776+E776-K776-G776*I776)</f>
        <v>26.6766732763749</v>
      </c>
      <c r="M776" s="16" t="n">
        <f aca="false" t="array" ref="M776: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>4.8872854762836</v>
      </c>
      <c r="N776" s="16" t="n">
        <f aca="false">IF(D776="","",(I776+M776)/2)</f>
        <v>5.01126309912058</v>
      </c>
      <c r="O776" s="16" t="n">
        <f aca="false">IF(D776="","",G776*N776)</f>
        <v>1.46729783542251</v>
      </c>
      <c r="P776" s="16" t="n">
        <f aca="false">IF(D776="","",H776+E776-K776-O776)</f>
        <v>26.7129739243415</v>
      </c>
      <c r="Q776" s="16" t="n">
        <f aca="false">IF(D776="","",IF(P776&gt;=0,K776,MAX(0,K776+P776)))</f>
        <v>0.9072</v>
      </c>
      <c r="R776" s="16" t="n">
        <f aca="false">IF(D776="","",Q776/$B$15)</f>
        <v>0.35</v>
      </c>
      <c r="S776" s="16" t="n">
        <f aca="false">IF(D776="","",MAX(0,J776-R776))</f>
        <v>0</v>
      </c>
      <c r="T776" s="16" t="n">
        <f aca="false">IF(D776="","",MAX(0,Z776-$B$8))</f>
        <v>0</v>
      </c>
      <c r="U776" s="16" t="n">
        <f aca="false">IF(D776="","",MAX(0,MIN($B$8,Z776)))</f>
        <v>26.7129739243415</v>
      </c>
      <c r="V776" s="16" t="str">
        <f aca="false">IF(D776="","",IF(S776&gt;0.0000001,"Sim","Não"))</f>
        <v>Não</v>
      </c>
      <c r="W776" s="16" t="n">
        <f aca="false">IF(D776="","",U776-(H776+E776-Q776-O776-T776))</f>
        <v>0</v>
      </c>
      <c r="X776" s="16" t="n">
        <f aca="false">IF(W776="","",ABS(W776))</f>
        <v>0</v>
      </c>
      <c r="Y776" s="16" t="n">
        <f aca="false">IF(U776="","",IF($B$8=0,0,U776/$B$8*100))</f>
        <v>56.5713128427394</v>
      </c>
      <c r="Z776" s="18" t="n">
        <f aca="false">IF(D776="","",MAX(0,IF(P776&gt;=0,P776,IF(K776+P776&gt;=0,0,P776+K776))))</f>
        <v>26.7129739243415</v>
      </c>
      <c r="AA776" s="18" t="n">
        <f aca="false">IF(D776="","",IF(H776&lt;=$B$16,1,IF(H776&gt;=$B$17,$B$21,MATCH(H776,Aux_CAV!$A$2:$A$121,1))))</f>
        <v>12</v>
      </c>
      <c r="AB776" s="18" t="n">
        <f aca="false">IF(D776="","",IF(L776&lt;=$B$16,1,IF(L776&gt;=$B$17,$B$21,MATCH(L776,Aux_CAV!$A$2:$A$121,1))))</f>
        <v>12</v>
      </c>
      <c r="AC776" s="19" t="n">
        <f aca="false">IF(D776="","",COUNT($D$24:D776))</f>
        <v>741</v>
      </c>
    </row>
    <row r="777" customFormat="false" ht="12.75" hidden="false" customHeight="true" outlineLevel="0" collapsed="false">
      <c r="A777" s="14" t="n">
        <f aca="false">IF(D777="","",DATE(B777,C777,1))</f>
        <v>26573</v>
      </c>
      <c r="B777" s="15" t="n">
        <f aca="false" t="array" ref="B777:B777">IF(D777="","",IFERROR(VALUE(INDEX(Vazoes_COLAR!$A$2:$A$200,INT((ROW()-24)/12)+1)),""))</f>
        <v>1972</v>
      </c>
      <c r="C777" s="15" t="n">
        <f aca="false">IF(D777="","",MOD(ROW()-24,12)+1)</f>
        <v>10</v>
      </c>
      <c r="D777" s="16" t="n">
        <f aca="false" t="array" ref="D777: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0.0116025014506562</v>
      </c>
      <c r="E777" s="16" t="n">
        <f aca="false">IF(D777="","",D777*$B$15)</f>
        <v>0.0300736837601009</v>
      </c>
      <c r="F777" s="16" t="n">
        <f aca="false" t="array" ref="F777:F777">IF(D777="","",IFERROR(INDEX(Dados_Evap!$C$2:$N$15,MATCH($B$9,Dados_Evap!$A$2:$A$15,0),C777),0))</f>
        <v>262.9</v>
      </c>
      <c r="G777" s="16" t="n">
        <f aca="false">IF(F777="","",F777/1000)</f>
        <v>0.2629</v>
      </c>
      <c r="H777" s="16" t="n">
        <f aca="false">IF(D777="","",MAX(0,MIN($B$8,IFERROR(LOOKUP(2,1/($U$24:U776&lt;&gt;""),$U$24:U776),$B$11))))</f>
        <v>26.7129739243415</v>
      </c>
      <c r="I777" s="16" t="n">
        <f aca="false" t="array" ref="I777: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>4.89105651447043</v>
      </c>
      <c r="J777" s="16" t="n">
        <f aca="false">IF(D777="","",$B$12)</f>
        <v>0.35</v>
      </c>
      <c r="K777" s="16" t="n">
        <f aca="false">IF(J777="","",J777*$B$15)</f>
        <v>0.9072</v>
      </c>
      <c r="L777" s="16" t="n">
        <f aca="false">IF(D777="","",H777+E777-K777-G777*I777)</f>
        <v>24.5499888504474</v>
      </c>
      <c r="M777" s="16" t="n">
        <f aca="false" t="array" ref="M777: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>4.66635806504647</v>
      </c>
      <c r="N777" s="16" t="n">
        <f aca="false">IF(D777="","",(I777+M777)/2)</f>
        <v>4.77870728975845</v>
      </c>
      <c r="O777" s="16" t="n">
        <f aca="false">IF(D777="","",G777*N777)</f>
        <v>1.2563221464775</v>
      </c>
      <c r="P777" s="16" t="n">
        <f aca="false">IF(D777="","",H777+E777-K777-O777)</f>
        <v>24.5795254616241</v>
      </c>
      <c r="Q777" s="16" t="n">
        <f aca="false">IF(D777="","",IF(P777&gt;=0,K777,MAX(0,K777+P777)))</f>
        <v>0.9072</v>
      </c>
      <c r="R777" s="16" t="n">
        <f aca="false">IF(D777="","",Q777/$B$15)</f>
        <v>0.35</v>
      </c>
      <c r="S777" s="16" t="n">
        <f aca="false">IF(D777="","",MAX(0,J777-R777))</f>
        <v>0</v>
      </c>
      <c r="T777" s="16" t="n">
        <f aca="false">IF(D777="","",MAX(0,Z777-$B$8))</f>
        <v>0</v>
      </c>
      <c r="U777" s="16" t="n">
        <f aca="false">IF(D777="","",MAX(0,MIN($B$8,Z777)))</f>
        <v>24.5795254616241</v>
      </c>
      <c r="V777" s="16" t="str">
        <f aca="false">IF(D777="","",IF(S777&gt;0.0000001,"Sim","Não"))</f>
        <v>Não</v>
      </c>
      <c r="W777" s="16" t="n">
        <f aca="false">IF(D777="","",U777-(H777+E777-Q777-O777-T777))</f>
        <v>0</v>
      </c>
      <c r="X777" s="16" t="n">
        <f aca="false">IF(W777="","",ABS(W777))</f>
        <v>0</v>
      </c>
      <c r="Y777" s="16" t="n">
        <f aca="false">IF(U777="","",IF($B$8=0,0,U777/$B$8*100))</f>
        <v>52.05320936388</v>
      </c>
      <c r="Z777" s="18" t="n">
        <f aca="false">IF(D777="","",MAX(0,IF(P777&gt;=0,P777,IF(K777+P777&gt;=0,0,P777+K777))))</f>
        <v>24.5795254616241</v>
      </c>
      <c r="AA777" s="18" t="n">
        <f aca="false">IF(D777="","",IF(H777&lt;=$B$16,1,IF(H777&gt;=$B$17,$B$21,MATCH(H777,Aux_CAV!$A$2:$A$121,1))))</f>
        <v>12</v>
      </c>
      <c r="AB777" s="18" t="n">
        <f aca="false">IF(D777="","",IF(L777&lt;=$B$16,1,IF(L777&gt;=$B$17,$B$21,MATCH(L777,Aux_CAV!$A$2:$A$121,1))))</f>
        <v>12</v>
      </c>
      <c r="AC777" s="19" t="n">
        <f aca="false">IF(D777="","",COUNT($D$24:D777))</f>
        <v>742</v>
      </c>
    </row>
    <row r="778" customFormat="false" ht="12.75" hidden="false" customHeight="true" outlineLevel="0" collapsed="false">
      <c r="A778" s="14" t="n">
        <f aca="false">IF(D778="","",DATE(B778,C778,1))</f>
        <v>26604</v>
      </c>
      <c r="B778" s="15" t="n">
        <f aca="false" t="array" ref="B778:B778">IF(D778="","",IFERROR(VALUE(INDEX(Vazoes_COLAR!$A$2:$A$200,INT((ROW()-24)/12)+1)),""))</f>
        <v>1972</v>
      </c>
      <c r="C778" s="15" t="n">
        <f aca="false">IF(D778="","",MOD(ROW()-24,12)+1)</f>
        <v>11</v>
      </c>
      <c r="D778" s="16" t="n">
        <f aca="false" t="array" ref="D778: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0.00686539748772181</v>
      </c>
      <c r="E778" s="16" t="n">
        <f aca="false">IF(D778="","",D778*$B$15)</f>
        <v>0.0177951102881749</v>
      </c>
      <c r="F778" s="16" t="n">
        <f aca="false" t="array" ref="F778:F778">IF(D778="","",IFERROR(INDEX(Dados_Evap!$C$2:$N$15,MATCH($B$9,Dados_Evap!$A$2:$A$15,0),C778),0))</f>
        <v>223.7</v>
      </c>
      <c r="G778" s="16" t="n">
        <f aca="false">IF(F778="","",F778/1000)</f>
        <v>0.2237</v>
      </c>
      <c r="H778" s="16" t="n">
        <f aca="false">IF(D778="","",MAX(0,MIN($B$8,IFERROR(LOOKUP(2,1/($U$24:U777&lt;&gt;""),$U$24:U777),$B$11))))</f>
        <v>24.5795254616241</v>
      </c>
      <c r="I778" s="16" t="n">
        <f aca="false" t="array" ref="I778: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>4.66942643145028</v>
      </c>
      <c r="J778" s="16" t="n">
        <f aca="false">IF(D778="","",$B$12)</f>
        <v>0.35</v>
      </c>
      <c r="K778" s="16" t="n">
        <f aca="false">IF(J778="","",J778*$B$15)</f>
        <v>0.9072</v>
      </c>
      <c r="L778" s="16" t="n">
        <f aca="false">IF(D778="","",H778+E778-K778-G778*I778)</f>
        <v>22.6455698791969</v>
      </c>
      <c r="M778" s="16" t="n">
        <f aca="false" t="array" ref="M778: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>4.44422664409914</v>
      </c>
      <c r="N778" s="16" t="n">
        <f aca="false">IF(D778="","",(I778+M778)/2)</f>
        <v>4.55682653777471</v>
      </c>
      <c r="O778" s="16" t="n">
        <f aca="false">IF(D778="","",G778*N778)</f>
        <v>1.0193620965002</v>
      </c>
      <c r="P778" s="16" t="n">
        <f aca="false">IF(D778="","",H778+E778-K778-O778)</f>
        <v>22.6707584754121</v>
      </c>
      <c r="Q778" s="16" t="n">
        <f aca="false">IF(D778="","",IF(P778&gt;=0,K778,MAX(0,K778+P778)))</f>
        <v>0.9072</v>
      </c>
      <c r="R778" s="16" t="n">
        <f aca="false">IF(D778="","",Q778/$B$15)</f>
        <v>0.35</v>
      </c>
      <c r="S778" s="16" t="n">
        <f aca="false">IF(D778="","",MAX(0,J778-R778))</f>
        <v>0</v>
      </c>
      <c r="T778" s="16" t="n">
        <f aca="false">IF(D778="","",MAX(0,Z778-$B$8))</f>
        <v>0</v>
      </c>
      <c r="U778" s="16" t="n">
        <f aca="false">IF(D778="","",MAX(0,MIN($B$8,Z778)))</f>
        <v>22.6707584754121</v>
      </c>
      <c r="V778" s="16" t="str">
        <f aca="false">IF(D778="","",IF(S778&gt;0.0000001,"Sim","Não"))</f>
        <v>Não</v>
      </c>
      <c r="W778" s="16" t="n">
        <f aca="false">IF(D778="","",U778-(H778+E778-Q778-O778-T778))</f>
        <v>0</v>
      </c>
      <c r="X778" s="16" t="n">
        <f aca="false">IF(W778="","",ABS(W778))</f>
        <v>0</v>
      </c>
      <c r="Y778" s="16" t="n">
        <f aca="false">IF(U778="","",IF($B$8=0,0,U778/$B$8*100))</f>
        <v>48.0109243443713</v>
      </c>
      <c r="Z778" s="18" t="n">
        <f aca="false">IF(D778="","",MAX(0,IF(P778&gt;=0,P778,IF(K778+P778&gt;=0,0,P778+K778))))</f>
        <v>22.6707584754121</v>
      </c>
      <c r="AA778" s="18" t="n">
        <f aca="false">IF(D778="","",IF(H778&lt;=$B$16,1,IF(H778&gt;=$B$17,$B$21,MATCH(H778,Aux_CAV!$A$2:$A$121,1))))</f>
        <v>12</v>
      </c>
      <c r="AB778" s="18" t="n">
        <f aca="false">IF(D778="","",IF(L778&lt;=$B$16,1,IF(L778&gt;=$B$17,$B$21,MATCH(L778,Aux_CAV!$A$2:$A$121,1))))</f>
        <v>11</v>
      </c>
      <c r="AC778" s="19" t="n">
        <f aca="false">IF(D778="","",COUNT($D$24:D778))</f>
        <v>743</v>
      </c>
    </row>
    <row r="779" customFormat="false" ht="12.75" hidden="false" customHeight="true" outlineLevel="0" collapsed="false">
      <c r="A779" s="14" t="n">
        <f aca="false">IF(D779="","",DATE(B779,C779,1))</f>
        <v>26634</v>
      </c>
      <c r="B779" s="15" t="n">
        <f aca="false" t="array" ref="B779:B779">IF(D779="","",IFERROR(VALUE(INDEX(Vazoes_COLAR!$A$2:$A$200,INT((ROW()-24)/12)+1)),""))</f>
        <v>1972</v>
      </c>
      <c r="C779" s="15" t="n">
        <f aca="false">IF(D779="","",MOD(ROW()-24,12)+1)</f>
        <v>12</v>
      </c>
      <c r="D779" s="16" t="n">
        <f aca="false" t="array" ref="D779: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0.0783195372887475</v>
      </c>
      <c r="E779" s="16" t="n">
        <f aca="false">IF(D779="","",D779*$B$15)</f>
        <v>0.203004240652434</v>
      </c>
      <c r="F779" s="16" t="n">
        <f aca="false" t="array" ref="F779:F779">IF(D779="","",IFERROR(INDEX(Dados_Evap!$C$2:$N$15,MATCH($B$9,Dados_Evap!$A$2:$A$15,0),C779),0))</f>
        <v>216.1</v>
      </c>
      <c r="G779" s="16" t="n">
        <f aca="false">IF(F779="","",F779/1000)</f>
        <v>0.2161</v>
      </c>
      <c r="H779" s="16" t="n">
        <f aca="false">IF(D779="","",MAX(0,MIN($B$8,IFERROR(LOOKUP(2,1/($U$24:U778&lt;&gt;""),$U$24:U778),$B$11))))</f>
        <v>22.6707584754121</v>
      </c>
      <c r="I779" s="16" t="n">
        <f aca="false" t="array" ref="I779: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>4.44723698852486</v>
      </c>
      <c r="J779" s="16" t="n">
        <f aca="false">IF(D779="","",$B$12)</f>
        <v>0.35</v>
      </c>
      <c r="K779" s="16" t="n">
        <f aca="false">IF(J779="","",J779*$B$15)</f>
        <v>0.9072</v>
      </c>
      <c r="L779" s="16" t="n">
        <f aca="false">IF(D779="","",H779+E779-K779-G779*I779)</f>
        <v>21.0055148028443</v>
      </c>
      <c r="M779" s="16" t="n">
        <f aca="false" t="array" ref="M779: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>4.24822006180335</v>
      </c>
      <c r="N779" s="16" t="n">
        <f aca="false">IF(D779="","",(I779+M779)/2)</f>
        <v>4.34772852516411</v>
      </c>
      <c r="O779" s="16" t="n">
        <f aca="false">IF(D779="","",G779*N779)</f>
        <v>0.939544134287963</v>
      </c>
      <c r="P779" s="16" t="n">
        <f aca="false">IF(D779="","",H779+E779-K779-O779)</f>
        <v>21.0270185817766</v>
      </c>
      <c r="Q779" s="16" t="n">
        <f aca="false">IF(D779="","",IF(P779&gt;=0,K779,MAX(0,K779+P779)))</f>
        <v>0.9072</v>
      </c>
      <c r="R779" s="16" t="n">
        <f aca="false">IF(D779="","",Q779/$B$15)</f>
        <v>0.35</v>
      </c>
      <c r="S779" s="16" t="n">
        <f aca="false">IF(D779="","",MAX(0,J779-R779))</f>
        <v>0</v>
      </c>
      <c r="T779" s="16" t="n">
        <f aca="false">IF(D779="","",MAX(0,Z779-$B$8))</f>
        <v>0</v>
      </c>
      <c r="U779" s="16" t="n">
        <f aca="false">IF(D779="","",MAX(0,MIN($B$8,Z779)))</f>
        <v>21.0270185817766</v>
      </c>
      <c r="V779" s="16" t="str">
        <f aca="false">IF(D779="","",IF(S779&gt;0.0000001,"Sim","Não"))</f>
        <v>Não</v>
      </c>
      <c r="W779" s="16" t="n">
        <f aca="false">IF(D779="","",U779-(H779+E779-Q779-O779-T779))</f>
        <v>0</v>
      </c>
      <c r="X779" s="16" t="n">
        <f aca="false">IF(W779="","",ABS(W779))</f>
        <v>0</v>
      </c>
      <c r="Y779" s="16" t="n">
        <f aca="false">IF(U779="","",IF($B$8=0,0,U779/$B$8*100))</f>
        <v>44.529899580213</v>
      </c>
      <c r="Z779" s="18" t="n">
        <f aca="false">IF(D779="","",MAX(0,IF(P779&gt;=0,P779,IF(K779+P779&gt;=0,0,P779+K779))))</f>
        <v>21.0270185817766</v>
      </c>
      <c r="AA779" s="18" t="n">
        <f aca="false">IF(D779="","",IF(H779&lt;=$B$16,1,IF(H779&gt;=$B$17,$B$21,MATCH(H779,Aux_CAV!$A$2:$A$121,1))))</f>
        <v>11</v>
      </c>
      <c r="AB779" s="18" t="n">
        <f aca="false">IF(D779="","",IF(L779&lt;=$B$16,1,IF(L779&gt;=$B$17,$B$21,MATCH(L779,Aux_CAV!$A$2:$A$121,1))))</f>
        <v>11</v>
      </c>
      <c r="AC779" s="19" t="n">
        <f aca="false">IF(D779="","",COUNT($D$24:D779))</f>
        <v>744</v>
      </c>
    </row>
    <row r="780" customFormat="false" ht="12.75" hidden="false" customHeight="true" outlineLevel="0" collapsed="false">
      <c r="A780" s="14" t="n">
        <f aca="false">IF(D780="","",DATE(B780,C780,1))</f>
        <v>26665</v>
      </c>
      <c r="B780" s="15" t="n">
        <f aca="false" t="array" ref="B780:B780">IF(D780="","",IFERROR(VALUE(INDEX(Vazoes_COLAR!$A$2:$A$200,INT((ROW()-24)/12)+1)),""))</f>
        <v>1973</v>
      </c>
      <c r="C780" s="15" t="n">
        <f aca="false">IF(D780="","",MOD(ROW()-24,12)+1)</f>
        <v>1</v>
      </c>
      <c r="D780" s="16" t="n">
        <f aca="false" t="array" ref="D780: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0.164301242183312</v>
      </c>
      <c r="E780" s="16" t="n">
        <f aca="false">IF(D780="","",D780*$B$15)</f>
        <v>0.425868819739145</v>
      </c>
      <c r="F780" s="16" t="n">
        <f aca="false" t="array" ref="F780:F780">IF(D780="","",IFERROR(INDEX(Dados_Evap!$C$2:$N$15,MATCH($B$9,Dados_Evap!$A$2:$A$15,0),C780),0))</f>
        <v>160</v>
      </c>
      <c r="G780" s="16" t="n">
        <f aca="false">IF(F780="","",F780/1000)</f>
        <v>0.16</v>
      </c>
      <c r="H780" s="16" t="n">
        <f aca="false">IF(D780="","",MAX(0,MIN($B$8,IFERROR(LOOKUP(2,1/($U$24:U779&lt;&gt;""),$U$24:U779),$B$11))))</f>
        <v>21.0270185817766</v>
      </c>
      <c r="I780" s="16" t="n">
        <f aca="false" t="array" ref="I780: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>4.25079002562696</v>
      </c>
      <c r="J780" s="16" t="n">
        <f aca="false">IF(D780="","",$B$12)</f>
        <v>0.35</v>
      </c>
      <c r="K780" s="16" t="n">
        <f aca="false">IF(J780="","",J780*$B$15)</f>
        <v>0.9072</v>
      </c>
      <c r="L780" s="16" t="n">
        <f aca="false">IF(D780="","",H780+E780-K780-G780*I780)</f>
        <v>19.8655609974154</v>
      </c>
      <c r="M780" s="16" t="n">
        <f aca="false" t="array" ref="M780: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>4.11198168017892</v>
      </c>
      <c r="N780" s="16" t="n">
        <f aca="false">IF(D780="","",(I780+M780)/2)</f>
        <v>4.18138585290294</v>
      </c>
      <c r="O780" s="16" t="n">
        <f aca="false">IF(D780="","",G780*N780)</f>
        <v>0.66902173646447</v>
      </c>
      <c r="P780" s="16" t="n">
        <f aca="false">IF(D780="","",H780+E780-K780-O780)</f>
        <v>19.8766656650513</v>
      </c>
      <c r="Q780" s="16" t="n">
        <f aca="false">IF(D780="","",IF(P780&gt;=0,K780,MAX(0,K780+P780)))</f>
        <v>0.9072</v>
      </c>
      <c r="R780" s="16" t="n">
        <f aca="false">IF(D780="","",Q780/$B$15)</f>
        <v>0.35</v>
      </c>
      <c r="S780" s="16" t="n">
        <f aca="false">IF(D780="","",MAX(0,J780-R780))</f>
        <v>0</v>
      </c>
      <c r="T780" s="16" t="n">
        <f aca="false">IF(D780="","",MAX(0,Z780-$B$8))</f>
        <v>0</v>
      </c>
      <c r="U780" s="16" t="n">
        <f aca="false">IF(D780="","",MAX(0,MIN($B$8,Z780)))</f>
        <v>19.8766656650513</v>
      </c>
      <c r="V780" s="16" t="str">
        <f aca="false">IF(D780="","",IF(S780&gt;0.0000001,"Sim","Não"))</f>
        <v>Não</v>
      </c>
      <c r="W780" s="16" t="n">
        <f aca="false">IF(D780="","",U780-(H780+E780-Q780-O780-T780))</f>
        <v>0</v>
      </c>
      <c r="X780" s="16" t="n">
        <f aca="false">IF(W780="","",ABS(W780))</f>
        <v>0</v>
      </c>
      <c r="Y780" s="16" t="n">
        <f aca="false">IF(U780="","",IF($B$8=0,0,U780/$B$8*100))</f>
        <v>42.09374346686</v>
      </c>
      <c r="Z780" s="18" t="n">
        <f aca="false">IF(D780="","",MAX(0,IF(P780&gt;=0,P780,IF(K780+P780&gt;=0,0,P780+K780))))</f>
        <v>19.8766656650513</v>
      </c>
      <c r="AA780" s="18" t="n">
        <f aca="false">IF(D780="","",IF(H780&lt;=$B$16,1,IF(H780&gt;=$B$17,$B$21,MATCH(H780,Aux_CAV!$A$2:$A$121,1))))</f>
        <v>11</v>
      </c>
      <c r="AB780" s="18" t="n">
        <f aca="false">IF(D780="","",IF(L780&lt;=$B$16,1,IF(L780&gt;=$B$17,$B$21,MATCH(L780,Aux_CAV!$A$2:$A$121,1))))</f>
        <v>11</v>
      </c>
      <c r="AC780" s="19" t="n">
        <f aca="false">IF(D780="","",COUNT($D$24:D780))</f>
        <v>745</v>
      </c>
    </row>
    <row r="781" customFormat="false" ht="12.75" hidden="false" customHeight="true" outlineLevel="0" collapsed="false">
      <c r="A781" s="14" t="n">
        <f aca="false">IF(D781="","",DATE(B781,C781,1))</f>
        <v>26696</v>
      </c>
      <c r="B781" s="15" t="n">
        <f aca="false" t="array" ref="B781:B781">IF(D781="","",IFERROR(VALUE(INDEX(Vazoes_COLAR!$A$2:$A$200,INT((ROW()-24)/12)+1)),""))</f>
        <v>1973</v>
      </c>
      <c r="C781" s="15" t="n">
        <f aca="false">IF(D781="","",MOD(ROW()-24,12)+1)</f>
        <v>2</v>
      </c>
      <c r="D781" s="16" t="n">
        <f aca="false" t="array" ref="D781: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0.212921330715116</v>
      </c>
      <c r="E781" s="16" t="n">
        <f aca="false">IF(D781="","",D781*$B$15)</f>
        <v>0.551892089213581</v>
      </c>
      <c r="F781" s="16" t="n">
        <f aca="false" t="array" ref="F781:F781">IF(D781="","",IFERROR(INDEX(Dados_Evap!$C$2:$N$15,MATCH($B$9,Dados_Evap!$A$2:$A$15,0),C781),0))</f>
        <v>124.3</v>
      </c>
      <c r="G781" s="16" t="n">
        <f aca="false">IF(F781="","",F781/1000)</f>
        <v>0.1243</v>
      </c>
      <c r="H781" s="16" t="n">
        <f aca="false">IF(D781="","",MAX(0,MIN($B$8,IFERROR(LOOKUP(2,1/($U$24:U780&lt;&gt;""),$U$24:U780),$B$11))))</f>
        <v>19.8766656650513</v>
      </c>
      <c r="I781" s="16" t="n">
        <f aca="false" t="array" ref="I781: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>4.11330882338418</v>
      </c>
      <c r="J781" s="16" t="n">
        <f aca="false">IF(D781="","",$B$12)</f>
        <v>0.35</v>
      </c>
      <c r="K781" s="16" t="n">
        <f aca="false">IF(J781="","",J781*$B$15)</f>
        <v>0.9072</v>
      </c>
      <c r="L781" s="16" t="n">
        <f aca="false">IF(D781="","",H781+E781-K781-G781*I781)</f>
        <v>19.0100734675182</v>
      </c>
      <c r="M781" s="16" t="n">
        <f aca="false" t="array" ref="M781: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>4.00974048758144</v>
      </c>
      <c r="N781" s="16" t="n">
        <f aca="false">IF(D781="","",(I781+M781)/2)</f>
        <v>4.06152465548281</v>
      </c>
      <c r="O781" s="16" t="n">
        <f aca="false">IF(D781="","",G781*N781)</f>
        <v>0.504847514676513</v>
      </c>
      <c r="P781" s="16" t="n">
        <f aca="false">IF(D781="","",H781+E781-K781-O781)</f>
        <v>19.0165102395883</v>
      </c>
      <c r="Q781" s="16" t="n">
        <f aca="false">IF(D781="","",IF(P781&gt;=0,K781,MAX(0,K781+P781)))</f>
        <v>0.9072</v>
      </c>
      <c r="R781" s="16" t="n">
        <f aca="false">IF(D781="","",Q781/$B$15)</f>
        <v>0.35</v>
      </c>
      <c r="S781" s="16" t="n">
        <f aca="false">IF(D781="","",MAX(0,J781-R781))</f>
        <v>0</v>
      </c>
      <c r="T781" s="16" t="n">
        <f aca="false">IF(D781="","",MAX(0,Z781-$B$8))</f>
        <v>0</v>
      </c>
      <c r="U781" s="16" t="n">
        <f aca="false">IF(D781="","",MAX(0,MIN($B$8,Z781)))</f>
        <v>19.0165102395883</v>
      </c>
      <c r="V781" s="16" t="str">
        <f aca="false">IF(D781="","",IF(S781&gt;0.0000001,"Sim","Não"))</f>
        <v>Não</v>
      </c>
      <c r="W781" s="16" t="n">
        <f aca="false">IF(D781="","",U781-(H781+E781-Q781-O781-T781))</f>
        <v>0</v>
      </c>
      <c r="X781" s="16" t="n">
        <f aca="false">IF(W781="","",ABS(W781))</f>
        <v>0</v>
      </c>
      <c r="Y781" s="16" t="n">
        <f aca="false">IF(U781="","",IF($B$8=0,0,U781/$B$8*100))</f>
        <v>40.2721521380524</v>
      </c>
      <c r="Z781" s="18" t="n">
        <f aca="false">IF(D781="","",MAX(0,IF(P781&gt;=0,P781,IF(K781+P781&gt;=0,0,P781+K781))))</f>
        <v>19.0165102395883</v>
      </c>
      <c r="AA781" s="18" t="n">
        <f aca="false">IF(D781="","",IF(H781&lt;=$B$16,1,IF(H781&gt;=$B$17,$B$21,MATCH(H781,Aux_CAV!$A$2:$A$121,1))))</f>
        <v>11</v>
      </c>
      <c r="AB781" s="18" t="n">
        <f aca="false">IF(D781="","",IF(L781&lt;=$B$16,1,IF(L781&gt;=$B$17,$B$21,MATCH(L781,Aux_CAV!$A$2:$A$121,1))))</f>
        <v>11</v>
      </c>
      <c r="AC781" s="19" t="n">
        <f aca="false">IF(D781="","",COUNT($D$24:D781))</f>
        <v>746</v>
      </c>
    </row>
    <row r="782" customFormat="false" ht="12.75" hidden="false" customHeight="true" outlineLevel="0" collapsed="false">
      <c r="A782" s="14" t="n">
        <f aca="false">IF(D782="","",DATE(B782,C782,1))</f>
        <v>26724</v>
      </c>
      <c r="B782" s="15" t="n">
        <f aca="false" t="array" ref="B782:B782">IF(D782="","",IFERROR(VALUE(INDEX(Vazoes_COLAR!$A$2:$A$200,INT((ROW()-24)/12)+1)),""))</f>
        <v>1973</v>
      </c>
      <c r="C782" s="15" t="n">
        <f aca="false">IF(D782="","",MOD(ROW()-24,12)+1)</f>
        <v>3</v>
      </c>
      <c r="D782" s="16" t="n">
        <f aca="false" t="array" ref="D782: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0.84954056869503</v>
      </c>
      <c r="E782" s="16" t="n">
        <f aca="false">IF(D782="","",D782*$B$15)</f>
        <v>2.20200915405752</v>
      </c>
      <c r="F782" s="16" t="n">
        <f aca="false" t="array" ref="F782:F782">IF(D782="","",IFERROR(INDEX(Dados_Evap!$C$2:$N$15,MATCH($B$9,Dados_Evap!$A$2:$A$15,0),C782),0))</f>
        <v>107.7</v>
      </c>
      <c r="G782" s="16" t="n">
        <f aca="false">IF(F782="","",F782/1000)</f>
        <v>0.1077</v>
      </c>
      <c r="H782" s="16" t="n">
        <f aca="false">IF(D782="","",MAX(0,MIN($B$8,IFERROR(LOOKUP(2,1/($U$24:U781&lt;&gt;""),$U$24:U781),$B$11))))</f>
        <v>19.0165102395883</v>
      </c>
      <c r="I782" s="16" t="n">
        <f aca="false" t="array" ref="I782: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>4.01050976034105</v>
      </c>
      <c r="J782" s="16" t="n">
        <f aca="false">IF(D782="","",$B$12)</f>
        <v>0.35</v>
      </c>
      <c r="K782" s="16" t="n">
        <f aca="false">IF(J782="","",J782*$B$15)</f>
        <v>0.9072</v>
      </c>
      <c r="L782" s="16" t="n">
        <f aca="false">IF(D782="","",H782+E782-K782-G782*I782)</f>
        <v>19.8793874924571</v>
      </c>
      <c r="M782" s="16" t="n">
        <f aca="false" t="array" ref="M782: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>4.11363411495219</v>
      </c>
      <c r="N782" s="16" t="n">
        <f aca="false">IF(D782="","",(I782+M782)/2)</f>
        <v>4.06207193764662</v>
      </c>
      <c r="O782" s="16" t="n">
        <f aca="false">IF(D782="","",G782*N782)</f>
        <v>0.437485147684541</v>
      </c>
      <c r="P782" s="16" t="n">
        <f aca="false">IF(D782="","",H782+E782-K782-O782)</f>
        <v>19.8738342459613</v>
      </c>
      <c r="Q782" s="16" t="n">
        <f aca="false">IF(D782="","",IF(P782&gt;=0,K782,MAX(0,K782+P782)))</f>
        <v>0.9072</v>
      </c>
      <c r="R782" s="16" t="n">
        <f aca="false">IF(D782="","",Q782/$B$15)</f>
        <v>0.35</v>
      </c>
      <c r="S782" s="16" t="n">
        <f aca="false">IF(D782="","",MAX(0,J782-R782))</f>
        <v>0</v>
      </c>
      <c r="T782" s="16" t="n">
        <f aca="false">IF(D782="","",MAX(0,Z782-$B$8))</f>
        <v>0</v>
      </c>
      <c r="U782" s="16" t="n">
        <f aca="false">IF(D782="","",MAX(0,MIN($B$8,Z782)))</f>
        <v>19.8738342459613</v>
      </c>
      <c r="V782" s="16" t="str">
        <f aca="false">IF(D782="","",IF(S782&gt;0.0000001,"Sim","Não"))</f>
        <v>Não</v>
      </c>
      <c r="W782" s="16" t="n">
        <f aca="false">IF(D782="","",U782-(H782+E782-Q782-O782-T782))</f>
        <v>0</v>
      </c>
      <c r="X782" s="16" t="n">
        <f aca="false">IF(W782="","",ABS(W782))</f>
        <v>0</v>
      </c>
      <c r="Y782" s="16" t="n">
        <f aca="false">IF(U782="","",IF($B$8=0,0,U782/$B$8*100))</f>
        <v>42.0877472383764</v>
      </c>
      <c r="Z782" s="18" t="n">
        <f aca="false">IF(D782="","",MAX(0,IF(P782&gt;=0,P782,IF(K782+P782&gt;=0,0,P782+K782))))</f>
        <v>19.8738342459613</v>
      </c>
      <c r="AA782" s="18" t="n">
        <f aca="false">IF(D782="","",IF(H782&lt;=$B$16,1,IF(H782&gt;=$B$17,$B$21,MATCH(H782,Aux_CAV!$A$2:$A$121,1))))</f>
        <v>11</v>
      </c>
      <c r="AB782" s="18" t="n">
        <f aca="false">IF(D782="","",IF(L782&lt;=$B$16,1,IF(L782&gt;=$B$17,$B$21,MATCH(L782,Aux_CAV!$A$2:$A$121,1))))</f>
        <v>11</v>
      </c>
      <c r="AC782" s="19" t="n">
        <f aca="false">IF(D782="","",COUNT($D$24:D782))</f>
        <v>747</v>
      </c>
    </row>
    <row r="783" customFormat="false" ht="12.75" hidden="false" customHeight="true" outlineLevel="0" collapsed="false">
      <c r="A783" s="14" t="n">
        <f aca="false">IF(D783="","",DATE(B783,C783,1))</f>
        <v>26755</v>
      </c>
      <c r="B783" s="15" t="n">
        <f aca="false" t="array" ref="B783:B783">IF(D783="","",IFERROR(VALUE(INDEX(Vazoes_COLAR!$A$2:$A$200,INT((ROW()-24)/12)+1)),""))</f>
        <v>1973</v>
      </c>
      <c r="C783" s="15" t="n">
        <f aca="false">IF(D783="","",MOD(ROW()-24,12)+1)</f>
        <v>4</v>
      </c>
      <c r="D783" s="16" t="n">
        <f aca="false" t="array" ref="D783: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6.63539670567017</v>
      </c>
      <c r="E783" s="16" t="n">
        <f aca="false">IF(D783="","",D783*$B$15)</f>
        <v>17.1989482610971</v>
      </c>
      <c r="F783" s="16" t="n">
        <f aca="false" t="array" ref="F783:F783">IF(D783="","",IFERROR(INDEX(Dados_Evap!$C$2:$N$15,MATCH($B$9,Dados_Evap!$A$2:$A$15,0),C783),0))</f>
        <v>100.5</v>
      </c>
      <c r="G783" s="16" t="n">
        <f aca="false">IF(F783="","",F783/1000)</f>
        <v>0.1005</v>
      </c>
      <c r="H783" s="16" t="n">
        <f aca="false">IF(D783="","",MAX(0,MIN($B$8,IFERROR(LOOKUP(2,1/($U$24:U782&lt;&gt;""),$U$24:U782),$B$11))))</f>
        <v>19.8738342459613</v>
      </c>
      <c r="I783" s="16" t="n">
        <f aca="false" t="array" ref="I783: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>4.11297043427343</v>
      </c>
      <c r="J783" s="16" t="n">
        <f aca="false">IF(D783="","",$B$12)</f>
        <v>0.35</v>
      </c>
      <c r="K783" s="16" t="n">
        <f aca="false">IF(J783="","",J783*$B$15)</f>
        <v>0.9072</v>
      </c>
      <c r="L783" s="16" t="n">
        <f aca="false">IF(D783="","",H783+E783-K783-G783*I783)</f>
        <v>35.7522289784139</v>
      </c>
      <c r="M783" s="16" t="n">
        <f aca="false" t="array" ref="M783: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>5.82502600649258</v>
      </c>
      <c r="N783" s="16" t="n">
        <f aca="false">IF(D783="","",(I783+M783)/2)</f>
        <v>4.968998220383</v>
      </c>
      <c r="O783" s="16" t="n">
        <f aca="false">IF(D783="","",G783*N783)</f>
        <v>0.499384321148492</v>
      </c>
      <c r="P783" s="16" t="n">
        <f aca="false">IF(D783="","",H783+E783-K783-O783)</f>
        <v>35.6661981859099</v>
      </c>
      <c r="Q783" s="16" t="n">
        <f aca="false">IF(D783="","",IF(P783&gt;=0,K783,MAX(0,K783+P783)))</f>
        <v>0.9072</v>
      </c>
      <c r="R783" s="16" t="n">
        <f aca="false">IF(D783="","",Q783/$B$15)</f>
        <v>0.35</v>
      </c>
      <c r="S783" s="16" t="n">
        <f aca="false">IF(D783="","",MAX(0,J783-R783))</f>
        <v>0</v>
      </c>
      <c r="T783" s="16" t="n">
        <f aca="false">IF(D783="","",MAX(0,Z783-$B$8))</f>
        <v>0</v>
      </c>
      <c r="U783" s="16" t="n">
        <f aca="false">IF(D783="","",MAX(0,MIN($B$8,Z783)))</f>
        <v>35.6661981859099</v>
      </c>
      <c r="V783" s="16" t="str">
        <f aca="false">IF(D783="","",IF(S783&gt;0.0000001,"Sim","Não"))</f>
        <v>Não</v>
      </c>
      <c r="W783" s="16" t="n">
        <f aca="false">IF(D783="","",U783-(H783+E783-Q783-O783-T783))</f>
        <v>0</v>
      </c>
      <c r="X783" s="16" t="n">
        <f aca="false">IF(W783="","",ABS(W783))</f>
        <v>0</v>
      </c>
      <c r="Y783" s="16" t="n">
        <f aca="false">IF(U783="","",IF($B$8=0,0,U783/$B$8*100))</f>
        <v>75.5319741336508</v>
      </c>
      <c r="Z783" s="18" t="n">
        <f aca="false">IF(D783="","",MAX(0,IF(P783&gt;=0,P783,IF(K783+P783&gt;=0,0,P783+K783))))</f>
        <v>35.6661981859099</v>
      </c>
      <c r="AA783" s="18" t="n">
        <f aca="false">IF(D783="","",IF(H783&lt;=$B$16,1,IF(H783&gt;=$B$17,$B$21,MATCH(H783,Aux_CAV!$A$2:$A$121,1))))</f>
        <v>11</v>
      </c>
      <c r="AB783" s="18" t="n">
        <f aca="false">IF(D783="","",IF(L783&lt;=$B$16,1,IF(L783&gt;=$B$17,$B$21,MATCH(L783,Aux_CAV!$A$2:$A$121,1))))</f>
        <v>13</v>
      </c>
      <c r="AC783" s="19" t="n">
        <f aca="false">IF(D783="","",COUNT($D$24:D783))</f>
        <v>748</v>
      </c>
    </row>
    <row r="784" customFormat="false" ht="12.75" hidden="false" customHeight="true" outlineLevel="0" collapsed="false">
      <c r="A784" s="14" t="n">
        <f aca="false">IF(D784="","",DATE(B784,C784,1))</f>
        <v>26785</v>
      </c>
      <c r="B784" s="15" t="n">
        <f aca="false" t="array" ref="B784:B784">IF(D784="","",IFERROR(VALUE(INDEX(Vazoes_COLAR!$A$2:$A$200,INT((ROW()-24)/12)+1)),""))</f>
        <v>1973</v>
      </c>
      <c r="C784" s="15" t="n">
        <f aca="false">IF(D784="","",MOD(ROW()-24,12)+1)</f>
        <v>5</v>
      </c>
      <c r="D784" s="16" t="n">
        <f aca="false" t="array" ref="D784: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2.77995639267891</v>
      </c>
      <c r="E784" s="16" t="n">
        <f aca="false">IF(D784="","",D784*$B$15)</f>
        <v>7.20564696982374</v>
      </c>
      <c r="F784" s="16" t="n">
        <f aca="false" t="array" ref="F784:F784">IF(D784="","",IFERROR(INDEX(Dados_Evap!$C$2:$N$15,MATCH($B$9,Dados_Evap!$A$2:$A$15,0),C784),0))</f>
        <v>145.8</v>
      </c>
      <c r="G784" s="16" t="n">
        <f aca="false">IF(F784="","",F784/1000)</f>
        <v>0.1458</v>
      </c>
      <c r="H784" s="16" t="n">
        <f aca="false">IF(D784="","",MAX(0,MIN($B$8,IFERROR(LOOKUP(2,1/($U$24:U783&lt;&gt;""),$U$24:U783),$B$11))))</f>
        <v>35.6661981859099</v>
      </c>
      <c r="I784" s="16" t="n">
        <f aca="false" t="array" ref="I784: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>5.81643645409635</v>
      </c>
      <c r="J784" s="16" t="n">
        <f aca="false">IF(D784="","",$B$12)</f>
        <v>0.35</v>
      </c>
      <c r="K784" s="16" t="n">
        <f aca="false">IF(J784="","",J784*$B$15)</f>
        <v>0.9072</v>
      </c>
      <c r="L784" s="16" t="n">
        <f aca="false">IF(D784="","",H784+E784-K784-G784*I784)</f>
        <v>41.1166087207264</v>
      </c>
      <c r="M784" s="16" t="n">
        <f aca="false" t="array" ref="M784: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>6.36062052478951</v>
      </c>
      <c r="N784" s="16" t="n">
        <f aca="false">IF(D784="","",(I784+M784)/2)</f>
        <v>6.08852848944293</v>
      </c>
      <c r="O784" s="16" t="n">
        <f aca="false">IF(D784="","",G784*N784)</f>
        <v>0.887707453760779</v>
      </c>
      <c r="P784" s="16" t="n">
        <f aca="false">IF(D784="","",H784+E784-K784-O784)</f>
        <v>41.0769377019729</v>
      </c>
      <c r="Q784" s="16" t="n">
        <f aca="false">IF(D784="","",IF(P784&gt;=0,K784,MAX(0,K784+P784)))</f>
        <v>0.9072</v>
      </c>
      <c r="R784" s="16" t="n">
        <f aca="false">IF(D784="","",Q784/$B$15)</f>
        <v>0.35</v>
      </c>
      <c r="S784" s="16" t="n">
        <f aca="false">IF(D784="","",MAX(0,J784-R784))</f>
        <v>0</v>
      </c>
      <c r="T784" s="16" t="n">
        <f aca="false">IF(D784="","",MAX(0,Z784-$B$8))</f>
        <v>0</v>
      </c>
      <c r="U784" s="16" t="n">
        <f aca="false">IF(D784="","",MAX(0,MIN($B$8,Z784)))</f>
        <v>41.0769377019729</v>
      </c>
      <c r="V784" s="16" t="str">
        <f aca="false">IF(D784="","",IF(S784&gt;0.0000001,"Sim","Não"))</f>
        <v>Não</v>
      </c>
      <c r="W784" s="16" t="n">
        <f aca="false">IF(D784="","",U784-(H784+E784-Q784-O784-T784))</f>
        <v>0</v>
      </c>
      <c r="X784" s="16" t="n">
        <f aca="false">IF(W784="","",ABS(W784))</f>
        <v>0</v>
      </c>
      <c r="Y784" s="16" t="n">
        <f aca="false">IF(U784="","",IF($B$8=0,0,U784/$B$8*100))</f>
        <v>86.9905499830005</v>
      </c>
      <c r="Z784" s="18" t="n">
        <f aca="false">IF(D784="","",MAX(0,IF(P784&gt;=0,P784,IF(K784+P784&gt;=0,0,P784+K784))))</f>
        <v>41.0769377019729</v>
      </c>
      <c r="AA784" s="18" t="n">
        <f aca="false">IF(D784="","",IF(H784&lt;=$B$16,1,IF(H784&gt;=$B$17,$B$21,MATCH(H784,Aux_CAV!$A$2:$A$121,1))))</f>
        <v>13</v>
      </c>
      <c r="AB784" s="18" t="n">
        <f aca="false">IF(D784="","",IF(L784&lt;=$B$16,1,IF(L784&gt;=$B$17,$B$21,MATCH(L784,Aux_CAV!$A$2:$A$121,1))))</f>
        <v>13</v>
      </c>
      <c r="AC784" s="19" t="n">
        <f aca="false">IF(D784="","",COUNT($D$24:D784))</f>
        <v>749</v>
      </c>
    </row>
    <row r="785" customFormat="false" ht="12.75" hidden="false" customHeight="true" outlineLevel="0" collapsed="false">
      <c r="A785" s="14" t="n">
        <f aca="false">IF(D785="","",DATE(B785,C785,1))</f>
        <v>26816</v>
      </c>
      <c r="B785" s="15" t="n">
        <f aca="false" t="array" ref="B785:B785">IF(D785="","",IFERROR(VALUE(INDEX(Vazoes_COLAR!$A$2:$A$200,INT((ROW()-24)/12)+1)),""))</f>
        <v>1973</v>
      </c>
      <c r="C785" s="15" t="n">
        <f aca="false">IF(D785="","",MOD(ROW()-24,12)+1)</f>
        <v>6</v>
      </c>
      <c r="D785" s="16" t="n">
        <f aca="false" t="array" ref="D785: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1.45144596182027</v>
      </c>
      <c r="E785" s="16" t="n">
        <f aca="false">IF(D785="","",D785*$B$15)</f>
        <v>3.76214793303814</v>
      </c>
      <c r="F785" s="16" t="n">
        <f aca="false" t="array" ref="F785:F785">IF(D785="","",IFERROR(INDEX(Dados_Evap!$C$2:$N$15,MATCH($B$9,Dados_Evap!$A$2:$A$15,0),C785),0))</f>
        <v>161.3</v>
      </c>
      <c r="G785" s="16" t="n">
        <f aca="false">IF(F785="","",F785/1000)</f>
        <v>0.1613</v>
      </c>
      <c r="H785" s="16" t="n">
        <f aca="false">IF(D785="","",MAX(0,MIN($B$8,IFERROR(LOOKUP(2,1/($U$24:U784&lt;&gt;""),$U$24:U784),$B$11))))</f>
        <v>41.0769377019729</v>
      </c>
      <c r="I785" s="16" t="n">
        <f aca="false" t="array" ref="I785: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>6.35665966049572</v>
      </c>
      <c r="J785" s="16" t="n">
        <f aca="false">IF(D785="","",$B$12)</f>
        <v>0.35</v>
      </c>
      <c r="K785" s="16" t="n">
        <f aca="false">IF(J785="","",J785*$B$15)</f>
        <v>0.9072</v>
      </c>
      <c r="L785" s="16" t="n">
        <f aca="false">IF(D785="","",H785+E785-K785-G785*I785)</f>
        <v>42.906556431773</v>
      </c>
      <c r="M785" s="16" t="n">
        <f aca="false" t="array" ref="M785: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>6.53933385757482</v>
      </c>
      <c r="N785" s="16" t="n">
        <f aca="false">IF(D785="","",(I785+M785)/2)</f>
        <v>6.44799675903527</v>
      </c>
      <c r="O785" s="16" t="n">
        <f aca="false">IF(D785="","",G785*N785)</f>
        <v>1.04006187723239</v>
      </c>
      <c r="P785" s="16" t="n">
        <f aca="false">IF(D785="","",H785+E785-K785-O785)</f>
        <v>42.8918237577786</v>
      </c>
      <c r="Q785" s="16" t="n">
        <f aca="false">IF(D785="","",IF(P785&gt;=0,K785,MAX(0,K785+P785)))</f>
        <v>0.9072</v>
      </c>
      <c r="R785" s="16" t="n">
        <f aca="false">IF(D785="","",Q785/$B$15)</f>
        <v>0.35</v>
      </c>
      <c r="S785" s="16" t="n">
        <f aca="false">IF(D785="","",MAX(0,J785-R785))</f>
        <v>0</v>
      </c>
      <c r="T785" s="16" t="n">
        <f aca="false">IF(D785="","",MAX(0,Z785-$B$8))</f>
        <v>0</v>
      </c>
      <c r="U785" s="16" t="n">
        <f aca="false">IF(D785="","",MAX(0,MIN($B$8,Z785)))</f>
        <v>42.8918237577786</v>
      </c>
      <c r="V785" s="16" t="str">
        <f aca="false">IF(D785="","",IF(S785&gt;0.0000001,"Sim","Não"))</f>
        <v>Não</v>
      </c>
      <c r="W785" s="16" t="n">
        <f aca="false">IF(D785="","",U785-(H785+E785-Q785-O785-T785))</f>
        <v>0</v>
      </c>
      <c r="X785" s="16" t="n">
        <f aca="false">IF(W785="","",ABS(W785))</f>
        <v>0</v>
      </c>
      <c r="Y785" s="16" t="n">
        <f aca="false">IF(U785="","",IF($B$8=0,0,U785/$B$8*100))</f>
        <v>90.8340189703062</v>
      </c>
      <c r="Z785" s="18" t="n">
        <f aca="false">IF(D785="","",MAX(0,IF(P785&gt;=0,P785,IF(K785+P785&gt;=0,0,P785+K785))))</f>
        <v>42.8918237577786</v>
      </c>
      <c r="AA785" s="18" t="n">
        <f aca="false">IF(D785="","",IF(H785&lt;=$B$16,1,IF(H785&gt;=$B$17,$B$21,MATCH(H785,Aux_CAV!$A$2:$A$121,1))))</f>
        <v>13</v>
      </c>
      <c r="AB785" s="18" t="n">
        <f aca="false">IF(D785="","",IF(L785&lt;=$B$16,1,IF(L785&gt;=$B$17,$B$21,MATCH(L785,Aux_CAV!$A$2:$A$121,1))))</f>
        <v>13</v>
      </c>
      <c r="AC785" s="19" t="n">
        <f aca="false">IF(D785="","",COUNT($D$24:D785))</f>
        <v>750</v>
      </c>
    </row>
    <row r="786" customFormat="false" ht="12.75" hidden="false" customHeight="true" outlineLevel="0" collapsed="false">
      <c r="A786" s="14" t="n">
        <f aca="false">IF(D786="","",DATE(B786,C786,1))</f>
        <v>26846</v>
      </c>
      <c r="B786" s="15" t="n">
        <f aca="false" t="array" ref="B786:B786">IF(D786="","",IFERROR(VALUE(INDEX(Vazoes_COLAR!$A$2:$A$200,INT((ROW()-24)/12)+1)),""))</f>
        <v>1973</v>
      </c>
      <c r="C786" s="15" t="n">
        <f aca="false">IF(D786="","",MOD(ROW()-24,12)+1)</f>
        <v>7</v>
      </c>
      <c r="D786" s="16" t="n">
        <f aca="false" t="array" ref="D786: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0.887321201544509</v>
      </c>
      <c r="E786" s="16" t="n">
        <f aca="false">IF(D786="","",D786*$B$15)</f>
        <v>2.29993655440337</v>
      </c>
      <c r="F786" s="16" t="n">
        <f aca="false" t="array" ref="F786:F786">IF(D786="","",IFERROR(INDEX(Dados_Evap!$C$2:$N$15,MATCH($B$9,Dados_Evap!$A$2:$A$15,0),C786),0))</f>
        <v>224.8</v>
      </c>
      <c r="G786" s="16" t="n">
        <f aca="false">IF(F786="","",F786/1000)</f>
        <v>0.2248</v>
      </c>
      <c r="H786" s="16" t="n">
        <f aca="false">IF(D786="","",MAX(0,MIN($B$8,IFERROR(LOOKUP(2,1/($U$24:U785&lt;&gt;""),$U$24:U785),$B$11))))</f>
        <v>42.8918237577786</v>
      </c>
      <c r="I786" s="16" t="n">
        <f aca="false" t="array" ref="I786: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>6.53786290663355</v>
      </c>
      <c r="J786" s="16" t="n">
        <f aca="false">IF(D786="","",$B$12)</f>
        <v>0.35</v>
      </c>
      <c r="K786" s="16" t="n">
        <f aca="false">IF(J786="","",J786*$B$15)</f>
        <v>0.9072</v>
      </c>
      <c r="L786" s="16" t="n">
        <f aca="false">IF(D786="","",H786+E786-K786-G786*I786)</f>
        <v>42.8148487307707</v>
      </c>
      <c r="M786" s="16" t="n">
        <f aca="false" t="array" ref="M786: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>6.53017750692444</v>
      </c>
      <c r="N786" s="16" t="n">
        <f aca="false">IF(D786="","",(I786+M786)/2)</f>
        <v>6.534020206779</v>
      </c>
      <c r="O786" s="16" t="n">
        <f aca="false">IF(D786="","",G786*N786)</f>
        <v>1.46884774248392</v>
      </c>
      <c r="P786" s="16" t="n">
        <f aca="false">IF(D786="","",H786+E786-K786-O786)</f>
        <v>42.815712569698</v>
      </c>
      <c r="Q786" s="16" t="n">
        <f aca="false">IF(D786="","",IF(P786&gt;=0,K786,MAX(0,K786+P786)))</f>
        <v>0.9072</v>
      </c>
      <c r="R786" s="16" t="n">
        <f aca="false">IF(D786="","",Q786/$B$15)</f>
        <v>0.35</v>
      </c>
      <c r="S786" s="16" t="n">
        <f aca="false">IF(D786="","",MAX(0,J786-R786))</f>
        <v>0</v>
      </c>
      <c r="T786" s="16" t="n">
        <f aca="false">IF(D786="","",MAX(0,Z786-$B$8))</f>
        <v>0</v>
      </c>
      <c r="U786" s="16" t="n">
        <f aca="false">IF(D786="","",MAX(0,MIN($B$8,Z786)))</f>
        <v>42.815712569698</v>
      </c>
      <c r="V786" s="16" t="str">
        <f aca="false">IF(D786="","",IF(S786&gt;0.0000001,"Sim","Não"))</f>
        <v>Não</v>
      </c>
      <c r="W786" s="16" t="n">
        <f aca="false">IF(D786="","",U786-(H786+E786-Q786-O786-T786))</f>
        <v>0</v>
      </c>
      <c r="X786" s="16" t="n">
        <f aca="false">IF(W786="","",ABS(W786))</f>
        <v>0</v>
      </c>
      <c r="Y786" s="16" t="n">
        <f aca="false">IF(U786="","",IF($B$8=0,0,U786/$B$8*100))</f>
        <v>90.6728347515842</v>
      </c>
      <c r="Z786" s="18" t="n">
        <f aca="false">IF(D786="","",MAX(0,IF(P786&gt;=0,P786,IF(K786+P786&gt;=0,0,P786+K786))))</f>
        <v>42.815712569698</v>
      </c>
      <c r="AA786" s="18" t="n">
        <f aca="false">IF(D786="","",IF(H786&lt;=$B$16,1,IF(H786&gt;=$B$17,$B$21,MATCH(H786,Aux_CAV!$A$2:$A$121,1))))</f>
        <v>13</v>
      </c>
      <c r="AB786" s="18" t="n">
        <f aca="false">IF(D786="","",IF(L786&lt;=$B$16,1,IF(L786&gt;=$B$17,$B$21,MATCH(L786,Aux_CAV!$A$2:$A$121,1))))</f>
        <v>13</v>
      </c>
      <c r="AC786" s="19" t="n">
        <f aca="false">IF(D786="","",COUNT($D$24:D786))</f>
        <v>751</v>
      </c>
    </row>
    <row r="787" customFormat="false" ht="12.75" hidden="false" customHeight="true" outlineLevel="0" collapsed="false">
      <c r="A787" s="14" t="n">
        <f aca="false">IF(D787="","",DATE(B787,C787,1))</f>
        <v>26877</v>
      </c>
      <c r="B787" s="15" t="n">
        <f aca="false" t="array" ref="B787:B787">IF(D787="","",IFERROR(VALUE(INDEX(Vazoes_COLAR!$A$2:$A$200,INT((ROW()-24)/12)+1)),""))</f>
        <v>1973</v>
      </c>
      <c r="C787" s="15" t="n">
        <f aca="false">IF(D787="","",MOD(ROW()-24,12)+1)</f>
        <v>8</v>
      </c>
      <c r="D787" s="16" t="n">
        <f aca="false" t="array" ref="D787: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0.297198201571155</v>
      </c>
      <c r="E787" s="16" t="n">
        <f aca="false">IF(D787="","",D787*$B$15)</f>
        <v>0.770337738472434</v>
      </c>
      <c r="F787" s="16" t="n">
        <f aca="false" t="array" ref="F787:F787">IF(D787="","",IFERROR(INDEX(Dados_Evap!$C$2:$N$15,MATCH($B$9,Dados_Evap!$A$2:$A$15,0),C787),0))</f>
        <v>268.7</v>
      </c>
      <c r="G787" s="16" t="n">
        <f aca="false">IF(F787="","",F787/1000)</f>
        <v>0.2687</v>
      </c>
      <c r="H787" s="16" t="n">
        <f aca="false">IF(D787="","",MAX(0,MIN($B$8,IFERROR(LOOKUP(2,1/($U$24:U786&lt;&gt;""),$U$24:U786),$B$11))))</f>
        <v>42.815712569698</v>
      </c>
      <c r="I787" s="16" t="n">
        <f aca="false" t="array" ref="I787: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>6.53026375499344</v>
      </c>
      <c r="J787" s="16" t="n">
        <f aca="false">IF(D787="","",$B$12)</f>
        <v>0.35</v>
      </c>
      <c r="K787" s="16" t="n">
        <f aca="false">IF(J787="","",J787*$B$15)</f>
        <v>0.9072</v>
      </c>
      <c r="L787" s="16" t="n">
        <f aca="false">IF(D787="","",H787+E787-K787-G787*I787)</f>
        <v>40.9241684372037</v>
      </c>
      <c r="M787" s="16" t="n">
        <f aca="false" t="array" ref="M787: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>6.34140675434346</v>
      </c>
      <c r="N787" s="16" t="n">
        <f aca="false">IF(D787="","",(I787+M787)/2)</f>
        <v>6.43583525466845</v>
      </c>
      <c r="O787" s="16" t="n">
        <f aca="false">IF(D787="","",G787*N787)</f>
        <v>1.72930893292941</v>
      </c>
      <c r="P787" s="16" t="n">
        <f aca="false">IF(D787="","",H787+E787-K787-O787)</f>
        <v>40.9495413752411</v>
      </c>
      <c r="Q787" s="16" t="n">
        <f aca="false">IF(D787="","",IF(P787&gt;=0,K787,MAX(0,K787+P787)))</f>
        <v>0.9072</v>
      </c>
      <c r="R787" s="16" t="n">
        <f aca="false">IF(D787="","",Q787/$B$15)</f>
        <v>0.35</v>
      </c>
      <c r="S787" s="16" t="n">
        <f aca="false">IF(D787="","",MAX(0,J787-R787))</f>
        <v>0</v>
      </c>
      <c r="T787" s="16" t="n">
        <f aca="false">IF(D787="","",MAX(0,Z787-$B$8))</f>
        <v>0</v>
      </c>
      <c r="U787" s="16" t="n">
        <f aca="false">IF(D787="","",MAX(0,MIN($B$8,Z787)))</f>
        <v>40.9495413752411</v>
      </c>
      <c r="V787" s="16" t="str">
        <f aca="false">IF(D787="","",IF(S787&gt;0.0000001,"Sim","Não"))</f>
        <v>Não</v>
      </c>
      <c r="W787" s="16" t="n">
        <f aca="false">IF(D787="","",U787-(H787+E787-Q787-O787-T787))</f>
        <v>0</v>
      </c>
      <c r="X787" s="16" t="n">
        <f aca="false">IF(W787="","",ABS(W787))</f>
        <v>0</v>
      </c>
      <c r="Y787" s="16" t="n">
        <f aca="false">IF(U787="","",IF($B$8=0,0,U787/$B$8*100))</f>
        <v>86.7207568302437</v>
      </c>
      <c r="Z787" s="18" t="n">
        <f aca="false">IF(D787="","",MAX(0,IF(P787&gt;=0,P787,IF(K787+P787&gt;=0,0,P787+K787))))</f>
        <v>40.9495413752411</v>
      </c>
      <c r="AA787" s="18" t="n">
        <f aca="false">IF(D787="","",IF(H787&lt;=$B$16,1,IF(H787&gt;=$B$17,$B$21,MATCH(H787,Aux_CAV!$A$2:$A$121,1))))</f>
        <v>13</v>
      </c>
      <c r="AB787" s="18" t="n">
        <f aca="false">IF(D787="","",IF(L787&lt;=$B$16,1,IF(L787&gt;=$B$17,$B$21,MATCH(L787,Aux_CAV!$A$2:$A$121,1))))</f>
        <v>13</v>
      </c>
      <c r="AC787" s="19" t="n">
        <f aca="false">IF(D787="","",COUNT($D$24:D787))</f>
        <v>752</v>
      </c>
    </row>
    <row r="788" customFormat="false" ht="12.75" hidden="false" customHeight="true" outlineLevel="0" collapsed="false">
      <c r="A788" s="14" t="n">
        <f aca="false">IF(D788="","",DATE(B788,C788,1))</f>
        <v>26908</v>
      </c>
      <c r="B788" s="15" t="n">
        <f aca="false" t="array" ref="B788:B788">IF(D788="","",IFERROR(VALUE(INDEX(Vazoes_COLAR!$A$2:$A$200,INT((ROW()-24)/12)+1)),""))</f>
        <v>1973</v>
      </c>
      <c r="C788" s="15" t="n">
        <f aca="false">IF(D788="","",MOD(ROW()-24,12)+1)</f>
        <v>9</v>
      </c>
      <c r="D788" s="16" t="n">
        <f aca="false" t="array" ref="D788: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0.150303823530652</v>
      </c>
      <c r="E788" s="16" t="n">
        <f aca="false">IF(D788="","",D788*$B$15)</f>
        <v>0.38958751059145</v>
      </c>
      <c r="F788" s="16" t="n">
        <f aca="false" t="array" ref="F788:F788">IF(D788="","",IFERROR(INDEX(Dados_Evap!$C$2:$N$15,MATCH($B$9,Dados_Evap!$A$2:$A$15,0),C788),0))</f>
        <v>292.8</v>
      </c>
      <c r="G788" s="16" t="n">
        <f aca="false">IF(F788="","",F788/1000)</f>
        <v>0.2928</v>
      </c>
      <c r="H788" s="16" t="n">
        <f aca="false">IF(D788="","",MAX(0,MIN($B$8,IFERROR(LOOKUP(2,1/($U$24:U787&lt;&gt;""),$U$24:U787),$B$11))))</f>
        <v>40.9495413752411</v>
      </c>
      <c r="I788" s="16" t="n">
        <f aca="false" t="array" ref="I788: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>6.34394005869152</v>
      </c>
      <c r="J788" s="16" t="n">
        <f aca="false">IF(D788="","",$B$12)</f>
        <v>0.35</v>
      </c>
      <c r="K788" s="16" t="n">
        <f aca="false">IF(J788="","",J788*$B$15)</f>
        <v>0.9072</v>
      </c>
      <c r="L788" s="16" t="n">
        <f aca="false">IF(D788="","",H788+E788-K788-G788*I788)</f>
        <v>38.5744232366476</v>
      </c>
      <c r="M788" s="16" t="n">
        <f aca="false" t="array" ref="M788: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>6.10680169108038</v>
      </c>
      <c r="N788" s="16" t="n">
        <f aca="false">IF(D788="","",(I788+M788)/2)</f>
        <v>6.22537087488595</v>
      </c>
      <c r="O788" s="16" t="n">
        <f aca="false">IF(D788="","",G788*N788)</f>
        <v>1.82278859216661</v>
      </c>
      <c r="P788" s="16" t="n">
        <f aca="false">IF(D788="","",H788+E788-K788-O788)</f>
        <v>38.6091402936659</v>
      </c>
      <c r="Q788" s="16" t="n">
        <f aca="false">IF(D788="","",IF(P788&gt;=0,K788,MAX(0,K788+P788)))</f>
        <v>0.9072</v>
      </c>
      <c r="R788" s="16" t="n">
        <f aca="false">IF(D788="","",Q788/$B$15)</f>
        <v>0.35</v>
      </c>
      <c r="S788" s="16" t="n">
        <f aca="false">IF(D788="","",MAX(0,J788-R788))</f>
        <v>0</v>
      </c>
      <c r="T788" s="16" t="n">
        <f aca="false">IF(D788="","",MAX(0,Z788-$B$8))</f>
        <v>0</v>
      </c>
      <c r="U788" s="16" t="n">
        <f aca="false">IF(D788="","",MAX(0,MIN($B$8,Z788)))</f>
        <v>38.6091402936659</v>
      </c>
      <c r="V788" s="16" t="str">
        <f aca="false">IF(D788="","",IF(S788&gt;0.0000001,"Sim","Não"))</f>
        <v>Não</v>
      </c>
      <c r="W788" s="16" t="n">
        <f aca="false">IF(D788="","",U788-(H788+E788-Q788-O788-T788))</f>
        <v>0</v>
      </c>
      <c r="X788" s="16" t="n">
        <f aca="false">IF(W788="","",ABS(W788))</f>
        <v>0</v>
      </c>
      <c r="Y788" s="16" t="n">
        <f aca="false">IF(U788="","",IF($B$8=0,0,U788/$B$8*100))</f>
        <v>81.7643801221218</v>
      </c>
      <c r="Z788" s="18" t="n">
        <f aca="false">IF(D788="","",MAX(0,IF(P788&gt;=0,P788,IF(K788+P788&gt;=0,0,P788+K788))))</f>
        <v>38.6091402936659</v>
      </c>
      <c r="AA788" s="18" t="n">
        <f aca="false">IF(D788="","",IF(H788&lt;=$B$16,1,IF(H788&gt;=$B$17,$B$21,MATCH(H788,Aux_CAV!$A$2:$A$121,1))))</f>
        <v>13</v>
      </c>
      <c r="AB788" s="18" t="n">
        <f aca="false">IF(D788="","",IF(L788&lt;=$B$16,1,IF(L788&gt;=$B$17,$B$21,MATCH(L788,Aux_CAV!$A$2:$A$121,1))))</f>
        <v>13</v>
      </c>
      <c r="AC788" s="19" t="n">
        <f aca="false">IF(D788="","",COUNT($D$24:D788))</f>
        <v>753</v>
      </c>
    </row>
    <row r="789" customFormat="false" ht="12.75" hidden="false" customHeight="true" outlineLevel="0" collapsed="false">
      <c r="A789" s="14" t="n">
        <f aca="false">IF(D789="","",DATE(B789,C789,1))</f>
        <v>26938</v>
      </c>
      <c r="B789" s="15" t="n">
        <f aca="false" t="array" ref="B789:B789">IF(D789="","",IFERROR(VALUE(INDEX(Vazoes_COLAR!$A$2:$A$200,INT((ROW()-24)/12)+1)),""))</f>
        <v>1973</v>
      </c>
      <c r="C789" s="15" t="n">
        <f aca="false">IF(D789="","",MOD(ROW()-24,12)+1)</f>
        <v>10</v>
      </c>
      <c r="D789" s="16" t="n">
        <f aca="false" t="array" ref="D789: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0.142727052225111</v>
      </c>
      <c r="E789" s="16" t="n">
        <f aca="false">IF(D789="","",D789*$B$15)</f>
        <v>0.369948519367488</v>
      </c>
      <c r="F789" s="16" t="n">
        <f aca="false" t="array" ref="F789:F789">IF(D789="","",IFERROR(INDEX(Dados_Evap!$C$2:$N$15,MATCH($B$9,Dados_Evap!$A$2:$A$15,0),C789),0))</f>
        <v>262.9</v>
      </c>
      <c r="G789" s="16" t="n">
        <f aca="false">IF(F789="","",F789/1000)</f>
        <v>0.2629</v>
      </c>
      <c r="H789" s="16" t="n">
        <f aca="false">IF(D789="","",MAX(0,MIN($B$8,IFERROR(LOOKUP(2,1/($U$24:U788&lt;&gt;""),$U$24:U788),$B$11))))</f>
        <v>38.6091402936659</v>
      </c>
      <c r="I789" s="16" t="n">
        <f aca="false" t="array" ref="I789: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>6.11026793812545</v>
      </c>
      <c r="J789" s="16" t="n">
        <f aca="false">IF(D789="","",$B$12)</f>
        <v>0.35</v>
      </c>
      <c r="K789" s="16" t="n">
        <f aca="false">IF(J789="","",J789*$B$15)</f>
        <v>0.9072</v>
      </c>
      <c r="L789" s="16" t="n">
        <f aca="false">IF(D789="","",H789+E789-K789-G789*I789)</f>
        <v>36.4654993721002</v>
      </c>
      <c r="M789" s="16" t="n">
        <f aca="false" t="array" ref="M789: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>5.89624089642824</v>
      </c>
      <c r="N789" s="16" t="n">
        <f aca="false">IF(D789="","",(I789+M789)/2)</f>
        <v>6.00325441727685</v>
      </c>
      <c r="O789" s="16" t="n">
        <f aca="false">IF(D789="","",G789*N789)</f>
        <v>1.57825558630208</v>
      </c>
      <c r="P789" s="16" t="n">
        <f aca="false">IF(D789="","",H789+E789-K789-O789)</f>
        <v>36.4936332267313</v>
      </c>
      <c r="Q789" s="16" t="n">
        <f aca="false">IF(D789="","",IF(P789&gt;=0,K789,MAX(0,K789+P789)))</f>
        <v>0.9072</v>
      </c>
      <c r="R789" s="16" t="n">
        <f aca="false">IF(D789="","",Q789/$B$15)</f>
        <v>0.35</v>
      </c>
      <c r="S789" s="16" t="n">
        <f aca="false">IF(D789="","",MAX(0,J789-R789))</f>
        <v>0</v>
      </c>
      <c r="T789" s="16" t="n">
        <f aca="false">IF(D789="","",MAX(0,Z789-$B$8))</f>
        <v>0</v>
      </c>
      <c r="U789" s="16" t="n">
        <f aca="false">IF(D789="","",MAX(0,MIN($B$8,Z789)))</f>
        <v>36.4936332267313</v>
      </c>
      <c r="V789" s="16" t="str">
        <f aca="false">IF(D789="","",IF(S789&gt;0.0000001,"Sim","Não"))</f>
        <v>Não</v>
      </c>
      <c r="W789" s="16" t="n">
        <f aca="false">IF(D789="","",U789-(H789+E789-Q789-O789-T789))</f>
        <v>0</v>
      </c>
      <c r="X789" s="16" t="n">
        <f aca="false">IF(W789="","",ABS(W789))</f>
        <v>0</v>
      </c>
      <c r="Y789" s="16" t="n">
        <f aca="false">IF(U789="","",IF($B$8=0,0,U789/$B$8*100))</f>
        <v>77.2842719752887</v>
      </c>
      <c r="Z789" s="18" t="n">
        <f aca="false">IF(D789="","",MAX(0,IF(P789&gt;=0,P789,IF(K789+P789&gt;=0,0,P789+K789))))</f>
        <v>36.4936332267313</v>
      </c>
      <c r="AA789" s="18" t="n">
        <f aca="false">IF(D789="","",IF(H789&lt;=$B$16,1,IF(H789&gt;=$B$17,$B$21,MATCH(H789,Aux_CAV!$A$2:$A$121,1))))</f>
        <v>13</v>
      </c>
      <c r="AB789" s="18" t="n">
        <f aca="false">IF(D789="","",IF(L789&lt;=$B$16,1,IF(L789&gt;=$B$17,$B$21,MATCH(L789,Aux_CAV!$A$2:$A$121,1))))</f>
        <v>13</v>
      </c>
      <c r="AC789" s="19" t="n">
        <f aca="false">IF(D789="","",COUNT($D$24:D789))</f>
        <v>754</v>
      </c>
    </row>
    <row r="790" customFormat="false" ht="12.75" hidden="false" customHeight="true" outlineLevel="0" collapsed="false">
      <c r="A790" s="14" t="n">
        <f aca="false">IF(D790="","",DATE(B790,C790,1))</f>
        <v>26969</v>
      </c>
      <c r="B790" s="15" t="n">
        <f aca="false" t="array" ref="B790:B790">IF(D790="","",IFERROR(VALUE(INDEX(Vazoes_COLAR!$A$2:$A$200,INT((ROW()-24)/12)+1)),""))</f>
        <v>1973</v>
      </c>
      <c r="C790" s="15" t="n">
        <f aca="false">IF(D790="","",MOD(ROW()-24,12)+1)</f>
        <v>11</v>
      </c>
      <c r="D790" s="16" t="n">
        <f aca="false" t="array" ref="D790: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0.0213117048643386</v>
      </c>
      <c r="E790" s="16" t="n">
        <f aca="false">IF(D790="","",D790*$B$15)</f>
        <v>0.0552399390083657</v>
      </c>
      <c r="F790" s="16" t="n">
        <f aca="false" t="array" ref="F790:F790">IF(D790="","",IFERROR(INDEX(Dados_Evap!$C$2:$N$15,MATCH($B$9,Dados_Evap!$A$2:$A$15,0),C790),0))</f>
        <v>223.7</v>
      </c>
      <c r="G790" s="16" t="n">
        <f aca="false">IF(F790="","",F790/1000)</f>
        <v>0.2237</v>
      </c>
      <c r="H790" s="16" t="n">
        <f aca="false">IF(D790="","",MAX(0,MIN($B$8,IFERROR(LOOKUP(2,1/($U$24:U789&lt;&gt;""),$U$24:U789),$B$11))))</f>
        <v>36.4936332267313</v>
      </c>
      <c r="I790" s="16" t="n">
        <f aca="false" t="array" ref="I790: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>5.8990498583293</v>
      </c>
      <c r="J790" s="16" t="n">
        <f aca="false">IF(D790="","",$B$12)</f>
        <v>0.35</v>
      </c>
      <c r="K790" s="16" t="n">
        <f aca="false">IF(J790="","",J790*$B$15)</f>
        <v>0.9072</v>
      </c>
      <c r="L790" s="16" t="n">
        <f aca="false">IF(D790="","",H790+E790-K790-G790*I790)</f>
        <v>34.3220557124314</v>
      </c>
      <c r="M790" s="16" t="n">
        <f aca="false" t="array" ref="M790: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>5.68151452546617</v>
      </c>
      <c r="N790" s="16" t="n">
        <f aca="false">IF(D790="","",(I790+M790)/2)</f>
        <v>5.79028219189774</v>
      </c>
      <c r="O790" s="16" t="n">
        <f aca="false">IF(D790="","",G790*N790)</f>
        <v>1.29528612632752</v>
      </c>
      <c r="P790" s="16" t="n">
        <f aca="false">IF(D790="","",H790+E790-K790-O790)</f>
        <v>34.3463870394121</v>
      </c>
      <c r="Q790" s="16" t="n">
        <f aca="false">IF(D790="","",IF(P790&gt;=0,K790,MAX(0,K790+P790)))</f>
        <v>0.9072</v>
      </c>
      <c r="R790" s="16" t="n">
        <f aca="false">IF(D790="","",Q790/$B$15)</f>
        <v>0.35</v>
      </c>
      <c r="S790" s="16" t="n">
        <f aca="false">IF(D790="","",MAX(0,J790-R790))</f>
        <v>0</v>
      </c>
      <c r="T790" s="16" t="n">
        <f aca="false">IF(D790="","",MAX(0,Z790-$B$8))</f>
        <v>0</v>
      </c>
      <c r="U790" s="16" t="n">
        <f aca="false">IF(D790="","",MAX(0,MIN($B$8,Z790)))</f>
        <v>34.3463870394121</v>
      </c>
      <c r="V790" s="16" t="str">
        <f aca="false">IF(D790="","",IF(S790&gt;0.0000001,"Sim","Não"))</f>
        <v>Não</v>
      </c>
      <c r="W790" s="16" t="n">
        <f aca="false">IF(D790="","",U790-(H790+E790-Q790-O790-T790))</f>
        <v>0</v>
      </c>
      <c r="X790" s="16" t="n">
        <f aca="false">IF(W790="","",ABS(W790))</f>
        <v>0</v>
      </c>
      <c r="Y790" s="16" t="n">
        <f aca="false">IF(U790="","",IF($B$8=0,0,U790/$B$8*100))</f>
        <v>72.736948410445</v>
      </c>
      <c r="Z790" s="18" t="n">
        <f aca="false">IF(D790="","",MAX(0,IF(P790&gt;=0,P790,IF(K790+P790&gt;=0,0,P790+K790))))</f>
        <v>34.3463870394121</v>
      </c>
      <c r="AA790" s="18" t="n">
        <f aca="false">IF(D790="","",IF(H790&lt;=$B$16,1,IF(H790&gt;=$B$17,$B$21,MATCH(H790,Aux_CAV!$A$2:$A$121,1))))</f>
        <v>13</v>
      </c>
      <c r="AB790" s="18" t="n">
        <f aca="false">IF(D790="","",IF(L790&lt;=$B$16,1,IF(L790&gt;=$B$17,$B$21,MATCH(L790,Aux_CAV!$A$2:$A$121,1))))</f>
        <v>12</v>
      </c>
      <c r="AC790" s="19" t="n">
        <f aca="false">IF(D790="","",COUNT($D$24:D790))</f>
        <v>755</v>
      </c>
    </row>
    <row r="791" customFormat="false" ht="12.75" hidden="false" customHeight="true" outlineLevel="0" collapsed="false">
      <c r="A791" s="14" t="n">
        <f aca="false">IF(D791="","",DATE(B791,C791,1))</f>
        <v>26999</v>
      </c>
      <c r="B791" s="15" t="n">
        <f aca="false" t="array" ref="B791:B791">IF(D791="","",IFERROR(VALUE(INDEX(Vazoes_COLAR!$A$2:$A$200,INT((ROW()-24)/12)+1)),""))</f>
        <v>1973</v>
      </c>
      <c r="C791" s="15" t="n">
        <f aca="false">IF(D791="","",MOD(ROW()-24,12)+1)</f>
        <v>12</v>
      </c>
      <c r="D791" s="16" t="n">
        <f aca="false" t="array" ref="D791: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0.0961410677303201</v>
      </c>
      <c r="E791" s="16" t="n">
        <f aca="false">IF(D791="","",D791*$B$15)</f>
        <v>0.24919764755699</v>
      </c>
      <c r="F791" s="16" t="n">
        <f aca="false" t="array" ref="F791:F791">IF(D791="","",IFERROR(INDEX(Dados_Evap!$C$2:$N$15,MATCH($B$9,Dados_Evap!$A$2:$A$15,0),C791),0))</f>
        <v>216.1</v>
      </c>
      <c r="G791" s="16" t="n">
        <f aca="false">IF(F791="","",F791/1000)</f>
        <v>0.2161</v>
      </c>
      <c r="H791" s="16" t="n">
        <f aca="false">IF(D791="","",MAX(0,MIN($B$8,IFERROR(LOOKUP(2,1/($U$24:U790&lt;&gt;""),$U$24:U790),$B$11))))</f>
        <v>34.3463870394121</v>
      </c>
      <c r="I791" s="16" t="n">
        <f aca="false" t="array" ref="I791: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>5.68404214875447</v>
      </c>
      <c r="J791" s="16" t="n">
        <f aca="false">IF(D791="","",$B$12)</f>
        <v>0.35</v>
      </c>
      <c r="K791" s="16" t="n">
        <f aca="false">IF(J791="","",J791*$B$15)</f>
        <v>0.9072</v>
      </c>
      <c r="L791" s="16" t="n">
        <f aca="false">IF(D791="","",H791+E791-K791-G791*I791)</f>
        <v>32.4600631786233</v>
      </c>
      <c r="M791" s="16" t="n">
        <f aca="false" t="array" ref="M791: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>5.48808423311912</v>
      </c>
      <c r="N791" s="16" t="n">
        <f aca="false">IF(D791="","",(I791+M791)/2)</f>
        <v>5.58606319093679</v>
      </c>
      <c r="O791" s="16" t="n">
        <f aca="false">IF(D791="","",G791*N791)</f>
        <v>1.20714825556144</v>
      </c>
      <c r="P791" s="16" t="n">
        <f aca="false">IF(D791="","",H791+E791-K791-O791)</f>
        <v>32.4812364314077</v>
      </c>
      <c r="Q791" s="16" t="n">
        <f aca="false">IF(D791="","",IF(P791&gt;=0,K791,MAX(0,K791+P791)))</f>
        <v>0.9072</v>
      </c>
      <c r="R791" s="16" t="n">
        <f aca="false">IF(D791="","",Q791/$B$15)</f>
        <v>0.35</v>
      </c>
      <c r="S791" s="16" t="n">
        <f aca="false">IF(D791="","",MAX(0,J791-R791))</f>
        <v>0</v>
      </c>
      <c r="T791" s="16" t="n">
        <f aca="false">IF(D791="","",MAX(0,Z791-$B$8))</f>
        <v>0</v>
      </c>
      <c r="U791" s="16" t="n">
        <f aca="false">IF(D791="","",MAX(0,MIN($B$8,Z791)))</f>
        <v>32.4812364314077</v>
      </c>
      <c r="V791" s="16" t="str">
        <f aca="false">IF(D791="","",IF(S791&gt;0.0000001,"Sim","Não"))</f>
        <v>Não</v>
      </c>
      <c r="W791" s="16" t="n">
        <f aca="false">IF(D791="","",U791-(H791+E791-Q791-O791-T791))</f>
        <v>0</v>
      </c>
      <c r="X791" s="16" t="n">
        <f aca="false">IF(W791="","",ABS(W791))</f>
        <v>0</v>
      </c>
      <c r="Y791" s="16" t="n">
        <f aca="false">IF(U791="","",IF($B$8=0,0,U791/$B$8*100))</f>
        <v>68.7870318327143</v>
      </c>
      <c r="Z791" s="18" t="n">
        <f aca="false">IF(D791="","",MAX(0,IF(P791&gt;=0,P791,IF(K791+P791&gt;=0,0,P791+K791))))</f>
        <v>32.4812364314077</v>
      </c>
      <c r="AA791" s="18" t="n">
        <f aca="false">IF(D791="","",IF(H791&lt;=$B$16,1,IF(H791&gt;=$B$17,$B$21,MATCH(H791,Aux_CAV!$A$2:$A$121,1))))</f>
        <v>12</v>
      </c>
      <c r="AB791" s="18" t="n">
        <f aca="false">IF(D791="","",IF(L791&lt;=$B$16,1,IF(L791&gt;=$B$17,$B$21,MATCH(L791,Aux_CAV!$A$2:$A$121,1))))</f>
        <v>12</v>
      </c>
      <c r="AC791" s="19" t="n">
        <f aca="false">IF(D791="","",COUNT($D$24:D791))</f>
        <v>756</v>
      </c>
    </row>
    <row r="792" customFormat="false" ht="12.75" hidden="false" customHeight="true" outlineLevel="0" collapsed="false">
      <c r="A792" s="14" t="n">
        <f aca="false">IF(D792="","",DATE(B792,C792,1))</f>
        <v>27030</v>
      </c>
      <c r="B792" s="15" t="n">
        <f aca="false" t="array" ref="B792:B792">IF(D792="","",IFERROR(VALUE(INDEX(Vazoes_COLAR!$A$2:$A$200,INT((ROW()-24)/12)+1)),""))</f>
        <v>1974</v>
      </c>
      <c r="C792" s="15" t="n">
        <f aca="false">IF(D792="","",MOD(ROW()-24,12)+1)</f>
        <v>1</v>
      </c>
      <c r="D792" s="16" t="n">
        <f aca="false" t="array" ref="D792: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0.765733730898614</v>
      </c>
      <c r="E792" s="16" t="n">
        <f aca="false">IF(D792="","",D792*$B$15)</f>
        <v>1.98478183048921</v>
      </c>
      <c r="F792" s="16" t="n">
        <f aca="false" t="array" ref="F792:F792">IF(D792="","",IFERROR(INDEX(Dados_Evap!$C$2:$N$15,MATCH($B$9,Dados_Evap!$A$2:$A$15,0),C792),0))</f>
        <v>160</v>
      </c>
      <c r="G792" s="16" t="n">
        <f aca="false">IF(F792="","",F792/1000)</f>
        <v>0.16</v>
      </c>
      <c r="H792" s="16" t="n">
        <f aca="false">IF(D792="","",MAX(0,MIN($B$8,IFERROR(LOOKUP(2,1/($U$24:U791&lt;&gt;""),$U$24:U791),$B$11))))</f>
        <v>32.4812364314077</v>
      </c>
      <c r="I792" s="16" t="n">
        <f aca="false" t="array" ref="I792: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>5.49028378462196</v>
      </c>
      <c r="J792" s="16" t="n">
        <f aca="false">IF(D792="","",$B$12)</f>
        <v>0.35</v>
      </c>
      <c r="K792" s="16" t="n">
        <f aca="false">IF(J792="","",J792*$B$15)</f>
        <v>0.9072</v>
      </c>
      <c r="L792" s="16" t="n">
        <f aca="false">IF(D792="","",H792+E792-K792-G792*I792)</f>
        <v>32.6803728563574</v>
      </c>
      <c r="M792" s="16" t="n">
        <f aca="false" t="array" ref="M792: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>5.51097077245654</v>
      </c>
      <c r="N792" s="16" t="n">
        <f aca="false">IF(D792="","",(I792+M792)/2)</f>
        <v>5.50062727853925</v>
      </c>
      <c r="O792" s="16" t="n">
        <f aca="false">IF(D792="","",G792*N792)</f>
        <v>0.88010036456628</v>
      </c>
      <c r="P792" s="16" t="n">
        <f aca="false">IF(D792="","",H792+E792-K792-O792)</f>
        <v>32.6787178973306</v>
      </c>
      <c r="Q792" s="16" t="n">
        <f aca="false">IF(D792="","",IF(P792&gt;=0,K792,MAX(0,K792+P792)))</f>
        <v>0.9072</v>
      </c>
      <c r="R792" s="16" t="n">
        <f aca="false">IF(D792="","",Q792/$B$15)</f>
        <v>0.35</v>
      </c>
      <c r="S792" s="16" t="n">
        <f aca="false">IF(D792="","",MAX(0,J792-R792))</f>
        <v>0</v>
      </c>
      <c r="T792" s="16" t="n">
        <f aca="false">IF(D792="","",MAX(0,Z792-$B$8))</f>
        <v>0</v>
      </c>
      <c r="U792" s="16" t="n">
        <f aca="false">IF(D792="","",MAX(0,MIN($B$8,Z792)))</f>
        <v>32.6787178973306</v>
      </c>
      <c r="V792" s="16" t="str">
        <f aca="false">IF(D792="","",IF(S792&gt;0.0000001,"Sim","Não"))</f>
        <v>Não</v>
      </c>
      <c r="W792" s="16" t="n">
        <f aca="false">IF(D792="","",U792-(H792+E792-Q792-O792-T792))</f>
        <v>0</v>
      </c>
      <c r="X792" s="16" t="n">
        <f aca="false">IF(W792="","",ABS(W792))</f>
        <v>0</v>
      </c>
      <c r="Y792" s="16" t="n">
        <f aca="false">IF(U792="","",IF($B$8=0,0,U792/$B$8*100))</f>
        <v>69.2052475589382</v>
      </c>
      <c r="Z792" s="18" t="n">
        <f aca="false">IF(D792="","",MAX(0,IF(P792&gt;=0,P792,IF(K792+P792&gt;=0,0,P792+K792))))</f>
        <v>32.6787178973306</v>
      </c>
      <c r="AA792" s="18" t="n">
        <f aca="false">IF(D792="","",IF(H792&lt;=$B$16,1,IF(H792&gt;=$B$17,$B$21,MATCH(H792,Aux_CAV!$A$2:$A$121,1))))</f>
        <v>12</v>
      </c>
      <c r="AB792" s="18" t="n">
        <f aca="false">IF(D792="","",IF(L792&lt;=$B$16,1,IF(L792&gt;=$B$17,$B$21,MATCH(L792,Aux_CAV!$A$2:$A$121,1))))</f>
        <v>12</v>
      </c>
      <c r="AC792" s="19" t="n">
        <f aca="false">IF(D792="","",COUNT($D$24:D792))</f>
        <v>757</v>
      </c>
    </row>
    <row r="793" customFormat="false" ht="12.75" hidden="false" customHeight="true" outlineLevel="0" collapsed="false">
      <c r="A793" s="14" t="n">
        <f aca="false">IF(D793="","",DATE(B793,C793,1))</f>
        <v>27061</v>
      </c>
      <c r="B793" s="15" t="n">
        <f aca="false" t="array" ref="B793:B793">IF(D793="","",IFERROR(VALUE(INDEX(Vazoes_COLAR!$A$2:$A$200,INT((ROW()-24)/12)+1)),""))</f>
        <v>1974</v>
      </c>
      <c r="C793" s="15" t="n">
        <f aca="false">IF(D793="","",MOD(ROW()-24,12)+1)</f>
        <v>2</v>
      </c>
      <c r="D793" s="16" t="n">
        <f aca="false" t="array" ref="D793: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4.82110296307914</v>
      </c>
      <c r="E793" s="16" t="n">
        <f aca="false">IF(D793="","",D793*$B$15)</f>
        <v>12.4962988803011</v>
      </c>
      <c r="F793" s="16" t="n">
        <f aca="false" t="array" ref="F793:F793">IF(D793="","",IFERROR(INDEX(Dados_Evap!$C$2:$N$15,MATCH($B$9,Dados_Evap!$A$2:$A$15,0),C793),0))</f>
        <v>124.3</v>
      </c>
      <c r="G793" s="16" t="n">
        <f aca="false">IF(F793="","",F793/1000)</f>
        <v>0.1243</v>
      </c>
      <c r="H793" s="16" t="n">
        <f aca="false">IF(D793="","",MAX(0,MIN($B$8,IFERROR(LOOKUP(2,1/($U$24:U792&lt;&gt;""),$U$24:U792),$B$11))))</f>
        <v>32.6787178973306</v>
      </c>
      <c r="I793" s="16" t="n">
        <f aca="false" t="array" ref="I793: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>5.51079884952852</v>
      </c>
      <c r="J793" s="16" t="n">
        <f aca="false">IF(D793="","",$B$12)</f>
        <v>0.35</v>
      </c>
      <c r="K793" s="16" t="n">
        <f aca="false">IF(J793="","",J793*$B$15)</f>
        <v>0.9072</v>
      </c>
      <c r="L793" s="16" t="n">
        <f aca="false">IF(D793="","",H793+E793-K793-G793*I793)</f>
        <v>43.5828244806353</v>
      </c>
      <c r="M793" s="16" t="n">
        <f aca="false" t="array" ref="M793: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>6.60685433100683</v>
      </c>
      <c r="N793" s="16" t="n">
        <f aca="false">IF(D793="","",(I793+M793)/2)</f>
        <v>6.05882659026768</v>
      </c>
      <c r="O793" s="16" t="n">
        <f aca="false">IF(D793="","",G793*N793)</f>
        <v>0.753112145170272</v>
      </c>
      <c r="P793" s="16" t="n">
        <f aca="false">IF(D793="","",H793+E793-K793-O793)</f>
        <v>43.5147046324615</v>
      </c>
      <c r="Q793" s="16" t="n">
        <f aca="false">IF(D793="","",IF(P793&gt;=0,K793,MAX(0,K793+P793)))</f>
        <v>0.9072</v>
      </c>
      <c r="R793" s="16" t="n">
        <f aca="false">IF(D793="","",Q793/$B$15)</f>
        <v>0.35</v>
      </c>
      <c r="S793" s="16" t="n">
        <f aca="false">IF(D793="","",MAX(0,J793-R793))</f>
        <v>0</v>
      </c>
      <c r="T793" s="16" t="n">
        <f aca="false">IF(D793="","",MAX(0,Z793-$B$8))</f>
        <v>0</v>
      </c>
      <c r="U793" s="16" t="n">
        <f aca="false">IF(D793="","",MAX(0,MIN($B$8,Z793)))</f>
        <v>43.5147046324615</v>
      </c>
      <c r="V793" s="16" t="str">
        <f aca="false">IF(D793="","",IF(S793&gt;0.0000001,"Sim","Não"))</f>
        <v>Não</v>
      </c>
      <c r="W793" s="16" t="n">
        <f aca="false">IF(D793="","",U793-(H793+E793-Q793-O793-T793))</f>
        <v>0</v>
      </c>
      <c r="X793" s="16" t="n">
        <f aca="false">IF(W793="","",ABS(W793))</f>
        <v>0</v>
      </c>
      <c r="Y793" s="16" t="n">
        <f aca="false">IF(U793="","",IF($B$8=0,0,U793/$B$8*100))</f>
        <v>92.1531228980548</v>
      </c>
      <c r="Z793" s="18" t="n">
        <f aca="false">IF(D793="","",MAX(0,IF(P793&gt;=0,P793,IF(K793+P793&gt;=0,0,P793+K793))))</f>
        <v>43.5147046324615</v>
      </c>
      <c r="AA793" s="18" t="n">
        <f aca="false">IF(D793="","",IF(H793&lt;=$B$16,1,IF(H793&gt;=$B$17,$B$21,MATCH(H793,Aux_CAV!$A$2:$A$121,1))))</f>
        <v>12</v>
      </c>
      <c r="AB793" s="18" t="n">
        <f aca="false">IF(D793="","",IF(L793&lt;=$B$16,1,IF(L793&gt;=$B$17,$B$21,MATCH(L793,Aux_CAV!$A$2:$A$121,1))))</f>
        <v>13</v>
      </c>
      <c r="AC793" s="19" t="n">
        <f aca="false">IF(D793="","",COUNT($D$24:D793))</f>
        <v>758</v>
      </c>
    </row>
    <row r="794" customFormat="false" ht="12.75" hidden="false" customHeight="true" outlineLevel="0" collapsed="false">
      <c r="A794" s="14" t="n">
        <f aca="false">IF(D794="","",DATE(B794,C794,1))</f>
        <v>27089</v>
      </c>
      <c r="B794" s="15" t="n">
        <f aca="false" t="array" ref="B794:B794">IF(D794="","",IFERROR(VALUE(INDEX(Vazoes_COLAR!$A$2:$A$200,INT((ROW()-24)/12)+1)),""))</f>
        <v>1974</v>
      </c>
      <c r="C794" s="15" t="n">
        <f aca="false">IF(D794="","",MOD(ROW()-24,12)+1)</f>
        <v>3</v>
      </c>
      <c r="D794" s="16" t="n">
        <f aca="false" t="array" ref="D794: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17.1911612455391</v>
      </c>
      <c r="E794" s="16" t="n">
        <f aca="false">IF(D794="","",D794*$B$15)</f>
        <v>44.5594899484373</v>
      </c>
      <c r="F794" s="16" t="n">
        <f aca="false" t="array" ref="F794:F794">IF(D794="","",IFERROR(INDEX(Dados_Evap!$C$2:$N$15,MATCH($B$9,Dados_Evap!$A$2:$A$15,0),C794),0))</f>
        <v>107.7</v>
      </c>
      <c r="G794" s="16" t="n">
        <f aca="false">IF(F794="","",F794/1000)</f>
        <v>0.1077</v>
      </c>
      <c r="H794" s="16" t="n">
        <f aca="false">IF(D794="","",MAX(0,MIN($B$8,IFERROR(LOOKUP(2,1/($U$24:U793&lt;&gt;""),$U$24:U793),$B$11))))</f>
        <v>43.5147046324615</v>
      </c>
      <c r="I794" s="16" t="n">
        <f aca="false" t="array" ref="I794: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>6.60005305685739</v>
      </c>
      <c r="J794" s="16" t="n">
        <f aca="false">IF(D794="","",$B$12)</f>
        <v>0.35</v>
      </c>
      <c r="K794" s="16" t="n">
        <f aca="false">IF(J794="","",J794*$B$15)</f>
        <v>0.9072</v>
      </c>
      <c r="L794" s="16" t="n">
        <f aca="false">IF(D794="","",H794+E794-K794-G794*I794)</f>
        <v>86.4561688666753</v>
      </c>
      <c r="M794" s="16" t="n">
        <f aca="false" t="array" ref="M794: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>10.96</v>
      </c>
      <c r="N794" s="16" t="n">
        <f aca="false">IF(D794="","",(I794+M794)/2)</f>
        <v>8.7800265284287</v>
      </c>
      <c r="O794" s="16" t="n">
        <f aca="false">IF(D794="","",G794*N794)</f>
        <v>0.945608857111771</v>
      </c>
      <c r="P794" s="16" t="n">
        <f aca="false">IF(D794="","",H794+E794-K794-O794)</f>
        <v>86.221385723787</v>
      </c>
      <c r="Q794" s="16" t="n">
        <f aca="false">IF(D794="","",IF(P794&gt;=0,K794,MAX(0,K794+P794)))</f>
        <v>0.9072</v>
      </c>
      <c r="R794" s="16" t="n">
        <f aca="false">IF(D794="","",Q794/$B$15)</f>
        <v>0.35</v>
      </c>
      <c r="S794" s="16" t="n">
        <f aca="false">IF(D794="","",MAX(0,J794-R794))</f>
        <v>0</v>
      </c>
      <c r="T794" s="16" t="n">
        <f aca="false">IF(D794="","",MAX(0,Z794-$B$8))</f>
        <v>39.001385723787</v>
      </c>
      <c r="U794" s="16" t="n">
        <f aca="false">IF(D794="","",MAX(0,MIN($B$8,Z794)))</f>
        <v>47.22</v>
      </c>
      <c r="V794" s="16" t="str">
        <f aca="false">IF(D794="","",IF(S794&gt;0.0000001,"Sim","Não"))</f>
        <v>Não</v>
      </c>
      <c r="W794" s="16" t="n">
        <f aca="false">IF(D794="","",U794-(H794+E794-Q794-O794-T794))</f>
        <v>0</v>
      </c>
      <c r="X794" s="16" t="n">
        <f aca="false">IF(W794="","",ABS(W794))</f>
        <v>0</v>
      </c>
      <c r="Y794" s="16" t="n">
        <f aca="false">IF(U794="","",IF($B$8=0,0,U794/$B$8*100))</f>
        <v>100</v>
      </c>
      <c r="Z794" s="18" t="n">
        <f aca="false">IF(D794="","",MAX(0,IF(P794&gt;=0,P794,IF(K794+P794&gt;=0,0,P794+K794))))</f>
        <v>86.221385723787</v>
      </c>
      <c r="AA794" s="18" t="n">
        <f aca="false">IF(D794="","",IF(H794&lt;=$B$16,1,IF(H794&gt;=$B$17,$B$21,MATCH(H794,Aux_CAV!$A$2:$A$121,1))))</f>
        <v>13</v>
      </c>
      <c r="AB794" s="18" t="n">
        <f aca="false">IF(D794="","",IF(L794&lt;=$B$16,1,IF(L794&gt;=$B$17,$B$21,MATCH(L794,Aux_CAV!$A$2:$A$121,1))))</f>
        <v>18</v>
      </c>
      <c r="AC794" s="19" t="n">
        <f aca="false">IF(D794="","",COUNT($D$24:D794))</f>
        <v>759</v>
      </c>
    </row>
    <row r="795" customFormat="false" ht="12.75" hidden="false" customHeight="true" outlineLevel="0" collapsed="false">
      <c r="A795" s="14" t="n">
        <f aca="false">IF(D795="","",DATE(B795,C795,1))</f>
        <v>27120</v>
      </c>
      <c r="B795" s="15" t="n">
        <f aca="false" t="array" ref="B795:B795">IF(D795="","",IFERROR(VALUE(INDEX(Vazoes_COLAR!$A$2:$A$200,INT((ROW()-24)/12)+1)),""))</f>
        <v>1974</v>
      </c>
      <c r="C795" s="15" t="n">
        <f aca="false">IF(D795="","",MOD(ROW()-24,12)+1)</f>
        <v>4</v>
      </c>
      <c r="D795" s="16" t="n">
        <f aca="false" t="array" ref="D795: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37.3875957486776</v>
      </c>
      <c r="E795" s="16" t="n">
        <f aca="false">IF(D795="","",D795*$B$15)</f>
        <v>96.9086481805723</v>
      </c>
      <c r="F795" s="16" t="n">
        <f aca="false" t="array" ref="F795:F795">IF(D795="","",IFERROR(INDEX(Dados_Evap!$C$2:$N$15,MATCH($B$9,Dados_Evap!$A$2:$A$15,0),C795),0))</f>
        <v>100.5</v>
      </c>
      <c r="G795" s="16" t="n">
        <f aca="false">IF(F795="","",F795/1000)</f>
        <v>0.1005</v>
      </c>
      <c r="H795" s="16" t="n">
        <f aca="false">IF(D795="","",MAX(0,MIN($B$8,IFERROR(LOOKUP(2,1/($U$24:U794&lt;&gt;""),$U$24:U794),$B$11))))</f>
        <v>47.22</v>
      </c>
      <c r="I795" s="16" t="n">
        <f aca="false" t="array" ref="I795: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>6.97</v>
      </c>
      <c r="J795" s="16" t="n">
        <f aca="false">IF(D795="","",$B$12)</f>
        <v>0.35</v>
      </c>
      <c r="K795" s="16" t="n">
        <f aca="false">IF(J795="","",J795*$B$15)</f>
        <v>0.9072</v>
      </c>
      <c r="L795" s="16" t="n">
        <f aca="false">IF(D795="","",H795+E795-K795-G795*I795)</f>
        <v>142.520963180572</v>
      </c>
      <c r="M795" s="16" t="n">
        <f aca="false" t="array" ref="M795: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>10.96</v>
      </c>
      <c r="N795" s="16" t="n">
        <f aca="false">IF(D795="","",(I795+M795)/2)</f>
        <v>8.965</v>
      </c>
      <c r="O795" s="16" t="n">
        <f aca="false">IF(D795="","",G795*N795)</f>
        <v>0.9009825</v>
      </c>
      <c r="P795" s="16" t="n">
        <f aca="false">IF(D795="","",H795+E795-K795-O795)</f>
        <v>142.320465680572</v>
      </c>
      <c r="Q795" s="16" t="n">
        <f aca="false">IF(D795="","",IF(P795&gt;=0,K795,MAX(0,K795+P795)))</f>
        <v>0.9072</v>
      </c>
      <c r="R795" s="16" t="n">
        <f aca="false">IF(D795="","",Q795/$B$15)</f>
        <v>0.35</v>
      </c>
      <c r="S795" s="16" t="n">
        <f aca="false">IF(D795="","",MAX(0,J795-R795))</f>
        <v>0</v>
      </c>
      <c r="T795" s="16" t="n">
        <f aca="false">IF(D795="","",MAX(0,Z795-$B$8))</f>
        <v>95.1004656805723</v>
      </c>
      <c r="U795" s="16" t="n">
        <f aca="false">IF(D795="","",MAX(0,MIN($B$8,Z795)))</f>
        <v>47.22</v>
      </c>
      <c r="V795" s="16" t="str">
        <f aca="false">IF(D795="","",IF(S795&gt;0.0000001,"Sim","Não"))</f>
        <v>Não</v>
      </c>
      <c r="W795" s="16" t="n">
        <f aca="false">IF(D795="","",U795-(H795+E795-Q795-O795-T795))</f>
        <v>0</v>
      </c>
      <c r="X795" s="16" t="n">
        <f aca="false">IF(W795="","",ABS(W795))</f>
        <v>0</v>
      </c>
      <c r="Y795" s="16" t="n">
        <f aca="false">IF(U795="","",IF($B$8=0,0,U795/$B$8*100))</f>
        <v>100</v>
      </c>
      <c r="Z795" s="18" t="n">
        <f aca="false">IF(D795="","",MAX(0,IF(P795&gt;=0,P795,IF(K795+P795&gt;=0,0,P795+K795))))</f>
        <v>142.320465680572</v>
      </c>
      <c r="AA795" s="18" t="n">
        <f aca="false">IF(D795="","",IF(H795&lt;=$B$16,1,IF(H795&gt;=$B$17,$B$21,MATCH(H795,Aux_CAV!$A$2:$A$121,1))))</f>
        <v>14</v>
      </c>
      <c r="AB795" s="18" t="n">
        <f aca="false">IF(D795="","",IF(L795&lt;=$B$16,1,IF(L795&gt;=$B$17,$B$21,MATCH(L795,Aux_CAV!$A$2:$A$121,1))))</f>
        <v>18</v>
      </c>
      <c r="AC795" s="19" t="n">
        <f aca="false">IF(D795="","",COUNT($D$24:D795))</f>
        <v>760</v>
      </c>
    </row>
    <row r="796" customFormat="false" ht="12.75" hidden="false" customHeight="true" outlineLevel="0" collapsed="false">
      <c r="A796" s="14" t="n">
        <f aca="false">IF(D796="","",DATE(B796,C796,1))</f>
        <v>27150</v>
      </c>
      <c r="B796" s="15" t="n">
        <f aca="false" t="array" ref="B796:B796">IF(D796="","",IFERROR(VALUE(INDEX(Vazoes_COLAR!$A$2:$A$200,INT((ROW()-24)/12)+1)),""))</f>
        <v>1974</v>
      </c>
      <c r="C796" s="15" t="n">
        <f aca="false">IF(D796="","",MOD(ROW()-24,12)+1)</f>
        <v>5</v>
      </c>
      <c r="D796" s="16" t="n">
        <f aca="false" t="array" ref="D796: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4.54243152126272</v>
      </c>
      <c r="E796" s="16" t="n">
        <f aca="false">IF(D796="","",D796*$B$15)</f>
        <v>11.773982503113</v>
      </c>
      <c r="F796" s="16" t="n">
        <f aca="false" t="array" ref="F796:F796">IF(D796="","",IFERROR(INDEX(Dados_Evap!$C$2:$N$15,MATCH($B$9,Dados_Evap!$A$2:$A$15,0),C796),0))</f>
        <v>145.8</v>
      </c>
      <c r="G796" s="16" t="n">
        <f aca="false">IF(F796="","",F796/1000)</f>
        <v>0.1458</v>
      </c>
      <c r="H796" s="16" t="n">
        <f aca="false">IF(D796="","",MAX(0,MIN($B$8,IFERROR(LOOKUP(2,1/($U$24:U795&lt;&gt;""),$U$24:U795),$B$11))))</f>
        <v>47.22</v>
      </c>
      <c r="I796" s="16" t="n">
        <f aca="false" t="array" ref="I796: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>6.97</v>
      </c>
      <c r="J796" s="16" t="n">
        <f aca="false">IF(D796="","",$B$12)</f>
        <v>0.35</v>
      </c>
      <c r="K796" s="16" t="n">
        <f aca="false">IF(J796="","",J796*$B$15)</f>
        <v>0.9072</v>
      </c>
      <c r="L796" s="16" t="n">
        <f aca="false">IF(D796="","",H796+E796-K796-G796*I796)</f>
        <v>57.070556503113</v>
      </c>
      <c r="M796" s="16" t="n">
        <f aca="false" t="array" ref="M796: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>8.14587842419494</v>
      </c>
      <c r="N796" s="16" t="n">
        <f aca="false">IF(D796="","",(I796+M796)/2)</f>
        <v>7.55793921209747</v>
      </c>
      <c r="O796" s="16" t="n">
        <f aca="false">IF(D796="","",G796*N796)</f>
        <v>1.10194753712381</v>
      </c>
      <c r="P796" s="16" t="n">
        <f aca="false">IF(D796="","",H796+E796-K796-O796)</f>
        <v>56.9848349659892</v>
      </c>
      <c r="Q796" s="16" t="n">
        <f aca="false">IF(D796="","",IF(P796&gt;=0,K796,MAX(0,K796+P796)))</f>
        <v>0.9072</v>
      </c>
      <c r="R796" s="16" t="n">
        <f aca="false">IF(D796="","",Q796/$B$15)</f>
        <v>0.35</v>
      </c>
      <c r="S796" s="16" t="n">
        <f aca="false">IF(D796="","",MAX(0,J796-R796))</f>
        <v>0</v>
      </c>
      <c r="T796" s="16" t="n">
        <f aca="false">IF(D796="","",MAX(0,Z796-$B$8))</f>
        <v>9.76483496598915</v>
      </c>
      <c r="U796" s="16" t="n">
        <f aca="false">IF(D796="","",MAX(0,MIN($B$8,Z796)))</f>
        <v>47.22</v>
      </c>
      <c r="V796" s="16" t="str">
        <f aca="false">IF(D796="","",IF(S796&gt;0.0000001,"Sim","Não"))</f>
        <v>Não</v>
      </c>
      <c r="W796" s="16" t="n">
        <f aca="false">IF(D796="","",U796-(H796+E796-Q796-O796-T796))</f>
        <v>0</v>
      </c>
      <c r="X796" s="16" t="n">
        <f aca="false">IF(W796="","",ABS(W796))</f>
        <v>0</v>
      </c>
      <c r="Y796" s="16" t="n">
        <f aca="false">IF(U796="","",IF($B$8=0,0,U796/$B$8*100))</f>
        <v>100</v>
      </c>
      <c r="Z796" s="18" t="n">
        <f aca="false">IF(D796="","",MAX(0,IF(P796&gt;=0,P796,IF(K796+P796&gt;=0,0,P796+K796))))</f>
        <v>56.9848349659892</v>
      </c>
      <c r="AA796" s="18" t="n">
        <f aca="false">IF(D796="","",IF(H796&lt;=$B$16,1,IF(H796&gt;=$B$17,$B$21,MATCH(H796,Aux_CAV!$A$2:$A$121,1))))</f>
        <v>14</v>
      </c>
      <c r="AB796" s="18" t="n">
        <f aca="false">IF(D796="","",IF(L796&lt;=$B$16,1,IF(L796&gt;=$B$17,$B$21,MATCH(L796,Aux_CAV!$A$2:$A$121,1))))</f>
        <v>15</v>
      </c>
      <c r="AC796" s="19" t="n">
        <f aca="false">IF(D796="","",COUNT($D$24:D796))</f>
        <v>761</v>
      </c>
    </row>
    <row r="797" customFormat="false" ht="12.75" hidden="false" customHeight="true" outlineLevel="0" collapsed="false">
      <c r="A797" s="14" t="n">
        <f aca="false">IF(D797="","",DATE(B797,C797,1))</f>
        <v>27181</v>
      </c>
      <c r="B797" s="15" t="n">
        <f aca="false" t="array" ref="B797:B797">IF(D797="","",IFERROR(VALUE(INDEX(Vazoes_COLAR!$A$2:$A$200,INT((ROW()-24)/12)+1)),""))</f>
        <v>1974</v>
      </c>
      <c r="C797" s="15" t="n">
        <f aca="false">IF(D797="","",MOD(ROW()-24,12)+1)</f>
        <v>6</v>
      </c>
      <c r="D797" s="16" t="n">
        <f aca="false" t="array" ref="D797: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0.607763799722828</v>
      </c>
      <c r="E797" s="16" t="n">
        <f aca="false">IF(D797="","",D797*$B$15)</f>
        <v>1.57532376888157</v>
      </c>
      <c r="F797" s="16" t="n">
        <f aca="false" t="array" ref="F797:F797">IF(D797="","",IFERROR(INDEX(Dados_Evap!$C$2:$N$15,MATCH($B$9,Dados_Evap!$A$2:$A$15,0),C797),0))</f>
        <v>161.3</v>
      </c>
      <c r="G797" s="16" t="n">
        <f aca="false">IF(F797="","",F797/1000)</f>
        <v>0.1613</v>
      </c>
      <c r="H797" s="16" t="n">
        <f aca="false">IF(D797="","",MAX(0,MIN($B$8,IFERROR(LOOKUP(2,1/($U$24:U796&lt;&gt;""),$U$24:U796),$B$11))))</f>
        <v>47.22</v>
      </c>
      <c r="I797" s="16" t="n">
        <f aca="false" t="array" ref="I797: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>6.97</v>
      </c>
      <c r="J797" s="16" t="n">
        <f aca="false">IF(D797="","",$B$12)</f>
        <v>0.35</v>
      </c>
      <c r="K797" s="16" t="n">
        <f aca="false">IF(J797="","",J797*$B$15)</f>
        <v>0.9072</v>
      </c>
      <c r="L797" s="16" t="n">
        <f aca="false">IF(D797="","",H797+E797-K797-G797*I797)</f>
        <v>46.7638627688816</v>
      </c>
      <c r="M797" s="16" t="n">
        <f aca="false" t="array" ref="M797: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>6.92445799657858</v>
      </c>
      <c r="N797" s="16" t="n">
        <f aca="false">IF(D797="","",(I797+M797)/2)</f>
        <v>6.94722899828929</v>
      </c>
      <c r="O797" s="16" t="n">
        <f aca="false">IF(D797="","",G797*N797)</f>
        <v>1.12058803742406</v>
      </c>
      <c r="P797" s="16" t="n">
        <f aca="false">IF(D797="","",H797+E797-K797-O797)</f>
        <v>46.7675357314575</v>
      </c>
      <c r="Q797" s="16" t="n">
        <f aca="false">IF(D797="","",IF(P797&gt;=0,K797,MAX(0,K797+P797)))</f>
        <v>0.9072</v>
      </c>
      <c r="R797" s="16" t="n">
        <f aca="false">IF(D797="","",Q797/$B$15)</f>
        <v>0.35</v>
      </c>
      <c r="S797" s="16" t="n">
        <f aca="false">IF(D797="","",MAX(0,J797-R797))</f>
        <v>0</v>
      </c>
      <c r="T797" s="16" t="n">
        <f aca="false">IF(D797="","",MAX(0,Z797-$B$8))</f>
        <v>0</v>
      </c>
      <c r="U797" s="16" t="n">
        <f aca="false">IF(D797="","",MAX(0,MIN($B$8,Z797)))</f>
        <v>46.7675357314575</v>
      </c>
      <c r="V797" s="16" t="str">
        <f aca="false">IF(D797="","",IF(S797&gt;0.0000001,"Sim","Não"))</f>
        <v>Não</v>
      </c>
      <c r="W797" s="16" t="n">
        <f aca="false">IF(D797="","",U797-(H797+E797-Q797-O797-T797))</f>
        <v>0</v>
      </c>
      <c r="X797" s="16" t="n">
        <f aca="false">IF(W797="","",ABS(W797))</f>
        <v>0</v>
      </c>
      <c r="Y797" s="16" t="n">
        <f aca="false">IF(U797="","",IF($B$8=0,0,U797/$B$8*100))</f>
        <v>99.0417952805114</v>
      </c>
      <c r="Z797" s="18" t="n">
        <f aca="false">IF(D797="","",MAX(0,IF(P797&gt;=0,P797,IF(K797+P797&gt;=0,0,P797+K797))))</f>
        <v>46.7675357314575</v>
      </c>
      <c r="AA797" s="18" t="n">
        <f aca="false">IF(D797="","",IF(H797&lt;=$B$16,1,IF(H797&gt;=$B$17,$B$21,MATCH(H797,Aux_CAV!$A$2:$A$121,1))))</f>
        <v>14</v>
      </c>
      <c r="AB797" s="18" t="n">
        <f aca="false">IF(D797="","",IF(L797&lt;=$B$16,1,IF(L797&gt;=$B$17,$B$21,MATCH(L797,Aux_CAV!$A$2:$A$121,1))))</f>
        <v>13</v>
      </c>
      <c r="AC797" s="19" t="n">
        <f aca="false">IF(D797="","",COUNT($D$24:D797))</f>
        <v>762</v>
      </c>
    </row>
    <row r="798" customFormat="false" ht="12.75" hidden="false" customHeight="true" outlineLevel="0" collapsed="false">
      <c r="A798" s="14" t="n">
        <f aca="false">IF(D798="","",DATE(B798,C798,1))</f>
        <v>27211</v>
      </c>
      <c r="B798" s="15" t="n">
        <f aca="false" t="array" ref="B798:B798">IF(D798="","",IFERROR(VALUE(INDEX(Vazoes_COLAR!$A$2:$A$200,INT((ROW()-24)/12)+1)),""))</f>
        <v>1974</v>
      </c>
      <c r="C798" s="15" t="n">
        <f aca="false">IF(D798="","",MOD(ROW()-24,12)+1)</f>
        <v>7</v>
      </c>
      <c r="D798" s="16" t="n">
        <f aca="false" t="array" ref="D798: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0.149258859406489</v>
      </c>
      <c r="E798" s="16" t="n">
        <f aca="false">IF(D798="","",D798*$B$15)</f>
        <v>0.38687896358162</v>
      </c>
      <c r="F798" s="16" t="n">
        <f aca="false" t="array" ref="F798:F798">IF(D798="","",IFERROR(INDEX(Dados_Evap!$C$2:$N$15,MATCH($B$9,Dados_Evap!$A$2:$A$15,0),C798),0))</f>
        <v>224.8</v>
      </c>
      <c r="G798" s="16" t="n">
        <f aca="false">IF(F798="","",F798/1000)</f>
        <v>0.2248</v>
      </c>
      <c r="H798" s="16" t="n">
        <f aca="false">IF(D798="","",MAX(0,MIN($B$8,IFERROR(LOOKUP(2,1/($U$24:U797&lt;&gt;""),$U$24:U797),$B$11))))</f>
        <v>46.7675357314575</v>
      </c>
      <c r="I798" s="16" t="n">
        <f aca="false" t="array" ref="I798: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>6.92482471532634</v>
      </c>
      <c r="J798" s="16" t="n">
        <f aca="false">IF(D798="","",$B$12)</f>
        <v>0.35</v>
      </c>
      <c r="K798" s="16" t="n">
        <f aca="false">IF(J798="","",J798*$B$15)</f>
        <v>0.9072</v>
      </c>
      <c r="L798" s="16" t="n">
        <f aca="false">IF(D798="","",H798+E798-K798-G798*I798)</f>
        <v>44.6905140990338</v>
      </c>
      <c r="M798" s="16" t="n">
        <f aca="false" t="array" ref="M798: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>6.71744912781233</v>
      </c>
      <c r="N798" s="16" t="n">
        <f aca="false">IF(D798="","",(I798+M798)/2)</f>
        <v>6.82113692156934</v>
      </c>
      <c r="O798" s="16" t="n">
        <f aca="false">IF(D798="","",G798*N798)</f>
        <v>1.53339157996879</v>
      </c>
      <c r="P798" s="16" t="n">
        <f aca="false">IF(D798="","",H798+E798-K798-O798)</f>
        <v>44.7138231150703</v>
      </c>
      <c r="Q798" s="16" t="n">
        <f aca="false">IF(D798="","",IF(P798&gt;=0,K798,MAX(0,K798+P798)))</f>
        <v>0.9072</v>
      </c>
      <c r="R798" s="16" t="n">
        <f aca="false">IF(D798="","",Q798/$B$15)</f>
        <v>0.35</v>
      </c>
      <c r="S798" s="16" t="n">
        <f aca="false">IF(D798="","",MAX(0,J798-R798))</f>
        <v>0</v>
      </c>
      <c r="T798" s="16" t="n">
        <f aca="false">IF(D798="","",MAX(0,Z798-$B$8))</f>
        <v>0</v>
      </c>
      <c r="U798" s="16" t="n">
        <f aca="false">IF(D798="","",MAX(0,MIN($B$8,Z798)))</f>
        <v>44.7138231150703</v>
      </c>
      <c r="V798" s="16" t="str">
        <f aca="false">IF(D798="","",IF(S798&gt;0.0000001,"Sim","Não"))</f>
        <v>Não</v>
      </c>
      <c r="W798" s="16" t="n">
        <f aca="false">IF(D798="","",U798-(H798+E798-Q798-O798-T798))</f>
        <v>0</v>
      </c>
      <c r="X798" s="16" t="n">
        <f aca="false">IF(W798="","",ABS(W798))</f>
        <v>0</v>
      </c>
      <c r="Y798" s="16" t="n">
        <f aca="false">IF(U798="","",IF($B$8=0,0,U798/$B$8*100))</f>
        <v>94.6925521284844</v>
      </c>
      <c r="Z798" s="18" t="n">
        <f aca="false">IF(D798="","",MAX(0,IF(P798&gt;=0,P798,IF(K798+P798&gt;=0,0,P798+K798))))</f>
        <v>44.7138231150703</v>
      </c>
      <c r="AA798" s="18" t="n">
        <f aca="false">IF(D798="","",IF(H798&lt;=$B$16,1,IF(H798&gt;=$B$17,$B$21,MATCH(H798,Aux_CAV!$A$2:$A$121,1))))</f>
        <v>13</v>
      </c>
      <c r="AB798" s="18" t="n">
        <f aca="false">IF(D798="","",IF(L798&lt;=$B$16,1,IF(L798&gt;=$B$17,$B$21,MATCH(L798,Aux_CAV!$A$2:$A$121,1))))</f>
        <v>13</v>
      </c>
      <c r="AC798" s="19" t="n">
        <f aca="false">IF(D798="","",COUNT($D$24:D798))</f>
        <v>763</v>
      </c>
    </row>
    <row r="799" customFormat="false" ht="12.75" hidden="false" customHeight="true" outlineLevel="0" collapsed="false">
      <c r="A799" s="14" t="n">
        <f aca="false">IF(D799="","",DATE(B799,C799,1))</f>
        <v>27242</v>
      </c>
      <c r="B799" s="15" t="n">
        <f aca="false" t="array" ref="B799:B799">IF(D799="","",IFERROR(VALUE(INDEX(Vazoes_COLAR!$A$2:$A$200,INT((ROW()-24)/12)+1)),""))</f>
        <v>1974</v>
      </c>
      <c r="C799" s="15" t="n">
        <f aca="false">IF(D799="","",MOD(ROW()-24,12)+1)</f>
        <v>8</v>
      </c>
      <c r="D799" s="16" t="n">
        <f aca="false" t="array" ref="D799: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0.0602731512423304</v>
      </c>
      <c r="E799" s="16" t="n">
        <f aca="false">IF(D799="","",D799*$B$15)</f>
        <v>0.15622800802012</v>
      </c>
      <c r="F799" s="16" t="n">
        <f aca="false" t="array" ref="F799:F799">IF(D799="","",IFERROR(INDEX(Dados_Evap!$C$2:$N$15,MATCH($B$9,Dados_Evap!$A$2:$A$15,0),C799),0))</f>
        <v>268.7</v>
      </c>
      <c r="G799" s="16" t="n">
        <f aca="false">IF(F799="","",F799/1000)</f>
        <v>0.2687</v>
      </c>
      <c r="H799" s="16" t="n">
        <f aca="false">IF(D799="","",MAX(0,MIN($B$8,IFERROR(LOOKUP(2,1/($U$24:U798&lt;&gt;""),$U$24:U798),$B$11))))</f>
        <v>44.7138231150703</v>
      </c>
      <c r="I799" s="16" t="n">
        <f aca="false" t="array" ref="I799: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>6.71977636447636</v>
      </c>
      <c r="J799" s="16" t="n">
        <f aca="false">IF(D799="","",$B$12)</f>
        <v>0.35</v>
      </c>
      <c r="K799" s="16" t="n">
        <f aca="false">IF(J799="","",J799*$B$15)</f>
        <v>0.9072</v>
      </c>
      <c r="L799" s="16" t="n">
        <f aca="false">IF(D799="","",H799+E799-K799-G799*I799)</f>
        <v>42.1572472139557</v>
      </c>
      <c r="M799" s="16" t="n">
        <f aca="false" t="array" ref="M799: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>6.46452075170784</v>
      </c>
      <c r="N799" s="16" t="n">
        <f aca="false">IF(D799="","",(I799+M799)/2)</f>
        <v>6.5921485580921</v>
      </c>
      <c r="O799" s="16" t="n">
        <f aca="false">IF(D799="","",G799*N799)</f>
        <v>1.77131031755935</v>
      </c>
      <c r="P799" s="16" t="n">
        <f aca="false">IF(D799="","",H799+E799-K799-O799)</f>
        <v>42.1915408055311</v>
      </c>
      <c r="Q799" s="16" t="n">
        <f aca="false">IF(D799="","",IF(P799&gt;=0,K799,MAX(0,K799+P799)))</f>
        <v>0.9072</v>
      </c>
      <c r="R799" s="16" t="n">
        <f aca="false">IF(D799="","",Q799/$B$15)</f>
        <v>0.35</v>
      </c>
      <c r="S799" s="16" t="n">
        <f aca="false">IF(D799="","",MAX(0,J799-R799))</f>
        <v>0</v>
      </c>
      <c r="T799" s="16" t="n">
        <f aca="false">IF(D799="","",MAX(0,Z799-$B$8))</f>
        <v>0</v>
      </c>
      <c r="U799" s="16" t="n">
        <f aca="false">IF(D799="","",MAX(0,MIN($B$8,Z799)))</f>
        <v>42.1915408055311</v>
      </c>
      <c r="V799" s="16" t="str">
        <f aca="false">IF(D799="","",IF(S799&gt;0.0000001,"Sim","Não"))</f>
        <v>Não</v>
      </c>
      <c r="W799" s="16" t="n">
        <f aca="false">IF(D799="","",U799-(H799+E799-Q799-O799-T799))</f>
        <v>0</v>
      </c>
      <c r="X799" s="16" t="n">
        <f aca="false">IF(W799="","",ABS(W799))</f>
        <v>0</v>
      </c>
      <c r="Y799" s="16" t="n">
        <f aca="false">IF(U799="","",IF($B$8=0,0,U799/$B$8*100))</f>
        <v>89.3509970468681</v>
      </c>
      <c r="Z799" s="18" t="n">
        <f aca="false">IF(D799="","",MAX(0,IF(P799&gt;=0,P799,IF(K799+P799&gt;=0,0,P799+K799))))</f>
        <v>42.1915408055311</v>
      </c>
      <c r="AA799" s="18" t="n">
        <f aca="false">IF(D799="","",IF(H799&lt;=$B$16,1,IF(H799&gt;=$B$17,$B$21,MATCH(H799,Aux_CAV!$A$2:$A$121,1))))</f>
        <v>13</v>
      </c>
      <c r="AB799" s="18" t="n">
        <f aca="false">IF(D799="","",IF(L799&lt;=$B$16,1,IF(L799&gt;=$B$17,$B$21,MATCH(L799,Aux_CAV!$A$2:$A$121,1))))</f>
        <v>13</v>
      </c>
      <c r="AC799" s="19" t="n">
        <f aca="false">IF(D799="","",COUNT($D$24:D799))</f>
        <v>764</v>
      </c>
    </row>
    <row r="800" customFormat="false" ht="12.75" hidden="false" customHeight="true" outlineLevel="0" collapsed="false">
      <c r="A800" s="14" t="n">
        <f aca="false">IF(D800="","",DATE(B800,C800,1))</f>
        <v>27273</v>
      </c>
      <c r="B800" s="15" t="n">
        <f aca="false" t="array" ref="B800:B800">IF(D800="","",IFERROR(VALUE(INDEX(Vazoes_COLAR!$A$2:$A$200,INT((ROW()-24)/12)+1)),""))</f>
        <v>1974</v>
      </c>
      <c r="C800" s="15" t="n">
        <f aca="false">IF(D800="","",MOD(ROW()-24,12)+1)</f>
        <v>9</v>
      </c>
      <c r="D800" s="16" t="n">
        <f aca="false" t="array" ref="D800: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0.138999254548613</v>
      </c>
      <c r="E800" s="16" t="n">
        <f aca="false">IF(D800="","",D800*$B$15)</f>
        <v>0.360286067790005</v>
      </c>
      <c r="F800" s="16" t="n">
        <f aca="false" t="array" ref="F800:F800">IF(D800="","",IFERROR(INDEX(Dados_Evap!$C$2:$N$15,MATCH($B$9,Dados_Evap!$A$2:$A$15,0),C800),0))</f>
        <v>292.8</v>
      </c>
      <c r="G800" s="16" t="n">
        <f aca="false">IF(F800="","",F800/1000)</f>
        <v>0.2928</v>
      </c>
      <c r="H800" s="16" t="n">
        <f aca="false">IF(D800="","",MAX(0,MIN($B$8,IFERROR(LOOKUP(2,1/($U$24:U799&lt;&gt;""),$U$24:U799),$B$11))))</f>
        <v>42.1915408055311</v>
      </c>
      <c r="I800" s="16" t="n">
        <f aca="false" t="array" ref="I800: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>6.46794471879124</v>
      </c>
      <c r="J800" s="16" t="n">
        <f aca="false">IF(D800="","",$B$12)</f>
        <v>0.35</v>
      </c>
      <c r="K800" s="16" t="n">
        <f aca="false">IF(J800="","",J800*$B$15)</f>
        <v>0.9072</v>
      </c>
      <c r="L800" s="16" t="n">
        <f aca="false">IF(D800="","",H800+E800-K800-G800*I800)</f>
        <v>39.750812659659</v>
      </c>
      <c r="M800" s="16" t="n">
        <f aca="false" t="array" ref="M800: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>6.22425566649111</v>
      </c>
      <c r="N800" s="16" t="n">
        <f aca="false">IF(D800="","",(I800+M800)/2)</f>
        <v>6.34610019264117</v>
      </c>
      <c r="O800" s="16" t="n">
        <f aca="false">IF(D800="","",G800*N800)</f>
        <v>1.85813813640534</v>
      </c>
      <c r="P800" s="16" t="n">
        <f aca="false">IF(D800="","",H800+E800-K800-O800)</f>
        <v>39.7864887369158</v>
      </c>
      <c r="Q800" s="16" t="n">
        <f aca="false">IF(D800="","",IF(P800&gt;=0,K800,MAX(0,K800+P800)))</f>
        <v>0.9072</v>
      </c>
      <c r="R800" s="16" t="n">
        <f aca="false">IF(D800="","",Q800/$B$15)</f>
        <v>0.35</v>
      </c>
      <c r="S800" s="16" t="n">
        <f aca="false">IF(D800="","",MAX(0,J800-R800))</f>
        <v>0</v>
      </c>
      <c r="T800" s="16" t="n">
        <f aca="false">IF(D800="","",MAX(0,Z800-$B$8))</f>
        <v>0</v>
      </c>
      <c r="U800" s="16" t="n">
        <f aca="false">IF(D800="","",MAX(0,MIN($B$8,Z800)))</f>
        <v>39.7864887369158</v>
      </c>
      <c r="V800" s="16" t="str">
        <f aca="false">IF(D800="","",IF(S800&gt;0.0000001,"Sim","Não"))</f>
        <v>Não</v>
      </c>
      <c r="W800" s="16" t="n">
        <f aca="false">IF(D800="","",U800-(H800+E800-Q800-O800-T800))</f>
        <v>0</v>
      </c>
      <c r="X800" s="16" t="n">
        <f aca="false">IF(W800="","",ABS(W800))</f>
        <v>0</v>
      </c>
      <c r="Y800" s="16" t="n">
        <f aca="false">IF(U800="","",IF($B$8=0,0,U800/$B$8*100))</f>
        <v>84.2577059231592</v>
      </c>
      <c r="Z800" s="18" t="n">
        <f aca="false">IF(D800="","",MAX(0,IF(P800&gt;=0,P800,IF(K800+P800&gt;=0,0,P800+K800))))</f>
        <v>39.7864887369158</v>
      </c>
      <c r="AA800" s="18" t="n">
        <f aca="false">IF(D800="","",IF(H800&lt;=$B$16,1,IF(H800&gt;=$B$17,$B$21,MATCH(H800,Aux_CAV!$A$2:$A$121,1))))</f>
        <v>13</v>
      </c>
      <c r="AB800" s="18" t="n">
        <f aca="false">IF(D800="","",IF(L800&lt;=$B$16,1,IF(L800&gt;=$B$17,$B$21,MATCH(L800,Aux_CAV!$A$2:$A$121,1))))</f>
        <v>13</v>
      </c>
      <c r="AC800" s="19" t="n">
        <f aca="false">IF(D800="","",COUNT($D$24:D800))</f>
        <v>765</v>
      </c>
    </row>
    <row r="801" customFormat="false" ht="12.75" hidden="false" customHeight="true" outlineLevel="0" collapsed="false">
      <c r="A801" s="14" t="n">
        <f aca="false">IF(D801="","",DATE(B801,C801,1))</f>
        <v>27303</v>
      </c>
      <c r="B801" s="15" t="n">
        <f aca="false" t="array" ref="B801:B801">IF(D801="","",IFERROR(VALUE(INDEX(Vazoes_COLAR!$A$2:$A$200,INT((ROW()-24)/12)+1)),""))</f>
        <v>1974</v>
      </c>
      <c r="C801" s="15" t="n">
        <f aca="false">IF(D801="","",MOD(ROW()-24,12)+1)</f>
        <v>10</v>
      </c>
      <c r="D801" s="16" t="n">
        <f aca="false" t="array" ref="D801: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0.106764249052594</v>
      </c>
      <c r="E801" s="16" t="n">
        <f aca="false">IF(D801="","",D801*$B$15)</f>
        <v>0.276732933544324</v>
      </c>
      <c r="F801" s="16" t="n">
        <f aca="false" t="array" ref="F801:F801">IF(D801="","",IFERROR(INDEX(Dados_Evap!$C$2:$N$15,MATCH($B$9,Dados_Evap!$A$2:$A$15,0),C801),0))</f>
        <v>262.9</v>
      </c>
      <c r="G801" s="16" t="n">
        <f aca="false">IF(F801="","",F801/1000)</f>
        <v>0.2629</v>
      </c>
      <c r="H801" s="16" t="n">
        <f aca="false">IF(D801="","",MAX(0,MIN($B$8,IFERROR(LOOKUP(2,1/($U$24:U800&lt;&gt;""),$U$24:U800),$B$11))))</f>
        <v>39.7864887369158</v>
      </c>
      <c r="I801" s="16" t="n">
        <f aca="false" t="array" ref="I801: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>6.22781766477068</v>
      </c>
      <c r="J801" s="16" t="n">
        <f aca="false">IF(D801="","",$B$12)</f>
        <v>0.35</v>
      </c>
      <c r="K801" s="16" t="n">
        <f aca="false">IF(J801="","",J801*$B$15)</f>
        <v>0.9072</v>
      </c>
      <c r="L801" s="16" t="n">
        <f aca="false">IF(D801="","",H801+E801-K801-G801*I801)</f>
        <v>37.5187284063919</v>
      </c>
      <c r="M801" s="16" t="n">
        <f aca="false" t="array" ref="M801: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>6.00139819780799</v>
      </c>
      <c r="N801" s="16" t="n">
        <f aca="false">IF(D801="","",(I801+M801)/2)</f>
        <v>6.11460793128934</v>
      </c>
      <c r="O801" s="16" t="n">
        <f aca="false">IF(D801="","",G801*N801)</f>
        <v>1.60753042513597</v>
      </c>
      <c r="P801" s="16" t="n">
        <f aca="false">IF(D801="","",H801+E801-K801-O801)</f>
        <v>37.5484912453241</v>
      </c>
      <c r="Q801" s="16" t="n">
        <f aca="false">IF(D801="","",IF(P801&gt;=0,K801,MAX(0,K801+P801)))</f>
        <v>0.9072</v>
      </c>
      <c r="R801" s="16" t="n">
        <f aca="false">IF(D801="","",Q801/$B$15)</f>
        <v>0.35</v>
      </c>
      <c r="S801" s="16" t="n">
        <f aca="false">IF(D801="","",MAX(0,J801-R801))</f>
        <v>0</v>
      </c>
      <c r="T801" s="16" t="n">
        <f aca="false">IF(D801="","",MAX(0,Z801-$B$8))</f>
        <v>0</v>
      </c>
      <c r="U801" s="16" t="n">
        <f aca="false">IF(D801="","",MAX(0,MIN($B$8,Z801)))</f>
        <v>37.5484912453241</v>
      </c>
      <c r="V801" s="16" t="str">
        <f aca="false">IF(D801="","",IF(S801&gt;0.0000001,"Sim","Não"))</f>
        <v>Não</v>
      </c>
      <c r="W801" s="16" t="n">
        <f aca="false">IF(D801="","",U801-(H801+E801-Q801-O801-T801))</f>
        <v>0</v>
      </c>
      <c r="X801" s="16" t="n">
        <f aca="false">IF(W801="","",ABS(W801))</f>
        <v>0</v>
      </c>
      <c r="Y801" s="16" t="n">
        <f aca="false">IF(U801="","",IF($B$8=0,0,U801/$B$8*100))</f>
        <v>79.5181940815843</v>
      </c>
      <c r="Z801" s="18" t="n">
        <f aca="false">IF(D801="","",MAX(0,IF(P801&gt;=0,P801,IF(K801+P801&gt;=0,0,P801+K801))))</f>
        <v>37.5484912453241</v>
      </c>
      <c r="AA801" s="18" t="n">
        <f aca="false">IF(D801="","",IF(H801&lt;=$B$16,1,IF(H801&gt;=$B$17,$B$21,MATCH(H801,Aux_CAV!$A$2:$A$121,1))))</f>
        <v>13</v>
      </c>
      <c r="AB801" s="18" t="n">
        <f aca="false">IF(D801="","",IF(L801&lt;=$B$16,1,IF(L801&gt;=$B$17,$B$21,MATCH(L801,Aux_CAV!$A$2:$A$121,1))))</f>
        <v>13</v>
      </c>
      <c r="AC801" s="19" t="n">
        <f aca="false">IF(D801="","",COUNT($D$24:D801))</f>
        <v>766</v>
      </c>
    </row>
    <row r="802" customFormat="false" ht="12.75" hidden="false" customHeight="true" outlineLevel="0" collapsed="false">
      <c r="A802" s="14" t="n">
        <f aca="false">IF(D802="","",DATE(B802,C802,1))</f>
        <v>27334</v>
      </c>
      <c r="B802" s="15" t="n">
        <f aca="false" t="array" ref="B802:B802">IF(D802="","",IFERROR(VALUE(INDEX(Vazoes_COLAR!$A$2:$A$200,INT((ROW()-24)/12)+1)),""))</f>
        <v>1974</v>
      </c>
      <c r="C802" s="15" t="n">
        <f aca="false">IF(D802="","",MOD(ROW()-24,12)+1)</f>
        <v>11</v>
      </c>
      <c r="D802" s="16" t="n">
        <f aca="false" t="array" ref="D802: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0.073116776625467</v>
      </c>
      <c r="E802" s="16" t="n">
        <f aca="false">IF(D802="","",D802*$B$15)</f>
        <v>0.18951868501321</v>
      </c>
      <c r="F802" s="16" t="n">
        <f aca="false" t="array" ref="F802:F802">IF(D802="","",IFERROR(INDEX(Dados_Evap!$C$2:$N$15,MATCH($B$9,Dados_Evap!$A$2:$A$15,0),C802),0))</f>
        <v>223.7</v>
      </c>
      <c r="G802" s="16" t="n">
        <f aca="false">IF(F802="","",F802/1000)</f>
        <v>0.2237</v>
      </c>
      <c r="H802" s="16" t="n">
        <f aca="false">IF(D802="","",MAX(0,MIN($B$8,IFERROR(LOOKUP(2,1/($U$24:U801&lt;&gt;""),$U$24:U801),$B$11))))</f>
        <v>37.5484912453241</v>
      </c>
      <c r="I802" s="16" t="n">
        <f aca="false" t="array" ref="I802: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>6.00436980200956</v>
      </c>
      <c r="J802" s="16" t="n">
        <f aca="false">IF(D802="","",$B$12)</f>
        <v>0.35</v>
      </c>
      <c r="K802" s="16" t="n">
        <f aca="false">IF(J802="","",J802*$B$15)</f>
        <v>0.9072</v>
      </c>
      <c r="L802" s="16" t="n">
        <f aca="false">IF(D802="","",H802+E802-K802-G802*I802)</f>
        <v>35.4876324056278</v>
      </c>
      <c r="M802" s="16" t="n">
        <f aca="false" t="array" ref="M802: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>5.79860795244869</v>
      </c>
      <c r="N802" s="16" t="n">
        <f aca="false">IF(D802="","",(I802+M802)/2)</f>
        <v>5.90148887722912</v>
      </c>
      <c r="O802" s="16" t="n">
        <f aca="false">IF(D802="","",G802*N802)</f>
        <v>1.32016306183616</v>
      </c>
      <c r="P802" s="16" t="n">
        <f aca="false">IF(D802="","",H802+E802-K802-O802)</f>
        <v>35.5106468685012</v>
      </c>
      <c r="Q802" s="16" t="n">
        <f aca="false">IF(D802="","",IF(P802&gt;=0,K802,MAX(0,K802+P802)))</f>
        <v>0.9072</v>
      </c>
      <c r="R802" s="16" t="n">
        <f aca="false">IF(D802="","",Q802/$B$15)</f>
        <v>0.35</v>
      </c>
      <c r="S802" s="16" t="n">
        <f aca="false">IF(D802="","",MAX(0,J802-R802))</f>
        <v>0</v>
      </c>
      <c r="T802" s="16" t="n">
        <f aca="false">IF(D802="","",MAX(0,Z802-$B$8))</f>
        <v>0</v>
      </c>
      <c r="U802" s="16" t="n">
        <f aca="false">IF(D802="","",MAX(0,MIN($B$8,Z802)))</f>
        <v>35.5106468685012</v>
      </c>
      <c r="V802" s="16" t="str">
        <f aca="false">IF(D802="","",IF(S802&gt;0.0000001,"Sim","Não"))</f>
        <v>Não</v>
      </c>
      <c r="W802" s="16" t="n">
        <f aca="false">IF(D802="","",U802-(H802+E802-Q802-O802-T802))</f>
        <v>0</v>
      </c>
      <c r="X802" s="16" t="n">
        <f aca="false">IF(W802="","",ABS(W802))</f>
        <v>0</v>
      </c>
      <c r="Y802" s="16" t="n">
        <f aca="false">IF(U802="","",IF($B$8=0,0,U802/$B$8*100))</f>
        <v>75.2025558418068</v>
      </c>
      <c r="Z802" s="18" t="n">
        <f aca="false">IF(D802="","",MAX(0,IF(P802&gt;=0,P802,IF(K802+P802&gt;=0,0,P802+K802))))</f>
        <v>35.5106468685012</v>
      </c>
      <c r="AA802" s="18" t="n">
        <f aca="false">IF(D802="","",IF(H802&lt;=$B$16,1,IF(H802&gt;=$B$17,$B$21,MATCH(H802,Aux_CAV!$A$2:$A$121,1))))</f>
        <v>13</v>
      </c>
      <c r="AB802" s="18" t="n">
        <f aca="false">IF(D802="","",IF(L802&lt;=$B$16,1,IF(L802&gt;=$B$17,$B$21,MATCH(L802,Aux_CAV!$A$2:$A$121,1))))</f>
        <v>13</v>
      </c>
      <c r="AC802" s="19" t="n">
        <f aca="false">IF(D802="","",COUNT($D$24:D802))</f>
        <v>767</v>
      </c>
    </row>
    <row r="803" customFormat="false" ht="12.75" hidden="false" customHeight="true" outlineLevel="0" collapsed="false">
      <c r="A803" s="14" t="n">
        <f aca="false">IF(D803="","",DATE(B803,C803,1))</f>
        <v>27364</v>
      </c>
      <c r="B803" s="15" t="n">
        <f aca="false" t="array" ref="B803:B803">IF(D803="","",IFERROR(VALUE(INDEX(Vazoes_COLAR!$A$2:$A$200,INT((ROW()-24)/12)+1)),""))</f>
        <v>1974</v>
      </c>
      <c r="C803" s="15" t="n">
        <f aca="false">IF(D803="","",MOD(ROW()-24,12)+1)</f>
        <v>12</v>
      </c>
      <c r="D803" s="16" t="n">
        <f aca="false" t="array" ref="D803: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0.106680922854511</v>
      </c>
      <c r="E803" s="16" t="n">
        <f aca="false">IF(D803="","",D803*$B$15)</f>
        <v>0.276516952038893</v>
      </c>
      <c r="F803" s="16" t="n">
        <f aca="false" t="array" ref="F803:F803">IF(D803="","",IFERROR(INDEX(Dados_Evap!$C$2:$N$15,MATCH($B$9,Dados_Evap!$A$2:$A$15,0),C803),0))</f>
        <v>216.1</v>
      </c>
      <c r="G803" s="16" t="n">
        <f aca="false">IF(F803="","",F803/1000)</f>
        <v>0.2161</v>
      </c>
      <c r="H803" s="16" t="n">
        <f aca="false">IF(D803="","",MAX(0,MIN($B$8,IFERROR(LOOKUP(2,1/($U$24:U802&lt;&gt;""),$U$24:U802),$B$11))))</f>
        <v>35.5106468685012</v>
      </c>
      <c r="I803" s="16" t="n">
        <f aca="false" t="array" ref="I803: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>5.80090578010979</v>
      </c>
      <c r="J803" s="16" t="n">
        <f aca="false">IF(D803="","",$B$12)</f>
        <v>0.35</v>
      </c>
      <c r="K803" s="16" t="n">
        <f aca="false">IF(J803="","",J803*$B$15)</f>
        <v>0.9072</v>
      </c>
      <c r="L803" s="16" t="n">
        <f aca="false">IF(D803="","",H803+E803-K803-G803*I803)</f>
        <v>33.6263880814583</v>
      </c>
      <c r="M803" s="16" t="n">
        <f aca="false" t="array" ref="M803: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>5.60924614050101</v>
      </c>
      <c r="N803" s="16" t="n">
        <f aca="false">IF(D803="","",(I803+M803)/2)</f>
        <v>5.7050759603054</v>
      </c>
      <c r="O803" s="16" t="n">
        <f aca="false">IF(D803="","",G803*N803)</f>
        <v>1.232866915022</v>
      </c>
      <c r="P803" s="16" t="n">
        <f aca="false">IF(D803="","",H803+E803-K803-O803)</f>
        <v>33.6470969055181</v>
      </c>
      <c r="Q803" s="16" t="n">
        <f aca="false">IF(D803="","",IF(P803&gt;=0,K803,MAX(0,K803+P803)))</f>
        <v>0.9072</v>
      </c>
      <c r="R803" s="16" t="n">
        <f aca="false">IF(D803="","",Q803/$B$15)</f>
        <v>0.35</v>
      </c>
      <c r="S803" s="16" t="n">
        <f aca="false">IF(D803="","",MAX(0,J803-R803))</f>
        <v>0</v>
      </c>
      <c r="T803" s="16" t="n">
        <f aca="false">IF(D803="","",MAX(0,Z803-$B$8))</f>
        <v>0</v>
      </c>
      <c r="U803" s="16" t="n">
        <f aca="false">IF(D803="","",MAX(0,MIN($B$8,Z803)))</f>
        <v>33.6470969055181</v>
      </c>
      <c r="V803" s="16" t="str">
        <f aca="false">IF(D803="","",IF(S803&gt;0.0000001,"Sim","Não"))</f>
        <v>Não</v>
      </c>
      <c r="W803" s="16" t="n">
        <f aca="false">IF(D803="","",U803-(H803+E803-Q803-O803-T803))</f>
        <v>0</v>
      </c>
      <c r="X803" s="16" t="n">
        <f aca="false">IF(W803="","",ABS(W803))</f>
        <v>0</v>
      </c>
      <c r="Y803" s="16" t="n">
        <f aca="false">IF(U803="","",IF($B$8=0,0,U803/$B$8*100))</f>
        <v>71.2560290248159</v>
      </c>
      <c r="Z803" s="18" t="n">
        <f aca="false">IF(D803="","",MAX(0,IF(P803&gt;=0,P803,IF(K803+P803&gt;=0,0,P803+K803))))</f>
        <v>33.6470969055181</v>
      </c>
      <c r="AA803" s="18" t="n">
        <f aca="false">IF(D803="","",IF(H803&lt;=$B$16,1,IF(H803&gt;=$B$17,$B$21,MATCH(H803,Aux_CAV!$A$2:$A$121,1))))</f>
        <v>13</v>
      </c>
      <c r="AB803" s="18" t="n">
        <f aca="false">IF(D803="","",IF(L803&lt;=$B$16,1,IF(L803&gt;=$B$17,$B$21,MATCH(L803,Aux_CAV!$A$2:$A$121,1))))</f>
        <v>12</v>
      </c>
      <c r="AC803" s="19" t="n">
        <f aca="false">IF(D803="","",COUNT($D$24:D803))</f>
        <v>768</v>
      </c>
    </row>
    <row r="804" customFormat="false" ht="12.75" hidden="false" customHeight="true" outlineLevel="0" collapsed="false">
      <c r="A804" s="14" t="n">
        <f aca="false">IF(D804="","",DATE(B804,C804,1))</f>
        <v>27395</v>
      </c>
      <c r="B804" s="15" t="n">
        <f aca="false" t="array" ref="B804:B804">IF(D804="","",IFERROR(VALUE(INDEX(Vazoes_COLAR!$A$2:$A$200,INT((ROW()-24)/12)+1)),""))</f>
        <v>1975</v>
      </c>
      <c r="C804" s="15" t="n">
        <f aca="false">IF(D804="","",MOD(ROW()-24,12)+1)</f>
        <v>1</v>
      </c>
      <c r="D804" s="16" t="n">
        <f aca="false" t="array" ref="D804: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0.311280727234189</v>
      </c>
      <c r="E804" s="16" t="n">
        <f aca="false">IF(D804="","",D804*$B$15)</f>
        <v>0.806839644991018</v>
      </c>
      <c r="F804" s="16" t="n">
        <f aca="false" t="array" ref="F804:F804">IF(D804="","",IFERROR(INDEX(Dados_Evap!$C$2:$N$15,MATCH($B$9,Dados_Evap!$A$2:$A$15,0),C804),0))</f>
        <v>160</v>
      </c>
      <c r="G804" s="16" t="n">
        <f aca="false">IF(F804="","",F804/1000)</f>
        <v>0.16</v>
      </c>
      <c r="H804" s="16" t="n">
        <f aca="false">IF(D804="","",MAX(0,MIN($B$8,IFERROR(LOOKUP(2,1/($U$24:U803&lt;&gt;""),$U$24:U803),$B$11))))</f>
        <v>33.6470969055181</v>
      </c>
      <c r="I804" s="16" t="n">
        <f aca="false" t="array" ref="I804: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>5.61139744552469</v>
      </c>
      <c r="J804" s="16" t="n">
        <f aca="false">IF(D804="","",$B$12)</f>
        <v>0.35</v>
      </c>
      <c r="K804" s="16" t="n">
        <f aca="false">IF(J804="","",J804*$B$15)</f>
        <v>0.9072</v>
      </c>
      <c r="L804" s="16" t="n">
        <f aca="false">IF(D804="","",H804+E804-K804-G804*I804)</f>
        <v>32.6489129592251</v>
      </c>
      <c r="M804" s="16" t="n">
        <f aca="false" t="array" ref="M804: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>5.50770260838552</v>
      </c>
      <c r="N804" s="16" t="n">
        <f aca="false">IF(D804="","",(I804+M804)/2)</f>
        <v>5.55955002695511</v>
      </c>
      <c r="O804" s="16" t="n">
        <f aca="false">IF(D804="","",G804*N804)</f>
        <v>0.889528004312817</v>
      </c>
      <c r="P804" s="16" t="n">
        <f aca="false">IF(D804="","",H804+E804-K804-O804)</f>
        <v>32.6572085461963</v>
      </c>
      <c r="Q804" s="16" t="n">
        <f aca="false">IF(D804="","",IF(P804&gt;=0,K804,MAX(0,K804+P804)))</f>
        <v>0.9072</v>
      </c>
      <c r="R804" s="16" t="n">
        <f aca="false">IF(D804="","",Q804/$B$15)</f>
        <v>0.35</v>
      </c>
      <c r="S804" s="16" t="n">
        <f aca="false">IF(D804="","",MAX(0,J804-R804))</f>
        <v>0</v>
      </c>
      <c r="T804" s="16" t="n">
        <f aca="false">IF(D804="","",MAX(0,Z804-$B$8))</f>
        <v>0</v>
      </c>
      <c r="U804" s="16" t="n">
        <f aca="false">IF(D804="","",MAX(0,MIN($B$8,Z804)))</f>
        <v>32.6572085461963</v>
      </c>
      <c r="V804" s="16" t="str">
        <f aca="false">IF(D804="","",IF(S804&gt;0.0000001,"Sim","Não"))</f>
        <v>Não</v>
      </c>
      <c r="W804" s="16" t="n">
        <f aca="false">IF(D804="","",U804-(H804+E804-Q804-O804-T804))</f>
        <v>0</v>
      </c>
      <c r="X804" s="16" t="n">
        <f aca="false">IF(W804="","",ABS(W804))</f>
        <v>0</v>
      </c>
      <c r="Y804" s="16" t="n">
        <f aca="false">IF(U804="","",IF($B$8=0,0,U804/$B$8*100))</f>
        <v>69.159696201178</v>
      </c>
      <c r="Z804" s="18" t="n">
        <f aca="false">IF(D804="","",MAX(0,IF(P804&gt;=0,P804,IF(K804+P804&gt;=0,0,P804+K804))))</f>
        <v>32.6572085461963</v>
      </c>
      <c r="AA804" s="18" t="n">
        <f aca="false">IF(D804="","",IF(H804&lt;=$B$16,1,IF(H804&gt;=$B$17,$B$21,MATCH(H804,Aux_CAV!$A$2:$A$121,1))))</f>
        <v>12</v>
      </c>
      <c r="AB804" s="18" t="n">
        <f aca="false">IF(D804="","",IF(L804&lt;=$B$16,1,IF(L804&gt;=$B$17,$B$21,MATCH(L804,Aux_CAV!$A$2:$A$121,1))))</f>
        <v>12</v>
      </c>
      <c r="AC804" s="19" t="n">
        <f aca="false">IF(D804="","",COUNT($D$24:D804))</f>
        <v>769</v>
      </c>
    </row>
    <row r="805" customFormat="false" ht="12.75" hidden="false" customHeight="true" outlineLevel="0" collapsed="false">
      <c r="A805" s="14" t="n">
        <f aca="false">IF(D805="","",DATE(B805,C805,1))</f>
        <v>27426</v>
      </c>
      <c r="B805" s="15" t="n">
        <f aca="false" t="array" ref="B805:B805">IF(D805="","",IFERROR(VALUE(INDEX(Vazoes_COLAR!$A$2:$A$200,INT((ROW()-24)/12)+1)),""))</f>
        <v>1975</v>
      </c>
      <c r="C805" s="15" t="n">
        <f aca="false">IF(D805="","",MOD(ROW()-24,12)+1)</f>
        <v>2</v>
      </c>
      <c r="D805" s="16" t="n">
        <f aca="false" t="array" ref="D805: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0.57530260568976</v>
      </c>
      <c r="E805" s="16" t="n">
        <f aca="false">IF(D805="","",D805*$B$15)</f>
        <v>1.49118435394786</v>
      </c>
      <c r="F805" s="16" t="n">
        <f aca="false" t="array" ref="F805:F805">IF(D805="","",IFERROR(INDEX(Dados_Evap!$C$2:$N$15,MATCH($B$9,Dados_Evap!$A$2:$A$15,0),C805),0))</f>
        <v>124.3</v>
      </c>
      <c r="G805" s="16" t="n">
        <f aca="false">IF(F805="","",F805/1000)</f>
        <v>0.1243</v>
      </c>
      <c r="H805" s="16" t="n">
        <f aca="false">IF(D805="","",MAX(0,MIN($B$8,IFERROR(LOOKUP(2,1/($U$24:U804&lt;&gt;""),$U$24:U804),$B$11))))</f>
        <v>32.6572085461963</v>
      </c>
      <c r="I805" s="16" t="n">
        <f aca="false" t="array" ref="I805: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>5.50856438295437</v>
      </c>
      <c r="J805" s="16" t="n">
        <f aca="false">IF(D805="","",$B$12)</f>
        <v>0.35</v>
      </c>
      <c r="K805" s="16" t="n">
        <f aca="false">IF(J805="","",J805*$B$15)</f>
        <v>0.9072</v>
      </c>
      <c r="L805" s="16" t="n">
        <f aca="false">IF(D805="","",H805+E805-K805-G805*I805)</f>
        <v>32.5564783473429</v>
      </c>
      <c r="M805" s="16" t="n">
        <f aca="false" t="array" ref="M805: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>5.49810017783077</v>
      </c>
      <c r="N805" s="16" t="n">
        <f aca="false">IF(D805="","",(I805+M805)/2)</f>
        <v>5.50333228039257</v>
      </c>
      <c r="O805" s="16" t="n">
        <f aca="false">IF(D805="","",G805*N805)</f>
        <v>0.684064202452796</v>
      </c>
      <c r="P805" s="16" t="n">
        <f aca="false">IF(D805="","",H805+E805-K805-O805)</f>
        <v>32.5571286976913</v>
      </c>
      <c r="Q805" s="16" t="n">
        <f aca="false">IF(D805="","",IF(P805&gt;=0,K805,MAX(0,K805+P805)))</f>
        <v>0.9072</v>
      </c>
      <c r="R805" s="16" t="n">
        <f aca="false">IF(D805="","",Q805/$B$15)</f>
        <v>0.35</v>
      </c>
      <c r="S805" s="16" t="n">
        <f aca="false">IF(D805="","",MAX(0,J805-R805))</f>
        <v>0</v>
      </c>
      <c r="T805" s="16" t="n">
        <f aca="false">IF(D805="","",MAX(0,Z805-$B$8))</f>
        <v>0</v>
      </c>
      <c r="U805" s="16" t="n">
        <f aca="false">IF(D805="","",MAX(0,MIN($B$8,Z805)))</f>
        <v>32.5571286976913</v>
      </c>
      <c r="V805" s="16" t="str">
        <f aca="false">IF(D805="","",IF(S805&gt;0.0000001,"Sim","Não"))</f>
        <v>Não</v>
      </c>
      <c r="W805" s="16" t="n">
        <f aca="false">IF(D805="","",U805-(H805+E805-Q805-O805-T805))</f>
        <v>0</v>
      </c>
      <c r="X805" s="16" t="n">
        <f aca="false">IF(W805="","",ABS(W805))</f>
        <v>0</v>
      </c>
      <c r="Y805" s="16" t="n">
        <f aca="false">IF(U805="","",IF($B$8=0,0,U805/$B$8*100))</f>
        <v>68.9477524305195</v>
      </c>
      <c r="Z805" s="18" t="n">
        <f aca="false">IF(D805="","",MAX(0,IF(P805&gt;=0,P805,IF(K805+P805&gt;=0,0,P805+K805))))</f>
        <v>32.5571286976913</v>
      </c>
      <c r="AA805" s="18" t="n">
        <f aca="false">IF(D805="","",IF(H805&lt;=$B$16,1,IF(H805&gt;=$B$17,$B$21,MATCH(H805,Aux_CAV!$A$2:$A$121,1))))</f>
        <v>12</v>
      </c>
      <c r="AB805" s="18" t="n">
        <f aca="false">IF(D805="","",IF(L805&lt;=$B$16,1,IF(L805&gt;=$B$17,$B$21,MATCH(L805,Aux_CAV!$A$2:$A$121,1))))</f>
        <v>12</v>
      </c>
      <c r="AC805" s="19" t="n">
        <f aca="false">IF(D805="","",COUNT($D$24:D805))</f>
        <v>770</v>
      </c>
    </row>
    <row r="806" customFormat="false" ht="12.75" hidden="false" customHeight="true" outlineLevel="0" collapsed="false">
      <c r="A806" s="14" t="n">
        <f aca="false">IF(D806="","",DATE(B806,C806,1))</f>
        <v>27454</v>
      </c>
      <c r="B806" s="15" t="n">
        <f aca="false" t="array" ref="B806:B806">IF(D806="","",IFERROR(VALUE(INDEX(Vazoes_COLAR!$A$2:$A$200,INT((ROW()-24)/12)+1)),""))</f>
        <v>1975</v>
      </c>
      <c r="C806" s="15" t="n">
        <f aca="false">IF(D806="","",MOD(ROW()-24,12)+1)</f>
        <v>3</v>
      </c>
      <c r="D806" s="16" t="n">
        <f aca="false" t="array" ref="D806: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3.68994381344432</v>
      </c>
      <c r="E806" s="16" t="n">
        <f aca="false">IF(D806="","",D806*$B$15)</f>
        <v>9.56433436444768</v>
      </c>
      <c r="F806" s="16" t="n">
        <f aca="false" t="array" ref="F806:F806">IF(D806="","",IFERROR(INDEX(Dados_Evap!$C$2:$N$15,MATCH($B$9,Dados_Evap!$A$2:$A$15,0),C806),0))</f>
        <v>107.7</v>
      </c>
      <c r="G806" s="16" t="n">
        <f aca="false">IF(F806="","",F806/1000)</f>
        <v>0.1077</v>
      </c>
      <c r="H806" s="16" t="n">
        <f aca="false">IF(D806="","",MAX(0,MIN($B$8,IFERROR(LOOKUP(2,1/($U$24:U805&lt;&gt;""),$U$24:U805),$B$11))))</f>
        <v>32.5571286976913</v>
      </c>
      <c r="I806" s="16" t="n">
        <f aca="false" t="array" ref="I806: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>5.49816773849803</v>
      </c>
      <c r="J806" s="16" t="n">
        <f aca="false">IF(D806="","",$B$12)</f>
        <v>0.35</v>
      </c>
      <c r="K806" s="16" t="n">
        <f aca="false">IF(J806="","",J806*$B$15)</f>
        <v>0.9072</v>
      </c>
      <c r="L806" s="16" t="n">
        <f aca="false">IF(D806="","",H806+E806-K806-G806*I806)</f>
        <v>40.6221103967028</v>
      </c>
      <c r="M806" s="16" t="n">
        <f aca="false" t="array" ref="M806: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>6.31124844369595</v>
      </c>
      <c r="N806" s="16" t="n">
        <f aca="false">IF(D806="","",(I806+M806)/2)</f>
        <v>5.90470809109699</v>
      </c>
      <c r="O806" s="16" t="n">
        <f aca="false">IF(D806="","",G806*N806)</f>
        <v>0.635937061411146</v>
      </c>
      <c r="P806" s="16" t="n">
        <f aca="false">IF(D806="","",H806+E806-K806-O806)</f>
        <v>40.5783260007279</v>
      </c>
      <c r="Q806" s="16" t="n">
        <f aca="false">IF(D806="","",IF(P806&gt;=0,K806,MAX(0,K806+P806)))</f>
        <v>0.9072</v>
      </c>
      <c r="R806" s="16" t="n">
        <f aca="false">IF(D806="","",Q806/$B$15)</f>
        <v>0.35</v>
      </c>
      <c r="S806" s="16" t="n">
        <f aca="false">IF(D806="","",MAX(0,J806-R806))</f>
        <v>0</v>
      </c>
      <c r="T806" s="16" t="n">
        <f aca="false">IF(D806="","",MAX(0,Z806-$B$8))</f>
        <v>0</v>
      </c>
      <c r="U806" s="16" t="n">
        <f aca="false">IF(D806="","",MAX(0,MIN($B$8,Z806)))</f>
        <v>40.5783260007279</v>
      </c>
      <c r="V806" s="16" t="str">
        <f aca="false">IF(D806="","",IF(S806&gt;0.0000001,"Sim","Não"))</f>
        <v>Não</v>
      </c>
      <c r="W806" s="16" t="n">
        <f aca="false">IF(D806="","",U806-(H806+E806-Q806-O806-T806))</f>
        <v>0</v>
      </c>
      <c r="X806" s="16" t="n">
        <f aca="false">IF(W806="","",ABS(W806))</f>
        <v>0</v>
      </c>
      <c r="Y806" s="16" t="n">
        <f aca="false">IF(U806="","",IF($B$8=0,0,U806/$B$8*100))</f>
        <v>85.9346166893855</v>
      </c>
      <c r="Z806" s="18" t="n">
        <f aca="false">IF(D806="","",MAX(0,IF(P806&gt;=0,P806,IF(K806+P806&gt;=0,0,P806+K806))))</f>
        <v>40.5783260007279</v>
      </c>
      <c r="AA806" s="18" t="n">
        <f aca="false">IF(D806="","",IF(H806&lt;=$B$16,1,IF(H806&gt;=$B$17,$B$21,MATCH(H806,Aux_CAV!$A$2:$A$121,1))))</f>
        <v>12</v>
      </c>
      <c r="AB806" s="18" t="n">
        <f aca="false">IF(D806="","",IF(L806&lt;=$B$16,1,IF(L806&gt;=$B$17,$B$21,MATCH(L806,Aux_CAV!$A$2:$A$121,1))))</f>
        <v>13</v>
      </c>
      <c r="AC806" s="19" t="n">
        <f aca="false">IF(D806="","",COUNT($D$24:D806))</f>
        <v>771</v>
      </c>
    </row>
    <row r="807" customFormat="false" ht="12.75" hidden="false" customHeight="true" outlineLevel="0" collapsed="false">
      <c r="A807" s="14" t="n">
        <f aca="false">IF(D807="","",DATE(B807,C807,1))</f>
        <v>27485</v>
      </c>
      <c r="B807" s="15" t="n">
        <f aca="false" t="array" ref="B807:B807">IF(D807="","",IFERROR(VALUE(INDEX(Vazoes_COLAR!$A$2:$A$200,INT((ROW()-24)/12)+1)),""))</f>
        <v>1975</v>
      </c>
      <c r="C807" s="15" t="n">
        <f aca="false">IF(D807="","",MOD(ROW()-24,12)+1)</f>
        <v>4</v>
      </c>
      <c r="D807" s="16" t="n">
        <f aca="false" t="array" ref="D807: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7.16250051373382</v>
      </c>
      <c r="E807" s="16" t="n">
        <f aca="false">IF(D807="","",D807*$B$15)</f>
        <v>18.5652013315981</v>
      </c>
      <c r="F807" s="16" t="n">
        <f aca="false" t="array" ref="F807:F807">IF(D807="","",IFERROR(INDEX(Dados_Evap!$C$2:$N$15,MATCH($B$9,Dados_Evap!$A$2:$A$15,0),C807),0))</f>
        <v>100.5</v>
      </c>
      <c r="G807" s="16" t="n">
        <f aca="false">IF(F807="","",F807/1000)</f>
        <v>0.1005</v>
      </c>
      <c r="H807" s="16" t="n">
        <f aca="false">IF(D807="","",MAX(0,MIN($B$8,IFERROR(LOOKUP(2,1/($U$24:U806&lt;&gt;""),$U$24:U806),$B$11))))</f>
        <v>40.5783260007279</v>
      </c>
      <c r="I807" s="16" t="n">
        <f aca="false" t="array" ref="I807: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>6.30687688843745</v>
      </c>
      <c r="J807" s="16" t="n">
        <f aca="false">IF(D807="","",$B$12)</f>
        <v>0.35</v>
      </c>
      <c r="K807" s="16" t="n">
        <f aca="false">IF(J807="","",J807*$B$15)</f>
        <v>0.9072</v>
      </c>
      <c r="L807" s="16" t="n">
        <f aca="false">IF(D807="","",H807+E807-K807-G807*I807)</f>
        <v>57.6024862050379</v>
      </c>
      <c r="M807" s="16" t="n">
        <f aca="false" t="array" ref="M807: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>8.21173638729041</v>
      </c>
      <c r="N807" s="16" t="n">
        <f aca="false">IF(D807="","",(I807+M807)/2)</f>
        <v>7.25930663786393</v>
      </c>
      <c r="O807" s="16" t="n">
        <f aca="false">IF(D807="","",G807*N807)</f>
        <v>0.729560317105325</v>
      </c>
      <c r="P807" s="16" t="n">
        <f aca="false">IF(D807="","",H807+E807-K807-O807)</f>
        <v>57.5067670152206</v>
      </c>
      <c r="Q807" s="16" t="n">
        <f aca="false">IF(D807="","",IF(P807&gt;=0,K807,MAX(0,K807+P807)))</f>
        <v>0.9072</v>
      </c>
      <c r="R807" s="16" t="n">
        <f aca="false">IF(D807="","",Q807/$B$15)</f>
        <v>0.35</v>
      </c>
      <c r="S807" s="16" t="n">
        <f aca="false">IF(D807="","",MAX(0,J807-R807))</f>
        <v>0</v>
      </c>
      <c r="T807" s="16" t="n">
        <f aca="false">IF(D807="","",MAX(0,Z807-$B$8))</f>
        <v>10.2867670152206</v>
      </c>
      <c r="U807" s="16" t="n">
        <f aca="false">IF(D807="","",MAX(0,MIN($B$8,Z807)))</f>
        <v>47.22</v>
      </c>
      <c r="V807" s="16" t="str">
        <f aca="false">IF(D807="","",IF(S807&gt;0.0000001,"Sim","Não"))</f>
        <v>Não</v>
      </c>
      <c r="W807" s="16" t="n">
        <f aca="false">IF(D807="","",U807-(H807+E807-Q807-O807-T807))</f>
        <v>0</v>
      </c>
      <c r="X807" s="16" t="n">
        <f aca="false">IF(W807="","",ABS(W807))</f>
        <v>0</v>
      </c>
      <c r="Y807" s="16" t="n">
        <f aca="false">IF(U807="","",IF($B$8=0,0,U807/$B$8*100))</f>
        <v>100</v>
      </c>
      <c r="Z807" s="18" t="n">
        <f aca="false">IF(D807="","",MAX(0,IF(P807&gt;=0,P807,IF(K807+P807&gt;=0,0,P807+K807))))</f>
        <v>57.5067670152206</v>
      </c>
      <c r="AA807" s="18" t="n">
        <f aca="false">IF(D807="","",IF(H807&lt;=$B$16,1,IF(H807&gt;=$B$17,$B$21,MATCH(H807,Aux_CAV!$A$2:$A$121,1))))</f>
        <v>13</v>
      </c>
      <c r="AB807" s="18" t="n">
        <f aca="false">IF(D807="","",IF(L807&lt;=$B$16,1,IF(L807&gt;=$B$17,$B$21,MATCH(L807,Aux_CAV!$A$2:$A$121,1))))</f>
        <v>15</v>
      </c>
      <c r="AC807" s="19" t="n">
        <f aca="false">IF(D807="","",COUNT($D$24:D807))</f>
        <v>772</v>
      </c>
    </row>
    <row r="808" customFormat="false" ht="12.75" hidden="false" customHeight="true" outlineLevel="0" collapsed="false">
      <c r="A808" s="14" t="n">
        <f aca="false">IF(D808="","",DATE(B808,C808,1))</f>
        <v>27515</v>
      </c>
      <c r="B808" s="15" t="n">
        <f aca="false" t="array" ref="B808:B808">IF(D808="","",IFERROR(VALUE(INDEX(Vazoes_COLAR!$A$2:$A$200,INT((ROW()-24)/12)+1)),""))</f>
        <v>1975</v>
      </c>
      <c r="C808" s="15" t="n">
        <f aca="false">IF(D808="","",MOD(ROW()-24,12)+1)</f>
        <v>5</v>
      </c>
      <c r="D808" s="16" t="n">
        <f aca="false" t="array" ref="D808: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4.25373823625241</v>
      </c>
      <c r="E808" s="16" t="n">
        <f aca="false">IF(D808="","",D808*$B$15)</f>
        <v>11.0256895083662</v>
      </c>
      <c r="F808" s="16" t="n">
        <f aca="false" t="array" ref="F808:F808">IF(D808="","",IFERROR(INDEX(Dados_Evap!$C$2:$N$15,MATCH($B$9,Dados_Evap!$A$2:$A$15,0),C808),0))</f>
        <v>145.8</v>
      </c>
      <c r="G808" s="16" t="n">
        <f aca="false">IF(F808="","",F808/1000)</f>
        <v>0.1458</v>
      </c>
      <c r="H808" s="16" t="n">
        <f aca="false">IF(D808="","",MAX(0,MIN($B$8,IFERROR(LOOKUP(2,1/($U$24:U807&lt;&gt;""),$U$24:U807),$B$11))))</f>
        <v>47.22</v>
      </c>
      <c r="I808" s="16" t="n">
        <f aca="false" t="array" ref="I808: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>6.97</v>
      </c>
      <c r="J808" s="16" t="n">
        <f aca="false">IF(D808="","",$B$12)</f>
        <v>0.35</v>
      </c>
      <c r="K808" s="16" t="n">
        <f aca="false">IF(J808="","",J808*$B$15)</f>
        <v>0.9072</v>
      </c>
      <c r="L808" s="16" t="n">
        <f aca="false">IF(D808="","",H808+E808-K808-G808*I808)</f>
        <v>56.3222635083662</v>
      </c>
      <c r="M808" s="16" t="n">
        <f aca="false" t="array" ref="M808: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>8.05323262484535</v>
      </c>
      <c r="N808" s="16" t="n">
        <f aca="false">IF(D808="","",(I808+M808)/2)</f>
        <v>7.51161631242267</v>
      </c>
      <c r="O808" s="16" t="n">
        <f aca="false">IF(D808="","",G808*N808)</f>
        <v>1.09519365835123</v>
      </c>
      <c r="P808" s="16" t="n">
        <f aca="false">IF(D808="","",H808+E808-K808-O808)</f>
        <v>56.243295850015</v>
      </c>
      <c r="Q808" s="16" t="n">
        <f aca="false">IF(D808="","",IF(P808&gt;=0,K808,MAX(0,K808+P808)))</f>
        <v>0.9072</v>
      </c>
      <c r="R808" s="16" t="n">
        <f aca="false">IF(D808="","",Q808/$B$15)</f>
        <v>0.35</v>
      </c>
      <c r="S808" s="16" t="n">
        <f aca="false">IF(D808="","",MAX(0,J808-R808))</f>
        <v>0</v>
      </c>
      <c r="T808" s="16" t="n">
        <f aca="false">IF(D808="","",MAX(0,Z808-$B$8))</f>
        <v>9.02329585001502</v>
      </c>
      <c r="U808" s="16" t="n">
        <f aca="false">IF(D808="","",MAX(0,MIN($B$8,Z808)))</f>
        <v>47.22</v>
      </c>
      <c r="V808" s="16" t="str">
        <f aca="false">IF(D808="","",IF(S808&gt;0.0000001,"Sim","Não"))</f>
        <v>Não</v>
      </c>
      <c r="W808" s="16" t="n">
        <f aca="false">IF(D808="","",U808-(H808+E808-Q808-O808-T808))</f>
        <v>0</v>
      </c>
      <c r="X808" s="16" t="n">
        <f aca="false">IF(W808="","",ABS(W808))</f>
        <v>0</v>
      </c>
      <c r="Y808" s="16" t="n">
        <f aca="false">IF(U808="","",IF($B$8=0,0,U808/$B$8*100))</f>
        <v>100</v>
      </c>
      <c r="Z808" s="18" t="n">
        <f aca="false">IF(D808="","",MAX(0,IF(P808&gt;=0,P808,IF(K808+P808&gt;=0,0,P808+K808))))</f>
        <v>56.243295850015</v>
      </c>
      <c r="AA808" s="18" t="n">
        <f aca="false">IF(D808="","",IF(H808&lt;=$B$16,1,IF(H808&gt;=$B$17,$B$21,MATCH(H808,Aux_CAV!$A$2:$A$121,1))))</f>
        <v>14</v>
      </c>
      <c r="AB808" s="18" t="n">
        <f aca="false">IF(D808="","",IF(L808&lt;=$B$16,1,IF(L808&gt;=$B$17,$B$21,MATCH(L808,Aux_CAV!$A$2:$A$121,1))))</f>
        <v>15</v>
      </c>
      <c r="AC808" s="19" t="n">
        <f aca="false">IF(D808="","",COUNT($D$24:D808))</f>
        <v>773</v>
      </c>
    </row>
    <row r="809" customFormat="false" ht="12.75" hidden="false" customHeight="true" outlineLevel="0" collapsed="false">
      <c r="A809" s="14" t="n">
        <f aca="false">IF(D809="","",DATE(B809,C809,1))</f>
        <v>27546</v>
      </c>
      <c r="B809" s="15" t="n">
        <f aca="false" t="array" ref="B809:B809">IF(D809="","",IFERROR(VALUE(INDEX(Vazoes_COLAR!$A$2:$A$200,INT((ROW()-24)/12)+1)),""))</f>
        <v>1975</v>
      </c>
      <c r="C809" s="15" t="n">
        <f aca="false">IF(D809="","",MOD(ROW()-24,12)+1)</f>
        <v>6</v>
      </c>
      <c r="D809" s="16" t="n">
        <f aca="false" t="array" ref="D809: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1.9878345829661</v>
      </c>
      <c r="E809" s="16" t="n">
        <f aca="false">IF(D809="","",D809*$B$15)</f>
        <v>5.15246723904813</v>
      </c>
      <c r="F809" s="16" t="n">
        <f aca="false" t="array" ref="F809:F809">IF(D809="","",IFERROR(INDEX(Dados_Evap!$C$2:$N$15,MATCH($B$9,Dados_Evap!$A$2:$A$15,0),C809),0))</f>
        <v>161.3</v>
      </c>
      <c r="G809" s="16" t="n">
        <f aca="false">IF(F809="","",F809/1000)</f>
        <v>0.1613</v>
      </c>
      <c r="H809" s="16" t="n">
        <f aca="false">IF(D809="","",MAX(0,MIN($B$8,IFERROR(LOOKUP(2,1/($U$24:U808&lt;&gt;""),$U$24:U808),$B$11))))</f>
        <v>47.22</v>
      </c>
      <c r="I809" s="16" t="n">
        <f aca="false" t="array" ref="I809: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>6.97</v>
      </c>
      <c r="J809" s="16" t="n">
        <f aca="false">IF(D809="","",$B$12)</f>
        <v>0.35</v>
      </c>
      <c r="K809" s="16" t="n">
        <f aca="false">IF(J809="","",J809*$B$15)</f>
        <v>0.9072</v>
      </c>
      <c r="L809" s="16" t="n">
        <f aca="false">IF(D809="","",H809+E809-K809-G809*I809)</f>
        <v>50.3410062390481</v>
      </c>
      <c r="M809" s="16" t="n">
        <f aca="false" t="array" ref="M809: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>7.33792349972519</v>
      </c>
      <c r="N809" s="16" t="n">
        <f aca="false">IF(D809="","",(I809+M809)/2)</f>
        <v>7.15396174986259</v>
      </c>
      <c r="O809" s="16" t="n">
        <f aca="false">IF(D809="","",G809*N809)</f>
        <v>1.15393403025284</v>
      </c>
      <c r="P809" s="16" t="n">
        <f aca="false">IF(D809="","",H809+E809-K809-O809)</f>
        <v>50.3113332087953</v>
      </c>
      <c r="Q809" s="16" t="n">
        <f aca="false">IF(D809="","",IF(P809&gt;=0,K809,MAX(0,K809+P809)))</f>
        <v>0.9072</v>
      </c>
      <c r="R809" s="16" t="n">
        <f aca="false">IF(D809="","",Q809/$B$15)</f>
        <v>0.35</v>
      </c>
      <c r="S809" s="16" t="n">
        <f aca="false">IF(D809="","",MAX(0,J809-R809))</f>
        <v>0</v>
      </c>
      <c r="T809" s="16" t="n">
        <f aca="false">IF(D809="","",MAX(0,Z809-$B$8))</f>
        <v>3.09133320879529</v>
      </c>
      <c r="U809" s="16" t="n">
        <f aca="false">IF(D809="","",MAX(0,MIN($B$8,Z809)))</f>
        <v>47.22</v>
      </c>
      <c r="V809" s="16" t="str">
        <f aca="false">IF(D809="","",IF(S809&gt;0.0000001,"Sim","Não"))</f>
        <v>Não</v>
      </c>
      <c r="W809" s="16" t="n">
        <f aca="false">IF(D809="","",U809-(H809+E809-Q809-O809-T809))</f>
        <v>0</v>
      </c>
      <c r="X809" s="16" t="n">
        <f aca="false">IF(W809="","",ABS(W809))</f>
        <v>0</v>
      </c>
      <c r="Y809" s="16" t="n">
        <f aca="false">IF(U809="","",IF($B$8=0,0,U809/$B$8*100))</f>
        <v>100</v>
      </c>
      <c r="Z809" s="18" t="n">
        <f aca="false">IF(D809="","",MAX(0,IF(P809&gt;=0,P809,IF(K809+P809&gt;=0,0,P809+K809))))</f>
        <v>50.3113332087953</v>
      </c>
      <c r="AA809" s="18" t="n">
        <f aca="false">IF(D809="","",IF(H809&lt;=$B$16,1,IF(H809&gt;=$B$17,$B$21,MATCH(H809,Aux_CAV!$A$2:$A$121,1))))</f>
        <v>14</v>
      </c>
      <c r="AB809" s="18" t="n">
        <f aca="false">IF(D809="","",IF(L809&lt;=$B$16,1,IF(L809&gt;=$B$17,$B$21,MATCH(L809,Aux_CAV!$A$2:$A$121,1))))</f>
        <v>14</v>
      </c>
      <c r="AC809" s="19" t="n">
        <f aca="false">IF(D809="","",COUNT($D$24:D809))</f>
        <v>774</v>
      </c>
    </row>
    <row r="810" customFormat="false" ht="12.75" hidden="false" customHeight="true" outlineLevel="0" collapsed="false">
      <c r="A810" s="14" t="n">
        <f aca="false">IF(D810="","",DATE(B810,C810,1))</f>
        <v>27576</v>
      </c>
      <c r="B810" s="15" t="n">
        <f aca="false" t="array" ref="B810:B810">IF(D810="","",IFERROR(VALUE(INDEX(Vazoes_COLAR!$A$2:$A$200,INT((ROW()-24)/12)+1)),""))</f>
        <v>1975</v>
      </c>
      <c r="C810" s="15" t="n">
        <f aca="false">IF(D810="","",MOD(ROW()-24,12)+1)</f>
        <v>7</v>
      </c>
      <c r="D810" s="16" t="n">
        <f aca="false" t="array" ref="D810: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1.02383478689646</v>
      </c>
      <c r="E810" s="16" t="n">
        <f aca="false">IF(D810="","",D810*$B$15)</f>
        <v>2.65377976763562</v>
      </c>
      <c r="F810" s="16" t="n">
        <f aca="false" t="array" ref="F810:F810">IF(D810="","",IFERROR(INDEX(Dados_Evap!$C$2:$N$15,MATCH($B$9,Dados_Evap!$A$2:$A$15,0),C810),0))</f>
        <v>224.8</v>
      </c>
      <c r="G810" s="16" t="n">
        <f aca="false">IF(F810="","",F810/1000)</f>
        <v>0.2248</v>
      </c>
      <c r="H810" s="16" t="n">
        <f aca="false">IF(D810="","",MAX(0,MIN($B$8,IFERROR(LOOKUP(2,1/($U$24:U809&lt;&gt;""),$U$24:U809),$B$11))))</f>
        <v>47.22</v>
      </c>
      <c r="I810" s="16" t="n">
        <f aca="false" t="array" ref="I810: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>6.97</v>
      </c>
      <c r="J810" s="16" t="n">
        <f aca="false">IF(D810="","",$B$12)</f>
        <v>0.35</v>
      </c>
      <c r="K810" s="16" t="n">
        <f aca="false">IF(J810="","",J810*$B$15)</f>
        <v>0.9072</v>
      </c>
      <c r="L810" s="16" t="n">
        <f aca="false">IF(D810="","",H810+E810-K810-G810*I810)</f>
        <v>47.3997237676356</v>
      </c>
      <c r="M810" s="16" t="n">
        <f aca="false" t="array" ref="M810: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>6.99118694821721</v>
      </c>
      <c r="N810" s="16" t="n">
        <f aca="false">IF(D810="","",(I810+M810)/2)</f>
        <v>6.9805934741086</v>
      </c>
      <c r="O810" s="16" t="n">
        <f aca="false">IF(D810="","",G810*N810)</f>
        <v>1.56923741297961</v>
      </c>
      <c r="P810" s="16" t="n">
        <f aca="false">IF(D810="","",H810+E810-K810-O810)</f>
        <v>47.397342354656</v>
      </c>
      <c r="Q810" s="16" t="n">
        <f aca="false">IF(D810="","",IF(P810&gt;=0,K810,MAX(0,K810+P810)))</f>
        <v>0.9072</v>
      </c>
      <c r="R810" s="16" t="n">
        <f aca="false">IF(D810="","",Q810/$B$15)</f>
        <v>0.35</v>
      </c>
      <c r="S810" s="16" t="n">
        <f aca="false">IF(D810="","",MAX(0,J810-R810))</f>
        <v>0</v>
      </c>
      <c r="T810" s="16" t="n">
        <f aca="false">IF(D810="","",MAX(0,Z810-$B$8))</f>
        <v>0.177342354656012</v>
      </c>
      <c r="U810" s="16" t="n">
        <f aca="false">IF(D810="","",MAX(0,MIN($B$8,Z810)))</f>
        <v>47.22</v>
      </c>
      <c r="V810" s="16" t="str">
        <f aca="false">IF(D810="","",IF(S810&gt;0.0000001,"Sim","Não"))</f>
        <v>Não</v>
      </c>
      <c r="W810" s="16" t="n">
        <f aca="false">IF(D810="","",U810-(H810+E810-Q810-O810-T810))</f>
        <v>0</v>
      </c>
      <c r="X810" s="16" t="n">
        <f aca="false">IF(W810="","",ABS(W810))</f>
        <v>0</v>
      </c>
      <c r="Y810" s="16" t="n">
        <f aca="false">IF(U810="","",IF($B$8=0,0,U810/$B$8*100))</f>
        <v>100</v>
      </c>
      <c r="Z810" s="18" t="n">
        <f aca="false">IF(D810="","",MAX(0,IF(P810&gt;=0,P810,IF(K810+P810&gt;=0,0,P810+K810))))</f>
        <v>47.397342354656</v>
      </c>
      <c r="AA810" s="18" t="n">
        <f aca="false">IF(D810="","",IF(H810&lt;=$B$16,1,IF(H810&gt;=$B$17,$B$21,MATCH(H810,Aux_CAV!$A$2:$A$121,1))))</f>
        <v>14</v>
      </c>
      <c r="AB810" s="18" t="n">
        <f aca="false">IF(D810="","",IF(L810&lt;=$B$16,1,IF(L810&gt;=$B$17,$B$21,MATCH(L810,Aux_CAV!$A$2:$A$121,1))))</f>
        <v>14</v>
      </c>
      <c r="AC810" s="19" t="n">
        <f aca="false">IF(D810="","",COUNT($D$24:D810))</f>
        <v>775</v>
      </c>
    </row>
    <row r="811" customFormat="false" ht="12.75" hidden="false" customHeight="true" outlineLevel="0" collapsed="false">
      <c r="A811" s="14" t="n">
        <f aca="false">IF(D811="","",DATE(B811,C811,1))</f>
        <v>27607</v>
      </c>
      <c r="B811" s="15" t="n">
        <f aca="false" t="array" ref="B811:B811">IF(D811="","",IFERROR(VALUE(INDEX(Vazoes_COLAR!$A$2:$A$200,INT((ROW()-24)/12)+1)),""))</f>
        <v>1975</v>
      </c>
      <c r="C811" s="15" t="n">
        <f aca="false">IF(D811="","",MOD(ROW()-24,12)+1)</f>
        <v>8</v>
      </c>
      <c r="D811" s="16" t="n">
        <f aca="false" t="array" ref="D811: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0.0818170097134978</v>
      </c>
      <c r="E811" s="16" t="n">
        <f aca="false">IF(D811="","",D811*$B$15)</f>
        <v>0.212069689177386</v>
      </c>
      <c r="F811" s="16" t="n">
        <f aca="false" t="array" ref="F811:F811">IF(D811="","",IFERROR(INDEX(Dados_Evap!$C$2:$N$15,MATCH($B$9,Dados_Evap!$A$2:$A$15,0),C811),0))</f>
        <v>268.7</v>
      </c>
      <c r="G811" s="16" t="n">
        <f aca="false">IF(F811="","",F811/1000)</f>
        <v>0.2687</v>
      </c>
      <c r="H811" s="16" t="n">
        <f aca="false">IF(D811="","",MAX(0,MIN($B$8,IFERROR(LOOKUP(2,1/($U$24:U810&lt;&gt;""),$U$24:U810),$B$11))))</f>
        <v>47.22</v>
      </c>
      <c r="I811" s="16" t="n">
        <f aca="false" t="array" ref="I811: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>6.97</v>
      </c>
      <c r="J811" s="16" t="n">
        <f aca="false">IF(D811="","",$B$12)</f>
        <v>0.35</v>
      </c>
      <c r="K811" s="16" t="n">
        <f aca="false">IF(J811="","",J811*$B$15)</f>
        <v>0.9072</v>
      </c>
      <c r="L811" s="16" t="n">
        <f aca="false">IF(D811="","",H811+E811-K811-G811*I811)</f>
        <v>44.6520306891774</v>
      </c>
      <c r="M811" s="16" t="n">
        <f aca="false" t="array" ref="M811: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>6.7136068376773</v>
      </c>
      <c r="N811" s="16" t="n">
        <f aca="false">IF(D811="","",(I811+M811)/2)</f>
        <v>6.84180341883865</v>
      </c>
      <c r="O811" s="16" t="n">
        <f aca="false">IF(D811="","",G811*N811)</f>
        <v>1.83839257864195</v>
      </c>
      <c r="P811" s="16" t="n">
        <f aca="false">IF(D811="","",H811+E811-K811-O811)</f>
        <v>44.6864771105354</v>
      </c>
      <c r="Q811" s="16" t="n">
        <f aca="false">IF(D811="","",IF(P811&gt;=0,K811,MAX(0,K811+P811)))</f>
        <v>0.9072</v>
      </c>
      <c r="R811" s="16" t="n">
        <f aca="false">IF(D811="","",Q811/$B$15)</f>
        <v>0.35</v>
      </c>
      <c r="S811" s="16" t="n">
        <f aca="false">IF(D811="","",MAX(0,J811-R811))</f>
        <v>0</v>
      </c>
      <c r="T811" s="16" t="n">
        <f aca="false">IF(D811="","",MAX(0,Z811-$B$8))</f>
        <v>0</v>
      </c>
      <c r="U811" s="16" t="n">
        <f aca="false">IF(D811="","",MAX(0,MIN($B$8,Z811)))</f>
        <v>44.6864771105354</v>
      </c>
      <c r="V811" s="16" t="str">
        <f aca="false">IF(D811="","",IF(S811&gt;0.0000001,"Sim","Não"))</f>
        <v>Não</v>
      </c>
      <c r="W811" s="16" t="n">
        <f aca="false">IF(D811="","",U811-(H811+E811-Q811-O811-T811))</f>
        <v>0</v>
      </c>
      <c r="X811" s="16" t="n">
        <f aca="false">IF(W811="","",ABS(W811))</f>
        <v>0</v>
      </c>
      <c r="Y811" s="16" t="n">
        <f aca="false">IF(U811="","",IF($B$8=0,0,U811/$B$8*100))</f>
        <v>94.6346402171441</v>
      </c>
      <c r="Z811" s="18" t="n">
        <f aca="false">IF(D811="","",MAX(0,IF(P811&gt;=0,P811,IF(K811+P811&gt;=0,0,P811+K811))))</f>
        <v>44.6864771105354</v>
      </c>
      <c r="AA811" s="18" t="n">
        <f aca="false">IF(D811="","",IF(H811&lt;=$B$16,1,IF(H811&gt;=$B$17,$B$21,MATCH(H811,Aux_CAV!$A$2:$A$121,1))))</f>
        <v>14</v>
      </c>
      <c r="AB811" s="18" t="n">
        <f aca="false">IF(D811="","",IF(L811&lt;=$B$16,1,IF(L811&gt;=$B$17,$B$21,MATCH(L811,Aux_CAV!$A$2:$A$121,1))))</f>
        <v>13</v>
      </c>
      <c r="AC811" s="19" t="n">
        <f aca="false">IF(D811="","",COUNT($D$24:D811))</f>
        <v>776</v>
      </c>
    </row>
    <row r="812" customFormat="false" ht="12.75" hidden="false" customHeight="true" outlineLevel="0" collapsed="false">
      <c r="A812" s="14" t="n">
        <f aca="false">IF(D812="","",DATE(B812,C812,1))</f>
        <v>27638</v>
      </c>
      <c r="B812" s="15" t="n">
        <f aca="false" t="array" ref="B812:B812">IF(D812="","",IFERROR(VALUE(INDEX(Vazoes_COLAR!$A$2:$A$200,INT((ROW()-24)/12)+1)),""))</f>
        <v>1975</v>
      </c>
      <c r="C812" s="15" t="n">
        <f aca="false">IF(D812="","",MOD(ROW()-24,12)+1)</f>
        <v>9</v>
      </c>
      <c r="D812" s="16" t="n">
        <f aca="false" t="array" ref="D812: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0.11303490080991</v>
      </c>
      <c r="E812" s="16" t="n">
        <f aca="false">IF(D812="","",D812*$B$15)</f>
        <v>0.292986462899287</v>
      </c>
      <c r="F812" s="16" t="n">
        <f aca="false" t="array" ref="F812:F812">IF(D812="","",IFERROR(INDEX(Dados_Evap!$C$2:$N$15,MATCH($B$9,Dados_Evap!$A$2:$A$15,0),C812),0))</f>
        <v>292.8</v>
      </c>
      <c r="G812" s="16" t="n">
        <f aca="false">IF(F812="","",F812/1000)</f>
        <v>0.2928</v>
      </c>
      <c r="H812" s="16" t="n">
        <f aca="false">IF(D812="","",MAX(0,MIN($B$8,IFERROR(LOOKUP(2,1/($U$24:U811&lt;&gt;""),$U$24:U811),$B$11))))</f>
        <v>44.6864771105354</v>
      </c>
      <c r="I812" s="16" t="n">
        <f aca="false" t="array" ref="I812: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>6.71704606370912</v>
      </c>
      <c r="J812" s="16" t="n">
        <f aca="false">IF(D812="","",$B$12)</f>
        <v>0.35</v>
      </c>
      <c r="K812" s="16" t="n">
        <f aca="false">IF(J812="","",J812*$B$15)</f>
        <v>0.9072</v>
      </c>
      <c r="L812" s="16" t="n">
        <f aca="false">IF(D812="","",H812+E812-K812-G812*I812)</f>
        <v>42.1055124859807</v>
      </c>
      <c r="M812" s="16" t="n">
        <f aca="false" t="array" ref="M812: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>6.45935541330153</v>
      </c>
      <c r="N812" s="16" t="n">
        <f aca="false">IF(D812="","",(I812+M812)/2)</f>
        <v>6.58820073850533</v>
      </c>
      <c r="O812" s="16" t="n">
        <f aca="false">IF(D812="","",G812*N812)</f>
        <v>1.92902517623436</v>
      </c>
      <c r="P812" s="16" t="n">
        <f aca="false">IF(D812="","",H812+E812-K812-O812)</f>
        <v>42.1432383972004</v>
      </c>
      <c r="Q812" s="16" t="n">
        <f aca="false">IF(D812="","",IF(P812&gt;=0,K812,MAX(0,K812+P812)))</f>
        <v>0.9072</v>
      </c>
      <c r="R812" s="16" t="n">
        <f aca="false">IF(D812="","",Q812/$B$15)</f>
        <v>0.35</v>
      </c>
      <c r="S812" s="16" t="n">
        <f aca="false">IF(D812="","",MAX(0,J812-R812))</f>
        <v>0</v>
      </c>
      <c r="T812" s="16" t="n">
        <f aca="false">IF(D812="","",MAX(0,Z812-$B$8))</f>
        <v>0</v>
      </c>
      <c r="U812" s="16" t="n">
        <f aca="false">IF(D812="","",MAX(0,MIN($B$8,Z812)))</f>
        <v>42.1432383972004</v>
      </c>
      <c r="V812" s="16" t="str">
        <f aca="false">IF(D812="","",IF(S812&gt;0.0000001,"Sim","Não"))</f>
        <v>Não</v>
      </c>
      <c r="W812" s="16" t="n">
        <f aca="false">IF(D812="","",U812-(H812+E812-Q812-O812-T812))</f>
        <v>0</v>
      </c>
      <c r="X812" s="16" t="n">
        <f aca="false">IF(W812="","",ABS(W812))</f>
        <v>0</v>
      </c>
      <c r="Y812" s="16" t="n">
        <f aca="false">IF(U812="","",IF($B$8=0,0,U812/$B$8*100))</f>
        <v>89.2487047801786</v>
      </c>
      <c r="Z812" s="18" t="n">
        <f aca="false">IF(D812="","",MAX(0,IF(P812&gt;=0,P812,IF(K812+P812&gt;=0,0,P812+K812))))</f>
        <v>42.1432383972004</v>
      </c>
      <c r="AA812" s="18" t="n">
        <f aca="false">IF(D812="","",IF(H812&lt;=$B$16,1,IF(H812&gt;=$B$17,$B$21,MATCH(H812,Aux_CAV!$A$2:$A$121,1))))</f>
        <v>13</v>
      </c>
      <c r="AB812" s="18" t="n">
        <f aca="false">IF(D812="","",IF(L812&lt;=$B$16,1,IF(L812&gt;=$B$17,$B$21,MATCH(L812,Aux_CAV!$A$2:$A$121,1))))</f>
        <v>13</v>
      </c>
      <c r="AC812" s="19" t="n">
        <f aca="false">IF(D812="","",COUNT($D$24:D812))</f>
        <v>777</v>
      </c>
    </row>
    <row r="813" customFormat="false" ht="12.75" hidden="false" customHeight="true" outlineLevel="0" collapsed="false">
      <c r="A813" s="14" t="n">
        <f aca="false">IF(D813="","",DATE(B813,C813,1))</f>
        <v>27668</v>
      </c>
      <c r="B813" s="15" t="n">
        <f aca="false" t="array" ref="B813:B813">IF(D813="","",IFERROR(VALUE(INDEX(Vazoes_COLAR!$A$2:$A$200,INT((ROW()-24)/12)+1)),""))</f>
        <v>1975</v>
      </c>
      <c r="C813" s="15" t="n">
        <f aca="false">IF(D813="","",MOD(ROW()-24,12)+1)</f>
        <v>10</v>
      </c>
      <c r="D813" s="16" t="n">
        <f aca="false" t="array" ref="D813: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0.0342130115015885</v>
      </c>
      <c r="E813" s="16" t="n">
        <f aca="false">IF(D813="","",D813*$B$15)</f>
        <v>0.0886801258121174</v>
      </c>
      <c r="F813" s="16" t="n">
        <f aca="false" t="array" ref="F813:F813">IF(D813="","",IFERROR(INDEX(Dados_Evap!$C$2:$N$15,MATCH($B$9,Dados_Evap!$A$2:$A$15,0),C813),0))</f>
        <v>262.9</v>
      </c>
      <c r="G813" s="16" t="n">
        <f aca="false">IF(F813="","",F813/1000)</f>
        <v>0.2629</v>
      </c>
      <c r="H813" s="16" t="n">
        <f aca="false">IF(D813="","",MAX(0,MIN($B$8,IFERROR(LOOKUP(2,1/($U$24:U812&lt;&gt;""),$U$24:U812),$B$11))))</f>
        <v>42.1432383972004</v>
      </c>
      <c r="I813" s="16" t="n">
        <f aca="false" t="array" ref="I813: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>6.46312207267645</v>
      </c>
      <c r="J813" s="16" t="n">
        <f aca="false">IF(D813="","",$B$12)</f>
        <v>0.35</v>
      </c>
      <c r="K813" s="16" t="n">
        <f aca="false">IF(J813="","",J813*$B$15)</f>
        <v>0.9072</v>
      </c>
      <c r="L813" s="16" t="n">
        <f aca="false">IF(D813="","",H813+E813-K813-G813*I813)</f>
        <v>39.6255637301058</v>
      </c>
      <c r="M813" s="16" t="n">
        <f aca="false" t="array" ref="M813: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>6.21175046676371</v>
      </c>
      <c r="N813" s="16" t="n">
        <f aca="false">IF(D813="","",(I813+M813)/2)</f>
        <v>6.33743626972008</v>
      </c>
      <c r="O813" s="16" t="n">
        <f aca="false">IF(D813="","",G813*N813)</f>
        <v>1.66611199530941</v>
      </c>
      <c r="P813" s="16" t="n">
        <f aca="false">IF(D813="","",H813+E813-K813-O813)</f>
        <v>39.6586065277031</v>
      </c>
      <c r="Q813" s="16" t="n">
        <f aca="false">IF(D813="","",IF(P813&gt;=0,K813,MAX(0,K813+P813)))</f>
        <v>0.9072</v>
      </c>
      <c r="R813" s="16" t="n">
        <f aca="false">IF(D813="","",Q813/$B$15)</f>
        <v>0.35</v>
      </c>
      <c r="S813" s="16" t="n">
        <f aca="false">IF(D813="","",MAX(0,J813-R813))</f>
        <v>0</v>
      </c>
      <c r="T813" s="16" t="n">
        <f aca="false">IF(D813="","",MAX(0,Z813-$B$8))</f>
        <v>0</v>
      </c>
      <c r="U813" s="16" t="n">
        <f aca="false">IF(D813="","",MAX(0,MIN($B$8,Z813)))</f>
        <v>39.6586065277031</v>
      </c>
      <c r="V813" s="16" t="str">
        <f aca="false">IF(D813="","",IF(S813&gt;0.0000001,"Sim","Não"))</f>
        <v>Não</v>
      </c>
      <c r="W813" s="16" t="n">
        <f aca="false">IF(D813="","",U813-(H813+E813-Q813-O813-T813))</f>
        <v>0</v>
      </c>
      <c r="X813" s="16" t="n">
        <f aca="false">IF(W813="","",ABS(W813))</f>
        <v>0</v>
      </c>
      <c r="Y813" s="16" t="n">
        <f aca="false">IF(U813="","",IF($B$8=0,0,U813/$B$8*100))</f>
        <v>83.9868837943733</v>
      </c>
      <c r="Z813" s="18" t="n">
        <f aca="false">IF(D813="","",MAX(0,IF(P813&gt;=0,P813,IF(K813+P813&gt;=0,0,P813+K813))))</f>
        <v>39.6586065277031</v>
      </c>
      <c r="AA813" s="18" t="n">
        <f aca="false">IF(D813="","",IF(H813&lt;=$B$16,1,IF(H813&gt;=$B$17,$B$21,MATCH(H813,Aux_CAV!$A$2:$A$121,1))))</f>
        <v>13</v>
      </c>
      <c r="AB813" s="18" t="n">
        <f aca="false">IF(D813="","",IF(L813&lt;=$B$16,1,IF(L813&gt;=$B$17,$B$21,MATCH(L813,Aux_CAV!$A$2:$A$121,1))))</f>
        <v>13</v>
      </c>
      <c r="AC813" s="19" t="n">
        <f aca="false">IF(D813="","",COUNT($D$24:D813))</f>
        <v>778</v>
      </c>
    </row>
    <row r="814" customFormat="false" ht="12.75" hidden="false" customHeight="true" outlineLevel="0" collapsed="false">
      <c r="A814" s="14" t="n">
        <f aca="false">IF(D814="","",DATE(B814,C814,1))</f>
        <v>27699</v>
      </c>
      <c r="B814" s="15" t="n">
        <f aca="false" t="array" ref="B814:B814">IF(D814="","",IFERROR(VALUE(INDEX(Vazoes_COLAR!$A$2:$A$200,INT((ROW()-24)/12)+1)),""))</f>
        <v>1975</v>
      </c>
      <c r="C814" s="15" t="n">
        <f aca="false">IF(D814="","",MOD(ROW()-24,12)+1)</f>
        <v>11</v>
      </c>
      <c r="D814" s="16" t="n">
        <f aca="false" t="array" ref="D814: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0.0376059836155338</v>
      </c>
      <c r="E814" s="16" t="n">
        <f aca="false">IF(D814="","",D814*$B$15)</f>
        <v>0.0974747095314636</v>
      </c>
      <c r="F814" s="16" t="n">
        <f aca="false" t="array" ref="F814:F814">IF(D814="","",IFERROR(INDEX(Dados_Evap!$C$2:$N$15,MATCH($B$9,Dados_Evap!$A$2:$A$15,0),C814),0))</f>
        <v>223.7</v>
      </c>
      <c r="G814" s="16" t="n">
        <f aca="false">IF(F814="","",F814/1000)</f>
        <v>0.2237</v>
      </c>
      <c r="H814" s="16" t="n">
        <f aca="false">IF(D814="","",MAX(0,MIN($B$8,IFERROR(LOOKUP(2,1/($U$24:U813&lt;&gt;""),$U$24:U813),$B$11))))</f>
        <v>39.6586065277031</v>
      </c>
      <c r="I814" s="16" t="n">
        <f aca="false" t="array" ref="I814: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>6.21504955111501</v>
      </c>
      <c r="J814" s="16" t="n">
        <f aca="false">IF(D814="","",$B$12)</f>
        <v>0.35</v>
      </c>
      <c r="K814" s="16" t="n">
        <f aca="false">IF(J814="","",J814*$B$15)</f>
        <v>0.9072</v>
      </c>
      <c r="L814" s="16" t="n">
        <f aca="false">IF(D814="","",H814+E814-K814-G814*I814)</f>
        <v>37.4585746526501</v>
      </c>
      <c r="M814" s="16" t="n">
        <f aca="false" t="array" ref="M814: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>5.9953922805712</v>
      </c>
      <c r="N814" s="16" t="n">
        <f aca="false">IF(D814="","",(I814+M814)/2)</f>
        <v>6.1052209158431</v>
      </c>
      <c r="O814" s="16" t="n">
        <f aca="false">IF(D814="","",G814*N814)</f>
        <v>1.3657379188741</v>
      </c>
      <c r="P814" s="16" t="n">
        <f aca="false">IF(D814="","",H814+E814-K814-O814)</f>
        <v>37.4831433183604</v>
      </c>
      <c r="Q814" s="16" t="n">
        <f aca="false">IF(D814="","",IF(P814&gt;=0,K814,MAX(0,K814+P814)))</f>
        <v>0.9072</v>
      </c>
      <c r="R814" s="16" t="n">
        <f aca="false">IF(D814="","",Q814/$B$15)</f>
        <v>0.35</v>
      </c>
      <c r="S814" s="16" t="n">
        <f aca="false">IF(D814="","",MAX(0,J814-R814))</f>
        <v>0</v>
      </c>
      <c r="T814" s="16" t="n">
        <f aca="false">IF(D814="","",MAX(0,Z814-$B$8))</f>
        <v>0</v>
      </c>
      <c r="U814" s="16" t="n">
        <f aca="false">IF(D814="","",MAX(0,MIN($B$8,Z814)))</f>
        <v>37.4831433183604</v>
      </c>
      <c r="V814" s="16" t="str">
        <f aca="false">IF(D814="","",IF(S814&gt;0.0000001,"Sim","Não"))</f>
        <v>Não</v>
      </c>
      <c r="W814" s="16" t="n">
        <f aca="false">IF(D814="","",U814-(H814+E814-Q814-O814-T814))</f>
        <v>0</v>
      </c>
      <c r="X814" s="16" t="n">
        <f aca="false">IF(W814="","",ABS(W814))</f>
        <v>0</v>
      </c>
      <c r="Y814" s="16" t="n">
        <f aca="false">IF(U814="","",IF($B$8=0,0,U814/$B$8*100))</f>
        <v>79.379803723762</v>
      </c>
      <c r="Z814" s="18" t="n">
        <f aca="false">IF(D814="","",MAX(0,IF(P814&gt;=0,P814,IF(K814+P814&gt;=0,0,P814+K814))))</f>
        <v>37.4831433183604</v>
      </c>
      <c r="AA814" s="18" t="n">
        <f aca="false">IF(D814="","",IF(H814&lt;=$B$16,1,IF(H814&gt;=$B$17,$B$21,MATCH(H814,Aux_CAV!$A$2:$A$121,1))))</f>
        <v>13</v>
      </c>
      <c r="AB814" s="18" t="n">
        <f aca="false">IF(D814="","",IF(L814&lt;=$B$16,1,IF(L814&gt;=$B$17,$B$21,MATCH(L814,Aux_CAV!$A$2:$A$121,1))))</f>
        <v>13</v>
      </c>
      <c r="AC814" s="19" t="n">
        <f aca="false">IF(D814="","",COUNT($D$24:D814))</f>
        <v>779</v>
      </c>
    </row>
    <row r="815" customFormat="false" ht="12.75" hidden="false" customHeight="true" outlineLevel="0" collapsed="false">
      <c r="A815" s="14" t="n">
        <f aca="false">IF(D815="","",DATE(B815,C815,1))</f>
        <v>27729</v>
      </c>
      <c r="B815" s="15" t="n">
        <f aca="false" t="array" ref="B815:B815">IF(D815="","",IFERROR(VALUE(INDEX(Vazoes_COLAR!$A$2:$A$200,INT((ROW()-24)/12)+1)),""))</f>
        <v>1975</v>
      </c>
      <c r="C815" s="15" t="n">
        <f aca="false">IF(D815="","",MOD(ROW()-24,12)+1)</f>
        <v>12</v>
      </c>
      <c r="D815" s="16" t="n">
        <f aca="false" t="array" ref="D815: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0.142918277271655</v>
      </c>
      <c r="E815" s="16" t="n">
        <f aca="false">IF(D815="","",D815*$B$15)</f>
        <v>0.37044417468813</v>
      </c>
      <c r="F815" s="16" t="n">
        <f aca="false" t="array" ref="F815:F815">IF(D815="","",IFERROR(INDEX(Dados_Evap!$C$2:$N$15,MATCH($B$9,Dados_Evap!$A$2:$A$15,0),C815),0))</f>
        <v>216.1</v>
      </c>
      <c r="G815" s="16" t="n">
        <f aca="false">IF(F815="","",F815/1000)</f>
        <v>0.2161</v>
      </c>
      <c r="H815" s="16" t="n">
        <f aca="false">IF(D815="","",MAX(0,MIN($B$8,IFERROR(LOOKUP(2,1/($U$24:U814&lt;&gt;""),$U$24:U814),$B$11))))</f>
        <v>37.4831433183604</v>
      </c>
      <c r="I815" s="16" t="n">
        <f aca="false" t="array" ref="I815: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>5.99784528414448</v>
      </c>
      <c r="J815" s="16" t="n">
        <f aca="false">IF(D815="","",$B$12)</f>
        <v>0.35</v>
      </c>
      <c r="K815" s="16" t="n">
        <f aca="false">IF(J815="","",J815*$B$15)</f>
        <v>0.9072</v>
      </c>
      <c r="L815" s="16" t="n">
        <f aca="false">IF(D815="","",H815+E815-K815-G815*I815)</f>
        <v>35.6502531271449</v>
      </c>
      <c r="M815" s="16" t="n">
        <f aca="false" t="array" ref="M815: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>5.81484445530457</v>
      </c>
      <c r="N815" s="16" t="n">
        <f aca="false">IF(D815="","",(I815+M815)/2)</f>
        <v>5.90634486972452</v>
      </c>
      <c r="O815" s="16" t="n">
        <f aca="false">IF(D815="","",G815*N815)</f>
        <v>1.27636112634747</v>
      </c>
      <c r="P815" s="16" t="n">
        <f aca="false">IF(D815="","",H815+E815-K815-O815)</f>
        <v>35.6700263667011</v>
      </c>
      <c r="Q815" s="16" t="n">
        <f aca="false">IF(D815="","",IF(P815&gt;=0,K815,MAX(0,K815+P815)))</f>
        <v>0.9072</v>
      </c>
      <c r="R815" s="16" t="n">
        <f aca="false">IF(D815="","",Q815/$B$15)</f>
        <v>0.35</v>
      </c>
      <c r="S815" s="16" t="n">
        <f aca="false">IF(D815="","",MAX(0,J815-R815))</f>
        <v>0</v>
      </c>
      <c r="T815" s="16" t="n">
        <f aca="false">IF(D815="","",MAX(0,Z815-$B$8))</f>
        <v>0</v>
      </c>
      <c r="U815" s="16" t="n">
        <f aca="false">IF(D815="","",MAX(0,MIN($B$8,Z815)))</f>
        <v>35.6700263667011</v>
      </c>
      <c r="V815" s="16" t="str">
        <f aca="false">IF(D815="","",IF(S815&gt;0.0000001,"Sim","Não"))</f>
        <v>Não</v>
      </c>
      <c r="W815" s="16" t="n">
        <f aca="false">IF(D815="","",U815-(H815+E815-Q815-O815-T815))</f>
        <v>0</v>
      </c>
      <c r="X815" s="16" t="n">
        <f aca="false">IF(W815="","",ABS(W815))</f>
        <v>0</v>
      </c>
      <c r="Y815" s="16" t="n">
        <f aca="false">IF(U815="","",IF($B$8=0,0,U815/$B$8*100))</f>
        <v>75.5400812509553</v>
      </c>
      <c r="Z815" s="18" t="n">
        <f aca="false">IF(D815="","",MAX(0,IF(P815&gt;=0,P815,IF(K815+P815&gt;=0,0,P815+K815))))</f>
        <v>35.6700263667011</v>
      </c>
      <c r="AA815" s="18" t="n">
        <f aca="false">IF(D815="","",IF(H815&lt;=$B$16,1,IF(H815&gt;=$B$17,$B$21,MATCH(H815,Aux_CAV!$A$2:$A$121,1))))</f>
        <v>13</v>
      </c>
      <c r="AB815" s="18" t="n">
        <f aca="false">IF(D815="","",IF(L815&lt;=$B$16,1,IF(L815&gt;=$B$17,$B$21,MATCH(L815,Aux_CAV!$A$2:$A$121,1))))</f>
        <v>13</v>
      </c>
      <c r="AC815" s="19" t="n">
        <f aca="false">IF(D815="","",COUNT($D$24:D815))</f>
        <v>780</v>
      </c>
    </row>
    <row r="816" customFormat="false" ht="12.75" hidden="false" customHeight="true" outlineLevel="0" collapsed="false">
      <c r="A816" s="14" t="n">
        <f aca="false">IF(D816="","",DATE(B816,C816,1))</f>
        <v>27760</v>
      </c>
      <c r="B816" s="15" t="n">
        <f aca="false" t="array" ref="B816:B816">IF(D816="","",IFERROR(VALUE(INDEX(Vazoes_COLAR!$A$2:$A$200,INT((ROW()-24)/12)+1)),""))</f>
        <v>1976</v>
      </c>
      <c r="C816" s="15" t="n">
        <f aca="false">IF(D816="","",MOD(ROW()-24,12)+1)</f>
        <v>1</v>
      </c>
      <c r="D816" s="16" t="n">
        <f aca="false" t="array" ref="D816: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0.11238986564101</v>
      </c>
      <c r="E816" s="16" t="n">
        <f aca="false">IF(D816="","",D816*$B$15)</f>
        <v>0.291314531741498</v>
      </c>
      <c r="F816" s="16" t="n">
        <f aca="false" t="array" ref="F816:F816">IF(D816="","",IFERROR(INDEX(Dados_Evap!$C$2:$N$15,MATCH($B$9,Dados_Evap!$A$2:$A$15,0),C816),0))</f>
        <v>160</v>
      </c>
      <c r="G816" s="16" t="n">
        <f aca="false">IF(F816="","",F816/1000)</f>
        <v>0.16</v>
      </c>
      <c r="H816" s="16" t="n">
        <f aca="false">IF(D816="","",MAX(0,MIN($B$8,IFERROR(LOOKUP(2,1/($U$24:U815&lt;&gt;""),$U$24:U815),$B$11))))</f>
        <v>35.6700263667011</v>
      </c>
      <c r="I816" s="16" t="n">
        <f aca="false" t="array" ref="I816: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>5.81681867026025</v>
      </c>
      <c r="J816" s="16" t="n">
        <f aca="false">IF(D816="","",$B$12)</f>
        <v>0.35</v>
      </c>
      <c r="K816" s="16" t="n">
        <f aca="false">IF(J816="","",J816*$B$15)</f>
        <v>0.9072</v>
      </c>
      <c r="L816" s="16" t="n">
        <f aca="false">IF(D816="","",H816+E816-K816-G816*I816)</f>
        <v>34.1234499112009</v>
      </c>
      <c r="M816" s="16" t="n">
        <f aca="false" t="array" ref="M816: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>5.66088266067816</v>
      </c>
      <c r="N816" s="16" t="n">
        <f aca="false">IF(D816="","",(I816+M816)/2)</f>
        <v>5.7388506654692</v>
      </c>
      <c r="O816" s="16" t="n">
        <f aca="false">IF(D816="","",G816*N816)</f>
        <v>0.918216106475073</v>
      </c>
      <c r="P816" s="16" t="n">
        <f aca="false">IF(D816="","",H816+E816-K816-O816)</f>
        <v>34.1359247919675</v>
      </c>
      <c r="Q816" s="16" t="n">
        <f aca="false">IF(D816="","",IF(P816&gt;=0,K816,MAX(0,K816+P816)))</f>
        <v>0.9072</v>
      </c>
      <c r="R816" s="16" t="n">
        <f aca="false">IF(D816="","",Q816/$B$15)</f>
        <v>0.35</v>
      </c>
      <c r="S816" s="16" t="n">
        <f aca="false">IF(D816="","",MAX(0,J816-R816))</f>
        <v>0</v>
      </c>
      <c r="T816" s="16" t="n">
        <f aca="false">IF(D816="","",MAX(0,Z816-$B$8))</f>
        <v>0</v>
      </c>
      <c r="U816" s="16" t="n">
        <f aca="false">IF(D816="","",MAX(0,MIN($B$8,Z816)))</f>
        <v>34.1359247919675</v>
      </c>
      <c r="V816" s="16" t="str">
        <f aca="false">IF(D816="","",IF(S816&gt;0.0000001,"Sim","Não"))</f>
        <v>Não</v>
      </c>
      <c r="W816" s="16" t="n">
        <f aca="false">IF(D816="","",U816-(H816+E816-Q816-O816-T816))</f>
        <v>0</v>
      </c>
      <c r="X816" s="16" t="n">
        <f aca="false">IF(W816="","",ABS(W816))</f>
        <v>0</v>
      </c>
      <c r="Y816" s="16" t="n">
        <f aca="false">IF(U816="","",IF($B$8=0,0,U816/$B$8*100))</f>
        <v>72.291242676763</v>
      </c>
      <c r="Z816" s="18" t="n">
        <f aca="false">IF(D816="","",MAX(0,IF(P816&gt;=0,P816,IF(K816+P816&gt;=0,0,P816+K816))))</f>
        <v>34.1359247919675</v>
      </c>
      <c r="AA816" s="18" t="n">
        <f aca="false">IF(D816="","",IF(H816&lt;=$B$16,1,IF(H816&gt;=$B$17,$B$21,MATCH(H816,Aux_CAV!$A$2:$A$121,1))))</f>
        <v>13</v>
      </c>
      <c r="AB816" s="18" t="n">
        <f aca="false">IF(D816="","",IF(L816&lt;=$B$16,1,IF(L816&gt;=$B$17,$B$21,MATCH(L816,Aux_CAV!$A$2:$A$121,1))))</f>
        <v>12</v>
      </c>
      <c r="AC816" s="19" t="n">
        <f aca="false">IF(D816="","",COUNT($D$24:D816))</f>
        <v>781</v>
      </c>
    </row>
    <row r="817" customFormat="false" ht="12.75" hidden="false" customHeight="true" outlineLevel="0" collapsed="false">
      <c r="A817" s="14" t="n">
        <f aca="false">IF(D817="","",DATE(B817,C817,1))</f>
        <v>27791</v>
      </c>
      <c r="B817" s="15" t="n">
        <f aca="false" t="array" ref="B817:B817">IF(D817="","",IFERROR(VALUE(INDEX(Vazoes_COLAR!$A$2:$A$200,INT((ROW()-24)/12)+1)),""))</f>
        <v>1976</v>
      </c>
      <c r="C817" s="15" t="n">
        <f aca="false">IF(D817="","",MOD(ROW()-24,12)+1)</f>
        <v>2</v>
      </c>
      <c r="D817" s="16" t="n">
        <f aca="false" t="array" ref="D817: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0.926391770901658</v>
      </c>
      <c r="E817" s="16" t="n">
        <f aca="false">IF(D817="","",D817*$B$15)</f>
        <v>2.4012074701771</v>
      </c>
      <c r="F817" s="16" t="n">
        <f aca="false" t="array" ref="F817:F817">IF(D817="","",IFERROR(INDEX(Dados_Evap!$C$2:$N$15,MATCH($B$9,Dados_Evap!$A$2:$A$15,0),C817),0))</f>
        <v>124.3</v>
      </c>
      <c r="G817" s="16" t="n">
        <f aca="false">IF(F817="","",F817/1000)</f>
        <v>0.1243</v>
      </c>
      <c r="H817" s="16" t="n">
        <f aca="false">IF(D817="","",MAX(0,MIN($B$8,IFERROR(LOOKUP(2,1/($U$24:U816&lt;&gt;""),$U$24:U816),$B$11))))</f>
        <v>34.1359247919675</v>
      </c>
      <c r="I817" s="16" t="n">
        <f aca="false" t="array" ref="I817: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>5.66217859489371</v>
      </c>
      <c r="J817" s="16" t="n">
        <f aca="false">IF(D817="","",$B$12)</f>
        <v>0.35</v>
      </c>
      <c r="K817" s="16" t="n">
        <f aca="false">IF(J817="","",J817*$B$15)</f>
        <v>0.9072</v>
      </c>
      <c r="L817" s="16" t="n">
        <f aca="false">IF(D817="","",H817+E817-K817-G817*I817)</f>
        <v>34.9261234627993</v>
      </c>
      <c r="M817" s="16" t="n">
        <f aca="false" t="array" ref="M817: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>5.74254534573547</v>
      </c>
      <c r="N817" s="16" t="n">
        <f aca="false">IF(D817="","",(I817+M817)/2)</f>
        <v>5.70236197031459</v>
      </c>
      <c r="O817" s="16" t="n">
        <f aca="false">IF(D817="","",G817*N817)</f>
        <v>0.708803592910103</v>
      </c>
      <c r="P817" s="16" t="n">
        <f aca="false">IF(D817="","",H817+E817-K817-O817)</f>
        <v>34.9211286692345</v>
      </c>
      <c r="Q817" s="16" t="n">
        <f aca="false">IF(D817="","",IF(P817&gt;=0,K817,MAX(0,K817+P817)))</f>
        <v>0.9072</v>
      </c>
      <c r="R817" s="16" t="n">
        <f aca="false">IF(D817="","",Q817/$B$15)</f>
        <v>0.35</v>
      </c>
      <c r="S817" s="16" t="n">
        <f aca="false">IF(D817="","",MAX(0,J817-R817))</f>
        <v>0</v>
      </c>
      <c r="T817" s="16" t="n">
        <f aca="false">IF(D817="","",MAX(0,Z817-$B$8))</f>
        <v>0</v>
      </c>
      <c r="U817" s="16" t="n">
        <f aca="false">IF(D817="","",MAX(0,MIN($B$8,Z817)))</f>
        <v>34.9211286692345</v>
      </c>
      <c r="V817" s="16" t="str">
        <f aca="false">IF(D817="","",IF(S817&gt;0.0000001,"Sim","Não"))</f>
        <v>Não</v>
      </c>
      <c r="W817" s="16" t="n">
        <f aca="false">IF(D817="","",U817-(H817+E817-Q817-O817-T817))</f>
        <v>0</v>
      </c>
      <c r="X817" s="16" t="n">
        <f aca="false">IF(W817="","",ABS(W817))</f>
        <v>0</v>
      </c>
      <c r="Y817" s="16" t="n">
        <f aca="false">IF(U817="","",IF($B$8=0,0,U817/$B$8*100))</f>
        <v>73.9541056104077</v>
      </c>
      <c r="Z817" s="18" t="n">
        <f aca="false">IF(D817="","",MAX(0,IF(P817&gt;=0,P817,IF(K817+P817&gt;=0,0,P817+K817))))</f>
        <v>34.9211286692345</v>
      </c>
      <c r="AA817" s="18" t="n">
        <f aca="false">IF(D817="","",IF(H817&lt;=$B$16,1,IF(H817&gt;=$B$17,$B$21,MATCH(H817,Aux_CAV!$A$2:$A$121,1))))</f>
        <v>12</v>
      </c>
      <c r="AB817" s="18" t="n">
        <f aca="false">IF(D817="","",IF(L817&lt;=$B$16,1,IF(L817&gt;=$B$17,$B$21,MATCH(L817,Aux_CAV!$A$2:$A$121,1))))</f>
        <v>13</v>
      </c>
      <c r="AC817" s="19" t="n">
        <f aca="false">IF(D817="","",COUNT($D$24:D817))</f>
        <v>782</v>
      </c>
    </row>
    <row r="818" customFormat="false" ht="12.75" hidden="false" customHeight="true" outlineLevel="0" collapsed="false">
      <c r="A818" s="14" t="n">
        <f aca="false">IF(D818="","",DATE(B818,C818,1))</f>
        <v>27820</v>
      </c>
      <c r="B818" s="15" t="n">
        <f aca="false" t="array" ref="B818:B818">IF(D818="","",IFERROR(VALUE(INDEX(Vazoes_COLAR!$A$2:$A$200,INT((ROW()-24)/12)+1)),""))</f>
        <v>1976</v>
      </c>
      <c r="C818" s="15" t="n">
        <f aca="false">IF(D818="","",MOD(ROW()-24,12)+1)</f>
        <v>3</v>
      </c>
      <c r="D818" s="16" t="n">
        <f aca="false" t="array" ref="D818: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2.51614174029196</v>
      </c>
      <c r="E818" s="16" t="n">
        <f aca="false">IF(D818="","",D818*$B$15)</f>
        <v>6.52183939083676</v>
      </c>
      <c r="F818" s="16" t="n">
        <f aca="false" t="array" ref="F818:F818">IF(D818="","",IFERROR(INDEX(Dados_Evap!$C$2:$N$15,MATCH($B$9,Dados_Evap!$A$2:$A$15,0),C818),0))</f>
        <v>107.7</v>
      </c>
      <c r="G818" s="16" t="n">
        <f aca="false">IF(F818="","",F818/1000)</f>
        <v>0.1077</v>
      </c>
      <c r="H818" s="16" t="n">
        <f aca="false">IF(D818="","",MAX(0,MIN($B$8,IFERROR(LOOKUP(2,1/($U$24:U817&lt;&gt;""),$U$24:U817),$B$11))))</f>
        <v>34.9211286692345</v>
      </c>
      <c r="I818" s="16" t="n">
        <f aca="false" t="array" ref="I818: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>5.74204665172389</v>
      </c>
      <c r="J818" s="16" t="n">
        <f aca="false">IF(D818="","",$B$12)</f>
        <v>0.35</v>
      </c>
      <c r="K818" s="16" t="n">
        <f aca="false">IF(J818="","",J818*$B$15)</f>
        <v>0.9072</v>
      </c>
      <c r="L818" s="16" t="n">
        <f aca="false">IF(D818="","",H818+E818-K818-G818*I818)</f>
        <v>39.9173496356806</v>
      </c>
      <c r="M818" s="16" t="n">
        <f aca="false" t="array" ref="M818: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>6.24088317903415</v>
      </c>
      <c r="N818" s="16" t="n">
        <f aca="false">IF(D818="","",(I818+M818)/2)</f>
        <v>5.99146491537902</v>
      </c>
      <c r="O818" s="16" t="n">
        <f aca="false">IF(D818="","",G818*N818)</f>
        <v>0.64528077138632</v>
      </c>
      <c r="P818" s="16" t="n">
        <f aca="false">IF(D818="","",H818+E818-K818-O818)</f>
        <v>39.8904872886849</v>
      </c>
      <c r="Q818" s="16" t="n">
        <f aca="false">IF(D818="","",IF(P818&gt;=0,K818,MAX(0,K818+P818)))</f>
        <v>0.9072</v>
      </c>
      <c r="R818" s="16" t="n">
        <f aca="false">IF(D818="","",Q818/$B$15)</f>
        <v>0.35</v>
      </c>
      <c r="S818" s="16" t="n">
        <f aca="false">IF(D818="","",MAX(0,J818-R818))</f>
        <v>0</v>
      </c>
      <c r="T818" s="16" t="n">
        <f aca="false">IF(D818="","",MAX(0,Z818-$B$8))</f>
        <v>0</v>
      </c>
      <c r="U818" s="16" t="n">
        <f aca="false">IF(D818="","",MAX(0,MIN($B$8,Z818)))</f>
        <v>39.8904872886849</v>
      </c>
      <c r="V818" s="16" t="str">
        <f aca="false">IF(D818="","",IF(S818&gt;0.0000001,"Sim","Não"))</f>
        <v>Não</v>
      </c>
      <c r="W818" s="16" t="n">
        <f aca="false">IF(D818="","",U818-(H818+E818-Q818-O818-T818))</f>
        <v>0</v>
      </c>
      <c r="X818" s="16" t="n">
        <f aca="false">IF(W818="","",ABS(W818))</f>
        <v>0</v>
      </c>
      <c r="Y818" s="16" t="n">
        <f aca="false">IF(U818="","",IF($B$8=0,0,U818/$B$8*100))</f>
        <v>84.4779485147923</v>
      </c>
      <c r="Z818" s="18" t="n">
        <f aca="false">IF(D818="","",MAX(0,IF(P818&gt;=0,P818,IF(K818+P818&gt;=0,0,P818+K818))))</f>
        <v>39.8904872886849</v>
      </c>
      <c r="AA818" s="18" t="n">
        <f aca="false">IF(D818="","",IF(H818&lt;=$B$16,1,IF(H818&gt;=$B$17,$B$21,MATCH(H818,Aux_CAV!$A$2:$A$121,1))))</f>
        <v>13</v>
      </c>
      <c r="AB818" s="18" t="n">
        <f aca="false">IF(D818="","",IF(L818&lt;=$B$16,1,IF(L818&gt;=$B$17,$B$21,MATCH(L818,Aux_CAV!$A$2:$A$121,1))))</f>
        <v>13</v>
      </c>
      <c r="AC818" s="19" t="n">
        <f aca="false">IF(D818="","",COUNT($D$24:D818))</f>
        <v>783</v>
      </c>
    </row>
    <row r="819" customFormat="false" ht="12.75" hidden="false" customHeight="true" outlineLevel="0" collapsed="false">
      <c r="A819" s="14" t="n">
        <f aca="false">IF(D819="","",DATE(B819,C819,1))</f>
        <v>27851</v>
      </c>
      <c r="B819" s="15" t="n">
        <f aca="false" t="array" ref="B819:B819">IF(D819="","",IFERROR(VALUE(INDEX(Vazoes_COLAR!$A$2:$A$200,INT((ROW()-24)/12)+1)),""))</f>
        <v>1976</v>
      </c>
      <c r="C819" s="15" t="n">
        <f aca="false">IF(D819="","",MOD(ROW()-24,12)+1)</f>
        <v>4</v>
      </c>
      <c r="D819" s="16" t="n">
        <f aca="false" t="array" ref="D819: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1.49292423776541</v>
      </c>
      <c r="E819" s="16" t="n">
        <f aca="false">IF(D819="","",D819*$B$15)</f>
        <v>3.86965962428794</v>
      </c>
      <c r="F819" s="16" t="n">
        <f aca="false" t="array" ref="F819:F819">IF(D819="","",IFERROR(INDEX(Dados_Evap!$C$2:$N$15,MATCH($B$9,Dados_Evap!$A$2:$A$15,0),C819),0))</f>
        <v>100.5</v>
      </c>
      <c r="G819" s="16" t="n">
        <f aca="false">IF(F819="","",F819/1000)</f>
        <v>0.1005</v>
      </c>
      <c r="H819" s="16" t="n">
        <f aca="false">IF(D819="","",MAX(0,MIN($B$8,IFERROR(LOOKUP(2,1/($U$24:U818&lt;&gt;""),$U$24:U818),$B$11))))</f>
        <v>39.8904872886849</v>
      </c>
      <c r="I819" s="16" t="n">
        <f aca="false" t="array" ref="I819: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>6.23820116797405</v>
      </c>
      <c r="J819" s="16" t="n">
        <f aca="false">IF(D819="","",$B$12)</f>
        <v>0.35</v>
      </c>
      <c r="K819" s="16" t="n">
        <f aca="false">IF(J819="","",J819*$B$15)</f>
        <v>0.9072</v>
      </c>
      <c r="L819" s="16" t="n">
        <f aca="false">IF(D819="","",H819+E819-K819-G819*I819)</f>
        <v>42.2260076955915</v>
      </c>
      <c r="M819" s="16" t="n">
        <f aca="false" t="array" ref="M819: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>6.47138598847494</v>
      </c>
      <c r="N819" s="16" t="n">
        <f aca="false">IF(D819="","",(I819+M819)/2)</f>
        <v>6.35479357822449</v>
      </c>
      <c r="O819" s="16" t="n">
        <f aca="false">IF(D819="","",G819*N819)</f>
        <v>0.638656754611562</v>
      </c>
      <c r="P819" s="16" t="n">
        <f aca="false">IF(D819="","",H819+E819-K819-O819)</f>
        <v>42.2142901583613</v>
      </c>
      <c r="Q819" s="16" t="n">
        <f aca="false">IF(D819="","",IF(P819&gt;=0,K819,MAX(0,K819+P819)))</f>
        <v>0.9072</v>
      </c>
      <c r="R819" s="16" t="n">
        <f aca="false">IF(D819="","",Q819/$B$15)</f>
        <v>0.35</v>
      </c>
      <c r="S819" s="16" t="n">
        <f aca="false">IF(D819="","",MAX(0,J819-R819))</f>
        <v>0</v>
      </c>
      <c r="T819" s="16" t="n">
        <f aca="false">IF(D819="","",MAX(0,Z819-$B$8))</f>
        <v>0</v>
      </c>
      <c r="U819" s="16" t="n">
        <f aca="false">IF(D819="","",MAX(0,MIN($B$8,Z819)))</f>
        <v>42.2142901583613</v>
      </c>
      <c r="V819" s="16" t="str">
        <f aca="false">IF(D819="","",IF(S819&gt;0.0000001,"Sim","Não"))</f>
        <v>Não</v>
      </c>
      <c r="W819" s="16" t="n">
        <f aca="false">IF(D819="","",U819-(H819+E819-Q819-O819-T819))</f>
        <v>0</v>
      </c>
      <c r="X819" s="16" t="n">
        <f aca="false">IF(W819="","",ABS(W819))</f>
        <v>0</v>
      </c>
      <c r="Y819" s="16" t="n">
        <f aca="false">IF(U819="","",IF($B$8=0,0,U819/$B$8*100))</f>
        <v>89.3991744141493</v>
      </c>
      <c r="Z819" s="18" t="n">
        <f aca="false">IF(D819="","",MAX(0,IF(P819&gt;=0,P819,IF(K819+P819&gt;=0,0,P819+K819))))</f>
        <v>42.2142901583613</v>
      </c>
      <c r="AA819" s="18" t="n">
        <f aca="false">IF(D819="","",IF(H819&lt;=$B$16,1,IF(H819&gt;=$B$17,$B$21,MATCH(H819,Aux_CAV!$A$2:$A$121,1))))</f>
        <v>13</v>
      </c>
      <c r="AB819" s="18" t="n">
        <f aca="false">IF(D819="","",IF(L819&lt;=$B$16,1,IF(L819&gt;=$B$17,$B$21,MATCH(L819,Aux_CAV!$A$2:$A$121,1))))</f>
        <v>13</v>
      </c>
      <c r="AC819" s="19" t="n">
        <f aca="false">IF(D819="","",COUNT($D$24:D819))</f>
        <v>784</v>
      </c>
    </row>
    <row r="820" customFormat="false" ht="12.75" hidden="false" customHeight="true" outlineLevel="0" collapsed="false">
      <c r="A820" s="14" t="n">
        <f aca="false">IF(D820="","",DATE(B820,C820,1))</f>
        <v>27881</v>
      </c>
      <c r="B820" s="15" t="n">
        <f aca="false" t="array" ref="B820:B820">IF(D820="","",IFERROR(VALUE(INDEX(Vazoes_COLAR!$A$2:$A$200,INT((ROW()-24)/12)+1)),""))</f>
        <v>1976</v>
      </c>
      <c r="C820" s="15" t="n">
        <f aca="false">IF(D820="","",MOD(ROW()-24,12)+1)</f>
        <v>5</v>
      </c>
      <c r="D820" s="16" t="n">
        <f aca="false" t="array" ref="D820: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0.252449241072623</v>
      </c>
      <c r="E820" s="16" t="n">
        <f aca="false">IF(D820="","",D820*$B$15)</f>
        <v>0.654348432860239</v>
      </c>
      <c r="F820" s="16" t="n">
        <f aca="false" t="array" ref="F820:F820">IF(D820="","",IFERROR(INDEX(Dados_Evap!$C$2:$N$15,MATCH($B$9,Dados_Evap!$A$2:$A$15,0),C820),0))</f>
        <v>145.8</v>
      </c>
      <c r="G820" s="16" t="n">
        <f aca="false">IF(F820="","",F820/1000)</f>
        <v>0.1458</v>
      </c>
      <c r="H820" s="16" t="n">
        <f aca="false">IF(D820="","",MAX(0,MIN($B$8,IFERROR(LOOKUP(2,1/($U$24:U819&lt;&gt;""),$U$24:U819),$B$11))))</f>
        <v>42.2142901583613</v>
      </c>
      <c r="I820" s="16" t="n">
        <f aca="false" t="array" ref="I820: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>6.47021607713199</v>
      </c>
      <c r="J820" s="16" t="n">
        <f aca="false">IF(D820="","",$B$12)</f>
        <v>0.35</v>
      </c>
      <c r="K820" s="16" t="n">
        <f aca="false">IF(J820="","",J820*$B$15)</f>
        <v>0.9072</v>
      </c>
      <c r="L820" s="16" t="n">
        <f aca="false">IF(D820="","",H820+E820-K820-G820*I820)</f>
        <v>41.0180810871757</v>
      </c>
      <c r="M820" s="16" t="n">
        <f aca="false" t="array" ref="M820: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>6.35078325320072</v>
      </c>
      <c r="N820" s="16" t="n">
        <f aca="false">IF(D820="","",(I820+M820)/2)</f>
        <v>6.41049966516635</v>
      </c>
      <c r="O820" s="16" t="n">
        <f aca="false">IF(D820="","",G820*N820)</f>
        <v>0.934650851181254</v>
      </c>
      <c r="P820" s="16" t="n">
        <f aca="false">IF(D820="","",H820+E820-K820-O820)</f>
        <v>41.0267877400403</v>
      </c>
      <c r="Q820" s="16" t="n">
        <f aca="false">IF(D820="","",IF(P820&gt;=0,K820,MAX(0,K820+P820)))</f>
        <v>0.9072</v>
      </c>
      <c r="R820" s="16" t="n">
        <f aca="false">IF(D820="","",Q820/$B$15)</f>
        <v>0.35</v>
      </c>
      <c r="S820" s="16" t="n">
        <f aca="false">IF(D820="","",MAX(0,J820-R820))</f>
        <v>0</v>
      </c>
      <c r="T820" s="16" t="n">
        <f aca="false">IF(D820="","",MAX(0,Z820-$B$8))</f>
        <v>0</v>
      </c>
      <c r="U820" s="16" t="n">
        <f aca="false">IF(D820="","",MAX(0,MIN($B$8,Z820)))</f>
        <v>41.0267877400403</v>
      </c>
      <c r="V820" s="16" t="str">
        <f aca="false">IF(D820="","",IF(S820&gt;0.0000001,"Sim","Não"))</f>
        <v>Não</v>
      </c>
      <c r="W820" s="16" t="n">
        <f aca="false">IF(D820="","",U820-(H820+E820-Q820-O820-T820))</f>
        <v>0</v>
      </c>
      <c r="X820" s="16" t="n">
        <f aca="false">IF(W820="","",ABS(W820))</f>
        <v>0</v>
      </c>
      <c r="Y820" s="16" t="n">
        <f aca="false">IF(U820="","",IF($B$8=0,0,U820/$B$8*100))</f>
        <v>86.8843450657355</v>
      </c>
      <c r="Z820" s="18" t="n">
        <f aca="false">IF(D820="","",MAX(0,IF(P820&gt;=0,P820,IF(K820+P820&gt;=0,0,P820+K820))))</f>
        <v>41.0267877400403</v>
      </c>
      <c r="AA820" s="18" t="n">
        <f aca="false">IF(D820="","",IF(H820&lt;=$B$16,1,IF(H820&gt;=$B$17,$B$21,MATCH(H820,Aux_CAV!$A$2:$A$121,1))))</f>
        <v>13</v>
      </c>
      <c r="AB820" s="18" t="n">
        <f aca="false">IF(D820="","",IF(L820&lt;=$B$16,1,IF(L820&gt;=$B$17,$B$21,MATCH(L820,Aux_CAV!$A$2:$A$121,1))))</f>
        <v>13</v>
      </c>
      <c r="AC820" s="19" t="n">
        <f aca="false">IF(D820="","",COUNT($D$24:D820))</f>
        <v>785</v>
      </c>
    </row>
    <row r="821" customFormat="false" ht="12.75" hidden="false" customHeight="true" outlineLevel="0" collapsed="false">
      <c r="A821" s="14" t="n">
        <f aca="false">IF(D821="","",DATE(B821,C821,1))</f>
        <v>27912</v>
      </c>
      <c r="B821" s="15" t="n">
        <f aca="false" t="array" ref="B821:B821">IF(D821="","",IFERROR(VALUE(INDEX(Vazoes_COLAR!$A$2:$A$200,INT((ROW()-24)/12)+1)),""))</f>
        <v>1976</v>
      </c>
      <c r="C821" s="15" t="n">
        <f aca="false">IF(D821="","",MOD(ROW()-24,12)+1)</f>
        <v>6</v>
      </c>
      <c r="D821" s="16" t="n">
        <f aca="false" t="array" ref="D821: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0.070267650063127</v>
      </c>
      <c r="E821" s="16" t="n">
        <f aca="false">IF(D821="","",D821*$B$15)</f>
        <v>0.182133748963625</v>
      </c>
      <c r="F821" s="16" t="n">
        <f aca="false" t="array" ref="F821:F821">IF(D821="","",IFERROR(INDEX(Dados_Evap!$C$2:$N$15,MATCH($B$9,Dados_Evap!$A$2:$A$15,0),C821),0))</f>
        <v>161.3</v>
      </c>
      <c r="G821" s="16" t="n">
        <f aca="false">IF(F821="","",F821/1000)</f>
        <v>0.1613</v>
      </c>
      <c r="H821" s="16" t="n">
        <f aca="false">IF(D821="","",MAX(0,MIN($B$8,IFERROR(LOOKUP(2,1/($U$24:U820&lt;&gt;""),$U$24:U820),$B$11))))</f>
        <v>41.0267877400403</v>
      </c>
      <c r="I821" s="16" t="n">
        <f aca="false" t="array" ref="I821: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>6.3516525495166</v>
      </c>
      <c r="J821" s="16" t="n">
        <f aca="false">IF(D821="","",$B$12)</f>
        <v>0.35</v>
      </c>
      <c r="K821" s="16" t="n">
        <f aca="false">IF(J821="","",J821*$B$15)</f>
        <v>0.9072</v>
      </c>
      <c r="L821" s="16" t="n">
        <f aca="false">IF(D821="","",H821+E821-K821-G821*I821)</f>
        <v>39.2771999327669</v>
      </c>
      <c r="M821" s="16" t="n">
        <f aca="false" t="array" ref="M821: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>6.17696886121179</v>
      </c>
      <c r="N821" s="16" t="n">
        <f aca="false">IF(D821="","",(I821+M821)/2)</f>
        <v>6.2643107053642</v>
      </c>
      <c r="O821" s="16" t="n">
        <f aca="false">IF(D821="","",G821*N821)</f>
        <v>1.01043331677524</v>
      </c>
      <c r="P821" s="16" t="n">
        <f aca="false">IF(D821="","",H821+E821-K821-O821)</f>
        <v>39.2912881722287</v>
      </c>
      <c r="Q821" s="16" t="n">
        <f aca="false">IF(D821="","",IF(P821&gt;=0,K821,MAX(0,K821+P821)))</f>
        <v>0.9072</v>
      </c>
      <c r="R821" s="16" t="n">
        <f aca="false">IF(D821="","",Q821/$B$15)</f>
        <v>0.35</v>
      </c>
      <c r="S821" s="16" t="n">
        <f aca="false">IF(D821="","",MAX(0,J821-R821))</f>
        <v>0</v>
      </c>
      <c r="T821" s="16" t="n">
        <f aca="false">IF(D821="","",MAX(0,Z821-$B$8))</f>
        <v>0</v>
      </c>
      <c r="U821" s="16" t="n">
        <f aca="false">IF(D821="","",MAX(0,MIN($B$8,Z821)))</f>
        <v>39.2912881722287</v>
      </c>
      <c r="V821" s="16" t="str">
        <f aca="false">IF(D821="","",IF(S821&gt;0.0000001,"Sim","Não"))</f>
        <v>Não</v>
      </c>
      <c r="W821" s="16" t="n">
        <f aca="false">IF(D821="","",U821-(H821+E821-Q821-O821-T821))</f>
        <v>0</v>
      </c>
      <c r="X821" s="16" t="n">
        <f aca="false">IF(W821="","",ABS(W821))</f>
        <v>0</v>
      </c>
      <c r="Y821" s="16" t="n">
        <f aca="false">IF(U821="","",IF($B$8=0,0,U821/$B$8*100))</f>
        <v>83.2089965527926</v>
      </c>
      <c r="Z821" s="18" t="n">
        <f aca="false">IF(D821="","",MAX(0,IF(P821&gt;=0,P821,IF(K821+P821&gt;=0,0,P821+K821))))</f>
        <v>39.2912881722287</v>
      </c>
      <c r="AA821" s="18" t="n">
        <f aca="false">IF(D821="","",IF(H821&lt;=$B$16,1,IF(H821&gt;=$B$17,$B$21,MATCH(H821,Aux_CAV!$A$2:$A$121,1))))</f>
        <v>13</v>
      </c>
      <c r="AB821" s="18" t="n">
        <f aca="false">IF(D821="","",IF(L821&lt;=$B$16,1,IF(L821&gt;=$B$17,$B$21,MATCH(L821,Aux_CAV!$A$2:$A$121,1))))</f>
        <v>13</v>
      </c>
      <c r="AC821" s="19" t="n">
        <f aca="false">IF(D821="","",COUNT($D$24:D821))</f>
        <v>786</v>
      </c>
    </row>
    <row r="822" customFormat="false" ht="12.75" hidden="false" customHeight="true" outlineLevel="0" collapsed="false">
      <c r="A822" s="14" t="n">
        <f aca="false">IF(D822="","",DATE(B822,C822,1))</f>
        <v>27942</v>
      </c>
      <c r="B822" s="15" t="n">
        <f aca="false" t="array" ref="B822:B822">IF(D822="","",IFERROR(VALUE(INDEX(Vazoes_COLAR!$A$2:$A$200,INT((ROW()-24)/12)+1)),""))</f>
        <v>1976</v>
      </c>
      <c r="C822" s="15" t="n">
        <f aca="false">IF(D822="","",MOD(ROW()-24,12)+1)</f>
        <v>7</v>
      </c>
      <c r="D822" s="16" t="n">
        <f aca="false" t="array" ref="D822: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0.0167373503462428</v>
      </c>
      <c r="E822" s="16" t="n">
        <f aca="false">IF(D822="","",D822*$B$15)</f>
        <v>0.0433832120974613</v>
      </c>
      <c r="F822" s="16" t="n">
        <f aca="false" t="array" ref="F822:F822">IF(D822="","",IFERROR(INDEX(Dados_Evap!$C$2:$N$15,MATCH($B$9,Dados_Evap!$A$2:$A$15,0),C822),0))</f>
        <v>224.8</v>
      </c>
      <c r="G822" s="16" t="n">
        <f aca="false">IF(F822="","",F822/1000)</f>
        <v>0.2248</v>
      </c>
      <c r="H822" s="16" t="n">
        <f aca="false">IF(D822="","",MAX(0,MIN($B$8,IFERROR(LOOKUP(2,1/($U$24:U821&lt;&gt;""),$U$24:U821),$B$11))))</f>
        <v>39.2912881722287</v>
      </c>
      <c r="I822" s="16" t="n">
        <f aca="false" t="array" ref="I822: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>6.17837547002598</v>
      </c>
      <c r="J822" s="16" t="n">
        <f aca="false">IF(D822="","",$B$12)</f>
        <v>0.35</v>
      </c>
      <c r="K822" s="16" t="n">
        <f aca="false">IF(J822="","",J822*$B$15)</f>
        <v>0.9072</v>
      </c>
      <c r="L822" s="16" t="n">
        <f aca="false">IF(D822="","",H822+E822-K822-G822*I822)</f>
        <v>37.0385725786643</v>
      </c>
      <c r="M822" s="16" t="n">
        <f aca="false" t="array" ref="M822: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>5.95345811123456</v>
      </c>
      <c r="N822" s="16" t="n">
        <f aca="false">IF(D822="","",(I822+M822)/2)</f>
        <v>6.06591679063027</v>
      </c>
      <c r="O822" s="16" t="n">
        <f aca="false">IF(D822="","",G822*N822)</f>
        <v>1.36361809453368</v>
      </c>
      <c r="P822" s="16" t="n">
        <f aca="false">IF(D822="","",H822+E822-K822-O822)</f>
        <v>37.0638532897925</v>
      </c>
      <c r="Q822" s="16" t="n">
        <f aca="false">IF(D822="","",IF(P822&gt;=0,K822,MAX(0,K822+P822)))</f>
        <v>0.9072</v>
      </c>
      <c r="R822" s="16" t="n">
        <f aca="false">IF(D822="","",Q822/$B$15)</f>
        <v>0.35</v>
      </c>
      <c r="S822" s="16" t="n">
        <f aca="false">IF(D822="","",MAX(0,J822-R822))</f>
        <v>0</v>
      </c>
      <c r="T822" s="16" t="n">
        <f aca="false">IF(D822="","",MAX(0,Z822-$B$8))</f>
        <v>0</v>
      </c>
      <c r="U822" s="16" t="n">
        <f aca="false">IF(D822="","",MAX(0,MIN($B$8,Z822)))</f>
        <v>37.0638532897925</v>
      </c>
      <c r="V822" s="16" t="str">
        <f aca="false">IF(D822="","",IF(S822&gt;0.0000001,"Sim","Não"))</f>
        <v>Não</v>
      </c>
      <c r="W822" s="16" t="n">
        <f aca="false">IF(D822="","",U822-(H822+E822-Q822-O822-T822))</f>
        <v>0</v>
      </c>
      <c r="X822" s="16" t="n">
        <f aca="false">IF(W822="","",ABS(W822))</f>
        <v>0</v>
      </c>
      <c r="Y822" s="16" t="n">
        <f aca="false">IF(U822="","",IF($B$8=0,0,U822/$B$8*100))</f>
        <v>78.4918536420848</v>
      </c>
      <c r="Z822" s="18" t="n">
        <f aca="false">IF(D822="","",MAX(0,IF(P822&gt;=0,P822,IF(K822+P822&gt;=0,0,P822+K822))))</f>
        <v>37.0638532897925</v>
      </c>
      <c r="AA822" s="18" t="n">
        <f aca="false">IF(D822="","",IF(H822&lt;=$B$16,1,IF(H822&gt;=$B$17,$B$21,MATCH(H822,Aux_CAV!$A$2:$A$121,1))))</f>
        <v>13</v>
      </c>
      <c r="AB822" s="18" t="n">
        <f aca="false">IF(D822="","",IF(L822&lt;=$B$16,1,IF(L822&gt;=$B$17,$B$21,MATCH(L822,Aux_CAV!$A$2:$A$121,1))))</f>
        <v>13</v>
      </c>
      <c r="AC822" s="19" t="n">
        <f aca="false">IF(D822="","",COUNT($D$24:D822))</f>
        <v>787</v>
      </c>
    </row>
    <row r="823" customFormat="false" ht="12.75" hidden="false" customHeight="true" outlineLevel="0" collapsed="false">
      <c r="A823" s="14" t="n">
        <f aca="false">IF(D823="","",DATE(B823,C823,1))</f>
        <v>27973</v>
      </c>
      <c r="B823" s="15" t="n">
        <f aca="false" t="array" ref="B823:B823">IF(D823="","",IFERROR(VALUE(INDEX(Vazoes_COLAR!$A$2:$A$200,INT((ROW()-24)/12)+1)),""))</f>
        <v>1976</v>
      </c>
      <c r="C823" s="15" t="n">
        <f aca="false">IF(D823="","",MOD(ROW()-24,12)+1)</f>
        <v>8</v>
      </c>
      <c r="D823" s="16" t="n">
        <f aca="false" t="array" ref="D823: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0.0155961514493362</v>
      </c>
      <c r="E823" s="16" t="n">
        <f aca="false">IF(D823="","",D823*$B$15)</f>
        <v>0.0404252245566794</v>
      </c>
      <c r="F823" s="16" t="n">
        <f aca="false" t="array" ref="F823:F823">IF(D823="","",IFERROR(INDEX(Dados_Evap!$C$2:$N$15,MATCH($B$9,Dados_Evap!$A$2:$A$15,0),C823),0))</f>
        <v>268.7</v>
      </c>
      <c r="G823" s="16" t="n">
        <f aca="false">IF(F823="","",F823/1000)</f>
        <v>0.2687</v>
      </c>
      <c r="H823" s="16" t="n">
        <f aca="false">IF(D823="","",MAX(0,MIN($B$8,IFERROR(LOOKUP(2,1/($U$24:U822&lt;&gt;""),$U$24:U822),$B$11))))</f>
        <v>37.0638532897925</v>
      </c>
      <c r="I823" s="16" t="n">
        <f aca="false" t="array" ref="I823: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>5.9559822073928</v>
      </c>
      <c r="J823" s="16" t="n">
        <f aca="false">IF(D823="","",$B$12)</f>
        <v>0.35</v>
      </c>
      <c r="K823" s="16" t="n">
        <f aca="false">IF(J823="","",J823*$B$15)</f>
        <v>0.9072</v>
      </c>
      <c r="L823" s="16" t="n">
        <f aca="false">IF(D823="","",H823+E823-K823-G823*I823)</f>
        <v>34.5967060952227</v>
      </c>
      <c r="M823" s="16" t="n">
        <f aca="false" t="array" ref="M823: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>5.70965540416138</v>
      </c>
      <c r="N823" s="16" t="n">
        <f aca="false">IF(D823="","",(I823+M823)/2)</f>
        <v>5.83281880577709</v>
      </c>
      <c r="O823" s="16" t="n">
        <f aca="false">IF(D823="","",G823*N823)</f>
        <v>1.5672784131123</v>
      </c>
      <c r="P823" s="16" t="n">
        <f aca="false">IF(D823="","",H823+E823-K823-O823)</f>
        <v>34.6298001012368</v>
      </c>
      <c r="Q823" s="16" t="n">
        <f aca="false">IF(D823="","",IF(P823&gt;=0,K823,MAX(0,K823+P823)))</f>
        <v>0.9072</v>
      </c>
      <c r="R823" s="16" t="n">
        <f aca="false">IF(D823="","",Q823/$B$15)</f>
        <v>0.35</v>
      </c>
      <c r="S823" s="16" t="n">
        <f aca="false">IF(D823="","",MAX(0,J823-R823))</f>
        <v>0</v>
      </c>
      <c r="T823" s="16" t="n">
        <f aca="false">IF(D823="","",MAX(0,Z823-$B$8))</f>
        <v>0</v>
      </c>
      <c r="U823" s="16" t="n">
        <f aca="false">IF(D823="","",MAX(0,MIN($B$8,Z823)))</f>
        <v>34.6298001012368</v>
      </c>
      <c r="V823" s="16" t="str">
        <f aca="false">IF(D823="","",IF(S823&gt;0.0000001,"Sim","Não"))</f>
        <v>Não</v>
      </c>
      <c r="W823" s="16" t="n">
        <f aca="false">IF(D823="","",U823-(H823+E823-Q823-O823-T823))</f>
        <v>0</v>
      </c>
      <c r="X823" s="16" t="n">
        <f aca="false">IF(W823="","",ABS(W823))</f>
        <v>0</v>
      </c>
      <c r="Y823" s="16" t="n">
        <f aca="false">IF(U823="","",IF($B$8=0,0,U823/$B$8*100))</f>
        <v>73.3371454918188</v>
      </c>
      <c r="Z823" s="18" t="n">
        <f aca="false">IF(D823="","",MAX(0,IF(P823&gt;=0,P823,IF(K823+P823&gt;=0,0,P823+K823))))</f>
        <v>34.6298001012368</v>
      </c>
      <c r="AA823" s="18" t="n">
        <f aca="false">IF(D823="","",IF(H823&lt;=$B$16,1,IF(H823&gt;=$B$17,$B$21,MATCH(H823,Aux_CAV!$A$2:$A$121,1))))</f>
        <v>13</v>
      </c>
      <c r="AB823" s="18" t="n">
        <f aca="false">IF(D823="","",IF(L823&lt;=$B$16,1,IF(L823&gt;=$B$17,$B$21,MATCH(L823,Aux_CAV!$A$2:$A$121,1))))</f>
        <v>13</v>
      </c>
      <c r="AC823" s="19" t="n">
        <f aca="false">IF(D823="","",COUNT($D$24:D823))</f>
        <v>788</v>
      </c>
    </row>
    <row r="824" customFormat="false" ht="12.75" hidden="false" customHeight="true" outlineLevel="0" collapsed="false">
      <c r="A824" s="14" t="n">
        <f aca="false">IF(D824="","",DATE(B824,C824,1))</f>
        <v>28004</v>
      </c>
      <c r="B824" s="15" t="n">
        <f aca="false" t="array" ref="B824:B824">IF(D824="","",IFERROR(VALUE(INDEX(Vazoes_COLAR!$A$2:$A$200,INT((ROW()-24)/12)+1)),""))</f>
        <v>1976</v>
      </c>
      <c r="C824" s="15" t="n">
        <f aca="false">IF(D824="","",MOD(ROW()-24,12)+1)</f>
        <v>9</v>
      </c>
      <c r="D824" s="16" t="n">
        <f aca="false" t="array" ref="D824: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0.0744543481449114</v>
      </c>
      <c r="E824" s="16" t="n">
        <f aca="false">IF(D824="","",D824*$B$15)</f>
        <v>0.19298567039161</v>
      </c>
      <c r="F824" s="16" t="n">
        <f aca="false" t="array" ref="F824:F824">IF(D824="","",IFERROR(INDEX(Dados_Evap!$C$2:$N$15,MATCH($B$9,Dados_Evap!$A$2:$A$15,0),C824),0))</f>
        <v>292.8</v>
      </c>
      <c r="G824" s="16" t="n">
        <f aca="false">IF(F824="","",F824/1000)</f>
        <v>0.2928</v>
      </c>
      <c r="H824" s="16" t="n">
        <f aca="false">IF(D824="","",MAX(0,MIN($B$8,IFERROR(LOOKUP(2,1/($U$24:U823&lt;&gt;""),$U$24:U823),$B$11))))</f>
        <v>34.6298001012368</v>
      </c>
      <c r="I824" s="16" t="n">
        <f aca="false" t="array" ref="I824: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>5.71295960130273</v>
      </c>
      <c r="J824" s="16" t="n">
        <f aca="false">IF(D824="","",$B$12)</f>
        <v>0.35</v>
      </c>
      <c r="K824" s="16" t="n">
        <f aca="false">IF(J824="","",J824*$B$15)</f>
        <v>0.9072</v>
      </c>
      <c r="L824" s="16" t="n">
        <f aca="false">IF(D824="","",H824+E824-K824-G824*I824)</f>
        <v>32.242831200367</v>
      </c>
      <c r="M824" s="16" t="n">
        <f aca="false" t="array" ref="M824: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>5.46551741596045</v>
      </c>
      <c r="N824" s="16" t="n">
        <f aca="false">IF(D824="","",(I824+M824)/2)</f>
        <v>5.58923850863159</v>
      </c>
      <c r="O824" s="16" t="n">
        <f aca="false">IF(D824="","",G824*N824)</f>
        <v>1.63652903532733</v>
      </c>
      <c r="P824" s="16" t="n">
        <f aca="false">IF(D824="","",H824+E824-K824-O824)</f>
        <v>32.2790567363011</v>
      </c>
      <c r="Q824" s="16" t="n">
        <f aca="false">IF(D824="","",IF(P824&gt;=0,K824,MAX(0,K824+P824)))</f>
        <v>0.9072</v>
      </c>
      <c r="R824" s="16" t="n">
        <f aca="false">IF(D824="","",Q824/$B$15)</f>
        <v>0.35</v>
      </c>
      <c r="S824" s="16" t="n">
        <f aca="false">IF(D824="","",MAX(0,J824-R824))</f>
        <v>0</v>
      </c>
      <c r="T824" s="16" t="n">
        <f aca="false">IF(D824="","",MAX(0,Z824-$B$8))</f>
        <v>0</v>
      </c>
      <c r="U824" s="16" t="n">
        <f aca="false">IF(D824="","",MAX(0,MIN($B$8,Z824)))</f>
        <v>32.2790567363011</v>
      </c>
      <c r="V824" s="16" t="str">
        <f aca="false">IF(D824="","",IF(S824&gt;0.0000001,"Sim","Não"))</f>
        <v>Não</v>
      </c>
      <c r="W824" s="16" t="n">
        <f aca="false">IF(D824="","",U824-(H824+E824-Q824-O824-T824))</f>
        <v>0</v>
      </c>
      <c r="X824" s="16" t="n">
        <f aca="false">IF(W824="","",ABS(W824))</f>
        <v>0</v>
      </c>
      <c r="Y824" s="16" t="n">
        <f aca="false">IF(U824="","",IF($B$8=0,0,U824/$B$8*100))</f>
        <v>68.3588664470587</v>
      </c>
      <c r="Z824" s="18" t="n">
        <f aca="false">IF(D824="","",MAX(0,IF(P824&gt;=0,P824,IF(K824+P824&gt;=0,0,P824+K824))))</f>
        <v>32.2790567363011</v>
      </c>
      <c r="AA824" s="18" t="n">
        <f aca="false">IF(D824="","",IF(H824&lt;=$B$16,1,IF(H824&gt;=$B$17,$B$21,MATCH(H824,Aux_CAV!$A$2:$A$121,1))))</f>
        <v>13</v>
      </c>
      <c r="AB824" s="18" t="n">
        <f aca="false">IF(D824="","",IF(L824&lt;=$B$16,1,IF(L824&gt;=$B$17,$B$21,MATCH(L824,Aux_CAV!$A$2:$A$121,1))))</f>
        <v>12</v>
      </c>
      <c r="AC824" s="19" t="n">
        <f aca="false">IF(D824="","",COUNT($D$24:D824))</f>
        <v>789</v>
      </c>
    </row>
    <row r="825" customFormat="false" ht="12.75" hidden="false" customHeight="true" outlineLevel="0" collapsed="false">
      <c r="A825" s="14" t="n">
        <f aca="false">IF(D825="","",DATE(B825,C825,1))</f>
        <v>28034</v>
      </c>
      <c r="B825" s="15" t="n">
        <f aca="false" t="array" ref="B825:B825">IF(D825="","",IFERROR(VALUE(INDEX(Vazoes_COLAR!$A$2:$A$200,INT((ROW()-24)/12)+1)),""))</f>
        <v>1976</v>
      </c>
      <c r="C825" s="15" t="n">
        <f aca="false">IF(D825="","",MOD(ROW()-24,12)+1)</f>
        <v>10</v>
      </c>
      <c r="D825" s="16" t="n">
        <f aca="false" t="array" ref="D825: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0.153153398973307</v>
      </c>
      <c r="E825" s="16" t="n">
        <f aca="false">IF(D825="","",D825*$B$15)</f>
        <v>0.396973610138812</v>
      </c>
      <c r="F825" s="16" t="n">
        <f aca="false" t="array" ref="F825:F825">IF(D825="","",IFERROR(INDEX(Dados_Evap!$C$2:$N$15,MATCH($B$9,Dados_Evap!$A$2:$A$15,0),C825),0))</f>
        <v>262.9</v>
      </c>
      <c r="G825" s="16" t="n">
        <f aca="false">IF(F825="","",F825/1000)</f>
        <v>0.2629</v>
      </c>
      <c r="H825" s="16" t="n">
        <f aca="false">IF(D825="","",MAX(0,MIN($B$8,IFERROR(LOOKUP(2,1/($U$24:U824&lt;&gt;""),$U$24:U824),$B$11))))</f>
        <v>32.2790567363011</v>
      </c>
      <c r="I825" s="16" t="n">
        <f aca="false" t="array" ref="I825: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>5.46928065124681</v>
      </c>
      <c r="J825" s="16" t="n">
        <f aca="false">IF(D825="","",$B$12)</f>
        <v>0.35</v>
      </c>
      <c r="K825" s="16" t="n">
        <f aca="false">IF(J825="","",J825*$B$15)</f>
        <v>0.9072</v>
      </c>
      <c r="L825" s="16" t="n">
        <f aca="false">IF(D825="","",H825+E825-K825-G825*I825)</f>
        <v>30.3309564632271</v>
      </c>
      <c r="M825" s="16" t="n">
        <f aca="false" t="array" ref="M825: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>5.26690518598573</v>
      </c>
      <c r="N825" s="16" t="n">
        <f aca="false">IF(D825="","",(I825+M825)/2)</f>
        <v>5.36809291861627</v>
      </c>
      <c r="O825" s="16" t="n">
        <f aca="false">IF(D825="","",G825*N825)</f>
        <v>1.41127162830422</v>
      </c>
      <c r="P825" s="16" t="n">
        <f aca="false">IF(D825="","",H825+E825-K825-O825)</f>
        <v>30.3575587181357</v>
      </c>
      <c r="Q825" s="16" t="n">
        <f aca="false">IF(D825="","",IF(P825&gt;=0,K825,MAX(0,K825+P825)))</f>
        <v>0.9072</v>
      </c>
      <c r="R825" s="16" t="n">
        <f aca="false">IF(D825="","",Q825/$B$15)</f>
        <v>0.35</v>
      </c>
      <c r="S825" s="16" t="n">
        <f aca="false">IF(D825="","",MAX(0,J825-R825))</f>
        <v>0</v>
      </c>
      <c r="T825" s="16" t="n">
        <f aca="false">IF(D825="","",MAX(0,Z825-$B$8))</f>
        <v>0</v>
      </c>
      <c r="U825" s="16" t="n">
        <f aca="false">IF(D825="","",MAX(0,MIN($B$8,Z825)))</f>
        <v>30.3575587181357</v>
      </c>
      <c r="V825" s="16" t="str">
        <f aca="false">IF(D825="","",IF(S825&gt;0.0000001,"Sim","Não"))</f>
        <v>Não</v>
      </c>
      <c r="W825" s="16" t="n">
        <f aca="false">IF(D825="","",U825-(H825+E825-Q825-O825-T825))</f>
        <v>0</v>
      </c>
      <c r="X825" s="16" t="n">
        <f aca="false">IF(W825="","",ABS(W825))</f>
        <v>0</v>
      </c>
      <c r="Y825" s="16" t="n">
        <f aca="false">IF(U825="","",IF($B$8=0,0,U825/$B$8*100))</f>
        <v>64.2896203264204</v>
      </c>
      <c r="Z825" s="18" t="n">
        <f aca="false">IF(D825="","",MAX(0,IF(P825&gt;=0,P825,IF(K825+P825&gt;=0,0,P825+K825))))</f>
        <v>30.3575587181357</v>
      </c>
      <c r="AA825" s="18" t="n">
        <f aca="false">IF(D825="","",IF(H825&lt;=$B$16,1,IF(H825&gt;=$B$17,$B$21,MATCH(H825,Aux_CAV!$A$2:$A$121,1))))</f>
        <v>12</v>
      </c>
      <c r="AB825" s="18" t="n">
        <f aca="false">IF(D825="","",IF(L825&lt;=$B$16,1,IF(L825&gt;=$B$17,$B$21,MATCH(L825,Aux_CAV!$A$2:$A$121,1))))</f>
        <v>12</v>
      </c>
      <c r="AC825" s="19" t="n">
        <f aca="false">IF(D825="","",COUNT($D$24:D825))</f>
        <v>790</v>
      </c>
    </row>
    <row r="826" customFormat="false" ht="12.75" hidden="false" customHeight="true" outlineLevel="0" collapsed="false">
      <c r="A826" s="14" t="n">
        <f aca="false">IF(D826="","",DATE(B826,C826,1))</f>
        <v>28065</v>
      </c>
      <c r="B826" s="15" t="n">
        <f aca="false" t="array" ref="B826:B826">IF(D826="","",IFERROR(VALUE(INDEX(Vazoes_COLAR!$A$2:$A$200,INT((ROW()-24)/12)+1)),""))</f>
        <v>1976</v>
      </c>
      <c r="C826" s="15" t="n">
        <f aca="false">IF(D826="","",MOD(ROW()-24,12)+1)</f>
        <v>11</v>
      </c>
      <c r="D826" s="16" t="n">
        <f aca="false" t="array" ref="D826: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0.229676475034812</v>
      </c>
      <c r="E826" s="16" t="n">
        <f aca="false">IF(D826="","",D826*$B$15)</f>
        <v>0.595321423290233</v>
      </c>
      <c r="F826" s="16" t="n">
        <f aca="false" t="array" ref="F826:F826">IF(D826="","",IFERROR(INDEX(Dados_Evap!$C$2:$N$15,MATCH($B$9,Dados_Evap!$A$2:$A$15,0),C826),0))</f>
        <v>223.7</v>
      </c>
      <c r="G826" s="16" t="n">
        <f aca="false">IF(F826="","",F826/1000)</f>
        <v>0.2237</v>
      </c>
      <c r="H826" s="16" t="n">
        <f aca="false">IF(D826="","",MAX(0,MIN($B$8,IFERROR(LOOKUP(2,1/($U$24:U825&lt;&gt;""),$U$24:U825),$B$11))))</f>
        <v>30.3575587181357</v>
      </c>
      <c r="I826" s="16" t="n">
        <f aca="false" t="array" ref="I826: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>5.26966872120439</v>
      </c>
      <c r="J826" s="16" t="n">
        <f aca="false">IF(D826="","",$B$12)</f>
        <v>0.35</v>
      </c>
      <c r="K826" s="16" t="n">
        <f aca="false">IF(J826="","",J826*$B$15)</f>
        <v>0.9072</v>
      </c>
      <c r="L826" s="16" t="n">
        <f aca="false">IF(D826="","",H826+E826-K826-G826*I826)</f>
        <v>28.8668552484925</v>
      </c>
      <c r="M826" s="16" t="n">
        <f aca="false" t="array" ref="M826: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>5.11480923455213</v>
      </c>
      <c r="N826" s="16" t="n">
        <f aca="false">IF(D826="","",(I826+M826)/2)</f>
        <v>5.19223897787826</v>
      </c>
      <c r="O826" s="16" t="n">
        <f aca="false">IF(D826="","",G826*N826)</f>
        <v>1.16150385935137</v>
      </c>
      <c r="P826" s="16" t="n">
        <f aca="false">IF(D826="","",H826+E826-K826-O826)</f>
        <v>28.8841762820746</v>
      </c>
      <c r="Q826" s="16" t="n">
        <f aca="false">IF(D826="","",IF(P826&gt;=0,K826,MAX(0,K826+P826)))</f>
        <v>0.9072</v>
      </c>
      <c r="R826" s="16" t="n">
        <f aca="false">IF(D826="","",Q826/$B$15)</f>
        <v>0.35</v>
      </c>
      <c r="S826" s="16" t="n">
        <f aca="false">IF(D826="","",MAX(0,J826-R826))</f>
        <v>0</v>
      </c>
      <c r="T826" s="16" t="n">
        <f aca="false">IF(D826="","",MAX(0,Z826-$B$8))</f>
        <v>0</v>
      </c>
      <c r="U826" s="16" t="n">
        <f aca="false">IF(D826="","",MAX(0,MIN($B$8,Z826)))</f>
        <v>28.8841762820746</v>
      </c>
      <c r="V826" s="16" t="str">
        <f aca="false">IF(D826="","",IF(S826&gt;0.0000001,"Sim","Não"))</f>
        <v>Não</v>
      </c>
      <c r="W826" s="16" t="n">
        <f aca="false">IF(D826="","",U826-(H826+E826-Q826-O826-T826))</f>
        <v>0</v>
      </c>
      <c r="X826" s="16" t="n">
        <f aca="false">IF(W826="","",ABS(W826))</f>
        <v>0</v>
      </c>
      <c r="Y826" s="16" t="n">
        <f aca="false">IF(U826="","",IF($B$8=0,0,U826/$B$8*100))</f>
        <v>61.1693695088407</v>
      </c>
      <c r="Z826" s="18" t="n">
        <f aca="false">IF(D826="","",MAX(0,IF(P826&gt;=0,P826,IF(K826+P826&gt;=0,0,P826+K826))))</f>
        <v>28.8841762820746</v>
      </c>
      <c r="AA826" s="18" t="n">
        <f aca="false">IF(D826="","",IF(H826&lt;=$B$16,1,IF(H826&gt;=$B$17,$B$21,MATCH(H826,Aux_CAV!$A$2:$A$121,1))))</f>
        <v>12</v>
      </c>
      <c r="AB826" s="18" t="n">
        <f aca="false">IF(D826="","",IF(L826&lt;=$B$16,1,IF(L826&gt;=$B$17,$B$21,MATCH(L826,Aux_CAV!$A$2:$A$121,1))))</f>
        <v>12</v>
      </c>
      <c r="AC826" s="19" t="n">
        <f aca="false">IF(D826="","",COUNT($D$24:D826))</f>
        <v>791</v>
      </c>
    </row>
    <row r="827" customFormat="false" ht="12.75" hidden="false" customHeight="true" outlineLevel="0" collapsed="false">
      <c r="A827" s="14" t="n">
        <f aca="false">IF(D827="","",DATE(B827,C827,1))</f>
        <v>28095</v>
      </c>
      <c r="B827" s="15" t="n">
        <f aca="false" t="array" ref="B827:B827">IF(D827="","",IFERROR(VALUE(INDEX(Vazoes_COLAR!$A$2:$A$200,INT((ROW()-24)/12)+1)),""))</f>
        <v>1976</v>
      </c>
      <c r="C827" s="15" t="n">
        <f aca="false">IF(D827="","",MOD(ROW()-24,12)+1)</f>
        <v>12</v>
      </c>
      <c r="D827" s="16" t="n">
        <f aca="false" t="array" ref="D827: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0.163703629799403</v>
      </c>
      <c r="E827" s="16" t="n">
        <f aca="false">IF(D827="","",D827*$B$15)</f>
        <v>0.424319808440053</v>
      </c>
      <c r="F827" s="16" t="n">
        <f aca="false" t="array" ref="F827:F827">IF(D827="","",IFERROR(INDEX(Dados_Evap!$C$2:$N$15,MATCH($B$9,Dados_Evap!$A$2:$A$15,0),C827),0))</f>
        <v>216.1</v>
      </c>
      <c r="G827" s="16" t="n">
        <f aca="false">IF(F827="","",F827/1000)</f>
        <v>0.2161</v>
      </c>
      <c r="H827" s="16" t="n">
        <f aca="false">IF(D827="","",MAX(0,MIN($B$8,IFERROR(LOOKUP(2,1/($U$24:U826&lt;&gt;""),$U$24:U826),$B$11))))</f>
        <v>28.8841762820746</v>
      </c>
      <c r="I827" s="16" t="n">
        <f aca="false" t="array" ref="I827: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>5.11660860406017</v>
      </c>
      <c r="J827" s="16" t="n">
        <f aca="false">IF(D827="","",$B$12)</f>
        <v>0.35</v>
      </c>
      <c r="K827" s="16" t="n">
        <f aca="false">IF(J827="","",J827*$B$15)</f>
        <v>0.9072</v>
      </c>
      <c r="L827" s="16" t="n">
        <f aca="false">IF(D827="","",H827+E827-K827-G827*I827)</f>
        <v>27.2955969711772</v>
      </c>
      <c r="M827" s="16" t="n">
        <f aca="false" t="array" ref="M827: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>4.95158143292812</v>
      </c>
      <c r="N827" s="16" t="n">
        <f aca="false">IF(D827="","",(I827+M827)/2)</f>
        <v>5.03409501849415</v>
      </c>
      <c r="O827" s="16" t="n">
        <f aca="false">IF(D827="","",G827*N827)</f>
        <v>1.08786793349658</v>
      </c>
      <c r="P827" s="16" t="n">
        <f aca="false">IF(D827="","",H827+E827-K827-O827)</f>
        <v>27.313428157018</v>
      </c>
      <c r="Q827" s="16" t="n">
        <f aca="false">IF(D827="","",IF(P827&gt;=0,K827,MAX(0,K827+P827)))</f>
        <v>0.9072</v>
      </c>
      <c r="R827" s="16" t="n">
        <f aca="false">IF(D827="","",Q827/$B$15)</f>
        <v>0.35</v>
      </c>
      <c r="S827" s="16" t="n">
        <f aca="false">IF(D827="","",MAX(0,J827-R827))</f>
        <v>0</v>
      </c>
      <c r="T827" s="16" t="n">
        <f aca="false">IF(D827="","",MAX(0,Z827-$B$8))</f>
        <v>0</v>
      </c>
      <c r="U827" s="16" t="n">
        <f aca="false">IF(D827="","",MAX(0,MIN($B$8,Z827)))</f>
        <v>27.313428157018</v>
      </c>
      <c r="V827" s="16" t="str">
        <f aca="false">IF(D827="","",IF(S827&gt;0.0000001,"Sim","Não"))</f>
        <v>Não</v>
      </c>
      <c r="W827" s="16" t="n">
        <f aca="false">IF(D827="","",U827-(H827+E827-Q827-O827-T827))</f>
        <v>0</v>
      </c>
      <c r="X827" s="16" t="n">
        <f aca="false">IF(W827="","",ABS(W827))</f>
        <v>0</v>
      </c>
      <c r="Y827" s="16" t="n">
        <f aca="false">IF(U827="","",IF($B$8=0,0,U827/$B$8*100))</f>
        <v>57.8429228229946</v>
      </c>
      <c r="Z827" s="18" t="n">
        <f aca="false">IF(D827="","",MAX(0,IF(P827&gt;=0,P827,IF(K827+P827&gt;=0,0,P827+K827))))</f>
        <v>27.313428157018</v>
      </c>
      <c r="AA827" s="18" t="n">
        <f aca="false">IF(D827="","",IF(H827&lt;=$B$16,1,IF(H827&gt;=$B$17,$B$21,MATCH(H827,Aux_CAV!$A$2:$A$121,1))))</f>
        <v>12</v>
      </c>
      <c r="AB827" s="18" t="n">
        <f aca="false">IF(D827="","",IF(L827&lt;=$B$16,1,IF(L827&gt;=$B$17,$B$21,MATCH(L827,Aux_CAV!$A$2:$A$121,1))))</f>
        <v>12</v>
      </c>
      <c r="AC827" s="19" t="n">
        <f aca="false">IF(D827="","",COUNT($D$24:D827))</f>
        <v>792</v>
      </c>
    </row>
    <row r="828" customFormat="false" ht="12.75" hidden="false" customHeight="true" outlineLevel="0" collapsed="false">
      <c r="A828" s="14" t="n">
        <f aca="false">IF(D828="","",DATE(B828,C828,1))</f>
        <v>28126</v>
      </c>
      <c r="B828" s="15" t="n">
        <f aca="false" t="array" ref="B828:B828">IF(D828="","",IFERROR(VALUE(INDEX(Vazoes_COLAR!$A$2:$A$200,INT((ROW()-24)/12)+1)),""))</f>
        <v>1977</v>
      </c>
      <c r="C828" s="15" t="n">
        <f aca="false">IF(D828="","",MOD(ROW()-24,12)+1)</f>
        <v>1</v>
      </c>
      <c r="D828" s="16" t="n">
        <f aca="false" t="array" ref="D828: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0.36240561099186</v>
      </c>
      <c r="E828" s="16" t="n">
        <f aca="false">IF(D828="","",D828*$B$15)</f>
        <v>0.939355343690901</v>
      </c>
      <c r="F828" s="16" t="n">
        <f aca="false" t="array" ref="F828:F828">IF(D828="","",IFERROR(INDEX(Dados_Evap!$C$2:$N$15,MATCH($B$9,Dados_Evap!$A$2:$A$15,0),C828),0))</f>
        <v>160</v>
      </c>
      <c r="G828" s="16" t="n">
        <f aca="false">IF(F828="","",F828/1000)</f>
        <v>0.16</v>
      </c>
      <c r="H828" s="16" t="n">
        <f aca="false">IF(D828="","",MAX(0,MIN($B$8,IFERROR(LOOKUP(2,1/($U$24:U827&lt;&gt;""),$U$24:U827),$B$11))))</f>
        <v>27.313428157018</v>
      </c>
      <c r="I828" s="16" t="n">
        <f aca="false" t="array" ref="I828: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>4.95343379883585</v>
      </c>
      <c r="J828" s="16" t="n">
        <f aca="false">IF(D828="","",$B$12)</f>
        <v>0.35</v>
      </c>
      <c r="K828" s="16" t="n">
        <f aca="false">IF(J828="","",J828*$B$15)</f>
        <v>0.9072</v>
      </c>
      <c r="L828" s="16" t="n">
        <f aca="false">IF(D828="","",H828+E828-K828-G828*I828)</f>
        <v>26.5530340928952</v>
      </c>
      <c r="M828" s="16" t="n">
        <f aca="false" t="array" ref="M828: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>4.87444140576678</v>
      </c>
      <c r="N828" s="16" t="n">
        <f aca="false">IF(D828="","",(I828+M828)/2)</f>
        <v>4.91393760230132</v>
      </c>
      <c r="O828" s="16" t="n">
        <f aca="false">IF(D828="","",G828*N828)</f>
        <v>0.786230016368211</v>
      </c>
      <c r="P828" s="16" t="n">
        <f aca="false">IF(D828="","",H828+E828-K828-O828)</f>
        <v>26.5593534843407</v>
      </c>
      <c r="Q828" s="16" t="n">
        <f aca="false">IF(D828="","",IF(P828&gt;=0,K828,MAX(0,K828+P828)))</f>
        <v>0.9072</v>
      </c>
      <c r="R828" s="16" t="n">
        <f aca="false">IF(D828="","",Q828/$B$15)</f>
        <v>0.35</v>
      </c>
      <c r="S828" s="16" t="n">
        <f aca="false">IF(D828="","",MAX(0,J828-R828))</f>
        <v>0</v>
      </c>
      <c r="T828" s="16" t="n">
        <f aca="false">IF(D828="","",MAX(0,Z828-$B$8))</f>
        <v>0</v>
      </c>
      <c r="U828" s="16" t="n">
        <f aca="false">IF(D828="","",MAX(0,MIN($B$8,Z828)))</f>
        <v>26.5593534843407</v>
      </c>
      <c r="V828" s="16" t="str">
        <f aca="false">IF(D828="","",IF(S828&gt;0.0000001,"Sim","Não"))</f>
        <v>Não</v>
      </c>
      <c r="W828" s="16" t="n">
        <f aca="false">IF(D828="","",U828-(H828+E828-Q828-O828-T828))</f>
        <v>0</v>
      </c>
      <c r="X828" s="16" t="n">
        <f aca="false">IF(W828="","",ABS(W828))</f>
        <v>0</v>
      </c>
      <c r="Y828" s="16" t="n">
        <f aca="false">IF(U828="","",IF($B$8=0,0,U828/$B$8*100))</f>
        <v>56.2459836601879</v>
      </c>
      <c r="Z828" s="18" t="n">
        <f aca="false">IF(D828="","",MAX(0,IF(P828&gt;=0,P828,IF(K828+P828&gt;=0,0,P828+K828))))</f>
        <v>26.5593534843407</v>
      </c>
      <c r="AA828" s="18" t="n">
        <f aca="false">IF(D828="","",IF(H828&lt;=$B$16,1,IF(H828&gt;=$B$17,$B$21,MATCH(H828,Aux_CAV!$A$2:$A$121,1))))</f>
        <v>12</v>
      </c>
      <c r="AB828" s="18" t="n">
        <f aca="false">IF(D828="","",IF(L828&lt;=$B$16,1,IF(L828&gt;=$B$17,$B$21,MATCH(L828,Aux_CAV!$A$2:$A$121,1))))</f>
        <v>12</v>
      </c>
      <c r="AC828" s="19" t="n">
        <f aca="false">IF(D828="","",COUNT($D$24:D828))</f>
        <v>793</v>
      </c>
    </row>
    <row r="829" customFormat="false" ht="12.75" hidden="false" customHeight="true" outlineLevel="0" collapsed="false">
      <c r="A829" s="14" t="n">
        <f aca="false">IF(D829="","",DATE(B829,C829,1))</f>
        <v>28157</v>
      </c>
      <c r="B829" s="15" t="n">
        <f aca="false" t="array" ref="B829:B829">IF(D829="","",IFERROR(VALUE(INDEX(Vazoes_COLAR!$A$2:$A$200,INT((ROW()-24)/12)+1)),""))</f>
        <v>1977</v>
      </c>
      <c r="C829" s="15" t="n">
        <f aca="false">IF(D829="","",MOD(ROW()-24,12)+1)</f>
        <v>2</v>
      </c>
      <c r="D829" s="16" t="n">
        <f aca="false" t="array" ref="D829: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1.7678703264956</v>
      </c>
      <c r="E829" s="16" t="n">
        <f aca="false">IF(D829="","",D829*$B$15)</f>
        <v>4.5823198862766</v>
      </c>
      <c r="F829" s="16" t="n">
        <f aca="false" t="array" ref="F829:F829">IF(D829="","",IFERROR(INDEX(Dados_Evap!$C$2:$N$15,MATCH($B$9,Dados_Evap!$A$2:$A$15,0),C829),0))</f>
        <v>124.3</v>
      </c>
      <c r="G829" s="16" t="n">
        <f aca="false">IF(F829="","",F829/1000)</f>
        <v>0.1243</v>
      </c>
      <c r="H829" s="16" t="n">
        <f aca="false">IF(D829="","",MAX(0,MIN($B$8,IFERROR(LOOKUP(2,1/($U$24:U828&lt;&gt;""),$U$24:U828),$B$11))))</f>
        <v>26.5593534843407</v>
      </c>
      <c r="I829" s="16" t="n">
        <f aca="false" t="array" ref="I829: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>4.87509788623734</v>
      </c>
      <c r="J829" s="16" t="n">
        <f aca="false">IF(D829="","",$B$12)</f>
        <v>0.35</v>
      </c>
      <c r="K829" s="16" t="n">
        <f aca="false">IF(J829="","",J829*$B$15)</f>
        <v>0.9072</v>
      </c>
      <c r="L829" s="16" t="n">
        <f aca="false">IF(D829="","",H829+E829-K829-G829*I829)</f>
        <v>29.628498703358</v>
      </c>
      <c r="M829" s="16" t="n">
        <f aca="false" t="array" ref="M829: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>5.19393141869836</v>
      </c>
      <c r="N829" s="16" t="n">
        <f aca="false">IF(D829="","",(I829+M829)/2)</f>
        <v>5.03451465246785</v>
      </c>
      <c r="O829" s="16" t="n">
        <f aca="false">IF(D829="","",G829*N829)</f>
        <v>0.625790171301753</v>
      </c>
      <c r="P829" s="16" t="n">
        <f aca="false">IF(D829="","",H829+E829-K829-O829)</f>
        <v>29.6086831993156</v>
      </c>
      <c r="Q829" s="16" t="n">
        <f aca="false">IF(D829="","",IF(P829&gt;=0,K829,MAX(0,K829+P829)))</f>
        <v>0.9072</v>
      </c>
      <c r="R829" s="16" t="n">
        <f aca="false">IF(D829="","",Q829/$B$15)</f>
        <v>0.35</v>
      </c>
      <c r="S829" s="16" t="n">
        <f aca="false">IF(D829="","",MAX(0,J829-R829))</f>
        <v>0</v>
      </c>
      <c r="T829" s="16" t="n">
        <f aca="false">IF(D829="","",MAX(0,Z829-$B$8))</f>
        <v>0</v>
      </c>
      <c r="U829" s="16" t="n">
        <f aca="false">IF(D829="","",MAX(0,MIN($B$8,Z829)))</f>
        <v>29.6086831993156</v>
      </c>
      <c r="V829" s="16" t="str">
        <f aca="false">IF(D829="","",IF(S829&gt;0.0000001,"Sim","Não"))</f>
        <v>Não</v>
      </c>
      <c r="W829" s="16" t="n">
        <f aca="false">IF(D829="","",U829-(H829+E829-Q829-O829-T829))</f>
        <v>0</v>
      </c>
      <c r="X829" s="16" t="n">
        <f aca="false">IF(W829="","",ABS(W829))</f>
        <v>0</v>
      </c>
      <c r="Y829" s="16" t="n">
        <f aca="false">IF(U829="","",IF($B$8=0,0,U829/$B$8*100))</f>
        <v>62.7036916546285</v>
      </c>
      <c r="Z829" s="18" t="n">
        <f aca="false">IF(D829="","",MAX(0,IF(P829&gt;=0,P829,IF(K829+P829&gt;=0,0,P829+K829))))</f>
        <v>29.6086831993156</v>
      </c>
      <c r="AA829" s="18" t="n">
        <f aca="false">IF(D829="","",IF(H829&lt;=$B$16,1,IF(H829&gt;=$B$17,$B$21,MATCH(H829,Aux_CAV!$A$2:$A$121,1))))</f>
        <v>12</v>
      </c>
      <c r="AB829" s="18" t="n">
        <f aca="false">IF(D829="","",IF(L829&lt;=$B$16,1,IF(L829&gt;=$B$17,$B$21,MATCH(L829,Aux_CAV!$A$2:$A$121,1))))</f>
        <v>12</v>
      </c>
      <c r="AC829" s="19" t="n">
        <f aca="false">IF(D829="","",COUNT($D$24:D829))</f>
        <v>794</v>
      </c>
    </row>
    <row r="830" customFormat="false" ht="12.75" hidden="false" customHeight="true" outlineLevel="0" collapsed="false">
      <c r="A830" s="14" t="n">
        <f aca="false">IF(D830="","",DATE(B830,C830,1))</f>
        <v>28185</v>
      </c>
      <c r="B830" s="15" t="n">
        <f aca="false" t="array" ref="B830:B830">IF(D830="","",IFERROR(VALUE(INDEX(Vazoes_COLAR!$A$2:$A$200,INT((ROW()-24)/12)+1)),""))</f>
        <v>1977</v>
      </c>
      <c r="C830" s="15" t="n">
        <f aca="false">IF(D830="","",MOD(ROW()-24,12)+1)</f>
        <v>3</v>
      </c>
      <c r="D830" s="16" t="n">
        <f aca="false" t="array" ref="D830: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6.74981330316733</v>
      </c>
      <c r="E830" s="16" t="n">
        <f aca="false">IF(D830="","",D830*$B$15)</f>
        <v>17.4955160818097</v>
      </c>
      <c r="F830" s="16" t="n">
        <f aca="false" t="array" ref="F830:F830">IF(D830="","",IFERROR(INDEX(Dados_Evap!$C$2:$N$15,MATCH($B$9,Dados_Evap!$A$2:$A$15,0),C830),0))</f>
        <v>107.7</v>
      </c>
      <c r="G830" s="16" t="n">
        <f aca="false">IF(F830="","",F830/1000)</f>
        <v>0.1077</v>
      </c>
      <c r="H830" s="16" t="n">
        <f aca="false">IF(D830="","",MAX(0,MIN($B$8,IFERROR(LOOKUP(2,1/($U$24:U829&lt;&gt;""),$U$24:U829),$B$11))))</f>
        <v>29.6086831993156</v>
      </c>
      <c r="I830" s="16" t="n">
        <f aca="false" t="array" ref="I830: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>5.19187291488036</v>
      </c>
      <c r="J830" s="16" t="n">
        <f aca="false">IF(D830="","",$B$12)</f>
        <v>0.35</v>
      </c>
      <c r="K830" s="16" t="n">
        <f aca="false">IF(J830="","",J830*$B$15)</f>
        <v>0.9072</v>
      </c>
      <c r="L830" s="16" t="n">
        <f aca="false">IF(D830="","",H830+E830-K830-G830*I830)</f>
        <v>45.6378345681927</v>
      </c>
      <c r="M830" s="16" t="n">
        <f aca="false" t="array" ref="M830: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>6.81203222496892</v>
      </c>
      <c r="N830" s="16" t="n">
        <f aca="false">IF(D830="","",(I830+M830)/2)</f>
        <v>6.00195256992464</v>
      </c>
      <c r="O830" s="16" t="n">
        <f aca="false">IF(D830="","",G830*N830)</f>
        <v>0.646410291780884</v>
      </c>
      <c r="P830" s="16" t="n">
        <f aca="false">IF(D830="","",H830+E830-K830-O830)</f>
        <v>45.5505889893444</v>
      </c>
      <c r="Q830" s="16" t="n">
        <f aca="false">IF(D830="","",IF(P830&gt;=0,K830,MAX(0,K830+P830)))</f>
        <v>0.9072</v>
      </c>
      <c r="R830" s="16" t="n">
        <f aca="false">IF(D830="","",Q830/$B$15)</f>
        <v>0.35</v>
      </c>
      <c r="S830" s="16" t="n">
        <f aca="false">IF(D830="","",MAX(0,J830-R830))</f>
        <v>0</v>
      </c>
      <c r="T830" s="16" t="n">
        <f aca="false">IF(D830="","",MAX(0,Z830-$B$8))</f>
        <v>0</v>
      </c>
      <c r="U830" s="16" t="n">
        <f aca="false">IF(D830="","",MAX(0,MIN($B$8,Z830)))</f>
        <v>45.5505889893444</v>
      </c>
      <c r="V830" s="16" t="str">
        <f aca="false">IF(D830="","",IF(S830&gt;0.0000001,"Sim","Não"))</f>
        <v>Não</v>
      </c>
      <c r="W830" s="16" t="n">
        <f aca="false">IF(D830="","",U830-(H830+E830-Q830-O830-T830))</f>
        <v>0</v>
      </c>
      <c r="X830" s="16" t="n">
        <f aca="false">IF(W830="","",ABS(W830))</f>
        <v>0</v>
      </c>
      <c r="Y830" s="16" t="n">
        <f aca="false">IF(U830="","",IF($B$8=0,0,U830/$B$8*100))</f>
        <v>96.4646103120381</v>
      </c>
      <c r="Z830" s="18" t="n">
        <f aca="false">IF(D830="","",MAX(0,IF(P830&gt;=0,P830,IF(K830+P830&gt;=0,0,P830+K830))))</f>
        <v>45.5505889893444</v>
      </c>
      <c r="AA830" s="18" t="n">
        <f aca="false">IF(D830="","",IF(H830&lt;=$B$16,1,IF(H830&gt;=$B$17,$B$21,MATCH(H830,Aux_CAV!$A$2:$A$121,1))))</f>
        <v>12</v>
      </c>
      <c r="AB830" s="18" t="n">
        <f aca="false">IF(D830="","",IF(L830&lt;=$B$16,1,IF(L830&gt;=$B$17,$B$21,MATCH(L830,Aux_CAV!$A$2:$A$121,1))))</f>
        <v>13</v>
      </c>
      <c r="AC830" s="19" t="n">
        <f aca="false">IF(D830="","",COUNT($D$24:D830))</f>
        <v>795</v>
      </c>
    </row>
    <row r="831" customFormat="false" ht="12.75" hidden="false" customHeight="true" outlineLevel="0" collapsed="false">
      <c r="A831" s="14" t="n">
        <f aca="false">IF(D831="","",DATE(B831,C831,1))</f>
        <v>28216</v>
      </c>
      <c r="B831" s="15" t="n">
        <f aca="false" t="array" ref="B831:B831">IF(D831="","",IFERROR(VALUE(INDEX(Vazoes_COLAR!$A$2:$A$200,INT((ROW()-24)/12)+1)),""))</f>
        <v>1977</v>
      </c>
      <c r="C831" s="15" t="n">
        <f aca="false">IF(D831="","",MOD(ROW()-24,12)+1)</f>
        <v>4</v>
      </c>
      <c r="D831" s="16" t="n">
        <f aca="false" t="array" ref="D831: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15.2727747413141</v>
      </c>
      <c r="E831" s="16" t="n">
        <f aca="false">IF(D831="","",D831*$B$15)</f>
        <v>39.5870321294862</v>
      </c>
      <c r="F831" s="16" t="n">
        <f aca="false" t="array" ref="F831:F831">IF(D831="","",IFERROR(INDEX(Dados_Evap!$C$2:$N$15,MATCH($B$9,Dados_Evap!$A$2:$A$15,0),C831),0))</f>
        <v>100.5</v>
      </c>
      <c r="G831" s="16" t="n">
        <f aca="false">IF(F831="","",F831/1000)</f>
        <v>0.1005</v>
      </c>
      <c r="H831" s="16" t="n">
        <f aca="false">IF(D831="","",MAX(0,MIN($B$8,IFERROR(LOOKUP(2,1/($U$24:U830&lt;&gt;""),$U$24:U830),$B$11))))</f>
        <v>45.5505889893444</v>
      </c>
      <c r="I831" s="16" t="n">
        <f aca="false" t="array" ref="I831: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>6.8033213849424</v>
      </c>
      <c r="J831" s="16" t="n">
        <f aca="false">IF(D831="","",$B$12)</f>
        <v>0.35</v>
      </c>
      <c r="K831" s="16" t="n">
        <f aca="false">IF(J831="","",J831*$B$15)</f>
        <v>0.9072</v>
      </c>
      <c r="L831" s="16" t="n">
        <f aca="false">IF(D831="","",H831+E831-K831-G831*I831)</f>
        <v>83.5466873196438</v>
      </c>
      <c r="M831" s="16" t="n">
        <f aca="false" t="array" ref="M831: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>10.96</v>
      </c>
      <c r="N831" s="16" t="n">
        <f aca="false">IF(D831="","",(I831+M831)/2)</f>
        <v>8.8816606924712</v>
      </c>
      <c r="O831" s="16" t="n">
        <f aca="false">IF(D831="","",G831*N831)</f>
        <v>0.892606899593356</v>
      </c>
      <c r="P831" s="16" t="n">
        <f aca="false">IF(D831="","",H831+E831-K831-O831)</f>
        <v>83.3378142192372</v>
      </c>
      <c r="Q831" s="16" t="n">
        <f aca="false">IF(D831="","",IF(P831&gt;=0,K831,MAX(0,K831+P831)))</f>
        <v>0.9072</v>
      </c>
      <c r="R831" s="16" t="n">
        <f aca="false">IF(D831="","",Q831/$B$15)</f>
        <v>0.35</v>
      </c>
      <c r="S831" s="16" t="n">
        <f aca="false">IF(D831="","",MAX(0,J831-R831))</f>
        <v>0</v>
      </c>
      <c r="T831" s="16" t="n">
        <f aca="false">IF(D831="","",MAX(0,Z831-$B$8))</f>
        <v>36.1178142192372</v>
      </c>
      <c r="U831" s="16" t="n">
        <f aca="false">IF(D831="","",MAX(0,MIN($B$8,Z831)))</f>
        <v>47.22</v>
      </c>
      <c r="V831" s="16" t="str">
        <f aca="false">IF(D831="","",IF(S831&gt;0.0000001,"Sim","Não"))</f>
        <v>Não</v>
      </c>
      <c r="W831" s="16" t="n">
        <f aca="false">IF(D831="","",U831-(H831+E831-Q831-O831-T831))</f>
        <v>0</v>
      </c>
      <c r="X831" s="16" t="n">
        <f aca="false">IF(W831="","",ABS(W831))</f>
        <v>0</v>
      </c>
      <c r="Y831" s="16" t="n">
        <f aca="false">IF(U831="","",IF($B$8=0,0,U831/$B$8*100))</f>
        <v>100</v>
      </c>
      <c r="Z831" s="18" t="n">
        <f aca="false">IF(D831="","",MAX(0,IF(P831&gt;=0,P831,IF(K831+P831&gt;=0,0,P831+K831))))</f>
        <v>83.3378142192372</v>
      </c>
      <c r="AA831" s="18" t="n">
        <f aca="false">IF(D831="","",IF(H831&lt;=$B$16,1,IF(H831&gt;=$B$17,$B$21,MATCH(H831,Aux_CAV!$A$2:$A$121,1))))</f>
        <v>13</v>
      </c>
      <c r="AB831" s="18" t="n">
        <f aca="false">IF(D831="","",IF(L831&lt;=$B$16,1,IF(L831&gt;=$B$17,$B$21,MATCH(L831,Aux_CAV!$A$2:$A$121,1))))</f>
        <v>18</v>
      </c>
      <c r="AC831" s="19" t="n">
        <f aca="false">IF(D831="","",COUNT($D$24:D831))</f>
        <v>796</v>
      </c>
    </row>
    <row r="832" customFormat="false" ht="12.75" hidden="false" customHeight="true" outlineLevel="0" collapsed="false">
      <c r="A832" s="14" t="n">
        <f aca="false">IF(D832="","",DATE(B832,C832,1))</f>
        <v>28246</v>
      </c>
      <c r="B832" s="15" t="n">
        <f aca="false" t="array" ref="B832:B832">IF(D832="","",IFERROR(VALUE(INDEX(Vazoes_COLAR!$A$2:$A$200,INT((ROW()-24)/12)+1)),""))</f>
        <v>1977</v>
      </c>
      <c r="C832" s="15" t="n">
        <f aca="false">IF(D832="","",MOD(ROW()-24,12)+1)</f>
        <v>5</v>
      </c>
      <c r="D832" s="16" t="n">
        <f aca="false" t="array" ref="D832: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7.10927236618372</v>
      </c>
      <c r="E832" s="16" t="n">
        <f aca="false">IF(D832="","",D832*$B$15)</f>
        <v>18.4272339731482</v>
      </c>
      <c r="F832" s="16" t="n">
        <f aca="false" t="array" ref="F832:F832">IF(D832="","",IFERROR(INDEX(Dados_Evap!$C$2:$N$15,MATCH($B$9,Dados_Evap!$A$2:$A$15,0),C832),0))</f>
        <v>145.8</v>
      </c>
      <c r="G832" s="16" t="n">
        <f aca="false">IF(F832="","",F832/1000)</f>
        <v>0.1458</v>
      </c>
      <c r="H832" s="16" t="n">
        <f aca="false">IF(D832="","",MAX(0,MIN($B$8,IFERROR(LOOKUP(2,1/($U$24:U831&lt;&gt;""),$U$24:U831),$B$11))))</f>
        <v>47.22</v>
      </c>
      <c r="I832" s="16" t="n">
        <f aca="false" t="array" ref="I832: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>6.97</v>
      </c>
      <c r="J832" s="16" t="n">
        <f aca="false">IF(D832="","",$B$12)</f>
        <v>0.35</v>
      </c>
      <c r="K832" s="16" t="n">
        <f aca="false">IF(J832="","",J832*$B$15)</f>
        <v>0.9072</v>
      </c>
      <c r="L832" s="16" t="n">
        <f aca="false">IF(D832="","",H832+E832-K832-G832*I832)</f>
        <v>63.7238079731482</v>
      </c>
      <c r="M832" s="16" t="n">
        <f aca="false" t="array" ref="M832: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>8.96025163028509</v>
      </c>
      <c r="N832" s="16" t="n">
        <f aca="false">IF(D832="","",(I832+M832)/2)</f>
        <v>7.96512581514254</v>
      </c>
      <c r="O832" s="16" t="n">
        <f aca="false">IF(D832="","",G832*N832)</f>
        <v>1.16131534384778</v>
      </c>
      <c r="P832" s="16" t="n">
        <f aca="false">IF(D832="","",H832+E832-K832-O832)</f>
        <v>63.5787186293004</v>
      </c>
      <c r="Q832" s="16" t="n">
        <f aca="false">IF(D832="","",IF(P832&gt;=0,K832,MAX(0,K832+P832)))</f>
        <v>0.9072</v>
      </c>
      <c r="R832" s="16" t="n">
        <f aca="false">IF(D832="","",Q832/$B$15)</f>
        <v>0.35</v>
      </c>
      <c r="S832" s="16" t="n">
        <f aca="false">IF(D832="","",MAX(0,J832-R832))</f>
        <v>0</v>
      </c>
      <c r="T832" s="16" t="n">
        <f aca="false">IF(D832="","",MAX(0,Z832-$B$8))</f>
        <v>16.3587186293004</v>
      </c>
      <c r="U832" s="16" t="n">
        <f aca="false">IF(D832="","",MAX(0,MIN($B$8,Z832)))</f>
        <v>47.22</v>
      </c>
      <c r="V832" s="16" t="str">
        <f aca="false">IF(D832="","",IF(S832&gt;0.0000001,"Sim","Não"))</f>
        <v>Não</v>
      </c>
      <c r="W832" s="16" t="n">
        <f aca="false">IF(D832="","",U832-(H832+E832-Q832-O832-T832))</f>
        <v>0</v>
      </c>
      <c r="X832" s="16" t="n">
        <f aca="false">IF(W832="","",ABS(W832))</f>
        <v>0</v>
      </c>
      <c r="Y832" s="16" t="n">
        <f aca="false">IF(U832="","",IF($B$8=0,0,U832/$B$8*100))</f>
        <v>100</v>
      </c>
      <c r="Z832" s="18" t="n">
        <f aca="false">IF(D832="","",MAX(0,IF(P832&gt;=0,P832,IF(K832+P832&gt;=0,0,P832+K832))))</f>
        <v>63.5787186293004</v>
      </c>
      <c r="AA832" s="18" t="n">
        <f aca="false">IF(D832="","",IF(H832&lt;=$B$16,1,IF(H832&gt;=$B$17,$B$21,MATCH(H832,Aux_CAV!$A$2:$A$121,1))))</f>
        <v>14</v>
      </c>
      <c r="AB832" s="18" t="n">
        <f aca="false">IF(D832="","",IF(L832&lt;=$B$16,1,IF(L832&gt;=$B$17,$B$21,MATCH(L832,Aux_CAV!$A$2:$A$121,1))))</f>
        <v>16</v>
      </c>
      <c r="AC832" s="19" t="n">
        <f aca="false">IF(D832="","",COUNT($D$24:D832))</f>
        <v>797</v>
      </c>
    </row>
    <row r="833" customFormat="false" ht="12.75" hidden="false" customHeight="true" outlineLevel="0" collapsed="false">
      <c r="A833" s="14" t="n">
        <f aca="false">IF(D833="","",DATE(B833,C833,1))</f>
        <v>28277</v>
      </c>
      <c r="B833" s="15" t="n">
        <f aca="false" t="array" ref="B833:B833">IF(D833="","",IFERROR(VALUE(INDEX(Vazoes_COLAR!$A$2:$A$200,INT((ROW()-24)/12)+1)),""))</f>
        <v>1977</v>
      </c>
      <c r="C833" s="15" t="n">
        <f aca="false">IF(D833="","",MOD(ROW()-24,12)+1)</f>
        <v>6</v>
      </c>
      <c r="D833" s="16" t="n">
        <f aca="false" t="array" ref="D833: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2.2627753787556</v>
      </c>
      <c r="E833" s="16" t="n">
        <f aca="false">IF(D833="","",D833*$B$15)</f>
        <v>5.86511378173452</v>
      </c>
      <c r="F833" s="16" t="n">
        <f aca="false" t="array" ref="F833:F833">IF(D833="","",IFERROR(INDEX(Dados_Evap!$C$2:$N$15,MATCH($B$9,Dados_Evap!$A$2:$A$15,0),C833),0))</f>
        <v>161.3</v>
      </c>
      <c r="G833" s="16" t="n">
        <f aca="false">IF(F833="","",F833/1000)</f>
        <v>0.1613</v>
      </c>
      <c r="H833" s="16" t="n">
        <f aca="false">IF(D833="","",MAX(0,MIN($B$8,IFERROR(LOOKUP(2,1/($U$24:U832&lt;&gt;""),$U$24:U832),$B$11))))</f>
        <v>47.22</v>
      </c>
      <c r="I833" s="16" t="n">
        <f aca="false" t="array" ref="I833: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>6.97</v>
      </c>
      <c r="J833" s="16" t="n">
        <f aca="false">IF(D833="","",$B$12)</f>
        <v>0.35</v>
      </c>
      <c r="K833" s="16" t="n">
        <f aca="false">IF(J833="","",J833*$B$15)</f>
        <v>0.9072</v>
      </c>
      <c r="L833" s="16" t="n">
        <f aca="false">IF(D833="","",H833+E833-K833-G833*I833)</f>
        <v>51.0536527817345</v>
      </c>
      <c r="M833" s="16" t="n">
        <f aca="false" t="array" ref="M833: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>7.42193467752155</v>
      </c>
      <c r="N833" s="16" t="n">
        <f aca="false">IF(D833="","",(I833+M833)/2)</f>
        <v>7.19596733876077</v>
      </c>
      <c r="O833" s="16" t="n">
        <f aca="false">IF(D833="","",G833*N833)</f>
        <v>1.16070953174211</v>
      </c>
      <c r="P833" s="16" t="n">
        <f aca="false">IF(D833="","",H833+E833-K833-O833)</f>
        <v>51.0172042499924</v>
      </c>
      <c r="Q833" s="16" t="n">
        <f aca="false">IF(D833="","",IF(P833&gt;=0,K833,MAX(0,K833+P833)))</f>
        <v>0.9072</v>
      </c>
      <c r="R833" s="16" t="n">
        <f aca="false">IF(D833="","",Q833/$B$15)</f>
        <v>0.35</v>
      </c>
      <c r="S833" s="16" t="n">
        <f aca="false">IF(D833="","",MAX(0,J833-R833))</f>
        <v>0</v>
      </c>
      <c r="T833" s="16" t="n">
        <f aca="false">IF(D833="","",MAX(0,Z833-$B$8))</f>
        <v>3.7972042499924</v>
      </c>
      <c r="U833" s="16" t="n">
        <f aca="false">IF(D833="","",MAX(0,MIN($B$8,Z833)))</f>
        <v>47.22</v>
      </c>
      <c r="V833" s="16" t="str">
        <f aca="false">IF(D833="","",IF(S833&gt;0.0000001,"Sim","Não"))</f>
        <v>Não</v>
      </c>
      <c r="W833" s="16" t="n">
        <f aca="false">IF(D833="","",U833-(H833+E833-Q833-O833-T833))</f>
        <v>0</v>
      </c>
      <c r="X833" s="16" t="n">
        <f aca="false">IF(W833="","",ABS(W833))</f>
        <v>0</v>
      </c>
      <c r="Y833" s="16" t="n">
        <f aca="false">IF(U833="","",IF($B$8=0,0,U833/$B$8*100))</f>
        <v>100</v>
      </c>
      <c r="Z833" s="18" t="n">
        <f aca="false">IF(D833="","",MAX(0,IF(P833&gt;=0,P833,IF(K833+P833&gt;=0,0,P833+K833))))</f>
        <v>51.0172042499924</v>
      </c>
      <c r="AA833" s="18" t="n">
        <f aca="false">IF(D833="","",IF(H833&lt;=$B$16,1,IF(H833&gt;=$B$17,$B$21,MATCH(H833,Aux_CAV!$A$2:$A$121,1))))</f>
        <v>14</v>
      </c>
      <c r="AB833" s="18" t="n">
        <f aca="false">IF(D833="","",IF(L833&lt;=$B$16,1,IF(L833&gt;=$B$17,$B$21,MATCH(L833,Aux_CAV!$A$2:$A$121,1))))</f>
        <v>14</v>
      </c>
      <c r="AC833" s="19" t="n">
        <f aca="false">IF(D833="","",COUNT($D$24:D833))</f>
        <v>798</v>
      </c>
    </row>
    <row r="834" customFormat="false" ht="12.75" hidden="false" customHeight="true" outlineLevel="0" collapsed="false">
      <c r="A834" s="14" t="n">
        <f aca="false">IF(D834="","",DATE(B834,C834,1))</f>
        <v>28307</v>
      </c>
      <c r="B834" s="15" t="n">
        <f aca="false" t="array" ref="B834:B834">IF(D834="","",IFERROR(VALUE(INDEX(Vazoes_COLAR!$A$2:$A$200,INT((ROW()-24)/12)+1)),""))</f>
        <v>1977</v>
      </c>
      <c r="C834" s="15" t="n">
        <f aca="false">IF(D834="","",MOD(ROW()-24,12)+1)</f>
        <v>7</v>
      </c>
      <c r="D834" s="16" t="n">
        <f aca="false" t="array" ref="D834: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0.829054906474392</v>
      </c>
      <c r="E834" s="16" t="n">
        <f aca="false">IF(D834="","",D834*$B$15)</f>
        <v>2.14891031758162</v>
      </c>
      <c r="F834" s="16" t="n">
        <f aca="false" t="array" ref="F834:F834">IF(D834="","",IFERROR(INDEX(Dados_Evap!$C$2:$N$15,MATCH($B$9,Dados_Evap!$A$2:$A$15,0),C834),0))</f>
        <v>224.8</v>
      </c>
      <c r="G834" s="16" t="n">
        <f aca="false">IF(F834="","",F834/1000)</f>
        <v>0.2248</v>
      </c>
      <c r="H834" s="16" t="n">
        <f aca="false">IF(D834="","",MAX(0,MIN($B$8,IFERROR(LOOKUP(2,1/($U$24:U833&lt;&gt;""),$U$24:U833),$B$11))))</f>
        <v>47.22</v>
      </c>
      <c r="I834" s="16" t="n">
        <f aca="false" t="array" ref="I834: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>6.97</v>
      </c>
      <c r="J834" s="16" t="n">
        <f aca="false">IF(D834="","",$B$12)</f>
        <v>0.35</v>
      </c>
      <c r="K834" s="16" t="n">
        <f aca="false">IF(J834="","",J834*$B$15)</f>
        <v>0.9072</v>
      </c>
      <c r="L834" s="16" t="n">
        <f aca="false">IF(D834="","",H834+E834-K834-G834*I834)</f>
        <v>46.8948543175816</v>
      </c>
      <c r="M834" s="16" t="n">
        <f aca="false" t="array" ref="M834: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>6.93753655529313</v>
      </c>
      <c r="N834" s="16" t="n">
        <f aca="false">IF(D834="","",(I834+M834)/2)</f>
        <v>6.95376827764657</v>
      </c>
      <c r="O834" s="16" t="n">
        <f aca="false">IF(D834="","",G834*N834)</f>
        <v>1.56320710881495</v>
      </c>
      <c r="P834" s="16" t="n">
        <f aca="false">IF(D834="","",H834+E834-K834-O834)</f>
        <v>46.8985032087667</v>
      </c>
      <c r="Q834" s="16" t="n">
        <f aca="false">IF(D834="","",IF(P834&gt;=0,K834,MAX(0,K834+P834)))</f>
        <v>0.9072</v>
      </c>
      <c r="R834" s="16" t="n">
        <f aca="false">IF(D834="","",Q834/$B$15)</f>
        <v>0.35</v>
      </c>
      <c r="S834" s="16" t="n">
        <f aca="false">IF(D834="","",MAX(0,J834-R834))</f>
        <v>0</v>
      </c>
      <c r="T834" s="16" t="n">
        <f aca="false">IF(D834="","",MAX(0,Z834-$B$8))</f>
        <v>0</v>
      </c>
      <c r="U834" s="16" t="n">
        <f aca="false">IF(D834="","",MAX(0,MIN($B$8,Z834)))</f>
        <v>46.8985032087667</v>
      </c>
      <c r="V834" s="16" t="str">
        <f aca="false">IF(D834="","",IF(S834&gt;0.0000001,"Sim","Não"))</f>
        <v>Não</v>
      </c>
      <c r="W834" s="16" t="n">
        <f aca="false">IF(D834="","",U834-(H834+E834-Q834-O834-T834))</f>
        <v>0</v>
      </c>
      <c r="X834" s="16" t="n">
        <f aca="false">IF(W834="","",ABS(W834))</f>
        <v>0</v>
      </c>
      <c r="Y834" s="16" t="n">
        <f aca="false">IF(U834="","",IF($B$8=0,0,U834/$B$8*100))</f>
        <v>99.3191512256812</v>
      </c>
      <c r="Z834" s="18" t="n">
        <f aca="false">IF(D834="","",MAX(0,IF(P834&gt;=0,P834,IF(K834+P834&gt;=0,0,P834+K834))))</f>
        <v>46.8985032087667</v>
      </c>
      <c r="AA834" s="18" t="n">
        <f aca="false">IF(D834="","",IF(H834&lt;=$B$16,1,IF(H834&gt;=$B$17,$B$21,MATCH(H834,Aux_CAV!$A$2:$A$121,1))))</f>
        <v>14</v>
      </c>
      <c r="AB834" s="18" t="n">
        <f aca="false">IF(D834="","",IF(L834&lt;=$B$16,1,IF(L834&gt;=$B$17,$B$21,MATCH(L834,Aux_CAV!$A$2:$A$121,1))))</f>
        <v>13</v>
      </c>
      <c r="AC834" s="19" t="n">
        <f aca="false">IF(D834="","",COUNT($D$24:D834))</f>
        <v>799</v>
      </c>
    </row>
    <row r="835" customFormat="false" ht="12.75" hidden="false" customHeight="true" outlineLevel="0" collapsed="false">
      <c r="A835" s="14" t="n">
        <f aca="false">IF(D835="","",DATE(B835,C835,1))</f>
        <v>28338</v>
      </c>
      <c r="B835" s="15" t="n">
        <f aca="false" t="array" ref="B835:B835">IF(D835="","",IFERROR(VALUE(INDEX(Vazoes_COLAR!$A$2:$A$200,INT((ROW()-24)/12)+1)),""))</f>
        <v>1977</v>
      </c>
      <c r="C835" s="15" t="n">
        <f aca="false">IF(D835="","",MOD(ROW()-24,12)+1)</f>
        <v>8</v>
      </c>
      <c r="D835" s="16" t="n">
        <f aca="false" t="array" ref="D835: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0.0439971668240874</v>
      </c>
      <c r="E835" s="16" t="n">
        <f aca="false">IF(D835="","",D835*$B$15)</f>
        <v>0.114040656408035</v>
      </c>
      <c r="F835" s="16" t="n">
        <f aca="false" t="array" ref="F835:F835">IF(D835="","",IFERROR(INDEX(Dados_Evap!$C$2:$N$15,MATCH($B$9,Dados_Evap!$A$2:$A$15,0),C835),0))</f>
        <v>268.7</v>
      </c>
      <c r="G835" s="16" t="n">
        <f aca="false">IF(F835="","",F835/1000)</f>
        <v>0.2687</v>
      </c>
      <c r="H835" s="16" t="n">
        <f aca="false">IF(D835="","",MAX(0,MIN($B$8,IFERROR(LOOKUP(2,1/($U$24:U834&lt;&gt;""),$U$24:U834),$B$11))))</f>
        <v>46.8985032087667</v>
      </c>
      <c r="I835" s="16" t="n">
        <f aca="false" t="array" ref="I835: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>6.93790087068661</v>
      </c>
      <c r="J835" s="16" t="n">
        <f aca="false">IF(D835="","",$B$12)</f>
        <v>0.35</v>
      </c>
      <c r="K835" s="16" t="n">
        <f aca="false">IF(J835="","",J835*$B$15)</f>
        <v>0.9072</v>
      </c>
      <c r="L835" s="16" t="n">
        <f aca="false">IF(D835="","",H835+E835-K835-G835*I835)</f>
        <v>44.2411299012212</v>
      </c>
      <c r="M835" s="16" t="n">
        <f aca="false" t="array" ref="M835: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>6.67258136592382</v>
      </c>
      <c r="N835" s="16" t="n">
        <f aca="false">IF(D835="","",(I835+M835)/2)</f>
        <v>6.80524111830521</v>
      </c>
      <c r="O835" s="16" t="n">
        <f aca="false">IF(D835="","",G835*N835)</f>
        <v>1.82856828848861</v>
      </c>
      <c r="P835" s="16" t="n">
        <f aca="false">IF(D835="","",H835+E835-K835-O835)</f>
        <v>44.2767755766861</v>
      </c>
      <c r="Q835" s="16" t="n">
        <f aca="false">IF(D835="","",IF(P835&gt;=0,K835,MAX(0,K835+P835)))</f>
        <v>0.9072</v>
      </c>
      <c r="R835" s="16" t="n">
        <f aca="false">IF(D835="","",Q835/$B$15)</f>
        <v>0.35</v>
      </c>
      <c r="S835" s="16" t="n">
        <f aca="false">IF(D835="","",MAX(0,J835-R835))</f>
        <v>0</v>
      </c>
      <c r="T835" s="16" t="n">
        <f aca="false">IF(D835="","",MAX(0,Z835-$B$8))</f>
        <v>0</v>
      </c>
      <c r="U835" s="16" t="n">
        <f aca="false">IF(D835="","",MAX(0,MIN($B$8,Z835)))</f>
        <v>44.2767755766861</v>
      </c>
      <c r="V835" s="16" t="str">
        <f aca="false">IF(D835="","",IF(S835&gt;0.0000001,"Sim","Não"))</f>
        <v>Não</v>
      </c>
      <c r="W835" s="16" t="n">
        <f aca="false">IF(D835="","",U835-(H835+E835-Q835-O835-T835))</f>
        <v>0</v>
      </c>
      <c r="X835" s="16" t="n">
        <f aca="false">IF(W835="","",ABS(W835))</f>
        <v>0</v>
      </c>
      <c r="Y835" s="16" t="n">
        <f aca="false">IF(U835="","",IF($B$8=0,0,U835/$B$8*100))</f>
        <v>93.766996138683</v>
      </c>
      <c r="Z835" s="18" t="n">
        <f aca="false">IF(D835="","",MAX(0,IF(P835&gt;=0,P835,IF(K835+P835&gt;=0,0,P835+K835))))</f>
        <v>44.2767755766861</v>
      </c>
      <c r="AA835" s="18" t="n">
        <f aca="false">IF(D835="","",IF(H835&lt;=$B$16,1,IF(H835&gt;=$B$17,$B$21,MATCH(H835,Aux_CAV!$A$2:$A$121,1))))</f>
        <v>13</v>
      </c>
      <c r="AB835" s="18" t="n">
        <f aca="false">IF(D835="","",IF(L835&lt;=$B$16,1,IF(L835&gt;=$B$17,$B$21,MATCH(L835,Aux_CAV!$A$2:$A$121,1))))</f>
        <v>13</v>
      </c>
      <c r="AC835" s="19" t="n">
        <f aca="false">IF(D835="","",COUNT($D$24:D835))</f>
        <v>800</v>
      </c>
    </row>
    <row r="836" customFormat="false" ht="12.75" hidden="false" customHeight="true" outlineLevel="0" collapsed="false">
      <c r="A836" s="14" t="n">
        <f aca="false">IF(D836="","",DATE(B836,C836,1))</f>
        <v>28369</v>
      </c>
      <c r="B836" s="15" t="n">
        <f aca="false" t="array" ref="B836:B836">IF(D836="","",IFERROR(VALUE(INDEX(Vazoes_COLAR!$A$2:$A$200,INT((ROW()-24)/12)+1)),""))</f>
        <v>1977</v>
      </c>
      <c r="C836" s="15" t="n">
        <f aca="false">IF(D836="","",MOD(ROW()-24,12)+1)</f>
        <v>9</v>
      </c>
      <c r="D836" s="16" t="n">
        <f aca="false" t="array" ref="D836: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0.0427052174012131</v>
      </c>
      <c r="E836" s="16" t="n">
        <f aca="false">IF(D836="","",D836*$B$15)</f>
        <v>0.110691923503944</v>
      </c>
      <c r="F836" s="16" t="n">
        <f aca="false" t="array" ref="F836:F836">IF(D836="","",IFERROR(INDEX(Dados_Evap!$C$2:$N$15,MATCH($B$9,Dados_Evap!$A$2:$A$15,0),C836),0))</f>
        <v>292.8</v>
      </c>
      <c r="G836" s="16" t="n">
        <f aca="false">IF(F836="","",F836/1000)</f>
        <v>0.2928</v>
      </c>
      <c r="H836" s="16" t="n">
        <f aca="false">IF(D836="","",MAX(0,MIN($B$8,IFERROR(LOOKUP(2,1/($U$24:U835&lt;&gt;""),$U$24:U835),$B$11))))</f>
        <v>44.2767755766861</v>
      </c>
      <c r="I836" s="16" t="n">
        <f aca="false" t="array" ref="I836: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>6.67614032880435</v>
      </c>
      <c r="J836" s="16" t="n">
        <f aca="false">IF(D836="","",$B$12)</f>
        <v>0.35</v>
      </c>
      <c r="K836" s="16" t="n">
        <f aca="false">IF(J836="","",J836*$B$15)</f>
        <v>0.9072</v>
      </c>
      <c r="L836" s="16" t="n">
        <f aca="false">IF(D836="","",H836+E836-K836-G836*I836)</f>
        <v>41.5254936119161</v>
      </c>
      <c r="M836" s="16" t="n">
        <f aca="false" t="array" ref="M836: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>6.40144472383125</v>
      </c>
      <c r="N836" s="16" t="n">
        <f aca="false">IF(D836="","",(I836+M836)/2)</f>
        <v>6.5387925263178</v>
      </c>
      <c r="O836" s="16" t="n">
        <f aca="false">IF(D836="","",G836*N836)</f>
        <v>1.91455845170585</v>
      </c>
      <c r="P836" s="16" t="n">
        <f aca="false">IF(D836="","",H836+E836-K836-O836)</f>
        <v>41.5657090484842</v>
      </c>
      <c r="Q836" s="16" t="n">
        <f aca="false">IF(D836="","",IF(P836&gt;=0,K836,MAX(0,K836+P836)))</f>
        <v>0.9072</v>
      </c>
      <c r="R836" s="16" t="n">
        <f aca="false">IF(D836="","",Q836/$B$15)</f>
        <v>0.35</v>
      </c>
      <c r="S836" s="16" t="n">
        <f aca="false">IF(D836="","",MAX(0,J836-R836))</f>
        <v>0</v>
      </c>
      <c r="T836" s="16" t="n">
        <f aca="false">IF(D836="","",MAX(0,Z836-$B$8))</f>
        <v>0</v>
      </c>
      <c r="U836" s="16" t="n">
        <f aca="false">IF(D836="","",MAX(0,MIN($B$8,Z836)))</f>
        <v>41.5657090484842</v>
      </c>
      <c r="V836" s="16" t="str">
        <f aca="false">IF(D836="","",IF(S836&gt;0.0000001,"Sim","Não"))</f>
        <v>Não</v>
      </c>
      <c r="W836" s="16" t="n">
        <f aca="false">IF(D836="","",U836-(H836+E836-Q836-O836-T836))</f>
        <v>0</v>
      </c>
      <c r="X836" s="16" t="n">
        <f aca="false">IF(W836="","",ABS(W836))</f>
        <v>0</v>
      </c>
      <c r="Y836" s="16" t="n">
        <f aca="false">IF(U836="","",IF($B$8=0,0,U836/$B$8*100))</f>
        <v>88.0256438976793</v>
      </c>
      <c r="Z836" s="18" t="n">
        <f aca="false">IF(D836="","",MAX(0,IF(P836&gt;=0,P836,IF(K836+P836&gt;=0,0,P836+K836))))</f>
        <v>41.5657090484842</v>
      </c>
      <c r="AA836" s="18" t="n">
        <f aca="false">IF(D836="","",IF(H836&lt;=$B$16,1,IF(H836&gt;=$B$17,$B$21,MATCH(H836,Aux_CAV!$A$2:$A$121,1))))</f>
        <v>13</v>
      </c>
      <c r="AB836" s="18" t="n">
        <f aca="false">IF(D836="","",IF(L836&lt;=$B$16,1,IF(L836&gt;=$B$17,$B$21,MATCH(L836,Aux_CAV!$A$2:$A$121,1))))</f>
        <v>13</v>
      </c>
      <c r="AC836" s="19" t="n">
        <f aca="false">IF(D836="","",COUNT($D$24:D836))</f>
        <v>801</v>
      </c>
    </row>
    <row r="837" customFormat="false" ht="12.75" hidden="false" customHeight="true" outlineLevel="0" collapsed="false">
      <c r="A837" s="14" t="n">
        <f aca="false">IF(D837="","",DATE(B837,C837,1))</f>
        <v>28399</v>
      </c>
      <c r="B837" s="15" t="n">
        <f aca="false" t="array" ref="B837:B837">IF(D837="","",IFERROR(VALUE(INDEX(Vazoes_COLAR!$A$2:$A$200,INT((ROW()-24)/12)+1)),""))</f>
        <v>1977</v>
      </c>
      <c r="C837" s="15" t="n">
        <f aca="false">IF(D837="","",MOD(ROW()-24,12)+1)</f>
        <v>10</v>
      </c>
      <c r="D837" s="16" t="n">
        <f aca="false" t="array" ref="D837: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0.0688001850410936</v>
      </c>
      <c r="E837" s="16" t="n">
        <f aca="false">IF(D837="","",D837*$B$15)</f>
        <v>0.178330079626515</v>
      </c>
      <c r="F837" s="16" t="n">
        <f aca="false" t="array" ref="F837:F837">IF(D837="","",IFERROR(INDEX(Dados_Evap!$C$2:$N$15,MATCH($B$9,Dados_Evap!$A$2:$A$15,0),C837),0))</f>
        <v>262.9</v>
      </c>
      <c r="G837" s="16" t="n">
        <f aca="false">IF(F837="","",F837/1000)</f>
        <v>0.2629</v>
      </c>
      <c r="H837" s="16" t="n">
        <f aca="false">IF(D837="","",MAX(0,MIN($B$8,IFERROR(LOOKUP(2,1/($U$24:U836&lt;&gt;""),$U$24:U836),$B$11))))</f>
        <v>41.5657090484842</v>
      </c>
      <c r="I837" s="16" t="n">
        <f aca="false" t="array" ref="I837: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>6.4054599443062</v>
      </c>
      <c r="J837" s="16" t="n">
        <f aca="false">IF(D837="","",$B$12)</f>
        <v>0.35</v>
      </c>
      <c r="K837" s="16" t="n">
        <f aca="false">IF(J837="","",J837*$B$15)</f>
        <v>0.9072</v>
      </c>
      <c r="L837" s="16" t="n">
        <f aca="false">IF(D837="","",H837+E837-K837-G837*I837)</f>
        <v>39.1528437087526</v>
      </c>
      <c r="M837" s="16" t="n">
        <f aca="false" t="array" ref="M837: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>6.16455279167577</v>
      </c>
      <c r="N837" s="16" t="n">
        <f aca="false">IF(D837="","",(I837+M837)/2)</f>
        <v>6.28500636799099</v>
      </c>
      <c r="O837" s="16" t="n">
        <f aca="false">IF(D837="","",G837*N837)</f>
        <v>1.65232817414483</v>
      </c>
      <c r="P837" s="16" t="n">
        <f aca="false">IF(D837="","",H837+E837-K837-O837)</f>
        <v>39.1845109539659</v>
      </c>
      <c r="Q837" s="16" t="n">
        <f aca="false">IF(D837="","",IF(P837&gt;=0,K837,MAX(0,K837+P837)))</f>
        <v>0.9072</v>
      </c>
      <c r="R837" s="16" t="n">
        <f aca="false">IF(D837="","",Q837/$B$15)</f>
        <v>0.35</v>
      </c>
      <c r="S837" s="16" t="n">
        <f aca="false">IF(D837="","",MAX(0,J837-R837))</f>
        <v>0</v>
      </c>
      <c r="T837" s="16" t="n">
        <f aca="false">IF(D837="","",MAX(0,Z837-$B$8))</f>
        <v>0</v>
      </c>
      <c r="U837" s="16" t="n">
        <f aca="false">IF(D837="","",MAX(0,MIN($B$8,Z837)))</f>
        <v>39.1845109539659</v>
      </c>
      <c r="V837" s="16" t="str">
        <f aca="false">IF(D837="","",IF(S837&gt;0.0000001,"Sim","Não"))</f>
        <v>Não</v>
      </c>
      <c r="W837" s="16" t="n">
        <f aca="false">IF(D837="","",U837-(H837+E837-Q837-O837-T837))</f>
        <v>0</v>
      </c>
      <c r="X837" s="16" t="n">
        <f aca="false">IF(W837="","",ABS(W837))</f>
        <v>0</v>
      </c>
      <c r="Y837" s="16" t="n">
        <f aca="false">IF(U837="","",IF($B$8=0,0,U837/$B$8*100))</f>
        <v>82.9828694493136</v>
      </c>
      <c r="Z837" s="18" t="n">
        <f aca="false">IF(D837="","",MAX(0,IF(P837&gt;=0,P837,IF(K837+P837&gt;=0,0,P837+K837))))</f>
        <v>39.1845109539659</v>
      </c>
      <c r="AA837" s="18" t="n">
        <f aca="false">IF(D837="","",IF(H837&lt;=$B$16,1,IF(H837&gt;=$B$17,$B$21,MATCH(H837,Aux_CAV!$A$2:$A$121,1))))</f>
        <v>13</v>
      </c>
      <c r="AB837" s="18" t="n">
        <f aca="false">IF(D837="","",IF(L837&lt;=$B$16,1,IF(L837&gt;=$B$17,$B$21,MATCH(L837,Aux_CAV!$A$2:$A$121,1))))</f>
        <v>13</v>
      </c>
      <c r="AC837" s="19" t="n">
        <f aca="false">IF(D837="","",COUNT($D$24:D837))</f>
        <v>802</v>
      </c>
    </row>
    <row r="838" customFormat="false" ht="12.75" hidden="false" customHeight="true" outlineLevel="0" collapsed="false">
      <c r="A838" s="14" t="n">
        <f aca="false">IF(D838="","",DATE(B838,C838,1))</f>
        <v>28430</v>
      </c>
      <c r="B838" s="15" t="n">
        <f aca="false" t="array" ref="B838:B838">IF(D838="","",IFERROR(VALUE(INDEX(Vazoes_COLAR!$A$2:$A$200,INT((ROW()-24)/12)+1)),""))</f>
        <v>1977</v>
      </c>
      <c r="C838" s="15" t="n">
        <f aca="false">IF(D838="","",MOD(ROW()-24,12)+1)</f>
        <v>11</v>
      </c>
      <c r="D838" s="16" t="n">
        <f aca="false" t="array" ref="D838: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0.0325699326150423</v>
      </c>
      <c r="E838" s="16" t="n">
        <f aca="false">IF(D838="","",D838*$B$15)</f>
        <v>0.0844212653381896</v>
      </c>
      <c r="F838" s="16" t="n">
        <f aca="false" t="array" ref="F838:F838">IF(D838="","",IFERROR(INDEX(Dados_Evap!$C$2:$N$15,MATCH($B$9,Dados_Evap!$A$2:$A$15,0),C838),0))</f>
        <v>223.7</v>
      </c>
      <c r="G838" s="16" t="n">
        <f aca="false">IF(F838="","",F838/1000)</f>
        <v>0.2237</v>
      </c>
      <c r="H838" s="16" t="n">
        <f aca="false">IF(D838="","",MAX(0,MIN($B$8,IFERROR(LOOKUP(2,1/($U$24:U837&lt;&gt;""),$U$24:U837),$B$11))))</f>
        <v>39.1845109539659</v>
      </c>
      <c r="I838" s="16" t="n">
        <f aca="false" t="array" ref="I838: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>6.16771453707049</v>
      </c>
      <c r="J838" s="16" t="n">
        <f aca="false">IF(D838="","",$B$12)</f>
        <v>0.35</v>
      </c>
      <c r="K838" s="16" t="n">
        <f aca="false">IF(J838="","",J838*$B$15)</f>
        <v>0.9072</v>
      </c>
      <c r="L838" s="16" t="n">
        <f aca="false">IF(D838="","",H838+E838-K838-G838*I838)</f>
        <v>36.9820144773614</v>
      </c>
      <c r="M838" s="16" t="n">
        <f aca="false" t="array" ref="M838: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>5.9478111938875</v>
      </c>
      <c r="N838" s="16" t="n">
        <f aca="false">IF(D838="","",(I838+M838)/2)</f>
        <v>6.05776286547899</v>
      </c>
      <c r="O838" s="16" t="n">
        <f aca="false">IF(D838="","",G838*N838)</f>
        <v>1.35512155300765</v>
      </c>
      <c r="P838" s="16" t="n">
        <f aca="false">IF(D838="","",H838+E838-K838-O838)</f>
        <v>37.0066106662964</v>
      </c>
      <c r="Q838" s="16" t="n">
        <f aca="false">IF(D838="","",IF(P838&gt;=0,K838,MAX(0,K838+P838)))</f>
        <v>0.9072</v>
      </c>
      <c r="R838" s="16" t="n">
        <f aca="false">IF(D838="","",Q838/$B$15)</f>
        <v>0.35</v>
      </c>
      <c r="S838" s="16" t="n">
        <f aca="false">IF(D838="","",MAX(0,J838-R838))</f>
        <v>0</v>
      </c>
      <c r="T838" s="16" t="n">
        <f aca="false">IF(D838="","",MAX(0,Z838-$B$8))</f>
        <v>0</v>
      </c>
      <c r="U838" s="16" t="n">
        <f aca="false">IF(D838="","",MAX(0,MIN($B$8,Z838)))</f>
        <v>37.0066106662964</v>
      </c>
      <c r="V838" s="16" t="str">
        <f aca="false">IF(D838="","",IF(S838&gt;0.0000001,"Sim","Não"))</f>
        <v>Não</v>
      </c>
      <c r="W838" s="16" t="n">
        <f aca="false">IF(D838="","",U838-(H838+E838-Q838-O838-T838))</f>
        <v>0</v>
      </c>
      <c r="X838" s="16" t="n">
        <f aca="false">IF(W838="","",ABS(W838))</f>
        <v>0</v>
      </c>
      <c r="Y838" s="16" t="n">
        <f aca="false">IF(U838="","",IF($B$8=0,0,U838/$B$8*100))</f>
        <v>78.3706282640754</v>
      </c>
      <c r="Z838" s="18" t="n">
        <f aca="false">IF(D838="","",MAX(0,IF(P838&gt;=0,P838,IF(K838+P838&gt;=0,0,P838+K838))))</f>
        <v>37.0066106662964</v>
      </c>
      <c r="AA838" s="18" t="n">
        <f aca="false">IF(D838="","",IF(H838&lt;=$B$16,1,IF(H838&gt;=$B$17,$B$21,MATCH(H838,Aux_CAV!$A$2:$A$121,1))))</f>
        <v>13</v>
      </c>
      <c r="AB838" s="18" t="n">
        <f aca="false">IF(D838="","",IF(L838&lt;=$B$16,1,IF(L838&gt;=$B$17,$B$21,MATCH(L838,Aux_CAV!$A$2:$A$121,1))))</f>
        <v>13</v>
      </c>
      <c r="AC838" s="19" t="n">
        <f aca="false">IF(D838="","",COUNT($D$24:D838))</f>
        <v>803</v>
      </c>
    </row>
    <row r="839" customFormat="false" ht="12.75" hidden="false" customHeight="true" outlineLevel="0" collapsed="false">
      <c r="A839" s="14" t="n">
        <f aca="false">IF(D839="","",DATE(B839,C839,1))</f>
        <v>28460</v>
      </c>
      <c r="B839" s="15" t="n">
        <f aca="false" t="array" ref="B839:B839">IF(D839="","",IFERROR(VALUE(INDEX(Vazoes_COLAR!$A$2:$A$200,INT((ROW()-24)/12)+1)),""))</f>
        <v>1977</v>
      </c>
      <c r="C839" s="15" t="n">
        <f aca="false">IF(D839="","",MOD(ROW()-24,12)+1)</f>
        <v>12</v>
      </c>
      <c r="D839" s="16" t="n">
        <f aca="false" t="array" ref="D839: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0.227403674585577</v>
      </c>
      <c r="E839" s="16" t="n">
        <f aca="false">IF(D839="","",D839*$B$15)</f>
        <v>0.589430324525816</v>
      </c>
      <c r="F839" s="16" t="n">
        <f aca="false" t="array" ref="F839:F839">IF(D839="","",IFERROR(INDEX(Dados_Evap!$C$2:$N$15,MATCH($B$9,Dados_Evap!$A$2:$A$15,0),C839),0))</f>
        <v>216.1</v>
      </c>
      <c r="G839" s="16" t="n">
        <f aca="false">IF(F839="","",F839/1000)</f>
        <v>0.2161</v>
      </c>
      <c r="H839" s="16" t="n">
        <f aca="false">IF(D839="","",MAX(0,MIN($B$8,IFERROR(LOOKUP(2,1/($U$24:U838&lt;&gt;""),$U$24:U838),$B$11))))</f>
        <v>37.0066106662964</v>
      </c>
      <c r="I839" s="16" t="n">
        <f aca="false" t="array" ref="I839: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>5.95026694545569</v>
      </c>
      <c r="J839" s="16" t="n">
        <f aca="false">IF(D839="","",$B$12)</f>
        <v>0.35</v>
      </c>
      <c r="K839" s="16" t="n">
        <f aca="false">IF(J839="","",J839*$B$15)</f>
        <v>0.9072</v>
      </c>
      <c r="L839" s="16" t="n">
        <f aca="false">IF(D839="","",H839+E839-K839-G839*I839)</f>
        <v>35.4029883039092</v>
      </c>
      <c r="M839" s="16" t="n">
        <f aca="false" t="array" ref="M839: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>5.79015685109786</v>
      </c>
      <c r="N839" s="16" t="n">
        <f aca="false">IF(D839="","",(I839+M839)/2)</f>
        <v>5.87021189827678</v>
      </c>
      <c r="O839" s="16" t="n">
        <f aca="false">IF(D839="","",G839*N839)</f>
        <v>1.26855279121761</v>
      </c>
      <c r="P839" s="16" t="n">
        <f aca="false">IF(D839="","",H839+E839-K839-O839)</f>
        <v>35.4202881996046</v>
      </c>
      <c r="Q839" s="16" t="n">
        <f aca="false">IF(D839="","",IF(P839&gt;=0,K839,MAX(0,K839+P839)))</f>
        <v>0.9072</v>
      </c>
      <c r="R839" s="16" t="n">
        <f aca="false">IF(D839="","",Q839/$B$15)</f>
        <v>0.35</v>
      </c>
      <c r="S839" s="16" t="n">
        <f aca="false">IF(D839="","",MAX(0,J839-R839))</f>
        <v>0</v>
      </c>
      <c r="T839" s="16" t="n">
        <f aca="false">IF(D839="","",MAX(0,Z839-$B$8))</f>
        <v>0</v>
      </c>
      <c r="U839" s="16" t="n">
        <f aca="false">IF(D839="","",MAX(0,MIN($B$8,Z839)))</f>
        <v>35.4202881996046</v>
      </c>
      <c r="V839" s="16" t="str">
        <f aca="false">IF(D839="","",IF(S839&gt;0.0000001,"Sim","Não"))</f>
        <v>Não</v>
      </c>
      <c r="W839" s="16" t="n">
        <f aca="false">IF(D839="","",U839-(H839+E839-Q839-O839-T839))</f>
        <v>0</v>
      </c>
      <c r="X839" s="16" t="n">
        <f aca="false">IF(W839="","",ABS(W839))</f>
        <v>0</v>
      </c>
      <c r="Y839" s="16" t="n">
        <f aca="false">IF(U839="","",IF($B$8=0,0,U839/$B$8*100))</f>
        <v>75.0111990673541</v>
      </c>
      <c r="Z839" s="18" t="n">
        <f aca="false">IF(D839="","",MAX(0,IF(P839&gt;=0,P839,IF(K839+P839&gt;=0,0,P839+K839))))</f>
        <v>35.4202881996046</v>
      </c>
      <c r="AA839" s="18" t="n">
        <f aca="false">IF(D839="","",IF(H839&lt;=$B$16,1,IF(H839&gt;=$B$17,$B$21,MATCH(H839,Aux_CAV!$A$2:$A$121,1))))</f>
        <v>13</v>
      </c>
      <c r="AB839" s="18" t="n">
        <f aca="false">IF(D839="","",IF(L839&lt;=$B$16,1,IF(L839&gt;=$B$17,$B$21,MATCH(L839,Aux_CAV!$A$2:$A$121,1))))</f>
        <v>13</v>
      </c>
      <c r="AC839" s="19" t="n">
        <f aca="false">IF(D839="","",COUNT($D$24:D839))</f>
        <v>804</v>
      </c>
    </row>
    <row r="840" customFormat="false" ht="12.75" hidden="false" customHeight="true" outlineLevel="0" collapsed="false">
      <c r="A840" s="14" t="n">
        <f aca="false">IF(D840="","",DATE(B840,C840,1))</f>
        <v>28491</v>
      </c>
      <c r="B840" s="15" t="n">
        <f aca="false" t="array" ref="B840:B840">IF(D840="","",IFERROR(VALUE(INDEX(Vazoes_COLAR!$A$2:$A$200,INT((ROW()-24)/12)+1)),""))</f>
        <v>1978</v>
      </c>
      <c r="C840" s="15" t="n">
        <f aca="false">IF(D840="","",MOD(ROW()-24,12)+1)</f>
        <v>1</v>
      </c>
      <c r="D840" s="16" t="n">
        <f aca="false" t="array" ref="D840: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0.674409697325149</v>
      </c>
      <c r="E840" s="16" t="n">
        <f aca="false">IF(D840="","",D840*$B$15)</f>
        <v>1.74806993546679</v>
      </c>
      <c r="F840" s="16" t="n">
        <f aca="false" t="array" ref="F840:F840">IF(D840="","",IFERROR(INDEX(Dados_Evap!$C$2:$N$15,MATCH($B$9,Dados_Evap!$A$2:$A$15,0),C840),0))</f>
        <v>160</v>
      </c>
      <c r="G840" s="16" t="n">
        <f aca="false">IF(F840="","",F840/1000)</f>
        <v>0.16</v>
      </c>
      <c r="H840" s="16" t="n">
        <f aca="false">IF(D840="","",MAX(0,MIN($B$8,IFERROR(LOOKUP(2,1/($U$24:U839&lt;&gt;""),$U$24:U839),$B$11))))</f>
        <v>35.4202881996046</v>
      </c>
      <c r="I840" s="16" t="n">
        <f aca="false" t="array" ref="I840: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>5.79188412055801</v>
      </c>
      <c r="J840" s="16" t="n">
        <f aca="false">IF(D840="","",$B$12)</f>
        <v>0.35</v>
      </c>
      <c r="K840" s="16" t="n">
        <f aca="false">IF(J840="","",J840*$B$15)</f>
        <v>0.9072</v>
      </c>
      <c r="L840" s="16" t="n">
        <f aca="false">IF(D840="","",H840+E840-K840-G840*I840)</f>
        <v>35.3344566757821</v>
      </c>
      <c r="M840" s="16" t="n">
        <f aca="false" t="array" ref="M840: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>5.78331446369837</v>
      </c>
      <c r="N840" s="16" t="n">
        <f aca="false">IF(D840="","",(I840+M840)/2)</f>
        <v>5.78759929212819</v>
      </c>
      <c r="O840" s="16" t="n">
        <f aca="false">IF(D840="","",G840*N840)</f>
        <v>0.92601588674051</v>
      </c>
      <c r="P840" s="16" t="n">
        <f aca="false">IF(D840="","",H840+E840-K840-O840)</f>
        <v>35.3351422483309</v>
      </c>
      <c r="Q840" s="16" t="n">
        <f aca="false">IF(D840="","",IF(P840&gt;=0,K840,MAX(0,K840+P840)))</f>
        <v>0.9072</v>
      </c>
      <c r="R840" s="16" t="n">
        <f aca="false">IF(D840="","",Q840/$B$15)</f>
        <v>0.35</v>
      </c>
      <c r="S840" s="16" t="n">
        <f aca="false">IF(D840="","",MAX(0,J840-R840))</f>
        <v>0</v>
      </c>
      <c r="T840" s="16" t="n">
        <f aca="false">IF(D840="","",MAX(0,Z840-$B$8))</f>
        <v>0</v>
      </c>
      <c r="U840" s="16" t="n">
        <f aca="false">IF(D840="","",MAX(0,MIN($B$8,Z840)))</f>
        <v>35.3351422483309</v>
      </c>
      <c r="V840" s="16" t="str">
        <f aca="false">IF(D840="","",IF(S840&gt;0.0000001,"Sim","Não"))</f>
        <v>Não</v>
      </c>
      <c r="W840" s="16" t="n">
        <f aca="false">IF(D840="","",U840-(H840+E840-Q840-O840-T840))</f>
        <v>0</v>
      </c>
      <c r="X840" s="16" t="n">
        <f aca="false">IF(W840="","",ABS(W840))</f>
        <v>0</v>
      </c>
      <c r="Y840" s="16" t="n">
        <f aca="false">IF(U840="","",IF($B$8=0,0,U840/$B$8*100))</f>
        <v>74.8308815085364</v>
      </c>
      <c r="Z840" s="18" t="n">
        <f aca="false">IF(D840="","",MAX(0,IF(P840&gt;=0,P840,IF(K840+P840&gt;=0,0,P840+K840))))</f>
        <v>35.3351422483309</v>
      </c>
      <c r="AA840" s="18" t="n">
        <f aca="false">IF(D840="","",IF(H840&lt;=$B$16,1,IF(H840&gt;=$B$17,$B$21,MATCH(H840,Aux_CAV!$A$2:$A$121,1))))</f>
        <v>13</v>
      </c>
      <c r="AB840" s="18" t="n">
        <f aca="false">IF(D840="","",IF(L840&lt;=$B$16,1,IF(L840&gt;=$B$17,$B$21,MATCH(L840,Aux_CAV!$A$2:$A$121,1))))</f>
        <v>13</v>
      </c>
      <c r="AC840" s="19" t="n">
        <f aca="false">IF(D840="","",COUNT($D$24:D840))</f>
        <v>805</v>
      </c>
    </row>
    <row r="841" customFormat="false" ht="12.75" hidden="false" customHeight="true" outlineLevel="0" collapsed="false">
      <c r="A841" s="14" t="n">
        <f aca="false">IF(D841="","",DATE(B841,C841,1))</f>
        <v>28522</v>
      </c>
      <c r="B841" s="15" t="n">
        <f aca="false" t="array" ref="B841:B841">IF(D841="","",IFERROR(VALUE(INDEX(Vazoes_COLAR!$A$2:$A$200,INT((ROW()-24)/12)+1)),""))</f>
        <v>1978</v>
      </c>
      <c r="C841" s="15" t="n">
        <f aca="false">IF(D841="","",MOD(ROW()-24,12)+1)</f>
        <v>2</v>
      </c>
      <c r="D841" s="16" t="n">
        <f aca="false" t="array" ref="D841: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3.02524462166621</v>
      </c>
      <c r="E841" s="16" t="n">
        <f aca="false">IF(D841="","",D841*$B$15)</f>
        <v>7.84143405935882</v>
      </c>
      <c r="F841" s="16" t="n">
        <f aca="false" t="array" ref="F841:F841">IF(D841="","",IFERROR(INDEX(Dados_Evap!$C$2:$N$15,MATCH($B$9,Dados_Evap!$A$2:$A$15,0),C841),0))</f>
        <v>124.3</v>
      </c>
      <c r="G841" s="16" t="n">
        <f aca="false">IF(F841="","",F841/1000)</f>
        <v>0.1243</v>
      </c>
      <c r="H841" s="16" t="n">
        <f aca="false">IF(D841="","",MAX(0,MIN($B$8,IFERROR(LOOKUP(2,1/($U$24:U840&lt;&gt;""),$U$24:U840),$B$11))))</f>
        <v>35.3351422483309</v>
      </c>
      <c r="I841" s="16" t="n">
        <f aca="false" t="array" ref="I841: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>5.78338291315882</v>
      </c>
      <c r="J841" s="16" t="n">
        <f aca="false">IF(D841="","",$B$12)</f>
        <v>0.35</v>
      </c>
      <c r="K841" s="16" t="n">
        <f aca="false">IF(J841="","",J841*$B$15)</f>
        <v>0.9072</v>
      </c>
      <c r="L841" s="16" t="n">
        <f aca="false">IF(D841="","",H841+E841-K841-G841*I841)</f>
        <v>41.5505018115841</v>
      </c>
      <c r="M841" s="16" t="n">
        <f aca="false" t="array" ref="M841: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>6.40394161169118</v>
      </c>
      <c r="N841" s="16" t="n">
        <f aca="false">IF(D841="","",(I841+M841)/2)</f>
        <v>6.093662262425</v>
      </c>
      <c r="O841" s="16" t="n">
        <f aca="false">IF(D841="","",G841*N841)</f>
        <v>0.757442219219427</v>
      </c>
      <c r="P841" s="16" t="n">
        <f aca="false">IF(D841="","",H841+E841-K841-O841)</f>
        <v>41.5119340884703</v>
      </c>
      <c r="Q841" s="16" t="n">
        <f aca="false">IF(D841="","",IF(P841&gt;=0,K841,MAX(0,K841+P841)))</f>
        <v>0.9072</v>
      </c>
      <c r="R841" s="16" t="n">
        <f aca="false">IF(D841="","",Q841/$B$15)</f>
        <v>0.35</v>
      </c>
      <c r="S841" s="16" t="n">
        <f aca="false">IF(D841="","",MAX(0,J841-R841))</f>
        <v>0</v>
      </c>
      <c r="T841" s="16" t="n">
        <f aca="false">IF(D841="","",MAX(0,Z841-$B$8))</f>
        <v>0</v>
      </c>
      <c r="U841" s="16" t="n">
        <f aca="false">IF(D841="","",MAX(0,MIN($B$8,Z841)))</f>
        <v>41.5119340884703</v>
      </c>
      <c r="V841" s="16" t="str">
        <f aca="false">IF(D841="","",IF(S841&gt;0.0000001,"Sim","Não"))</f>
        <v>Não</v>
      </c>
      <c r="W841" s="16" t="n">
        <f aca="false">IF(D841="","",U841-(H841+E841-Q841-O841-T841))</f>
        <v>0</v>
      </c>
      <c r="X841" s="16" t="n">
        <f aca="false">IF(W841="","",ABS(W841))</f>
        <v>0</v>
      </c>
      <c r="Y841" s="16" t="n">
        <f aca="false">IF(U841="","",IF($B$8=0,0,U841/$B$8*100))</f>
        <v>87.9117621526266</v>
      </c>
      <c r="Z841" s="18" t="n">
        <f aca="false">IF(D841="","",MAX(0,IF(P841&gt;=0,P841,IF(K841+P841&gt;=0,0,P841+K841))))</f>
        <v>41.5119340884703</v>
      </c>
      <c r="AA841" s="18" t="n">
        <f aca="false">IF(D841="","",IF(H841&lt;=$B$16,1,IF(H841&gt;=$B$17,$B$21,MATCH(H841,Aux_CAV!$A$2:$A$121,1))))</f>
        <v>13</v>
      </c>
      <c r="AB841" s="18" t="n">
        <f aca="false">IF(D841="","",IF(L841&lt;=$B$16,1,IF(L841&gt;=$B$17,$B$21,MATCH(L841,Aux_CAV!$A$2:$A$121,1))))</f>
        <v>13</v>
      </c>
      <c r="AC841" s="19" t="n">
        <f aca="false">IF(D841="","",COUNT($D$24:D841))</f>
        <v>806</v>
      </c>
    </row>
    <row r="842" customFormat="false" ht="12.75" hidden="false" customHeight="true" outlineLevel="0" collapsed="false">
      <c r="A842" s="14" t="n">
        <f aca="false">IF(D842="","",DATE(B842,C842,1))</f>
        <v>28550</v>
      </c>
      <c r="B842" s="15" t="n">
        <f aca="false" t="array" ref="B842:B842">IF(D842="","",IFERROR(VALUE(INDEX(Vazoes_COLAR!$A$2:$A$200,INT((ROW()-24)/12)+1)),""))</f>
        <v>1978</v>
      </c>
      <c r="C842" s="15" t="n">
        <f aca="false">IF(D842="","",MOD(ROW()-24,12)+1)</f>
        <v>3</v>
      </c>
      <c r="D842" s="16" t="n">
        <f aca="false" t="array" ref="D842: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3.9399644995539</v>
      </c>
      <c r="E842" s="16" t="n">
        <f aca="false">IF(D842="","",D842*$B$15)</f>
        <v>10.2123879828437</v>
      </c>
      <c r="F842" s="16" t="n">
        <f aca="false" t="array" ref="F842:F842">IF(D842="","",IFERROR(INDEX(Dados_Evap!$C$2:$N$15,MATCH($B$9,Dados_Evap!$A$2:$A$15,0),C842),0))</f>
        <v>107.7</v>
      </c>
      <c r="G842" s="16" t="n">
        <f aca="false">IF(F842="","",F842/1000)</f>
        <v>0.1077</v>
      </c>
      <c r="H842" s="16" t="n">
        <f aca="false">IF(D842="","",MAX(0,MIN($B$8,IFERROR(LOOKUP(2,1/($U$24:U841&lt;&gt;""),$U$24:U841),$B$11))))</f>
        <v>41.5119340884703</v>
      </c>
      <c r="I842" s="16" t="n">
        <f aca="false" t="array" ref="I842: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>6.40009090348721</v>
      </c>
      <c r="J842" s="16" t="n">
        <f aca="false">IF(D842="","",$B$12)</f>
        <v>0.35</v>
      </c>
      <c r="K842" s="16" t="n">
        <f aca="false">IF(J842="","",J842*$B$15)</f>
        <v>0.9072</v>
      </c>
      <c r="L842" s="16" t="n">
        <f aca="false">IF(D842="","",H842+E842-K842-G842*I842)</f>
        <v>50.1278322810084</v>
      </c>
      <c r="M842" s="16" t="n">
        <f aca="false" t="array" ref="M842: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>7.31279323637904</v>
      </c>
      <c r="N842" s="16" t="n">
        <f aca="false">IF(D842="","",(I842+M842)/2)</f>
        <v>6.85644206993312</v>
      </c>
      <c r="O842" s="16" t="n">
        <f aca="false">IF(D842="","",G842*N842)</f>
        <v>0.738438810931797</v>
      </c>
      <c r="P842" s="16" t="n">
        <f aca="false">IF(D842="","",H842+E842-K842-O842)</f>
        <v>50.0786832603822</v>
      </c>
      <c r="Q842" s="16" t="n">
        <f aca="false">IF(D842="","",IF(P842&gt;=0,K842,MAX(0,K842+P842)))</f>
        <v>0.9072</v>
      </c>
      <c r="R842" s="16" t="n">
        <f aca="false">IF(D842="","",Q842/$B$15)</f>
        <v>0.35</v>
      </c>
      <c r="S842" s="16" t="n">
        <f aca="false">IF(D842="","",MAX(0,J842-R842))</f>
        <v>0</v>
      </c>
      <c r="T842" s="16" t="n">
        <f aca="false">IF(D842="","",MAX(0,Z842-$B$8))</f>
        <v>2.85868326038218</v>
      </c>
      <c r="U842" s="16" t="n">
        <f aca="false">IF(D842="","",MAX(0,MIN($B$8,Z842)))</f>
        <v>47.22</v>
      </c>
      <c r="V842" s="16" t="str">
        <f aca="false">IF(D842="","",IF(S842&gt;0.0000001,"Sim","Não"))</f>
        <v>Não</v>
      </c>
      <c r="W842" s="16" t="n">
        <f aca="false">IF(D842="","",U842-(H842+E842-Q842-O842-T842))</f>
        <v>0</v>
      </c>
      <c r="X842" s="16" t="n">
        <f aca="false">IF(W842="","",ABS(W842))</f>
        <v>0</v>
      </c>
      <c r="Y842" s="16" t="n">
        <f aca="false">IF(U842="","",IF($B$8=0,0,U842/$B$8*100))</f>
        <v>100</v>
      </c>
      <c r="Z842" s="18" t="n">
        <f aca="false">IF(D842="","",MAX(0,IF(P842&gt;=0,P842,IF(K842+P842&gt;=0,0,P842+K842))))</f>
        <v>50.0786832603822</v>
      </c>
      <c r="AA842" s="18" t="n">
        <f aca="false">IF(D842="","",IF(H842&lt;=$B$16,1,IF(H842&gt;=$B$17,$B$21,MATCH(H842,Aux_CAV!$A$2:$A$121,1))))</f>
        <v>13</v>
      </c>
      <c r="AB842" s="18" t="n">
        <f aca="false">IF(D842="","",IF(L842&lt;=$B$16,1,IF(L842&gt;=$B$17,$B$21,MATCH(L842,Aux_CAV!$A$2:$A$121,1))))</f>
        <v>14</v>
      </c>
      <c r="AC842" s="19" t="n">
        <f aca="false">IF(D842="","",COUNT($D$24:D842))</f>
        <v>807</v>
      </c>
    </row>
    <row r="843" customFormat="false" ht="12.75" hidden="false" customHeight="true" outlineLevel="0" collapsed="false">
      <c r="A843" s="14" t="n">
        <f aca="false">IF(D843="","",DATE(B843,C843,1))</f>
        <v>28581</v>
      </c>
      <c r="B843" s="15" t="n">
        <f aca="false" t="array" ref="B843:B843">IF(D843="","",IFERROR(VALUE(INDEX(Vazoes_COLAR!$A$2:$A$200,INT((ROW()-24)/12)+1)),""))</f>
        <v>1978</v>
      </c>
      <c r="C843" s="15" t="n">
        <f aca="false">IF(D843="","",MOD(ROW()-24,12)+1)</f>
        <v>4</v>
      </c>
      <c r="D843" s="16" t="n">
        <f aca="false" t="array" ref="D843: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6.88505460443368</v>
      </c>
      <c r="E843" s="16" t="n">
        <f aca="false">IF(D843="","",D843*$B$15)</f>
        <v>17.8460615346921</v>
      </c>
      <c r="F843" s="16" t="n">
        <f aca="false" t="array" ref="F843:F843">IF(D843="","",IFERROR(INDEX(Dados_Evap!$C$2:$N$15,MATCH($B$9,Dados_Evap!$A$2:$A$15,0),C843),0))</f>
        <v>100.5</v>
      </c>
      <c r="G843" s="16" t="n">
        <f aca="false">IF(F843="","",F843/1000)</f>
        <v>0.1005</v>
      </c>
      <c r="H843" s="16" t="n">
        <f aca="false">IF(D843="","",MAX(0,MIN($B$8,IFERROR(LOOKUP(2,1/($U$24:U842&lt;&gt;""),$U$24:U842),$B$11))))</f>
        <v>47.22</v>
      </c>
      <c r="I843" s="16" t="n">
        <f aca="false" t="array" ref="I843: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>6.97</v>
      </c>
      <c r="J843" s="16" t="n">
        <f aca="false">IF(D843="","",$B$12)</f>
        <v>0.35</v>
      </c>
      <c r="K843" s="16" t="n">
        <f aca="false">IF(J843="","",J843*$B$15)</f>
        <v>0.9072</v>
      </c>
      <c r="L843" s="16" t="n">
        <f aca="false">IF(D843="","",H843+E843-K843-G843*I843)</f>
        <v>63.4583765346921</v>
      </c>
      <c r="M843" s="16" t="n">
        <f aca="false" t="array" ref="M843: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>8.93082213177823</v>
      </c>
      <c r="N843" s="16" t="n">
        <f aca="false">IF(D843="","",(I843+M843)/2)</f>
        <v>7.95041106588911</v>
      </c>
      <c r="O843" s="16" t="n">
        <f aca="false">IF(D843="","",G843*N843)</f>
        <v>0.799016312121856</v>
      </c>
      <c r="P843" s="16" t="n">
        <f aca="false">IF(D843="","",H843+E843-K843-O843)</f>
        <v>63.3598452225702</v>
      </c>
      <c r="Q843" s="16" t="n">
        <f aca="false">IF(D843="","",IF(P843&gt;=0,K843,MAX(0,K843+P843)))</f>
        <v>0.9072</v>
      </c>
      <c r="R843" s="16" t="n">
        <f aca="false">IF(D843="","",Q843/$B$15)</f>
        <v>0.35</v>
      </c>
      <c r="S843" s="16" t="n">
        <f aca="false">IF(D843="","",MAX(0,J843-R843))</f>
        <v>0</v>
      </c>
      <c r="T843" s="16" t="n">
        <f aca="false">IF(D843="","",MAX(0,Z843-$B$8))</f>
        <v>16.1398452225702</v>
      </c>
      <c r="U843" s="16" t="n">
        <f aca="false">IF(D843="","",MAX(0,MIN($B$8,Z843)))</f>
        <v>47.22</v>
      </c>
      <c r="V843" s="16" t="str">
        <f aca="false">IF(D843="","",IF(S843&gt;0.0000001,"Sim","Não"))</f>
        <v>Não</v>
      </c>
      <c r="W843" s="16" t="n">
        <f aca="false">IF(D843="","",U843-(H843+E843-Q843-O843-T843))</f>
        <v>0</v>
      </c>
      <c r="X843" s="16" t="n">
        <f aca="false">IF(W843="","",ABS(W843))</f>
        <v>0</v>
      </c>
      <c r="Y843" s="16" t="n">
        <f aca="false">IF(U843="","",IF($B$8=0,0,U843/$B$8*100))</f>
        <v>100</v>
      </c>
      <c r="Z843" s="18" t="n">
        <f aca="false">IF(D843="","",MAX(0,IF(P843&gt;=0,P843,IF(K843+P843&gt;=0,0,P843+K843))))</f>
        <v>63.3598452225702</v>
      </c>
      <c r="AA843" s="18" t="n">
        <f aca="false">IF(D843="","",IF(H843&lt;=$B$16,1,IF(H843&gt;=$B$17,$B$21,MATCH(H843,Aux_CAV!$A$2:$A$121,1))))</f>
        <v>14</v>
      </c>
      <c r="AB843" s="18" t="n">
        <f aca="false">IF(D843="","",IF(L843&lt;=$B$16,1,IF(L843&gt;=$B$17,$B$21,MATCH(L843,Aux_CAV!$A$2:$A$121,1))))</f>
        <v>16</v>
      </c>
      <c r="AC843" s="19" t="n">
        <f aca="false">IF(D843="","",COUNT($D$24:D843))</f>
        <v>808</v>
      </c>
    </row>
    <row r="844" customFormat="false" ht="12.75" hidden="false" customHeight="true" outlineLevel="0" collapsed="false">
      <c r="A844" s="14" t="n">
        <f aca="false">IF(D844="","",DATE(B844,C844,1))</f>
        <v>28611</v>
      </c>
      <c r="B844" s="15" t="n">
        <f aca="false" t="array" ref="B844:B844">IF(D844="","",IFERROR(VALUE(INDEX(Vazoes_COLAR!$A$2:$A$200,INT((ROW()-24)/12)+1)),""))</f>
        <v>1978</v>
      </c>
      <c r="C844" s="15" t="n">
        <f aca="false">IF(D844="","",MOD(ROW()-24,12)+1)</f>
        <v>5</v>
      </c>
      <c r="D844" s="16" t="n">
        <f aca="false" t="array" ref="D844: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4.80188452244375</v>
      </c>
      <c r="E844" s="16" t="n">
        <f aca="false">IF(D844="","",D844*$B$15)</f>
        <v>12.4464846821742</v>
      </c>
      <c r="F844" s="16" t="n">
        <f aca="false" t="array" ref="F844:F844">IF(D844="","",IFERROR(INDEX(Dados_Evap!$C$2:$N$15,MATCH($B$9,Dados_Evap!$A$2:$A$15,0),C844),0))</f>
        <v>145.8</v>
      </c>
      <c r="G844" s="16" t="n">
        <f aca="false">IF(F844="","",F844/1000)</f>
        <v>0.1458</v>
      </c>
      <c r="H844" s="16" t="n">
        <f aca="false">IF(D844="","",MAX(0,MIN($B$8,IFERROR(LOOKUP(2,1/($U$24:U843&lt;&gt;""),$U$24:U843),$B$11))))</f>
        <v>47.22</v>
      </c>
      <c r="I844" s="16" t="n">
        <f aca="false" t="array" ref="I844: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>6.97</v>
      </c>
      <c r="J844" s="16" t="n">
        <f aca="false">IF(D844="","",$B$12)</f>
        <v>0.35</v>
      </c>
      <c r="K844" s="16" t="n">
        <f aca="false">IF(J844="","",J844*$B$15)</f>
        <v>0.9072</v>
      </c>
      <c r="L844" s="16" t="n">
        <f aca="false">IF(D844="","",H844+E844-K844-G844*I844)</f>
        <v>57.7430586821742</v>
      </c>
      <c r="M844" s="16" t="n">
        <f aca="false" t="array" ref="M844: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>8.22914059874538</v>
      </c>
      <c r="N844" s="16" t="n">
        <f aca="false">IF(D844="","",(I844+M844)/2)</f>
        <v>7.59957029937269</v>
      </c>
      <c r="O844" s="16" t="n">
        <f aca="false">IF(D844="","",G844*N844)</f>
        <v>1.10801734964854</v>
      </c>
      <c r="P844" s="16" t="n">
        <f aca="false">IF(D844="","",H844+E844-K844-O844)</f>
        <v>57.6512673325257</v>
      </c>
      <c r="Q844" s="16" t="n">
        <f aca="false">IF(D844="","",IF(P844&gt;=0,K844,MAX(0,K844+P844)))</f>
        <v>0.9072</v>
      </c>
      <c r="R844" s="16" t="n">
        <f aca="false">IF(D844="","",Q844/$B$15)</f>
        <v>0.35</v>
      </c>
      <c r="S844" s="16" t="n">
        <f aca="false">IF(D844="","",MAX(0,J844-R844))</f>
        <v>0</v>
      </c>
      <c r="T844" s="16" t="n">
        <f aca="false">IF(D844="","",MAX(0,Z844-$B$8))</f>
        <v>10.4312673325257</v>
      </c>
      <c r="U844" s="16" t="n">
        <f aca="false">IF(D844="","",MAX(0,MIN($B$8,Z844)))</f>
        <v>47.22</v>
      </c>
      <c r="V844" s="16" t="str">
        <f aca="false">IF(D844="","",IF(S844&gt;0.0000001,"Sim","Não"))</f>
        <v>Não</v>
      </c>
      <c r="W844" s="16" t="n">
        <f aca="false">IF(D844="","",U844-(H844+E844-Q844-O844-T844))</f>
        <v>0</v>
      </c>
      <c r="X844" s="16" t="n">
        <f aca="false">IF(W844="","",ABS(W844))</f>
        <v>0</v>
      </c>
      <c r="Y844" s="16" t="n">
        <f aca="false">IF(U844="","",IF($B$8=0,0,U844/$B$8*100))</f>
        <v>100</v>
      </c>
      <c r="Z844" s="18" t="n">
        <f aca="false">IF(D844="","",MAX(0,IF(P844&gt;=0,P844,IF(K844+P844&gt;=0,0,P844+K844))))</f>
        <v>57.6512673325257</v>
      </c>
      <c r="AA844" s="18" t="n">
        <f aca="false">IF(D844="","",IF(H844&lt;=$B$16,1,IF(H844&gt;=$B$17,$B$21,MATCH(H844,Aux_CAV!$A$2:$A$121,1))))</f>
        <v>14</v>
      </c>
      <c r="AB844" s="18" t="n">
        <f aca="false">IF(D844="","",IF(L844&lt;=$B$16,1,IF(L844&gt;=$B$17,$B$21,MATCH(L844,Aux_CAV!$A$2:$A$121,1))))</f>
        <v>15</v>
      </c>
      <c r="AC844" s="19" t="n">
        <f aca="false">IF(D844="","",COUNT($D$24:D844))</f>
        <v>809</v>
      </c>
    </row>
    <row r="845" customFormat="false" ht="12.75" hidden="false" customHeight="true" outlineLevel="0" collapsed="false">
      <c r="A845" s="14" t="n">
        <f aca="false">IF(D845="","",DATE(B845,C845,1))</f>
        <v>28642</v>
      </c>
      <c r="B845" s="15" t="n">
        <f aca="false" t="array" ref="B845:B845">IF(D845="","",IFERROR(VALUE(INDEX(Vazoes_COLAR!$A$2:$A$200,INT((ROW()-24)/12)+1)),""))</f>
        <v>1978</v>
      </c>
      <c r="C845" s="15" t="n">
        <f aca="false">IF(D845="","",MOD(ROW()-24,12)+1)</f>
        <v>6</v>
      </c>
      <c r="D845" s="16" t="n">
        <f aca="false" t="array" ref="D845: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0.783461539408168</v>
      </c>
      <c r="E845" s="16" t="n">
        <f aca="false">IF(D845="","",D845*$B$15)</f>
        <v>2.03073231014597</v>
      </c>
      <c r="F845" s="16" t="n">
        <f aca="false" t="array" ref="F845:F845">IF(D845="","",IFERROR(INDEX(Dados_Evap!$C$2:$N$15,MATCH($B$9,Dados_Evap!$A$2:$A$15,0),C845),0))</f>
        <v>161.3</v>
      </c>
      <c r="G845" s="16" t="n">
        <f aca="false">IF(F845="","",F845/1000)</f>
        <v>0.1613</v>
      </c>
      <c r="H845" s="16" t="n">
        <f aca="false">IF(D845="","",MAX(0,MIN($B$8,IFERROR(LOOKUP(2,1/($U$24:U844&lt;&gt;""),$U$24:U844),$B$11))))</f>
        <v>47.22</v>
      </c>
      <c r="I845" s="16" t="n">
        <f aca="false" t="array" ref="I845: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>6.97</v>
      </c>
      <c r="J845" s="16" t="n">
        <f aca="false">IF(D845="","",$B$12)</f>
        <v>0.35</v>
      </c>
      <c r="K845" s="16" t="n">
        <f aca="false">IF(J845="","",J845*$B$15)</f>
        <v>0.9072</v>
      </c>
      <c r="L845" s="16" t="n">
        <f aca="false">IF(D845="","",H845+E845-K845-G845*I845)</f>
        <v>47.219271310146</v>
      </c>
      <c r="M845" s="16" t="n">
        <f aca="false" t="array" ref="M845: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>6.96992724558847</v>
      </c>
      <c r="N845" s="16" t="n">
        <f aca="false">IF(D845="","",(I845+M845)/2)</f>
        <v>6.96996362279424</v>
      </c>
      <c r="O845" s="16" t="n">
        <f aca="false">IF(D845="","",G845*N845)</f>
        <v>1.12425513235671</v>
      </c>
      <c r="P845" s="16" t="n">
        <f aca="false">IF(D845="","",H845+E845-K845-O845)</f>
        <v>47.2192771777893</v>
      </c>
      <c r="Q845" s="16" t="n">
        <f aca="false">IF(D845="","",IF(P845&gt;=0,K845,MAX(0,K845+P845)))</f>
        <v>0.9072</v>
      </c>
      <c r="R845" s="16" t="n">
        <f aca="false">IF(D845="","",Q845/$B$15)</f>
        <v>0.35</v>
      </c>
      <c r="S845" s="16" t="n">
        <f aca="false">IF(D845="","",MAX(0,J845-R845))</f>
        <v>0</v>
      </c>
      <c r="T845" s="16" t="n">
        <f aca="false">IF(D845="","",MAX(0,Z845-$B$8))</f>
        <v>0</v>
      </c>
      <c r="U845" s="16" t="n">
        <f aca="false">IF(D845="","",MAX(0,MIN($B$8,Z845)))</f>
        <v>47.2192771777893</v>
      </c>
      <c r="V845" s="16" t="str">
        <f aca="false">IF(D845="","",IF(S845&gt;0.0000001,"Sim","Não"))</f>
        <v>Não</v>
      </c>
      <c r="W845" s="16" t="n">
        <f aca="false">IF(D845="","",U845-(H845+E845-Q845-O845-T845))</f>
        <v>0</v>
      </c>
      <c r="X845" s="16" t="n">
        <f aca="false">IF(W845="","",ABS(W845))</f>
        <v>0</v>
      </c>
      <c r="Y845" s="16" t="n">
        <f aca="false">IF(U845="","",IF($B$8=0,0,U845/$B$8*100))</f>
        <v>99.9984692456359</v>
      </c>
      <c r="Z845" s="18" t="n">
        <f aca="false">IF(D845="","",MAX(0,IF(P845&gt;=0,P845,IF(K845+P845&gt;=0,0,P845+K845))))</f>
        <v>47.2192771777893</v>
      </c>
      <c r="AA845" s="18" t="n">
        <f aca="false">IF(D845="","",IF(H845&lt;=$B$16,1,IF(H845&gt;=$B$17,$B$21,MATCH(H845,Aux_CAV!$A$2:$A$121,1))))</f>
        <v>14</v>
      </c>
      <c r="AB845" s="18" t="n">
        <f aca="false">IF(D845="","",IF(L845&lt;=$B$16,1,IF(L845&gt;=$B$17,$B$21,MATCH(L845,Aux_CAV!$A$2:$A$121,1))))</f>
        <v>13</v>
      </c>
      <c r="AC845" s="19" t="n">
        <f aca="false">IF(D845="","",COUNT($D$24:D845))</f>
        <v>810</v>
      </c>
    </row>
    <row r="846" customFormat="false" ht="12.75" hidden="false" customHeight="true" outlineLevel="0" collapsed="false">
      <c r="A846" s="14" t="n">
        <f aca="false">IF(D846="","",DATE(B846,C846,1))</f>
        <v>28672</v>
      </c>
      <c r="B846" s="15" t="n">
        <f aca="false" t="array" ref="B846:B846">IF(D846="","",IFERROR(VALUE(INDEX(Vazoes_COLAR!$A$2:$A$200,INT((ROW()-24)/12)+1)),""))</f>
        <v>1978</v>
      </c>
      <c r="C846" s="15" t="n">
        <f aca="false">IF(D846="","",MOD(ROW()-24,12)+1)</f>
        <v>7</v>
      </c>
      <c r="D846" s="16" t="n">
        <f aca="false" t="array" ref="D846: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0.816381951562935</v>
      </c>
      <c r="E846" s="16" t="n">
        <f aca="false">IF(D846="","",D846*$B$15)</f>
        <v>2.11606201845113</v>
      </c>
      <c r="F846" s="16" t="n">
        <f aca="false" t="array" ref="F846:F846">IF(D846="","",IFERROR(INDEX(Dados_Evap!$C$2:$N$15,MATCH($B$9,Dados_Evap!$A$2:$A$15,0),C846),0))</f>
        <v>224.8</v>
      </c>
      <c r="G846" s="16" t="n">
        <f aca="false">IF(F846="","",F846/1000)</f>
        <v>0.2248</v>
      </c>
      <c r="H846" s="16" t="n">
        <f aca="false">IF(D846="","",MAX(0,MIN($B$8,IFERROR(LOOKUP(2,1/($U$24:U845&lt;&gt;""),$U$24:U845),$B$11))))</f>
        <v>47.2192771777893</v>
      </c>
      <c r="I846" s="16" t="n">
        <f aca="false" t="array" ref="I846: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>6.96992783143022</v>
      </c>
      <c r="J846" s="16" t="n">
        <f aca="false">IF(D846="","",$B$12)</f>
        <v>0.35</v>
      </c>
      <c r="K846" s="16" t="n">
        <f aca="false">IF(J846="","",J846*$B$15)</f>
        <v>0.9072</v>
      </c>
      <c r="L846" s="16" t="n">
        <f aca="false">IF(D846="","",H846+E846-K846-G846*I846)</f>
        <v>46.8612994197349</v>
      </c>
      <c r="M846" s="16" t="n">
        <f aca="false" t="array" ref="M846: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>6.93418634143579</v>
      </c>
      <c r="N846" s="16" t="n">
        <f aca="false">IF(D846="","",(I846+M846)/2)</f>
        <v>6.95205708643301</v>
      </c>
      <c r="O846" s="16" t="n">
        <f aca="false">IF(D846="","",G846*N846)</f>
        <v>1.56282243303014</v>
      </c>
      <c r="P846" s="16" t="n">
        <f aca="false">IF(D846="","",H846+E846-K846-O846)</f>
        <v>46.8653167632102</v>
      </c>
      <c r="Q846" s="16" t="n">
        <f aca="false">IF(D846="","",IF(P846&gt;=0,K846,MAX(0,K846+P846)))</f>
        <v>0.9072</v>
      </c>
      <c r="R846" s="16" t="n">
        <f aca="false">IF(D846="","",Q846/$B$15)</f>
        <v>0.35</v>
      </c>
      <c r="S846" s="16" t="n">
        <f aca="false">IF(D846="","",MAX(0,J846-R846))</f>
        <v>0</v>
      </c>
      <c r="T846" s="16" t="n">
        <f aca="false">IF(D846="","",MAX(0,Z846-$B$8))</f>
        <v>0</v>
      </c>
      <c r="U846" s="16" t="n">
        <f aca="false">IF(D846="","",MAX(0,MIN($B$8,Z846)))</f>
        <v>46.8653167632102</v>
      </c>
      <c r="V846" s="16" t="str">
        <f aca="false">IF(D846="","",IF(S846&gt;0.0000001,"Sim","Não"))</f>
        <v>Não</v>
      </c>
      <c r="W846" s="16" t="n">
        <f aca="false">IF(D846="","",U846-(H846+E846-Q846-O846-T846))</f>
        <v>0</v>
      </c>
      <c r="X846" s="16" t="n">
        <f aca="false">IF(W846="","",ABS(W846))</f>
        <v>0</v>
      </c>
      <c r="Y846" s="16" t="n">
        <f aca="false">IF(U846="","",IF($B$8=0,0,U846/$B$8*100))</f>
        <v>99.2488707395388</v>
      </c>
      <c r="Z846" s="18" t="n">
        <f aca="false">IF(D846="","",MAX(0,IF(P846&gt;=0,P846,IF(K846+P846&gt;=0,0,P846+K846))))</f>
        <v>46.8653167632102</v>
      </c>
      <c r="AA846" s="18" t="n">
        <f aca="false">IF(D846="","",IF(H846&lt;=$B$16,1,IF(H846&gt;=$B$17,$B$21,MATCH(H846,Aux_CAV!$A$2:$A$121,1))))</f>
        <v>13</v>
      </c>
      <c r="AB846" s="18" t="n">
        <f aca="false">IF(D846="","",IF(L846&lt;=$B$16,1,IF(L846&gt;=$B$17,$B$21,MATCH(L846,Aux_CAV!$A$2:$A$121,1))))</f>
        <v>13</v>
      </c>
      <c r="AC846" s="19" t="n">
        <f aca="false">IF(D846="","",COUNT($D$24:D846))</f>
        <v>811</v>
      </c>
    </row>
    <row r="847" customFormat="false" ht="12.75" hidden="false" customHeight="true" outlineLevel="0" collapsed="false">
      <c r="A847" s="14" t="n">
        <f aca="false">IF(D847="","",DATE(B847,C847,1))</f>
        <v>28703</v>
      </c>
      <c r="B847" s="15" t="n">
        <f aca="false" t="array" ref="B847:B847">IF(D847="","",IFERROR(VALUE(INDEX(Vazoes_COLAR!$A$2:$A$200,INT((ROW()-24)/12)+1)),""))</f>
        <v>1978</v>
      </c>
      <c r="C847" s="15" t="n">
        <f aca="false">IF(D847="","",MOD(ROW()-24,12)+1)</f>
        <v>8</v>
      </c>
      <c r="D847" s="16" t="n">
        <f aca="false" t="array" ref="D847: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0.0429923223154978</v>
      </c>
      <c r="E847" s="16" t="n">
        <f aca="false">IF(D847="","",D847*$B$15)</f>
        <v>0.11143609944177</v>
      </c>
      <c r="F847" s="16" t="n">
        <f aca="false" t="array" ref="F847:F847">IF(D847="","",IFERROR(INDEX(Dados_Evap!$C$2:$N$15,MATCH($B$9,Dados_Evap!$A$2:$A$15,0),C847),0))</f>
        <v>268.7</v>
      </c>
      <c r="G847" s="16" t="n">
        <f aca="false">IF(F847="","",F847/1000)</f>
        <v>0.2687</v>
      </c>
      <c r="H847" s="16" t="n">
        <f aca="false">IF(D847="","",MAX(0,MIN($B$8,IFERROR(LOOKUP(2,1/($U$24:U846&lt;&gt;""),$U$24:U846),$B$11))))</f>
        <v>46.8653167632102</v>
      </c>
      <c r="I847" s="16" t="n">
        <f aca="false" t="array" ref="I847: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>6.93458744412555</v>
      </c>
      <c r="J847" s="16" t="n">
        <f aca="false">IF(D847="","",$B$12)</f>
        <v>0.35</v>
      </c>
      <c r="K847" s="16" t="n">
        <f aca="false">IF(J847="","",J847*$B$15)</f>
        <v>0.9072</v>
      </c>
      <c r="L847" s="16" t="n">
        <f aca="false">IF(D847="","",H847+E847-K847-G847*I847)</f>
        <v>44.2062292164155</v>
      </c>
      <c r="M847" s="16" t="n">
        <f aca="false" t="array" ref="M847: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>6.6690967849723</v>
      </c>
      <c r="N847" s="16" t="n">
        <f aca="false">IF(D847="","",(I847+M847)/2)</f>
        <v>6.80184211454892</v>
      </c>
      <c r="O847" s="16" t="n">
        <f aca="false">IF(D847="","",G847*N847)</f>
        <v>1.8276549761793</v>
      </c>
      <c r="P847" s="16" t="n">
        <f aca="false">IF(D847="","",H847+E847-K847-O847)</f>
        <v>44.2418978864727</v>
      </c>
      <c r="Q847" s="16" t="n">
        <f aca="false">IF(D847="","",IF(P847&gt;=0,K847,MAX(0,K847+P847)))</f>
        <v>0.9072</v>
      </c>
      <c r="R847" s="16" t="n">
        <f aca="false">IF(D847="","",Q847/$B$15)</f>
        <v>0.35</v>
      </c>
      <c r="S847" s="16" t="n">
        <f aca="false">IF(D847="","",MAX(0,J847-R847))</f>
        <v>0</v>
      </c>
      <c r="T847" s="16" t="n">
        <f aca="false">IF(D847="","",MAX(0,Z847-$B$8))</f>
        <v>0</v>
      </c>
      <c r="U847" s="16" t="n">
        <f aca="false">IF(D847="","",MAX(0,MIN($B$8,Z847)))</f>
        <v>44.2418978864727</v>
      </c>
      <c r="V847" s="16" t="str">
        <f aca="false">IF(D847="","",IF(S847&gt;0.0000001,"Sim","Não"))</f>
        <v>Não</v>
      </c>
      <c r="W847" s="16" t="n">
        <f aca="false">IF(D847="","",U847-(H847+E847-Q847-O847-T847))</f>
        <v>0</v>
      </c>
      <c r="X847" s="16" t="n">
        <f aca="false">IF(W847="","",ABS(W847))</f>
        <v>0</v>
      </c>
      <c r="Y847" s="16" t="n">
        <f aca="false">IF(U847="","",IF($B$8=0,0,U847/$B$8*100))</f>
        <v>93.6931340247198</v>
      </c>
      <c r="Z847" s="18" t="n">
        <f aca="false">IF(D847="","",MAX(0,IF(P847&gt;=0,P847,IF(K847+P847&gt;=0,0,P847+K847))))</f>
        <v>44.2418978864727</v>
      </c>
      <c r="AA847" s="18" t="n">
        <f aca="false">IF(D847="","",IF(H847&lt;=$B$16,1,IF(H847&gt;=$B$17,$B$21,MATCH(H847,Aux_CAV!$A$2:$A$121,1))))</f>
        <v>13</v>
      </c>
      <c r="AB847" s="18" t="n">
        <f aca="false">IF(D847="","",IF(L847&lt;=$B$16,1,IF(L847&gt;=$B$17,$B$21,MATCH(L847,Aux_CAV!$A$2:$A$121,1))))</f>
        <v>13</v>
      </c>
      <c r="AC847" s="19" t="n">
        <f aca="false">IF(D847="","",COUNT($D$24:D847))</f>
        <v>812</v>
      </c>
    </row>
    <row r="848" customFormat="false" ht="12.75" hidden="false" customHeight="true" outlineLevel="0" collapsed="false">
      <c r="A848" s="14" t="n">
        <f aca="false">IF(D848="","",DATE(B848,C848,1))</f>
        <v>28734</v>
      </c>
      <c r="B848" s="15" t="n">
        <f aca="false" t="array" ref="B848:B848">IF(D848="","",IFERROR(VALUE(INDEX(Vazoes_COLAR!$A$2:$A$200,INT((ROW()-24)/12)+1)),""))</f>
        <v>1978</v>
      </c>
      <c r="C848" s="15" t="n">
        <f aca="false">IF(D848="","",MOD(ROW()-24,12)+1)</f>
        <v>9</v>
      </c>
      <c r="D848" s="16" t="n">
        <f aca="false" t="array" ref="D848: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0.0751333614710467</v>
      </c>
      <c r="E848" s="16" t="n">
        <f aca="false">IF(D848="","",D848*$B$15)</f>
        <v>0.194745672932953</v>
      </c>
      <c r="F848" s="16" t="n">
        <f aca="false" t="array" ref="F848:F848">IF(D848="","",IFERROR(INDEX(Dados_Evap!$C$2:$N$15,MATCH($B$9,Dados_Evap!$A$2:$A$15,0),C848),0))</f>
        <v>292.8</v>
      </c>
      <c r="G848" s="16" t="n">
        <f aca="false">IF(F848="","",F848/1000)</f>
        <v>0.2928</v>
      </c>
      <c r="H848" s="16" t="n">
        <f aca="false">IF(D848="","",MAX(0,MIN($B$8,IFERROR(LOOKUP(2,1/($U$24:U847&lt;&gt;""),$U$24:U847),$B$11))))</f>
        <v>44.2418978864727</v>
      </c>
      <c r="I848" s="16" t="n">
        <f aca="false" t="array" ref="I848: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>6.67265804369657</v>
      </c>
      <c r="J848" s="16" t="n">
        <f aca="false">IF(D848="","",$B$12)</f>
        <v>0.35</v>
      </c>
      <c r="K848" s="16" t="n">
        <f aca="false">IF(J848="","",J848*$B$15)</f>
        <v>0.9072</v>
      </c>
      <c r="L848" s="16" t="n">
        <f aca="false">IF(D848="","",H848+E848-K848-G848*I848)</f>
        <v>41.5756892842113</v>
      </c>
      <c r="M848" s="16" t="n">
        <f aca="false" t="array" ref="M848: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>6.40645639865946</v>
      </c>
      <c r="N848" s="16" t="n">
        <f aca="false">IF(D848="","",(I848+M848)/2)</f>
        <v>6.53955722117802</v>
      </c>
      <c r="O848" s="16" t="n">
        <f aca="false">IF(D848="","",G848*N848)</f>
        <v>1.91478235436092</v>
      </c>
      <c r="P848" s="16" t="n">
        <f aca="false">IF(D848="","",H848+E848-K848-O848)</f>
        <v>41.6146612050447</v>
      </c>
      <c r="Q848" s="16" t="n">
        <f aca="false">IF(D848="","",IF(P848&gt;=0,K848,MAX(0,K848+P848)))</f>
        <v>0.9072</v>
      </c>
      <c r="R848" s="16" t="n">
        <f aca="false">IF(D848="","",Q848/$B$15)</f>
        <v>0.35</v>
      </c>
      <c r="S848" s="16" t="n">
        <f aca="false">IF(D848="","",MAX(0,J848-R848))</f>
        <v>0</v>
      </c>
      <c r="T848" s="16" t="n">
        <f aca="false">IF(D848="","",MAX(0,Z848-$B$8))</f>
        <v>0</v>
      </c>
      <c r="U848" s="16" t="n">
        <f aca="false">IF(D848="","",MAX(0,MIN($B$8,Z848)))</f>
        <v>41.6146612050447</v>
      </c>
      <c r="V848" s="16" t="str">
        <f aca="false">IF(D848="","",IF(S848&gt;0.0000001,"Sim","Não"))</f>
        <v>Não</v>
      </c>
      <c r="W848" s="16" t="n">
        <f aca="false">IF(D848="","",U848-(H848+E848-Q848-O848-T848))</f>
        <v>0</v>
      </c>
      <c r="X848" s="16" t="n">
        <f aca="false">IF(W848="","",ABS(W848))</f>
        <v>0</v>
      </c>
      <c r="Y848" s="16" t="n">
        <f aca="false">IF(U848="","",IF($B$8=0,0,U848/$B$8*100))</f>
        <v>88.1293121665496</v>
      </c>
      <c r="Z848" s="18" t="n">
        <f aca="false">IF(D848="","",MAX(0,IF(P848&gt;=0,P848,IF(K848+P848&gt;=0,0,P848+K848))))</f>
        <v>41.6146612050447</v>
      </c>
      <c r="AA848" s="18" t="n">
        <f aca="false">IF(D848="","",IF(H848&lt;=$B$16,1,IF(H848&gt;=$B$17,$B$21,MATCH(H848,Aux_CAV!$A$2:$A$121,1))))</f>
        <v>13</v>
      </c>
      <c r="AB848" s="18" t="n">
        <f aca="false">IF(D848="","",IF(L848&lt;=$B$16,1,IF(L848&gt;=$B$17,$B$21,MATCH(L848,Aux_CAV!$A$2:$A$121,1))))</f>
        <v>13</v>
      </c>
      <c r="AC848" s="19" t="n">
        <f aca="false">IF(D848="","",COUNT($D$24:D848))</f>
        <v>813</v>
      </c>
    </row>
    <row r="849" customFormat="false" ht="12.75" hidden="false" customHeight="true" outlineLevel="0" collapsed="false">
      <c r="A849" s="14" t="n">
        <f aca="false">IF(D849="","",DATE(B849,C849,1))</f>
        <v>28764</v>
      </c>
      <c r="B849" s="15" t="n">
        <f aca="false" t="array" ref="B849:B849">IF(D849="","",IFERROR(VALUE(INDEX(Vazoes_COLAR!$A$2:$A$200,INT((ROW()-24)/12)+1)),""))</f>
        <v>1978</v>
      </c>
      <c r="C849" s="15" t="n">
        <f aca="false">IF(D849="","",MOD(ROW()-24,12)+1)</f>
        <v>10</v>
      </c>
      <c r="D849" s="16" t="n">
        <f aca="false" t="array" ref="D849: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0.0404987970101139</v>
      </c>
      <c r="E849" s="16" t="n">
        <f aca="false">IF(D849="","",D849*$B$15)</f>
        <v>0.104972881850215</v>
      </c>
      <c r="F849" s="16" t="n">
        <f aca="false" t="array" ref="F849:F849">IF(D849="","",IFERROR(INDEX(Dados_Evap!$C$2:$N$15,MATCH($B$9,Dados_Evap!$A$2:$A$15,0),C849),0))</f>
        <v>262.9</v>
      </c>
      <c r="G849" s="16" t="n">
        <f aca="false">IF(F849="","",F849/1000)</f>
        <v>0.2629</v>
      </c>
      <c r="H849" s="16" t="n">
        <f aca="false">IF(D849="","",MAX(0,MIN($B$8,IFERROR(LOOKUP(2,1/($U$24:U848&lt;&gt;""),$U$24:U848),$B$11))))</f>
        <v>41.6146612050447</v>
      </c>
      <c r="I849" s="16" t="n">
        <f aca="false" t="array" ref="I849: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>6.4103474630823</v>
      </c>
      <c r="J849" s="16" t="n">
        <f aca="false">IF(D849="","",$B$12)</f>
        <v>0.35</v>
      </c>
      <c r="K849" s="16" t="n">
        <f aca="false">IF(J849="","",J849*$B$15)</f>
        <v>0.9072</v>
      </c>
      <c r="L849" s="16" t="n">
        <f aca="false">IF(D849="","",H849+E849-K849-G849*I849)</f>
        <v>39.1271537388506</v>
      </c>
      <c r="M849" s="16" t="n">
        <f aca="false" t="array" ref="M849: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>6.16198783398902</v>
      </c>
      <c r="N849" s="16" t="n">
        <f aca="false">IF(D849="","",(I849+M849)/2)</f>
        <v>6.28616764853566</v>
      </c>
      <c r="O849" s="16" t="n">
        <f aca="false">IF(D849="","",G849*N849)</f>
        <v>1.65263347480002</v>
      </c>
      <c r="P849" s="16" t="n">
        <f aca="false">IF(D849="","",H849+E849-K849-O849)</f>
        <v>39.1598006120949</v>
      </c>
      <c r="Q849" s="16" t="n">
        <f aca="false">IF(D849="","",IF(P849&gt;=0,K849,MAX(0,K849+P849)))</f>
        <v>0.9072</v>
      </c>
      <c r="R849" s="16" t="n">
        <f aca="false">IF(D849="","",Q849/$B$15)</f>
        <v>0.35</v>
      </c>
      <c r="S849" s="16" t="n">
        <f aca="false">IF(D849="","",MAX(0,J849-R849))</f>
        <v>0</v>
      </c>
      <c r="T849" s="16" t="n">
        <f aca="false">IF(D849="","",MAX(0,Z849-$B$8))</f>
        <v>0</v>
      </c>
      <c r="U849" s="16" t="n">
        <f aca="false">IF(D849="","",MAX(0,MIN($B$8,Z849)))</f>
        <v>39.1598006120949</v>
      </c>
      <c r="V849" s="16" t="str">
        <f aca="false">IF(D849="","",IF(S849&gt;0.0000001,"Sim","Não"))</f>
        <v>Não</v>
      </c>
      <c r="W849" s="16" t="n">
        <f aca="false">IF(D849="","",U849-(H849+E849-Q849-O849-T849))</f>
        <v>0</v>
      </c>
      <c r="X849" s="16" t="n">
        <f aca="false">IF(W849="","",ABS(W849))</f>
        <v>0</v>
      </c>
      <c r="Y849" s="16" t="n">
        <f aca="false">IF(U849="","",IF($B$8=0,0,U849/$B$8*100))</f>
        <v>82.9305392039283</v>
      </c>
      <c r="Z849" s="18" t="n">
        <f aca="false">IF(D849="","",MAX(0,IF(P849&gt;=0,P849,IF(K849+P849&gt;=0,0,P849+K849))))</f>
        <v>39.1598006120949</v>
      </c>
      <c r="AA849" s="18" t="n">
        <f aca="false">IF(D849="","",IF(H849&lt;=$B$16,1,IF(H849&gt;=$B$17,$B$21,MATCH(H849,Aux_CAV!$A$2:$A$121,1))))</f>
        <v>13</v>
      </c>
      <c r="AB849" s="18" t="n">
        <f aca="false">IF(D849="","",IF(L849&lt;=$B$16,1,IF(L849&gt;=$B$17,$B$21,MATCH(L849,Aux_CAV!$A$2:$A$121,1))))</f>
        <v>13</v>
      </c>
      <c r="AC849" s="19" t="n">
        <f aca="false">IF(D849="","",COUNT($D$24:D849))</f>
        <v>814</v>
      </c>
    </row>
    <row r="850" customFormat="false" ht="12.75" hidden="false" customHeight="true" outlineLevel="0" collapsed="false">
      <c r="A850" s="14" t="n">
        <f aca="false">IF(D850="","",DATE(B850,C850,1))</f>
        <v>28795</v>
      </c>
      <c r="B850" s="15" t="n">
        <f aca="false" t="array" ref="B850:B850">IF(D850="","",IFERROR(VALUE(INDEX(Vazoes_COLAR!$A$2:$A$200,INT((ROW()-24)/12)+1)),""))</f>
        <v>1978</v>
      </c>
      <c r="C850" s="15" t="n">
        <f aca="false">IF(D850="","",MOD(ROW()-24,12)+1)</f>
        <v>11</v>
      </c>
      <c r="D850" s="16" t="n">
        <f aca="false" t="array" ref="D850: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0.0682641358186298</v>
      </c>
      <c r="E850" s="16" t="n">
        <f aca="false">IF(D850="","",D850*$B$15)</f>
        <v>0.176940640041888</v>
      </c>
      <c r="F850" s="16" t="n">
        <f aca="false" t="array" ref="F850:F850">IF(D850="","",IFERROR(INDEX(Dados_Evap!$C$2:$N$15,MATCH($B$9,Dados_Evap!$A$2:$A$15,0),C850),0))</f>
        <v>223.7</v>
      </c>
      <c r="G850" s="16" t="n">
        <f aca="false">IF(F850="","",F850/1000)</f>
        <v>0.2237</v>
      </c>
      <c r="H850" s="16" t="n">
        <f aca="false">IF(D850="","",MAX(0,MIN($B$8,IFERROR(LOOKUP(2,1/($U$24:U849&lt;&gt;""),$U$24:U849),$B$11))))</f>
        <v>39.1598006120949</v>
      </c>
      <c r="I850" s="16" t="n">
        <f aca="false" t="array" ref="I850: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>6.16524738815728</v>
      </c>
      <c r="J850" s="16" t="n">
        <f aca="false">IF(D850="","",$B$12)</f>
        <v>0.35</v>
      </c>
      <c r="K850" s="16" t="n">
        <f aca="false">IF(J850="","",J850*$B$15)</f>
        <v>0.9072</v>
      </c>
      <c r="L850" s="16" t="n">
        <f aca="false">IF(D850="","",H850+E850-K850-G850*I850)</f>
        <v>37.050375411406</v>
      </c>
      <c r="M850" s="16" t="n">
        <f aca="false" t="array" ref="M850: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>5.95463653871743</v>
      </c>
      <c r="N850" s="16" t="n">
        <f aca="false">IF(D850="","",(I850+M850)/2)</f>
        <v>6.05994196343735</v>
      </c>
      <c r="O850" s="16" t="n">
        <f aca="false">IF(D850="","",G850*N850)</f>
        <v>1.35560901722094</v>
      </c>
      <c r="P850" s="16" t="n">
        <f aca="false">IF(D850="","",H850+E850-K850-O850)</f>
        <v>37.0739322349159</v>
      </c>
      <c r="Q850" s="16" t="n">
        <f aca="false">IF(D850="","",IF(P850&gt;=0,K850,MAX(0,K850+P850)))</f>
        <v>0.9072</v>
      </c>
      <c r="R850" s="16" t="n">
        <f aca="false">IF(D850="","",Q850/$B$15)</f>
        <v>0.35</v>
      </c>
      <c r="S850" s="16" t="n">
        <f aca="false">IF(D850="","",MAX(0,J850-R850))</f>
        <v>0</v>
      </c>
      <c r="T850" s="16" t="n">
        <f aca="false">IF(D850="","",MAX(0,Z850-$B$8))</f>
        <v>0</v>
      </c>
      <c r="U850" s="16" t="n">
        <f aca="false">IF(D850="","",MAX(0,MIN($B$8,Z850)))</f>
        <v>37.0739322349159</v>
      </c>
      <c r="V850" s="16" t="str">
        <f aca="false">IF(D850="","",IF(S850&gt;0.0000001,"Sim","Não"))</f>
        <v>Não</v>
      </c>
      <c r="W850" s="16" t="n">
        <f aca="false">IF(D850="","",U850-(H850+E850-Q850-O850-T850))</f>
        <v>0</v>
      </c>
      <c r="X850" s="16" t="n">
        <f aca="false">IF(W850="","",ABS(W850))</f>
        <v>0</v>
      </c>
      <c r="Y850" s="16" t="n">
        <f aca="false">IF(U850="","",IF($B$8=0,0,U850/$B$8*100))</f>
        <v>78.5131982950357</v>
      </c>
      <c r="Z850" s="18" t="n">
        <f aca="false">IF(D850="","",MAX(0,IF(P850&gt;=0,P850,IF(K850+P850&gt;=0,0,P850+K850))))</f>
        <v>37.0739322349159</v>
      </c>
      <c r="AA850" s="18" t="n">
        <f aca="false">IF(D850="","",IF(H850&lt;=$B$16,1,IF(H850&gt;=$B$17,$B$21,MATCH(H850,Aux_CAV!$A$2:$A$121,1))))</f>
        <v>13</v>
      </c>
      <c r="AB850" s="18" t="n">
        <f aca="false">IF(D850="","",IF(L850&lt;=$B$16,1,IF(L850&gt;=$B$17,$B$21,MATCH(L850,Aux_CAV!$A$2:$A$121,1))))</f>
        <v>13</v>
      </c>
      <c r="AC850" s="19" t="n">
        <f aca="false">IF(D850="","",COUNT($D$24:D850))</f>
        <v>815</v>
      </c>
    </row>
    <row r="851" customFormat="false" ht="12.75" hidden="false" customHeight="true" outlineLevel="0" collapsed="false">
      <c r="A851" s="14" t="n">
        <f aca="false">IF(D851="","",DATE(B851,C851,1))</f>
        <v>28825</v>
      </c>
      <c r="B851" s="15" t="n">
        <f aca="false" t="array" ref="B851:B851">IF(D851="","",IFERROR(VALUE(INDEX(Vazoes_COLAR!$A$2:$A$200,INT((ROW()-24)/12)+1)),""))</f>
        <v>1978</v>
      </c>
      <c r="C851" s="15" t="n">
        <f aca="false">IF(D851="","",MOD(ROW()-24,12)+1)</f>
        <v>12</v>
      </c>
      <c r="D851" s="16" t="n">
        <f aca="false" t="array" ref="D851: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0.0498997248916717</v>
      </c>
      <c r="E851" s="16" t="n">
        <f aca="false">IF(D851="","",D851*$B$15)</f>
        <v>0.129340086919213</v>
      </c>
      <c r="F851" s="16" t="n">
        <f aca="false" t="array" ref="F851:F851">IF(D851="","",IFERROR(INDEX(Dados_Evap!$C$2:$N$15,MATCH($B$9,Dados_Evap!$A$2:$A$15,0),C851),0))</f>
        <v>216.1</v>
      </c>
      <c r="G851" s="16" t="n">
        <f aca="false">IF(F851="","",F851/1000)</f>
        <v>0.2161</v>
      </c>
      <c r="H851" s="16" t="n">
        <f aca="false">IF(D851="","",MAX(0,MIN($B$8,IFERROR(LOOKUP(2,1/($U$24:U850&lt;&gt;""),$U$24:U850),$B$11))))</f>
        <v>37.0739322349159</v>
      </c>
      <c r="I851" s="16" t="n">
        <f aca="false" t="array" ref="I851: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>5.95698851716534</v>
      </c>
      <c r="J851" s="16" t="n">
        <f aca="false">IF(D851="","",$B$12)</f>
        <v>0.35</v>
      </c>
      <c r="K851" s="16" t="n">
        <f aca="false">IF(J851="","",J851*$B$15)</f>
        <v>0.9072</v>
      </c>
      <c r="L851" s="16" t="n">
        <f aca="false">IF(D851="","",H851+E851-K851-G851*I851)</f>
        <v>35.0087671032757</v>
      </c>
      <c r="M851" s="16" t="n">
        <f aca="false" t="array" ref="M851: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>5.75079671550001</v>
      </c>
      <c r="N851" s="16" t="n">
        <f aca="false">IF(D851="","",(I851+M851)/2)</f>
        <v>5.85389261633267</v>
      </c>
      <c r="O851" s="16" t="n">
        <f aca="false">IF(D851="","",G851*N851)</f>
        <v>1.26502619438949</v>
      </c>
      <c r="P851" s="16" t="n">
        <f aca="false">IF(D851="","",H851+E851-K851-O851)</f>
        <v>35.0310461274456</v>
      </c>
      <c r="Q851" s="16" t="n">
        <f aca="false">IF(D851="","",IF(P851&gt;=0,K851,MAX(0,K851+P851)))</f>
        <v>0.9072</v>
      </c>
      <c r="R851" s="16" t="n">
        <f aca="false">IF(D851="","",Q851/$B$15)</f>
        <v>0.35</v>
      </c>
      <c r="S851" s="16" t="n">
        <f aca="false">IF(D851="","",MAX(0,J851-R851))</f>
        <v>0</v>
      </c>
      <c r="T851" s="16" t="n">
        <f aca="false">IF(D851="","",MAX(0,Z851-$B$8))</f>
        <v>0</v>
      </c>
      <c r="U851" s="16" t="n">
        <f aca="false">IF(D851="","",MAX(0,MIN($B$8,Z851)))</f>
        <v>35.0310461274456</v>
      </c>
      <c r="V851" s="16" t="str">
        <f aca="false">IF(D851="","",IF(S851&gt;0.0000001,"Sim","Não"))</f>
        <v>Não</v>
      </c>
      <c r="W851" s="16" t="n">
        <f aca="false">IF(D851="","",U851-(H851+E851-Q851-O851-T851))</f>
        <v>0</v>
      </c>
      <c r="X851" s="16" t="n">
        <f aca="false">IF(W851="","",ABS(W851))</f>
        <v>0</v>
      </c>
      <c r="Y851" s="16" t="n">
        <f aca="false">IF(U851="","",IF($B$8=0,0,U851/$B$8*100))</f>
        <v>74.1868829467293</v>
      </c>
      <c r="Z851" s="18" t="n">
        <f aca="false">IF(D851="","",MAX(0,IF(P851&gt;=0,P851,IF(K851+P851&gt;=0,0,P851+K851))))</f>
        <v>35.0310461274456</v>
      </c>
      <c r="AA851" s="18" t="n">
        <f aca="false">IF(D851="","",IF(H851&lt;=$B$16,1,IF(H851&gt;=$B$17,$B$21,MATCH(H851,Aux_CAV!$A$2:$A$121,1))))</f>
        <v>13</v>
      </c>
      <c r="AB851" s="18" t="n">
        <f aca="false">IF(D851="","",IF(L851&lt;=$B$16,1,IF(L851&gt;=$B$17,$B$21,MATCH(L851,Aux_CAV!$A$2:$A$121,1))))</f>
        <v>13</v>
      </c>
      <c r="AC851" s="19" t="n">
        <f aca="false">IF(D851="","",COUNT($D$24:D851))</f>
        <v>816</v>
      </c>
    </row>
    <row r="852" customFormat="false" ht="12.75" hidden="false" customHeight="true" outlineLevel="0" collapsed="false">
      <c r="A852" s="14" t="n">
        <f aca="false">IF(D852="","",DATE(B852,C852,1))</f>
        <v>28856</v>
      </c>
      <c r="B852" s="15" t="n">
        <f aca="false" t="array" ref="B852:B852">IF(D852="","",IFERROR(VALUE(INDEX(Vazoes_COLAR!$A$2:$A$200,INT((ROW()-24)/12)+1)),""))</f>
        <v>1979</v>
      </c>
      <c r="C852" s="15" t="n">
        <f aca="false">IF(D852="","",MOD(ROW()-24,12)+1)</f>
        <v>1</v>
      </c>
      <c r="D852" s="16" t="n">
        <f aca="false" t="array" ref="D852: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0.284465980497421</v>
      </c>
      <c r="E852" s="16" t="n">
        <f aca="false">IF(D852="","",D852*$B$15)</f>
        <v>0.737335821449315</v>
      </c>
      <c r="F852" s="16" t="n">
        <f aca="false" t="array" ref="F852:F852">IF(D852="","",IFERROR(INDEX(Dados_Evap!$C$2:$N$15,MATCH($B$9,Dados_Evap!$A$2:$A$15,0),C852),0))</f>
        <v>160</v>
      </c>
      <c r="G852" s="16" t="n">
        <f aca="false">IF(F852="","",F852/1000)</f>
        <v>0.16</v>
      </c>
      <c r="H852" s="16" t="n">
        <f aca="false">IF(D852="","",MAX(0,MIN($B$8,IFERROR(LOOKUP(2,1/($U$24:U851&lt;&gt;""),$U$24:U851),$B$11))))</f>
        <v>35.0310461274456</v>
      </c>
      <c r="I852" s="16" t="n">
        <f aca="false" t="array" ref="I852: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>5.75302111492578</v>
      </c>
      <c r="J852" s="16" t="n">
        <f aca="false">IF(D852="","",$B$12)</f>
        <v>0.35</v>
      </c>
      <c r="K852" s="16" t="n">
        <f aca="false">IF(J852="","",J852*$B$15)</f>
        <v>0.9072</v>
      </c>
      <c r="L852" s="16" t="n">
        <f aca="false">IF(D852="","",H852+E852-K852-G852*I852)</f>
        <v>33.9406985705068</v>
      </c>
      <c r="M852" s="16" t="n">
        <f aca="false" t="array" ref="M852: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>5.6418978126643</v>
      </c>
      <c r="N852" s="16" t="n">
        <f aca="false">IF(D852="","",(I852+M852)/2)</f>
        <v>5.69745946379504</v>
      </c>
      <c r="O852" s="16" t="n">
        <f aca="false">IF(D852="","",G852*N852)</f>
        <v>0.911593514207206</v>
      </c>
      <c r="P852" s="16" t="n">
        <f aca="false">IF(D852="","",H852+E852-K852-O852)</f>
        <v>33.9495884346877</v>
      </c>
      <c r="Q852" s="16" t="n">
        <f aca="false">IF(D852="","",IF(P852&gt;=0,K852,MAX(0,K852+P852)))</f>
        <v>0.9072</v>
      </c>
      <c r="R852" s="16" t="n">
        <f aca="false">IF(D852="","",Q852/$B$15)</f>
        <v>0.35</v>
      </c>
      <c r="S852" s="16" t="n">
        <f aca="false">IF(D852="","",MAX(0,J852-R852))</f>
        <v>0</v>
      </c>
      <c r="T852" s="16" t="n">
        <f aca="false">IF(D852="","",MAX(0,Z852-$B$8))</f>
        <v>0</v>
      </c>
      <c r="U852" s="16" t="n">
        <f aca="false">IF(D852="","",MAX(0,MIN($B$8,Z852)))</f>
        <v>33.9495884346877</v>
      </c>
      <c r="V852" s="16" t="str">
        <f aca="false">IF(D852="","",IF(S852&gt;0.0000001,"Sim","Não"))</f>
        <v>Não</v>
      </c>
      <c r="W852" s="16" t="n">
        <f aca="false">IF(D852="","",U852-(H852+E852-Q852-O852-T852))</f>
        <v>0</v>
      </c>
      <c r="X852" s="16" t="n">
        <f aca="false">IF(W852="","",ABS(W852))</f>
        <v>0</v>
      </c>
      <c r="Y852" s="16" t="n">
        <f aca="false">IF(U852="","",IF($B$8=0,0,U852/$B$8*100))</f>
        <v>71.8966294677842</v>
      </c>
      <c r="Z852" s="18" t="n">
        <f aca="false">IF(D852="","",MAX(0,IF(P852&gt;=0,P852,IF(K852+P852&gt;=0,0,P852+K852))))</f>
        <v>33.9495884346877</v>
      </c>
      <c r="AA852" s="18" t="n">
        <f aca="false">IF(D852="","",IF(H852&lt;=$B$16,1,IF(H852&gt;=$B$17,$B$21,MATCH(H852,Aux_CAV!$A$2:$A$121,1))))</f>
        <v>13</v>
      </c>
      <c r="AB852" s="18" t="n">
        <f aca="false">IF(D852="","",IF(L852&lt;=$B$16,1,IF(L852&gt;=$B$17,$B$21,MATCH(L852,Aux_CAV!$A$2:$A$121,1))))</f>
        <v>12</v>
      </c>
      <c r="AC852" s="19" t="n">
        <f aca="false">IF(D852="","",COUNT($D$24:D852))</f>
        <v>817</v>
      </c>
    </row>
    <row r="853" customFormat="false" ht="12.75" hidden="false" customHeight="true" outlineLevel="0" collapsed="false">
      <c r="A853" s="14" t="n">
        <f aca="false">IF(D853="","",DATE(B853,C853,1))</f>
        <v>28887</v>
      </c>
      <c r="B853" s="15" t="n">
        <f aca="false" t="array" ref="B853:B853">IF(D853="","",IFERROR(VALUE(INDEX(Vazoes_COLAR!$A$2:$A$200,INT((ROW()-24)/12)+1)),""))</f>
        <v>1979</v>
      </c>
      <c r="C853" s="15" t="n">
        <f aca="false">IF(D853="","",MOD(ROW()-24,12)+1)</f>
        <v>2</v>
      </c>
      <c r="D853" s="16" t="n">
        <f aca="false" t="array" ref="D853: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0.529505172720686</v>
      </c>
      <c r="E853" s="16" t="n">
        <f aca="false">IF(D853="","",D853*$B$15)</f>
        <v>1.37247740769202</v>
      </c>
      <c r="F853" s="16" t="n">
        <f aca="false" t="array" ref="F853:F853">IF(D853="","",IFERROR(INDEX(Dados_Evap!$C$2:$N$15,MATCH($B$9,Dados_Evap!$A$2:$A$15,0),C853),0))</f>
        <v>124.3</v>
      </c>
      <c r="G853" s="16" t="n">
        <f aca="false">IF(F853="","",F853/1000)</f>
        <v>0.1243</v>
      </c>
      <c r="H853" s="16" t="n">
        <f aca="false">IF(D853="","",MAX(0,MIN($B$8,IFERROR(LOOKUP(2,1/($U$24:U852&lt;&gt;""),$U$24:U852),$B$11))))</f>
        <v>33.9495884346877</v>
      </c>
      <c r="I853" s="16" t="n">
        <f aca="false" t="array" ref="I853: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>5.64282132282678</v>
      </c>
      <c r="J853" s="16" t="n">
        <f aca="false">IF(D853="","",$B$12)</f>
        <v>0.35</v>
      </c>
      <c r="K853" s="16" t="n">
        <f aca="false">IF(J853="","",J853*$B$15)</f>
        <v>0.9072</v>
      </c>
      <c r="L853" s="16" t="n">
        <f aca="false">IF(D853="","",H853+E853-K853-G853*I853)</f>
        <v>33.7134631519523</v>
      </c>
      <c r="M853" s="16" t="n">
        <f aca="false" t="array" ref="M853: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>5.61829180316398</v>
      </c>
      <c r="N853" s="16" t="n">
        <f aca="false">IF(D853="","",(I853+M853)/2)</f>
        <v>5.63055656299538</v>
      </c>
      <c r="O853" s="16" t="n">
        <f aca="false">IF(D853="","",G853*N853)</f>
        <v>0.699878180780326</v>
      </c>
      <c r="P853" s="16" t="n">
        <f aca="false">IF(D853="","",H853+E853-K853-O853)</f>
        <v>33.7149876615994</v>
      </c>
      <c r="Q853" s="16" t="n">
        <f aca="false">IF(D853="","",IF(P853&gt;=0,K853,MAX(0,K853+P853)))</f>
        <v>0.9072</v>
      </c>
      <c r="R853" s="16" t="n">
        <f aca="false">IF(D853="","",Q853/$B$15)</f>
        <v>0.35</v>
      </c>
      <c r="S853" s="16" t="n">
        <f aca="false">IF(D853="","",MAX(0,J853-R853))</f>
        <v>0</v>
      </c>
      <c r="T853" s="16" t="n">
        <f aca="false">IF(D853="","",MAX(0,Z853-$B$8))</f>
        <v>0</v>
      </c>
      <c r="U853" s="16" t="n">
        <f aca="false">IF(D853="","",MAX(0,MIN($B$8,Z853)))</f>
        <v>33.7149876615994</v>
      </c>
      <c r="V853" s="16" t="str">
        <f aca="false">IF(D853="","",IF(S853&gt;0.0000001,"Sim","Não"))</f>
        <v>Não</v>
      </c>
      <c r="W853" s="16" t="n">
        <f aca="false">IF(D853="","",U853-(H853+E853-Q853-O853-T853))</f>
        <v>0</v>
      </c>
      <c r="X853" s="16" t="n">
        <f aca="false">IF(W853="","",ABS(W853))</f>
        <v>0</v>
      </c>
      <c r="Y853" s="16" t="n">
        <f aca="false">IF(U853="","",IF($B$8=0,0,U853/$B$8*100))</f>
        <v>71.3998044506552</v>
      </c>
      <c r="Z853" s="18" t="n">
        <f aca="false">IF(D853="","",MAX(0,IF(P853&gt;=0,P853,IF(K853+P853&gt;=0,0,P853+K853))))</f>
        <v>33.7149876615994</v>
      </c>
      <c r="AA853" s="18" t="n">
        <f aca="false">IF(D853="","",IF(H853&lt;=$B$16,1,IF(H853&gt;=$B$17,$B$21,MATCH(H853,Aux_CAV!$A$2:$A$121,1))))</f>
        <v>12</v>
      </c>
      <c r="AB853" s="18" t="n">
        <f aca="false">IF(D853="","",IF(L853&lt;=$B$16,1,IF(L853&gt;=$B$17,$B$21,MATCH(L853,Aux_CAV!$A$2:$A$121,1))))</f>
        <v>12</v>
      </c>
      <c r="AC853" s="19" t="n">
        <f aca="false">IF(D853="","",COUNT($D$24:D853))</f>
        <v>818</v>
      </c>
    </row>
    <row r="854" customFormat="false" ht="12.75" hidden="false" customHeight="true" outlineLevel="0" collapsed="false">
      <c r="A854" s="14" t="n">
        <f aca="false">IF(D854="","",DATE(B854,C854,1))</f>
        <v>28915</v>
      </c>
      <c r="B854" s="15" t="n">
        <f aca="false" t="array" ref="B854:B854">IF(D854="","",IFERROR(VALUE(INDEX(Vazoes_COLAR!$A$2:$A$200,INT((ROW()-24)/12)+1)),""))</f>
        <v>1979</v>
      </c>
      <c r="C854" s="15" t="n">
        <f aca="false">IF(D854="","",MOD(ROW()-24,12)+1)</f>
        <v>3</v>
      </c>
      <c r="D854" s="16" t="n">
        <f aca="false" t="array" ref="D854: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1.21151613208087</v>
      </c>
      <c r="E854" s="16" t="n">
        <f aca="false">IF(D854="","",D854*$B$15)</f>
        <v>3.14024981435362</v>
      </c>
      <c r="F854" s="16" t="n">
        <f aca="false" t="array" ref="F854:F854">IF(D854="","",IFERROR(INDEX(Dados_Evap!$C$2:$N$15,MATCH($B$9,Dados_Evap!$A$2:$A$15,0),C854),0))</f>
        <v>107.7</v>
      </c>
      <c r="G854" s="16" t="n">
        <f aca="false">IF(F854="","",F854/1000)</f>
        <v>0.1077</v>
      </c>
      <c r="H854" s="16" t="n">
        <f aca="false">IF(D854="","",MAX(0,MIN($B$8,IFERROR(LOOKUP(2,1/($U$24:U853&lt;&gt;""),$U$24:U853),$B$11))))</f>
        <v>33.7149876615994</v>
      </c>
      <c r="I854" s="16" t="n">
        <f aca="false" t="array" ref="I854: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>5.6184501745545</v>
      </c>
      <c r="J854" s="16" t="n">
        <f aca="false">IF(D854="","",$B$12)</f>
        <v>0.35</v>
      </c>
      <c r="K854" s="16" t="n">
        <f aca="false">IF(J854="","",J854*$B$15)</f>
        <v>0.9072</v>
      </c>
      <c r="L854" s="16" t="n">
        <f aca="false">IF(D854="","",H854+E854-K854-G854*I854)</f>
        <v>35.3429303921535</v>
      </c>
      <c r="M854" s="16" t="n">
        <f aca="false" t="array" ref="M854: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>5.78416050299017</v>
      </c>
      <c r="N854" s="16" t="n">
        <f aca="false">IF(D854="","",(I854+M854)/2)</f>
        <v>5.70130533877233</v>
      </c>
      <c r="O854" s="16" t="n">
        <f aca="false">IF(D854="","",G854*N854)</f>
        <v>0.61403058498578</v>
      </c>
      <c r="P854" s="16" t="n">
        <f aca="false">IF(D854="","",H854+E854-K854-O854)</f>
        <v>35.3340068909672</v>
      </c>
      <c r="Q854" s="16" t="n">
        <f aca="false">IF(D854="","",IF(P854&gt;=0,K854,MAX(0,K854+P854)))</f>
        <v>0.9072</v>
      </c>
      <c r="R854" s="16" t="n">
        <f aca="false">IF(D854="","",Q854/$B$15)</f>
        <v>0.35</v>
      </c>
      <c r="S854" s="16" t="n">
        <f aca="false">IF(D854="","",MAX(0,J854-R854))</f>
        <v>0</v>
      </c>
      <c r="T854" s="16" t="n">
        <f aca="false">IF(D854="","",MAX(0,Z854-$B$8))</f>
        <v>0</v>
      </c>
      <c r="U854" s="16" t="n">
        <f aca="false">IF(D854="","",MAX(0,MIN($B$8,Z854)))</f>
        <v>35.3340068909672</v>
      </c>
      <c r="V854" s="16" t="str">
        <f aca="false">IF(D854="","",IF(S854&gt;0.0000001,"Sim","Não"))</f>
        <v>Não</v>
      </c>
      <c r="W854" s="16" t="n">
        <f aca="false">IF(D854="","",U854-(H854+E854-Q854-O854-T854))</f>
        <v>0</v>
      </c>
      <c r="X854" s="16" t="n">
        <f aca="false">IF(W854="","",ABS(W854))</f>
        <v>0</v>
      </c>
      <c r="Y854" s="16" t="n">
        <f aca="false">IF(U854="","",IF($B$8=0,0,U854/$B$8*100))</f>
        <v>74.8284771092063</v>
      </c>
      <c r="Z854" s="18" t="n">
        <f aca="false">IF(D854="","",MAX(0,IF(P854&gt;=0,P854,IF(K854+P854&gt;=0,0,P854+K854))))</f>
        <v>35.3340068909672</v>
      </c>
      <c r="AA854" s="18" t="n">
        <f aca="false">IF(D854="","",IF(H854&lt;=$B$16,1,IF(H854&gt;=$B$17,$B$21,MATCH(H854,Aux_CAV!$A$2:$A$121,1))))</f>
        <v>12</v>
      </c>
      <c r="AB854" s="18" t="n">
        <f aca="false">IF(D854="","",IF(L854&lt;=$B$16,1,IF(L854&gt;=$B$17,$B$21,MATCH(L854,Aux_CAV!$A$2:$A$121,1))))</f>
        <v>13</v>
      </c>
      <c r="AC854" s="19" t="n">
        <f aca="false">IF(D854="","",COUNT($D$24:D854))</f>
        <v>819</v>
      </c>
    </row>
    <row r="855" customFormat="false" ht="12.75" hidden="false" customHeight="true" outlineLevel="0" collapsed="false">
      <c r="A855" s="14" t="n">
        <f aca="false">IF(D855="","",DATE(B855,C855,1))</f>
        <v>28946</v>
      </c>
      <c r="B855" s="15" t="n">
        <f aca="false" t="array" ref="B855:B855">IF(D855="","",IFERROR(VALUE(INDEX(Vazoes_COLAR!$A$2:$A$200,INT((ROW()-24)/12)+1)),""))</f>
        <v>1979</v>
      </c>
      <c r="C855" s="15" t="n">
        <f aca="false">IF(D855="","",MOD(ROW()-24,12)+1)</f>
        <v>4</v>
      </c>
      <c r="D855" s="16" t="n">
        <f aca="false" t="array" ref="D855: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1.1760858972248</v>
      </c>
      <c r="E855" s="16" t="n">
        <f aca="false">IF(D855="","",D855*$B$15)</f>
        <v>3.04841464560668</v>
      </c>
      <c r="F855" s="16" t="n">
        <f aca="false" t="array" ref="F855:F855">IF(D855="","",IFERROR(INDEX(Dados_Evap!$C$2:$N$15,MATCH($B$9,Dados_Evap!$A$2:$A$15,0),C855),0))</f>
        <v>100.5</v>
      </c>
      <c r="G855" s="16" t="n">
        <f aca="false">IF(F855="","",F855/1000)</f>
        <v>0.1005</v>
      </c>
      <c r="H855" s="16" t="n">
        <f aca="false">IF(D855="","",MAX(0,MIN($B$8,IFERROR(LOOKUP(2,1/($U$24:U854&lt;&gt;""),$U$24:U854),$B$11))))</f>
        <v>35.3340068909672</v>
      </c>
      <c r="I855" s="16" t="n">
        <f aca="false" t="array" ref="I855: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>5.78326955593777</v>
      </c>
      <c r="J855" s="16" t="n">
        <f aca="false">IF(D855="","",$B$12)</f>
        <v>0.35</v>
      </c>
      <c r="K855" s="16" t="n">
        <f aca="false">IF(J855="","",J855*$B$15)</f>
        <v>0.9072</v>
      </c>
      <c r="L855" s="16" t="n">
        <f aca="false">IF(D855="","",H855+E855-K855-G855*I855)</f>
        <v>36.8940029462022</v>
      </c>
      <c r="M855" s="16" t="n">
        <f aca="false" t="array" ref="M855: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>5.93902387906264</v>
      </c>
      <c r="N855" s="16" t="n">
        <f aca="false">IF(D855="","",(I855+M855)/2)</f>
        <v>5.8611467175002</v>
      </c>
      <c r="O855" s="16" t="n">
        <f aca="false">IF(D855="","",G855*N855)</f>
        <v>0.58904524510877</v>
      </c>
      <c r="P855" s="16" t="n">
        <f aca="false">IF(D855="","",H855+E855-K855-O855)</f>
        <v>36.8861762914651</v>
      </c>
      <c r="Q855" s="16" t="n">
        <f aca="false">IF(D855="","",IF(P855&gt;=0,K855,MAX(0,K855+P855)))</f>
        <v>0.9072</v>
      </c>
      <c r="R855" s="16" t="n">
        <f aca="false">IF(D855="","",Q855/$B$15)</f>
        <v>0.35</v>
      </c>
      <c r="S855" s="16" t="n">
        <f aca="false">IF(D855="","",MAX(0,J855-R855))</f>
        <v>0</v>
      </c>
      <c r="T855" s="16" t="n">
        <f aca="false">IF(D855="","",MAX(0,Z855-$B$8))</f>
        <v>0</v>
      </c>
      <c r="U855" s="16" t="n">
        <f aca="false">IF(D855="","",MAX(0,MIN($B$8,Z855)))</f>
        <v>36.8861762914651</v>
      </c>
      <c r="V855" s="16" t="str">
        <f aca="false">IF(D855="","",IF(S855&gt;0.0000001,"Sim","Não"))</f>
        <v>Não</v>
      </c>
      <c r="W855" s="16" t="n">
        <f aca="false">IF(D855="","",U855-(H855+E855-Q855-O855-T855))</f>
        <v>0</v>
      </c>
      <c r="X855" s="16" t="n">
        <f aca="false">IF(W855="","",ABS(W855))</f>
        <v>0</v>
      </c>
      <c r="Y855" s="16" t="n">
        <f aca="false">IF(U855="","",IF($B$8=0,0,U855/$B$8*100))</f>
        <v>78.1155787621032</v>
      </c>
      <c r="Z855" s="18" t="n">
        <f aca="false">IF(D855="","",MAX(0,IF(P855&gt;=0,P855,IF(K855+P855&gt;=0,0,P855+K855))))</f>
        <v>36.8861762914651</v>
      </c>
      <c r="AA855" s="18" t="n">
        <f aca="false">IF(D855="","",IF(H855&lt;=$B$16,1,IF(H855&gt;=$B$17,$B$21,MATCH(H855,Aux_CAV!$A$2:$A$121,1))))</f>
        <v>13</v>
      </c>
      <c r="AB855" s="18" t="n">
        <f aca="false">IF(D855="","",IF(L855&lt;=$B$16,1,IF(L855&gt;=$B$17,$B$21,MATCH(L855,Aux_CAV!$A$2:$A$121,1))))</f>
        <v>13</v>
      </c>
      <c r="AC855" s="19" t="n">
        <f aca="false">IF(D855="","",COUNT($D$24:D855))</f>
        <v>820</v>
      </c>
    </row>
    <row r="856" customFormat="false" ht="12.75" hidden="false" customHeight="true" outlineLevel="0" collapsed="false">
      <c r="A856" s="14" t="n">
        <f aca="false">IF(D856="","",DATE(B856,C856,1))</f>
        <v>28976</v>
      </c>
      <c r="B856" s="15" t="n">
        <f aca="false" t="array" ref="B856:B856">IF(D856="","",IFERROR(VALUE(INDEX(Vazoes_COLAR!$A$2:$A$200,INT((ROW()-24)/12)+1)),""))</f>
        <v>1979</v>
      </c>
      <c r="C856" s="15" t="n">
        <f aca="false">IF(D856="","",MOD(ROW()-24,12)+1)</f>
        <v>5</v>
      </c>
      <c r="D856" s="16" t="n">
        <f aca="false" t="array" ref="D856: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0.969685662635824</v>
      </c>
      <c r="E856" s="16" t="n">
        <f aca="false">IF(D856="","",D856*$B$15)</f>
        <v>2.51342523755206</v>
      </c>
      <c r="F856" s="16" t="n">
        <f aca="false" t="array" ref="F856:F856">IF(D856="","",IFERROR(INDEX(Dados_Evap!$C$2:$N$15,MATCH($B$9,Dados_Evap!$A$2:$A$15,0),C856),0))</f>
        <v>145.8</v>
      </c>
      <c r="G856" s="16" t="n">
        <f aca="false">IF(F856="","",F856/1000)</f>
        <v>0.1458</v>
      </c>
      <c r="H856" s="16" t="n">
        <f aca="false">IF(D856="","",MAX(0,MIN($B$8,IFERROR(LOOKUP(2,1/($U$24:U855&lt;&gt;""),$U$24:U855),$B$11))))</f>
        <v>36.8861762914651</v>
      </c>
      <c r="I856" s="16" t="n">
        <f aca="false" t="array" ref="I856: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>5.93824244419503</v>
      </c>
      <c r="J856" s="16" t="n">
        <f aca="false">IF(D856="","",$B$12)</f>
        <v>0.35</v>
      </c>
      <c r="K856" s="16" t="n">
        <f aca="false">IF(J856="","",J856*$B$15)</f>
        <v>0.9072</v>
      </c>
      <c r="L856" s="16" t="n">
        <f aca="false">IF(D856="","",H856+E856-K856-G856*I856)</f>
        <v>37.6266057806535</v>
      </c>
      <c r="M856" s="16" t="n">
        <f aca="false" t="array" ref="M856: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>6.01216897338286</v>
      </c>
      <c r="N856" s="16" t="n">
        <f aca="false">IF(D856="","",(I856+M856)/2)</f>
        <v>5.97520570878894</v>
      </c>
      <c r="O856" s="16" t="n">
        <f aca="false">IF(D856="","",G856*N856)</f>
        <v>0.871184992341428</v>
      </c>
      <c r="P856" s="16" t="n">
        <f aca="false">IF(D856="","",H856+E856-K856-O856)</f>
        <v>37.6212165366758</v>
      </c>
      <c r="Q856" s="16" t="n">
        <f aca="false">IF(D856="","",IF(P856&gt;=0,K856,MAX(0,K856+P856)))</f>
        <v>0.9072</v>
      </c>
      <c r="R856" s="16" t="n">
        <f aca="false">IF(D856="","",Q856/$B$15)</f>
        <v>0.35</v>
      </c>
      <c r="S856" s="16" t="n">
        <f aca="false">IF(D856="","",MAX(0,J856-R856))</f>
        <v>0</v>
      </c>
      <c r="T856" s="16" t="n">
        <f aca="false">IF(D856="","",MAX(0,Z856-$B$8))</f>
        <v>0</v>
      </c>
      <c r="U856" s="16" t="n">
        <f aca="false">IF(D856="","",MAX(0,MIN($B$8,Z856)))</f>
        <v>37.6212165366758</v>
      </c>
      <c r="V856" s="16" t="str">
        <f aca="false">IF(D856="","",IF(S856&gt;0.0000001,"Sim","Não"))</f>
        <v>Não</v>
      </c>
      <c r="W856" s="16" t="n">
        <f aca="false">IF(D856="","",U856-(H856+E856-Q856-O856-T856))</f>
        <v>0</v>
      </c>
      <c r="X856" s="16" t="n">
        <f aca="false">IF(W856="","",ABS(W856))</f>
        <v>0</v>
      </c>
      <c r="Y856" s="16" t="n">
        <f aca="false">IF(U856="","",IF($B$8=0,0,U856/$B$8*100))</f>
        <v>79.6722078286229</v>
      </c>
      <c r="Z856" s="18" t="n">
        <f aca="false">IF(D856="","",MAX(0,IF(P856&gt;=0,P856,IF(K856+P856&gt;=0,0,P856+K856))))</f>
        <v>37.6212165366758</v>
      </c>
      <c r="AA856" s="18" t="n">
        <f aca="false">IF(D856="","",IF(H856&lt;=$B$16,1,IF(H856&gt;=$B$17,$B$21,MATCH(H856,Aux_CAV!$A$2:$A$121,1))))</f>
        <v>13</v>
      </c>
      <c r="AB856" s="18" t="n">
        <f aca="false">IF(D856="","",IF(L856&lt;=$B$16,1,IF(L856&gt;=$B$17,$B$21,MATCH(L856,Aux_CAV!$A$2:$A$121,1))))</f>
        <v>13</v>
      </c>
      <c r="AC856" s="19" t="n">
        <f aca="false">IF(D856="","",COUNT($D$24:D856))</f>
        <v>821</v>
      </c>
    </row>
    <row r="857" customFormat="false" ht="12.75" hidden="false" customHeight="true" outlineLevel="0" collapsed="false">
      <c r="A857" s="14" t="n">
        <f aca="false">IF(D857="","",DATE(B857,C857,1))</f>
        <v>29007</v>
      </c>
      <c r="B857" s="15" t="n">
        <f aca="false" t="array" ref="B857:B857">IF(D857="","",IFERROR(VALUE(INDEX(Vazoes_COLAR!$A$2:$A$200,INT((ROW()-24)/12)+1)),""))</f>
        <v>1979</v>
      </c>
      <c r="C857" s="15" t="n">
        <f aca="false">IF(D857="","",MOD(ROW()-24,12)+1)</f>
        <v>6</v>
      </c>
      <c r="D857" s="16" t="n">
        <f aca="false" t="array" ref="D857: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0.118623359299846</v>
      </c>
      <c r="E857" s="16" t="n">
        <f aca="false">IF(D857="","",D857*$B$15)</f>
        <v>0.307471747305201</v>
      </c>
      <c r="F857" s="16" t="n">
        <f aca="false" t="array" ref="F857:F857">IF(D857="","",IFERROR(INDEX(Dados_Evap!$C$2:$N$15,MATCH($B$9,Dados_Evap!$A$2:$A$15,0),C857),0))</f>
        <v>161.3</v>
      </c>
      <c r="G857" s="16" t="n">
        <f aca="false">IF(F857="","",F857/1000)</f>
        <v>0.1613</v>
      </c>
      <c r="H857" s="16" t="n">
        <f aca="false">IF(D857="","",MAX(0,MIN($B$8,IFERROR(LOOKUP(2,1/($U$24:U856&lt;&gt;""),$U$24:U856),$B$11))))</f>
        <v>37.6212165366758</v>
      </c>
      <c r="I857" s="16" t="n">
        <f aca="false" t="array" ref="I857: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>6.01163089635049</v>
      </c>
      <c r="J857" s="16" t="n">
        <f aca="false">IF(D857="","",$B$12)</f>
        <v>0.35</v>
      </c>
      <c r="K857" s="16" t="n">
        <f aca="false">IF(J857="","",J857*$B$15)</f>
        <v>0.9072</v>
      </c>
      <c r="L857" s="16" t="n">
        <f aca="false">IF(D857="","",H857+E857-K857-G857*I857)</f>
        <v>36.0518122203996</v>
      </c>
      <c r="M857" s="16" t="n">
        <f aca="false" t="array" ref="M857: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>5.85493722640782</v>
      </c>
      <c r="N857" s="16" t="n">
        <f aca="false">IF(D857="","",(I857+M857)/2)</f>
        <v>5.93328406137916</v>
      </c>
      <c r="O857" s="16" t="n">
        <f aca="false">IF(D857="","",G857*N857)</f>
        <v>0.957038719100458</v>
      </c>
      <c r="P857" s="16" t="n">
        <f aca="false">IF(D857="","",H857+E857-K857-O857)</f>
        <v>36.0644495648805</v>
      </c>
      <c r="Q857" s="16" t="n">
        <f aca="false">IF(D857="","",IF(P857&gt;=0,K857,MAX(0,K857+P857)))</f>
        <v>0.9072</v>
      </c>
      <c r="R857" s="16" t="n">
        <f aca="false">IF(D857="","",Q857/$B$15)</f>
        <v>0.35</v>
      </c>
      <c r="S857" s="16" t="n">
        <f aca="false">IF(D857="","",MAX(0,J857-R857))</f>
        <v>0</v>
      </c>
      <c r="T857" s="16" t="n">
        <f aca="false">IF(D857="","",MAX(0,Z857-$B$8))</f>
        <v>0</v>
      </c>
      <c r="U857" s="16" t="n">
        <f aca="false">IF(D857="","",MAX(0,MIN($B$8,Z857)))</f>
        <v>36.0644495648805</v>
      </c>
      <c r="V857" s="16" t="str">
        <f aca="false">IF(D857="","",IF(S857&gt;0.0000001,"Sim","Não"))</f>
        <v>Não</v>
      </c>
      <c r="W857" s="16" t="n">
        <f aca="false">IF(D857="","",U857-(H857+E857-Q857-O857-T857))</f>
        <v>0</v>
      </c>
      <c r="X857" s="16" t="n">
        <f aca="false">IF(W857="","",ABS(W857))</f>
        <v>0</v>
      </c>
      <c r="Y857" s="16" t="n">
        <f aca="false">IF(U857="","",IF($B$8=0,0,U857/$B$8*100))</f>
        <v>76.3753696842027</v>
      </c>
      <c r="Z857" s="18" t="n">
        <f aca="false">IF(D857="","",MAX(0,IF(P857&gt;=0,P857,IF(K857+P857&gt;=0,0,P857+K857))))</f>
        <v>36.0644495648805</v>
      </c>
      <c r="AA857" s="18" t="n">
        <f aca="false">IF(D857="","",IF(H857&lt;=$B$16,1,IF(H857&gt;=$B$17,$B$21,MATCH(H857,Aux_CAV!$A$2:$A$121,1))))</f>
        <v>13</v>
      </c>
      <c r="AB857" s="18" t="n">
        <f aca="false">IF(D857="","",IF(L857&lt;=$B$16,1,IF(L857&gt;=$B$17,$B$21,MATCH(L857,Aux_CAV!$A$2:$A$121,1))))</f>
        <v>13</v>
      </c>
      <c r="AC857" s="19" t="n">
        <f aca="false">IF(D857="","",COUNT($D$24:D857))</f>
        <v>822</v>
      </c>
    </row>
    <row r="858" customFormat="false" ht="12.75" hidden="false" customHeight="true" outlineLevel="0" collapsed="false">
      <c r="A858" s="14" t="n">
        <f aca="false">IF(D858="","",DATE(B858,C858,1))</f>
        <v>29037</v>
      </c>
      <c r="B858" s="15" t="n">
        <f aca="false" t="array" ref="B858:B858">IF(D858="","",IFERROR(VALUE(INDEX(Vazoes_COLAR!$A$2:$A$200,INT((ROW()-24)/12)+1)),""))</f>
        <v>1979</v>
      </c>
      <c r="C858" s="15" t="n">
        <f aca="false">IF(D858="","",MOD(ROW()-24,12)+1)</f>
        <v>7</v>
      </c>
      <c r="D858" s="16" t="n">
        <f aca="false" t="array" ref="D858: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0.0387881070985087</v>
      </c>
      <c r="E858" s="16" t="n">
        <f aca="false">IF(D858="","",D858*$B$15)</f>
        <v>0.100538773599335</v>
      </c>
      <c r="F858" s="16" t="n">
        <f aca="false" t="array" ref="F858:F858">IF(D858="","",IFERROR(INDEX(Dados_Evap!$C$2:$N$15,MATCH($B$9,Dados_Evap!$A$2:$A$15,0),C858),0))</f>
        <v>224.8</v>
      </c>
      <c r="G858" s="16" t="n">
        <f aca="false">IF(F858="","",F858/1000)</f>
        <v>0.2248</v>
      </c>
      <c r="H858" s="16" t="n">
        <f aca="false">IF(D858="","",MAX(0,MIN($B$8,IFERROR(LOOKUP(2,1/($U$24:U857&lt;&gt;""),$U$24:U857),$B$11))))</f>
        <v>36.0644495648805</v>
      </c>
      <c r="I858" s="16" t="n">
        <f aca="false" t="array" ref="I858: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>5.85619897385206</v>
      </c>
      <c r="J858" s="16" t="n">
        <f aca="false">IF(D858="","",$B$12)</f>
        <v>0.35</v>
      </c>
      <c r="K858" s="16" t="n">
        <f aca="false">IF(J858="","",J858*$B$15)</f>
        <v>0.9072</v>
      </c>
      <c r="L858" s="16" t="n">
        <f aca="false">IF(D858="","",H858+E858-K858-G858*I858)</f>
        <v>33.9413148091579</v>
      </c>
      <c r="M858" s="16" t="n">
        <f aca="false" t="array" ref="M858: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>5.64196182968922</v>
      </c>
      <c r="N858" s="16" t="n">
        <f aca="false">IF(D858="","",(I858+M858)/2)</f>
        <v>5.74908040177064</v>
      </c>
      <c r="O858" s="16" t="n">
        <f aca="false">IF(D858="","",G858*N858)</f>
        <v>1.29239327431804</v>
      </c>
      <c r="P858" s="16" t="n">
        <f aca="false">IF(D858="","",H858+E858-K858-O858)</f>
        <v>33.9653950641618</v>
      </c>
      <c r="Q858" s="16" t="n">
        <f aca="false">IF(D858="","",IF(P858&gt;=0,K858,MAX(0,K858+P858)))</f>
        <v>0.9072</v>
      </c>
      <c r="R858" s="16" t="n">
        <f aca="false">IF(D858="","",Q858/$B$15)</f>
        <v>0.35</v>
      </c>
      <c r="S858" s="16" t="n">
        <f aca="false">IF(D858="","",MAX(0,J858-R858))</f>
        <v>0</v>
      </c>
      <c r="T858" s="16" t="n">
        <f aca="false">IF(D858="","",MAX(0,Z858-$B$8))</f>
        <v>0</v>
      </c>
      <c r="U858" s="16" t="n">
        <f aca="false">IF(D858="","",MAX(0,MIN($B$8,Z858)))</f>
        <v>33.9653950641618</v>
      </c>
      <c r="V858" s="16" t="str">
        <f aca="false">IF(D858="","",IF(S858&gt;0.0000001,"Sim","Não"))</f>
        <v>Não</v>
      </c>
      <c r="W858" s="16" t="n">
        <f aca="false">IF(D858="","",U858-(H858+E858-Q858-O858-T858))</f>
        <v>0</v>
      </c>
      <c r="X858" s="16" t="n">
        <f aca="false">IF(W858="","",ABS(W858))</f>
        <v>0</v>
      </c>
      <c r="Y858" s="16" t="n">
        <f aca="false">IF(U858="","",IF($B$8=0,0,U858/$B$8*100))</f>
        <v>71.9301039054676</v>
      </c>
      <c r="Z858" s="18" t="n">
        <f aca="false">IF(D858="","",MAX(0,IF(P858&gt;=0,P858,IF(K858+P858&gt;=0,0,P858+K858))))</f>
        <v>33.9653950641618</v>
      </c>
      <c r="AA858" s="18" t="n">
        <f aca="false">IF(D858="","",IF(H858&lt;=$B$16,1,IF(H858&gt;=$B$17,$B$21,MATCH(H858,Aux_CAV!$A$2:$A$121,1))))</f>
        <v>13</v>
      </c>
      <c r="AB858" s="18" t="n">
        <f aca="false">IF(D858="","",IF(L858&lt;=$B$16,1,IF(L858&gt;=$B$17,$B$21,MATCH(L858,Aux_CAV!$A$2:$A$121,1))))</f>
        <v>12</v>
      </c>
      <c r="AC858" s="19" t="n">
        <f aca="false">IF(D858="","",COUNT($D$24:D858))</f>
        <v>823</v>
      </c>
    </row>
    <row r="859" customFormat="false" ht="12.75" hidden="false" customHeight="true" outlineLevel="0" collapsed="false">
      <c r="A859" s="14" t="n">
        <f aca="false">IF(D859="","",DATE(B859,C859,1))</f>
        <v>29068</v>
      </c>
      <c r="B859" s="15" t="n">
        <f aca="false" t="array" ref="B859:B859">IF(D859="","",IFERROR(VALUE(INDEX(Vazoes_COLAR!$A$2:$A$200,INT((ROW()-24)/12)+1)),""))</f>
        <v>1979</v>
      </c>
      <c r="C859" s="15" t="n">
        <f aca="false">IF(D859="","",MOD(ROW()-24,12)+1)</f>
        <v>8</v>
      </c>
      <c r="D859" s="16" t="n">
        <f aca="false" t="array" ref="D859: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0.0199948537749653</v>
      </c>
      <c r="E859" s="16" t="n">
        <f aca="false">IF(D859="","",D859*$B$15)</f>
        <v>0.0518266609847101</v>
      </c>
      <c r="F859" s="16" t="n">
        <f aca="false" t="array" ref="F859:F859">IF(D859="","",IFERROR(INDEX(Dados_Evap!$C$2:$N$15,MATCH($B$9,Dados_Evap!$A$2:$A$15,0),C859),0))</f>
        <v>268.7</v>
      </c>
      <c r="G859" s="16" t="n">
        <f aca="false">IF(F859="","",F859/1000)</f>
        <v>0.2687</v>
      </c>
      <c r="H859" s="16" t="n">
        <f aca="false">IF(D859="","",MAX(0,MIN($B$8,IFERROR(LOOKUP(2,1/($U$24:U858&lt;&gt;""),$U$24:U858),$B$11))))</f>
        <v>33.9653950641618</v>
      </c>
      <c r="I859" s="16" t="n">
        <f aca="false" t="array" ref="I859: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>5.64446337074302</v>
      </c>
      <c r="J859" s="16" t="n">
        <f aca="false">IF(D859="","",$B$12)</f>
        <v>0.35</v>
      </c>
      <c r="K859" s="16" t="n">
        <f aca="false">IF(J859="","",J859*$B$15)</f>
        <v>0.9072</v>
      </c>
      <c r="L859" s="16" t="n">
        <f aca="false">IF(D859="","",H859+E859-K859-G859*I859)</f>
        <v>31.5933544174278</v>
      </c>
      <c r="M859" s="16" t="n">
        <f aca="false" t="array" ref="M859: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>5.3980474977328</v>
      </c>
      <c r="N859" s="16" t="n">
        <f aca="false">IF(D859="","",(I859+M859)/2)</f>
        <v>5.52125543423791</v>
      </c>
      <c r="O859" s="16" t="n">
        <f aca="false">IF(D859="","",G859*N859)</f>
        <v>1.48356133517973</v>
      </c>
      <c r="P859" s="16" t="n">
        <f aca="false">IF(D859="","",H859+E859-K859-O859)</f>
        <v>31.6264603899668</v>
      </c>
      <c r="Q859" s="16" t="n">
        <f aca="false">IF(D859="","",IF(P859&gt;=0,K859,MAX(0,K859+P859)))</f>
        <v>0.9072</v>
      </c>
      <c r="R859" s="16" t="n">
        <f aca="false">IF(D859="","",Q859/$B$15)</f>
        <v>0.35</v>
      </c>
      <c r="S859" s="16" t="n">
        <f aca="false">IF(D859="","",MAX(0,J859-R859))</f>
        <v>0</v>
      </c>
      <c r="T859" s="16" t="n">
        <f aca="false">IF(D859="","",MAX(0,Z859-$B$8))</f>
        <v>0</v>
      </c>
      <c r="U859" s="16" t="n">
        <f aca="false">IF(D859="","",MAX(0,MIN($B$8,Z859)))</f>
        <v>31.6264603899668</v>
      </c>
      <c r="V859" s="16" t="str">
        <f aca="false">IF(D859="","",IF(S859&gt;0.0000001,"Sim","Não"))</f>
        <v>Não</v>
      </c>
      <c r="W859" s="16" t="n">
        <f aca="false">IF(D859="","",U859-(H859+E859-Q859-O859-T859))</f>
        <v>0</v>
      </c>
      <c r="X859" s="16" t="n">
        <f aca="false">IF(W859="","",ABS(W859))</f>
        <v>0</v>
      </c>
      <c r="Y859" s="16" t="n">
        <f aca="false">IF(U859="","",IF($B$8=0,0,U859/$B$8*100))</f>
        <v>66.9768326767615</v>
      </c>
      <c r="Z859" s="18" t="n">
        <f aca="false">IF(D859="","",MAX(0,IF(P859&gt;=0,P859,IF(K859+P859&gt;=0,0,P859+K859))))</f>
        <v>31.6264603899668</v>
      </c>
      <c r="AA859" s="18" t="n">
        <f aca="false">IF(D859="","",IF(H859&lt;=$B$16,1,IF(H859&gt;=$B$17,$B$21,MATCH(H859,Aux_CAV!$A$2:$A$121,1))))</f>
        <v>12</v>
      </c>
      <c r="AB859" s="18" t="n">
        <f aca="false">IF(D859="","",IF(L859&lt;=$B$16,1,IF(L859&gt;=$B$17,$B$21,MATCH(L859,Aux_CAV!$A$2:$A$121,1))))</f>
        <v>12</v>
      </c>
      <c r="AC859" s="19" t="n">
        <f aca="false">IF(D859="","",COUNT($D$24:D859))</f>
        <v>824</v>
      </c>
    </row>
    <row r="860" customFormat="false" ht="12.75" hidden="false" customHeight="true" outlineLevel="0" collapsed="false">
      <c r="A860" s="14" t="n">
        <f aca="false">IF(D860="","",DATE(B860,C860,1))</f>
        <v>29099</v>
      </c>
      <c r="B860" s="15" t="n">
        <f aca="false" t="array" ref="B860:B860">IF(D860="","",IFERROR(VALUE(INDEX(Vazoes_COLAR!$A$2:$A$200,INT((ROW()-24)/12)+1)),""))</f>
        <v>1979</v>
      </c>
      <c r="C860" s="15" t="n">
        <f aca="false">IF(D860="","",MOD(ROW()-24,12)+1)</f>
        <v>9</v>
      </c>
      <c r="D860" s="16" t="n">
        <f aca="false" t="array" ref="D860: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0.0782200497679642</v>
      </c>
      <c r="E860" s="16" t="n">
        <f aca="false">IF(D860="","",D860*$B$15)</f>
        <v>0.202746368998563</v>
      </c>
      <c r="F860" s="16" t="n">
        <f aca="false" t="array" ref="F860:F860">IF(D860="","",IFERROR(INDEX(Dados_Evap!$C$2:$N$15,MATCH($B$9,Dados_Evap!$A$2:$A$15,0),C860),0))</f>
        <v>292.8</v>
      </c>
      <c r="G860" s="16" t="n">
        <f aca="false">IF(F860="","",F860/1000)</f>
        <v>0.2928</v>
      </c>
      <c r="H860" s="16" t="n">
        <f aca="false">IF(D860="","",MAX(0,MIN($B$8,IFERROR(LOOKUP(2,1/($U$24:U859&lt;&gt;""),$U$24:U859),$B$11))))</f>
        <v>31.6264603899668</v>
      </c>
      <c r="I860" s="16" t="n">
        <f aca="false" t="array" ref="I860: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>5.40148666187033</v>
      </c>
      <c r="J860" s="16" t="n">
        <f aca="false">IF(D860="","",$B$12)</f>
        <v>0.35</v>
      </c>
      <c r="K860" s="16" t="n">
        <f aca="false">IF(J860="","",J860*$B$15)</f>
        <v>0.9072</v>
      </c>
      <c r="L860" s="16" t="n">
        <f aca="false">IF(D860="","",H860+E860-K860-G860*I860)</f>
        <v>29.3404514643697</v>
      </c>
      <c r="M860" s="16" t="n">
        <f aca="false" t="array" ref="M860: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>5.1640080647452</v>
      </c>
      <c r="N860" s="16" t="n">
        <f aca="false">IF(D860="","",(I860+M860)/2)</f>
        <v>5.28274736330777</v>
      </c>
      <c r="O860" s="16" t="n">
        <f aca="false">IF(D860="","",G860*N860)</f>
        <v>1.54678842797651</v>
      </c>
      <c r="P860" s="16" t="n">
        <f aca="false">IF(D860="","",H860+E860-K860-O860)</f>
        <v>29.3752183309888</v>
      </c>
      <c r="Q860" s="16" t="n">
        <f aca="false">IF(D860="","",IF(P860&gt;=0,K860,MAX(0,K860+P860)))</f>
        <v>0.9072</v>
      </c>
      <c r="R860" s="16" t="n">
        <f aca="false">IF(D860="","",Q860/$B$15)</f>
        <v>0.35</v>
      </c>
      <c r="S860" s="16" t="n">
        <f aca="false">IF(D860="","",MAX(0,J860-R860))</f>
        <v>0</v>
      </c>
      <c r="T860" s="16" t="n">
        <f aca="false">IF(D860="","",MAX(0,Z860-$B$8))</f>
        <v>0</v>
      </c>
      <c r="U860" s="16" t="n">
        <f aca="false">IF(D860="","",MAX(0,MIN($B$8,Z860)))</f>
        <v>29.3752183309888</v>
      </c>
      <c r="V860" s="16" t="str">
        <f aca="false">IF(D860="","",IF(S860&gt;0.0000001,"Sim","Não"))</f>
        <v>Não</v>
      </c>
      <c r="W860" s="16" t="n">
        <f aca="false">IF(D860="","",U860-(H860+E860-Q860-O860-T860))</f>
        <v>0</v>
      </c>
      <c r="X860" s="16" t="n">
        <f aca="false">IF(W860="","",ABS(W860))</f>
        <v>0</v>
      </c>
      <c r="Y860" s="16" t="n">
        <f aca="false">IF(U860="","",IF($B$8=0,0,U860/$B$8*100))</f>
        <v>62.2092721960797</v>
      </c>
      <c r="Z860" s="18" t="n">
        <f aca="false">IF(D860="","",MAX(0,IF(P860&gt;=0,P860,IF(K860+P860&gt;=0,0,P860+K860))))</f>
        <v>29.3752183309888</v>
      </c>
      <c r="AA860" s="18" t="n">
        <f aca="false">IF(D860="","",IF(H860&lt;=$B$16,1,IF(H860&gt;=$B$17,$B$21,MATCH(H860,Aux_CAV!$A$2:$A$121,1))))</f>
        <v>12</v>
      </c>
      <c r="AB860" s="18" t="n">
        <f aca="false">IF(D860="","",IF(L860&lt;=$B$16,1,IF(L860&gt;=$B$17,$B$21,MATCH(L860,Aux_CAV!$A$2:$A$121,1))))</f>
        <v>12</v>
      </c>
      <c r="AC860" s="19" t="n">
        <f aca="false">IF(D860="","",COUNT($D$24:D860))</f>
        <v>825</v>
      </c>
    </row>
    <row r="861" customFormat="false" ht="12.75" hidden="false" customHeight="true" outlineLevel="0" collapsed="false">
      <c r="A861" s="14" t="n">
        <f aca="false">IF(D861="","",DATE(B861,C861,1))</f>
        <v>29129</v>
      </c>
      <c r="B861" s="15" t="n">
        <f aca="false" t="array" ref="B861:B861">IF(D861="","",IFERROR(VALUE(INDEX(Vazoes_COLAR!$A$2:$A$200,INT((ROW()-24)/12)+1)),""))</f>
        <v>1979</v>
      </c>
      <c r="C861" s="15" t="n">
        <f aca="false">IF(D861="","",MOD(ROW()-24,12)+1)</f>
        <v>10</v>
      </c>
      <c r="D861" s="16" t="n">
        <f aca="false" t="array" ref="D861: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0.0203019232474446</v>
      </c>
      <c r="E861" s="16" t="n">
        <f aca="false">IF(D861="","",D861*$B$15)</f>
        <v>0.0526225850573764</v>
      </c>
      <c r="F861" s="16" t="n">
        <f aca="false" t="array" ref="F861:F861">IF(D861="","",IFERROR(INDEX(Dados_Evap!$C$2:$N$15,MATCH($B$9,Dados_Evap!$A$2:$A$15,0),C861),0))</f>
        <v>262.9</v>
      </c>
      <c r="G861" s="16" t="n">
        <f aca="false">IF(F861="","",F861/1000)</f>
        <v>0.2629</v>
      </c>
      <c r="H861" s="16" t="n">
        <f aca="false">IF(D861="","",MAX(0,MIN($B$8,IFERROR(LOOKUP(2,1/($U$24:U860&lt;&gt;""),$U$24:U860),$B$11))))</f>
        <v>29.3752183309888</v>
      </c>
      <c r="I861" s="16" t="n">
        <f aca="false" t="array" ref="I861: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>5.16761976836486</v>
      </c>
      <c r="J861" s="16" t="n">
        <f aca="false">IF(D861="","",$B$12)</f>
        <v>0.35</v>
      </c>
      <c r="K861" s="16" t="n">
        <f aca="false">IF(J861="","",J861*$B$15)</f>
        <v>0.9072</v>
      </c>
      <c r="L861" s="16" t="n">
        <f aca="false">IF(D861="","",H861+E861-K861-G861*I861)</f>
        <v>27.1620736789431</v>
      </c>
      <c r="M861" s="16" t="n">
        <f aca="false" t="array" ref="M861: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>4.93771056664748</v>
      </c>
      <c r="N861" s="16" t="n">
        <f aca="false">IF(D861="","",(I861+M861)/2)</f>
        <v>5.05266516750617</v>
      </c>
      <c r="O861" s="16" t="n">
        <f aca="false">IF(D861="","",G861*N861)</f>
        <v>1.32834567253737</v>
      </c>
      <c r="P861" s="16" t="n">
        <f aca="false">IF(D861="","",H861+E861-K861-O861)</f>
        <v>27.1922952435088</v>
      </c>
      <c r="Q861" s="16" t="n">
        <f aca="false">IF(D861="","",IF(P861&gt;=0,K861,MAX(0,K861+P861)))</f>
        <v>0.9072</v>
      </c>
      <c r="R861" s="16" t="n">
        <f aca="false">IF(D861="","",Q861/$B$15)</f>
        <v>0.35</v>
      </c>
      <c r="S861" s="16" t="n">
        <f aca="false">IF(D861="","",MAX(0,J861-R861))</f>
        <v>0</v>
      </c>
      <c r="T861" s="16" t="n">
        <f aca="false">IF(D861="","",MAX(0,Z861-$B$8))</f>
        <v>0</v>
      </c>
      <c r="U861" s="16" t="n">
        <f aca="false">IF(D861="","",MAX(0,MIN($B$8,Z861)))</f>
        <v>27.1922952435088</v>
      </c>
      <c r="V861" s="16" t="str">
        <f aca="false">IF(D861="","",IF(S861&gt;0.0000001,"Sim","Não"))</f>
        <v>Não</v>
      </c>
      <c r="W861" s="16" t="n">
        <f aca="false">IF(D861="","",U861-(H861+E861-Q861-O861-T861))</f>
        <v>0</v>
      </c>
      <c r="X861" s="16" t="n">
        <f aca="false">IF(W861="","",ABS(W861))</f>
        <v>0</v>
      </c>
      <c r="Y861" s="16" t="n">
        <f aca="false">IF(U861="","",IF($B$8=0,0,U861/$B$8*100))</f>
        <v>57.5863939930301</v>
      </c>
      <c r="Z861" s="18" t="n">
        <f aca="false">IF(D861="","",MAX(0,IF(P861&gt;=0,P861,IF(K861+P861&gt;=0,0,P861+K861))))</f>
        <v>27.1922952435088</v>
      </c>
      <c r="AA861" s="18" t="n">
        <f aca="false">IF(D861="","",IF(H861&lt;=$B$16,1,IF(H861&gt;=$B$17,$B$21,MATCH(H861,Aux_CAV!$A$2:$A$121,1))))</f>
        <v>12</v>
      </c>
      <c r="AB861" s="18" t="n">
        <f aca="false">IF(D861="","",IF(L861&lt;=$B$16,1,IF(L861&gt;=$B$17,$B$21,MATCH(L861,Aux_CAV!$A$2:$A$121,1))))</f>
        <v>12</v>
      </c>
      <c r="AC861" s="19" t="n">
        <f aca="false">IF(D861="","",COUNT($D$24:D861))</f>
        <v>826</v>
      </c>
    </row>
    <row r="862" customFormat="false" ht="12.75" hidden="false" customHeight="true" outlineLevel="0" collapsed="false">
      <c r="A862" s="14" t="n">
        <f aca="false">IF(D862="","",DATE(B862,C862,1))</f>
        <v>29160</v>
      </c>
      <c r="B862" s="15" t="n">
        <f aca="false" t="array" ref="B862:B862">IF(D862="","",IFERROR(VALUE(INDEX(Vazoes_COLAR!$A$2:$A$200,INT((ROW()-24)/12)+1)),""))</f>
        <v>1979</v>
      </c>
      <c r="C862" s="15" t="n">
        <f aca="false">IF(D862="","",MOD(ROW()-24,12)+1)</f>
        <v>11</v>
      </c>
      <c r="D862" s="16" t="n">
        <f aca="false" t="array" ref="D862: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0.0475256593175252</v>
      </c>
      <c r="E862" s="16" t="n">
        <f aca="false">IF(D862="","",D862*$B$15)</f>
        <v>0.123186508951025</v>
      </c>
      <c r="F862" s="16" t="n">
        <f aca="false" t="array" ref="F862:F862">IF(D862="","",IFERROR(INDEX(Dados_Evap!$C$2:$N$15,MATCH($B$9,Dados_Evap!$A$2:$A$15,0),C862),0))</f>
        <v>223.7</v>
      </c>
      <c r="G862" s="16" t="n">
        <f aca="false">IF(F862="","",F862/1000)</f>
        <v>0.2237</v>
      </c>
      <c r="H862" s="16" t="n">
        <f aca="false">IF(D862="","",MAX(0,MIN($B$8,IFERROR(LOOKUP(2,1/($U$24:U861&lt;&gt;""),$U$24:U861),$B$11))))</f>
        <v>27.1922952435088</v>
      </c>
      <c r="I862" s="16" t="n">
        <f aca="false" t="array" ref="I862: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>4.94085008840334</v>
      </c>
      <c r="J862" s="16" t="n">
        <f aca="false">IF(D862="","",$B$12)</f>
        <v>0.35</v>
      </c>
      <c r="K862" s="16" t="n">
        <f aca="false">IF(J862="","",J862*$B$15)</f>
        <v>0.9072</v>
      </c>
      <c r="L862" s="16" t="n">
        <f aca="false">IF(D862="","",H862+E862-K862-G862*I862)</f>
        <v>25.303013587684</v>
      </c>
      <c r="M862" s="16" t="n">
        <f aca="false" t="array" ref="M862: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>4.74458490668174</v>
      </c>
      <c r="N862" s="16" t="n">
        <f aca="false">IF(D862="","",(I862+M862)/2)</f>
        <v>4.84271749754254</v>
      </c>
      <c r="O862" s="16" t="n">
        <f aca="false">IF(D862="","",G862*N862)</f>
        <v>1.08331590420027</v>
      </c>
      <c r="P862" s="16" t="n">
        <f aca="false">IF(D862="","",H862+E862-K862-O862)</f>
        <v>25.3249658482596</v>
      </c>
      <c r="Q862" s="16" t="n">
        <f aca="false">IF(D862="","",IF(P862&gt;=0,K862,MAX(0,K862+P862)))</f>
        <v>0.9072</v>
      </c>
      <c r="R862" s="16" t="n">
        <f aca="false">IF(D862="","",Q862/$B$15)</f>
        <v>0.35</v>
      </c>
      <c r="S862" s="16" t="n">
        <f aca="false">IF(D862="","",MAX(0,J862-R862))</f>
        <v>0</v>
      </c>
      <c r="T862" s="16" t="n">
        <f aca="false">IF(D862="","",MAX(0,Z862-$B$8))</f>
        <v>0</v>
      </c>
      <c r="U862" s="16" t="n">
        <f aca="false">IF(D862="","",MAX(0,MIN($B$8,Z862)))</f>
        <v>25.3249658482596</v>
      </c>
      <c r="V862" s="16" t="str">
        <f aca="false">IF(D862="","",IF(S862&gt;0.0000001,"Sim","Não"))</f>
        <v>Não</v>
      </c>
      <c r="W862" s="16" t="n">
        <f aca="false">IF(D862="","",U862-(H862+E862-Q862-O862-T862))</f>
        <v>0</v>
      </c>
      <c r="X862" s="16" t="n">
        <f aca="false">IF(W862="","",ABS(W862))</f>
        <v>0</v>
      </c>
      <c r="Y862" s="16" t="n">
        <f aca="false">IF(U862="","",IF($B$8=0,0,U862/$B$8*100))</f>
        <v>53.6318632957636</v>
      </c>
      <c r="Z862" s="18" t="n">
        <f aca="false">IF(D862="","",MAX(0,IF(P862&gt;=0,P862,IF(K862+P862&gt;=0,0,P862+K862))))</f>
        <v>25.3249658482596</v>
      </c>
      <c r="AA862" s="18" t="n">
        <f aca="false">IF(D862="","",IF(H862&lt;=$B$16,1,IF(H862&gt;=$B$17,$B$21,MATCH(H862,Aux_CAV!$A$2:$A$121,1))))</f>
        <v>12</v>
      </c>
      <c r="AB862" s="18" t="n">
        <f aca="false">IF(D862="","",IF(L862&lt;=$B$16,1,IF(L862&gt;=$B$17,$B$21,MATCH(L862,Aux_CAV!$A$2:$A$121,1))))</f>
        <v>12</v>
      </c>
      <c r="AC862" s="19" t="n">
        <f aca="false">IF(D862="","",COUNT($D$24:D862))</f>
        <v>827</v>
      </c>
    </row>
    <row r="863" customFormat="false" ht="12.75" hidden="false" customHeight="true" outlineLevel="0" collapsed="false">
      <c r="A863" s="14" t="n">
        <f aca="false">IF(D863="","",DATE(B863,C863,1))</f>
        <v>29190</v>
      </c>
      <c r="B863" s="15" t="n">
        <f aca="false" t="array" ref="B863:B863">IF(D863="","",IFERROR(VALUE(INDEX(Vazoes_COLAR!$A$2:$A$200,INT((ROW()-24)/12)+1)),""))</f>
        <v>1979</v>
      </c>
      <c r="C863" s="15" t="n">
        <f aca="false">IF(D863="","",MOD(ROW()-24,12)+1)</f>
        <v>12</v>
      </c>
      <c r="D863" s="16" t="n">
        <f aca="false" t="array" ref="D863: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0.0122794798633877</v>
      </c>
      <c r="E863" s="16" t="n">
        <f aca="false">IF(D863="","",D863*$B$15)</f>
        <v>0.0318284118059009</v>
      </c>
      <c r="F863" s="16" t="n">
        <f aca="false" t="array" ref="F863:F863">IF(D863="","",IFERROR(INDEX(Dados_Evap!$C$2:$N$15,MATCH($B$9,Dados_Evap!$A$2:$A$15,0),C863),0))</f>
        <v>216.1</v>
      </c>
      <c r="G863" s="16" t="n">
        <f aca="false">IF(F863="","",F863/1000)</f>
        <v>0.2161</v>
      </c>
      <c r="H863" s="16" t="n">
        <f aca="false">IF(D863="","",MAX(0,MIN($B$8,IFERROR(LOOKUP(2,1/($U$24:U862&lt;&gt;""),$U$24:U862),$B$11))))</f>
        <v>25.3249658482596</v>
      </c>
      <c r="I863" s="16" t="n">
        <f aca="false" t="array" ref="I863: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>4.74686538423668</v>
      </c>
      <c r="J863" s="16" t="n">
        <f aca="false">IF(D863="","",$B$12)</f>
        <v>0.35</v>
      </c>
      <c r="K863" s="16" t="n">
        <f aca="false">IF(J863="","",J863*$B$15)</f>
        <v>0.9072</v>
      </c>
      <c r="L863" s="16" t="n">
        <f aca="false">IF(D863="","",H863+E863-K863-G863*I863)</f>
        <v>23.4237966505319</v>
      </c>
      <c r="M863" s="16" t="n">
        <f aca="false" t="array" ref="M863: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>4.53723423384406</v>
      </c>
      <c r="N863" s="16" t="n">
        <f aca="false">IF(D863="","",(I863+M863)/2)</f>
        <v>4.64204980904037</v>
      </c>
      <c r="O863" s="16" t="n">
        <f aca="false">IF(D863="","",G863*N863)</f>
        <v>1.00314696373362</v>
      </c>
      <c r="P863" s="16" t="n">
        <f aca="false">IF(D863="","",H863+E863-K863-O863)</f>
        <v>23.4464472963319</v>
      </c>
      <c r="Q863" s="16" t="n">
        <f aca="false">IF(D863="","",IF(P863&gt;=0,K863,MAX(0,K863+P863)))</f>
        <v>0.9072</v>
      </c>
      <c r="R863" s="16" t="n">
        <f aca="false">IF(D863="","",Q863/$B$15)</f>
        <v>0.35</v>
      </c>
      <c r="S863" s="16" t="n">
        <f aca="false">IF(D863="","",MAX(0,J863-R863))</f>
        <v>0</v>
      </c>
      <c r="T863" s="16" t="n">
        <f aca="false">IF(D863="","",MAX(0,Z863-$B$8))</f>
        <v>0</v>
      </c>
      <c r="U863" s="16" t="n">
        <f aca="false">IF(D863="","",MAX(0,MIN($B$8,Z863)))</f>
        <v>23.4464472963319</v>
      </c>
      <c r="V863" s="16" t="str">
        <f aca="false">IF(D863="","",IF(S863&gt;0.0000001,"Sim","Não"))</f>
        <v>Não</v>
      </c>
      <c r="W863" s="16" t="n">
        <f aca="false">IF(D863="","",U863-(H863+E863-Q863-O863-T863))</f>
        <v>0</v>
      </c>
      <c r="X863" s="16" t="n">
        <f aca="false">IF(W863="","",ABS(W863))</f>
        <v>0</v>
      </c>
      <c r="Y863" s="16" t="n">
        <f aca="false">IF(U863="","",IF($B$8=0,0,U863/$B$8*100))</f>
        <v>49.6536367986698</v>
      </c>
      <c r="Z863" s="18" t="n">
        <f aca="false">IF(D863="","",MAX(0,IF(P863&gt;=0,P863,IF(K863+P863&gt;=0,0,P863+K863))))</f>
        <v>23.4464472963319</v>
      </c>
      <c r="AA863" s="18" t="n">
        <f aca="false">IF(D863="","",IF(H863&lt;=$B$16,1,IF(H863&gt;=$B$17,$B$21,MATCH(H863,Aux_CAV!$A$2:$A$121,1))))</f>
        <v>12</v>
      </c>
      <c r="AB863" s="18" t="n">
        <f aca="false">IF(D863="","",IF(L863&lt;=$B$16,1,IF(L863&gt;=$B$17,$B$21,MATCH(L863,Aux_CAV!$A$2:$A$121,1))))</f>
        <v>11</v>
      </c>
      <c r="AC863" s="19" t="n">
        <f aca="false">IF(D863="","",COUNT($D$24:D863))</f>
        <v>828</v>
      </c>
    </row>
    <row r="864" customFormat="false" ht="12.75" hidden="false" customHeight="true" outlineLevel="0" collapsed="false">
      <c r="A864" s="14" t="n">
        <f aca="false">IF(D864="","",DATE(B864,C864,1))</f>
        <v>29221</v>
      </c>
      <c r="B864" s="15" t="n">
        <f aca="false" t="array" ref="B864:B864">IF(D864="","",IFERROR(VALUE(INDEX(Vazoes_COLAR!$A$2:$A$200,INT((ROW()-24)/12)+1)),""))</f>
        <v>1980</v>
      </c>
      <c r="C864" s="15" t="n">
        <f aca="false">IF(D864="","",MOD(ROW()-24,12)+1)</f>
        <v>1</v>
      </c>
      <c r="D864" s="16" t="n">
        <f aca="false" t="array" ref="D864: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0.2865903888185</v>
      </c>
      <c r="E864" s="16" t="n">
        <f aca="false">IF(D864="","",D864*$B$15)</f>
        <v>0.742842287817552</v>
      </c>
      <c r="F864" s="16" t="n">
        <f aca="false" t="array" ref="F864:F864">IF(D864="","",IFERROR(INDEX(Dados_Evap!$C$2:$N$15,MATCH($B$9,Dados_Evap!$A$2:$A$15,0),C864),0))</f>
        <v>160</v>
      </c>
      <c r="G864" s="16" t="n">
        <f aca="false">IF(F864="","",F864/1000)</f>
        <v>0.16</v>
      </c>
      <c r="H864" s="16" t="n">
        <f aca="false">IF(D864="","",MAX(0,MIN($B$8,IFERROR(LOOKUP(2,1/($U$24:U863&lt;&gt;""),$U$24:U863),$B$11))))</f>
        <v>23.4464472963319</v>
      </c>
      <c r="I864" s="16" t="n">
        <f aca="false" t="array" ref="I864: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>4.53994126224454</v>
      </c>
      <c r="J864" s="16" t="n">
        <f aca="false">IF(D864="","",$B$12)</f>
        <v>0.35</v>
      </c>
      <c r="K864" s="16" t="n">
        <f aca="false">IF(J864="","",J864*$B$15)</f>
        <v>0.9072</v>
      </c>
      <c r="L864" s="16" t="n">
        <f aca="false">IF(D864="","",H864+E864-K864-G864*I864)</f>
        <v>22.5556989821903</v>
      </c>
      <c r="M864" s="16" t="n">
        <f aca="false" t="array" ref="M864: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>4.4334859759203</v>
      </c>
      <c r="N864" s="16" t="n">
        <f aca="false">IF(D864="","",(I864+M864)/2)</f>
        <v>4.48671361908242</v>
      </c>
      <c r="O864" s="16" t="n">
        <f aca="false">IF(D864="","",G864*N864)</f>
        <v>0.717874179053187</v>
      </c>
      <c r="P864" s="16" t="n">
        <f aca="false">IF(D864="","",H864+E864-K864-O864)</f>
        <v>22.5642154050962</v>
      </c>
      <c r="Q864" s="16" t="n">
        <f aca="false">IF(D864="","",IF(P864&gt;=0,K864,MAX(0,K864+P864)))</f>
        <v>0.9072</v>
      </c>
      <c r="R864" s="16" t="n">
        <f aca="false">IF(D864="","",Q864/$B$15)</f>
        <v>0.35</v>
      </c>
      <c r="S864" s="16" t="n">
        <f aca="false">IF(D864="","",MAX(0,J864-R864))</f>
        <v>0</v>
      </c>
      <c r="T864" s="16" t="n">
        <f aca="false">IF(D864="","",MAX(0,Z864-$B$8))</f>
        <v>0</v>
      </c>
      <c r="U864" s="16" t="n">
        <f aca="false">IF(D864="","",MAX(0,MIN($B$8,Z864)))</f>
        <v>22.5642154050962</v>
      </c>
      <c r="V864" s="16" t="str">
        <f aca="false">IF(D864="","",IF(S864&gt;0.0000001,"Sim","Não"))</f>
        <v>Não</v>
      </c>
      <c r="W864" s="16" t="n">
        <f aca="false">IF(D864="","",U864-(H864+E864-Q864-O864-T864))</f>
        <v>0</v>
      </c>
      <c r="X864" s="16" t="n">
        <f aca="false">IF(W864="","",ABS(W864))</f>
        <v>0</v>
      </c>
      <c r="Y864" s="16" t="n">
        <f aca="false">IF(U864="","",IF($B$8=0,0,U864/$B$8*100))</f>
        <v>47.7852931069382</v>
      </c>
      <c r="Z864" s="18" t="n">
        <f aca="false">IF(D864="","",MAX(0,IF(P864&gt;=0,P864,IF(K864+P864&gt;=0,0,P864+K864))))</f>
        <v>22.5642154050962</v>
      </c>
      <c r="AA864" s="18" t="n">
        <f aca="false">IF(D864="","",IF(H864&lt;=$B$16,1,IF(H864&gt;=$B$17,$B$21,MATCH(H864,Aux_CAV!$A$2:$A$121,1))))</f>
        <v>11</v>
      </c>
      <c r="AB864" s="18" t="n">
        <f aca="false">IF(D864="","",IF(L864&lt;=$B$16,1,IF(L864&gt;=$B$17,$B$21,MATCH(L864,Aux_CAV!$A$2:$A$121,1))))</f>
        <v>11</v>
      </c>
      <c r="AC864" s="19" t="n">
        <f aca="false">IF(D864="","",COUNT($D$24:D864))</f>
        <v>829</v>
      </c>
    </row>
    <row r="865" customFormat="false" ht="12.75" hidden="false" customHeight="true" outlineLevel="0" collapsed="false">
      <c r="A865" s="14" t="n">
        <f aca="false">IF(D865="","",DATE(B865,C865,1))</f>
        <v>29252</v>
      </c>
      <c r="B865" s="15" t="n">
        <f aca="false" t="array" ref="B865:B865">IF(D865="","",IFERROR(VALUE(INDEX(Vazoes_COLAR!$A$2:$A$200,INT((ROW()-24)/12)+1)),""))</f>
        <v>1980</v>
      </c>
      <c r="C865" s="15" t="n">
        <f aca="false">IF(D865="","",MOD(ROW()-24,12)+1)</f>
        <v>2</v>
      </c>
      <c r="D865" s="16" t="n">
        <f aca="false" t="array" ref="D865: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2.96416932735546</v>
      </c>
      <c r="E865" s="16" t="n">
        <f aca="false">IF(D865="","",D865*$B$15)</f>
        <v>7.68312689650535</v>
      </c>
      <c r="F865" s="16" t="n">
        <f aca="false" t="array" ref="F865:F865">IF(D865="","",IFERROR(INDEX(Dados_Evap!$C$2:$N$15,MATCH($B$9,Dados_Evap!$A$2:$A$15,0),C865),0))</f>
        <v>124.3</v>
      </c>
      <c r="G865" s="16" t="n">
        <f aca="false">IF(F865="","",F865/1000)</f>
        <v>0.1243</v>
      </c>
      <c r="H865" s="16" t="n">
        <f aca="false">IF(D865="","",MAX(0,MIN($B$8,IFERROR(LOOKUP(2,1/($U$24:U864&lt;&gt;""),$U$24:U864),$B$11))))</f>
        <v>22.5642154050962</v>
      </c>
      <c r="I865" s="16" t="n">
        <f aca="false" t="array" ref="I865: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>4.43450379231638</v>
      </c>
      <c r="J865" s="16" t="n">
        <f aca="false">IF(D865="","",$B$12)</f>
        <v>0.35</v>
      </c>
      <c r="K865" s="16" t="n">
        <f aca="false">IF(J865="","",J865*$B$15)</f>
        <v>0.9072</v>
      </c>
      <c r="L865" s="16" t="n">
        <f aca="false">IF(D865="","",H865+E865-K865-G865*I865)</f>
        <v>28.7889334802167</v>
      </c>
      <c r="M865" s="16" t="n">
        <f aca="false" t="array" ref="M865: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>5.10671444891571</v>
      </c>
      <c r="N865" s="16" t="n">
        <f aca="false">IF(D865="","",(I865+M865)/2)</f>
        <v>4.77060912061604</v>
      </c>
      <c r="O865" s="16" t="n">
        <f aca="false">IF(D865="","",G865*N865)</f>
        <v>0.592986713692574</v>
      </c>
      <c r="P865" s="16" t="n">
        <f aca="false">IF(D865="","",H865+E865-K865-O865)</f>
        <v>28.747155587909</v>
      </c>
      <c r="Q865" s="16" t="n">
        <f aca="false">IF(D865="","",IF(P865&gt;=0,K865,MAX(0,K865+P865)))</f>
        <v>0.9072</v>
      </c>
      <c r="R865" s="16" t="n">
        <f aca="false">IF(D865="","",Q865/$B$15)</f>
        <v>0.35</v>
      </c>
      <c r="S865" s="16" t="n">
        <f aca="false">IF(D865="","",MAX(0,J865-R865))</f>
        <v>0</v>
      </c>
      <c r="T865" s="16" t="n">
        <f aca="false">IF(D865="","",MAX(0,Z865-$B$8))</f>
        <v>0</v>
      </c>
      <c r="U865" s="16" t="n">
        <f aca="false">IF(D865="","",MAX(0,MIN($B$8,Z865)))</f>
        <v>28.747155587909</v>
      </c>
      <c r="V865" s="16" t="str">
        <f aca="false">IF(D865="","",IF(S865&gt;0.0000001,"Sim","Não"))</f>
        <v>Não</v>
      </c>
      <c r="W865" s="16" t="n">
        <f aca="false">IF(D865="","",U865-(H865+E865-Q865-O865-T865))</f>
        <v>0</v>
      </c>
      <c r="X865" s="16" t="n">
        <f aca="false">IF(W865="","",ABS(W865))</f>
        <v>0</v>
      </c>
      <c r="Y865" s="16" t="n">
        <f aca="false">IF(U865="","",IF($B$8=0,0,U865/$B$8*100))</f>
        <v>60.879194383543</v>
      </c>
      <c r="Z865" s="18" t="n">
        <f aca="false">IF(D865="","",MAX(0,IF(P865&gt;=0,P865,IF(K865+P865&gt;=0,0,P865+K865))))</f>
        <v>28.747155587909</v>
      </c>
      <c r="AA865" s="18" t="n">
        <f aca="false">IF(D865="","",IF(H865&lt;=$B$16,1,IF(H865&gt;=$B$17,$B$21,MATCH(H865,Aux_CAV!$A$2:$A$121,1))))</f>
        <v>11</v>
      </c>
      <c r="AB865" s="18" t="n">
        <f aca="false">IF(D865="","",IF(L865&lt;=$B$16,1,IF(L865&gt;=$B$17,$B$21,MATCH(L865,Aux_CAV!$A$2:$A$121,1))))</f>
        <v>12</v>
      </c>
      <c r="AC865" s="19" t="n">
        <f aca="false">IF(D865="","",COUNT($D$24:D865))</f>
        <v>830</v>
      </c>
    </row>
    <row r="866" customFormat="false" ht="12.75" hidden="false" customHeight="true" outlineLevel="0" collapsed="false">
      <c r="A866" s="14" t="n">
        <f aca="false">IF(D866="","",DATE(B866,C866,1))</f>
        <v>29281</v>
      </c>
      <c r="B866" s="15" t="n">
        <f aca="false" t="array" ref="B866:B866">IF(D866="","",IFERROR(VALUE(INDEX(Vazoes_COLAR!$A$2:$A$200,INT((ROW()-24)/12)+1)),""))</f>
        <v>1980</v>
      </c>
      <c r="C866" s="15" t="n">
        <f aca="false">IF(D866="","",MOD(ROW()-24,12)+1)</f>
        <v>3</v>
      </c>
      <c r="D866" s="16" t="n">
        <f aca="false" t="array" ref="D866: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3.14854249733133</v>
      </c>
      <c r="E866" s="16" t="n">
        <f aca="false">IF(D866="","",D866*$B$15)</f>
        <v>8.16102215308281</v>
      </c>
      <c r="F866" s="16" t="n">
        <f aca="false" t="array" ref="F866:F866">IF(D866="","",IFERROR(INDEX(Dados_Evap!$C$2:$N$15,MATCH($B$9,Dados_Evap!$A$2:$A$15,0),C866),0))</f>
        <v>107.7</v>
      </c>
      <c r="G866" s="16" t="n">
        <f aca="false">IF(F866="","",F866/1000)</f>
        <v>0.1077</v>
      </c>
      <c r="H866" s="16" t="n">
        <f aca="false">IF(D866="","",MAX(0,MIN($B$8,IFERROR(LOOKUP(2,1/($U$24:U865&lt;&gt;""),$U$24:U865),$B$11))))</f>
        <v>28.747155587909</v>
      </c>
      <c r="I866" s="16" t="n">
        <f aca="false" t="array" ref="I866: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>5.10237441544297</v>
      </c>
      <c r="J866" s="16" t="n">
        <f aca="false">IF(D866="","",$B$12)</f>
        <v>0.35</v>
      </c>
      <c r="K866" s="16" t="n">
        <f aca="false">IF(J866="","",J866*$B$15)</f>
        <v>0.9072</v>
      </c>
      <c r="L866" s="16" t="n">
        <f aca="false">IF(D866="","",H866+E866-K866-G866*I866)</f>
        <v>35.4514520164486</v>
      </c>
      <c r="M866" s="16" t="n">
        <f aca="false" t="array" ref="M866: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>5.79499560227121</v>
      </c>
      <c r="N866" s="16" t="n">
        <f aca="false">IF(D866="","",(I866+M866)/2)</f>
        <v>5.44868500885709</v>
      </c>
      <c r="O866" s="16" t="n">
        <f aca="false">IF(D866="","",G866*N866)</f>
        <v>0.586823375453909</v>
      </c>
      <c r="P866" s="16" t="n">
        <f aca="false">IF(D866="","",H866+E866-K866-O866)</f>
        <v>35.4141543655379</v>
      </c>
      <c r="Q866" s="16" t="n">
        <f aca="false">IF(D866="","",IF(P866&gt;=0,K866,MAX(0,K866+P866)))</f>
        <v>0.9072</v>
      </c>
      <c r="R866" s="16" t="n">
        <f aca="false">IF(D866="","",Q866/$B$15)</f>
        <v>0.35</v>
      </c>
      <c r="S866" s="16" t="n">
        <f aca="false">IF(D866="","",MAX(0,J866-R866))</f>
        <v>0</v>
      </c>
      <c r="T866" s="16" t="n">
        <f aca="false">IF(D866="","",MAX(0,Z866-$B$8))</f>
        <v>0</v>
      </c>
      <c r="U866" s="16" t="n">
        <f aca="false">IF(D866="","",MAX(0,MIN($B$8,Z866)))</f>
        <v>35.4141543655379</v>
      </c>
      <c r="V866" s="16" t="str">
        <f aca="false">IF(D866="","",IF(S866&gt;0.0000001,"Sim","Não"))</f>
        <v>Não</v>
      </c>
      <c r="W866" s="16" t="n">
        <f aca="false">IF(D866="","",U866-(H866+E866-Q866-O866-T866))</f>
        <v>0</v>
      </c>
      <c r="X866" s="16" t="n">
        <f aca="false">IF(W866="","",ABS(W866))</f>
        <v>0</v>
      </c>
      <c r="Y866" s="16" t="n">
        <f aca="false">IF(U866="","",IF($B$8=0,0,U866/$B$8*100))</f>
        <v>74.9982091603937</v>
      </c>
      <c r="Z866" s="18" t="n">
        <f aca="false">IF(D866="","",MAX(0,IF(P866&gt;=0,P866,IF(K866+P866&gt;=0,0,P866+K866))))</f>
        <v>35.4141543655379</v>
      </c>
      <c r="AA866" s="18" t="n">
        <f aca="false">IF(D866="","",IF(H866&lt;=$B$16,1,IF(H866&gt;=$B$17,$B$21,MATCH(H866,Aux_CAV!$A$2:$A$121,1))))</f>
        <v>12</v>
      </c>
      <c r="AB866" s="18" t="n">
        <f aca="false">IF(D866="","",IF(L866&lt;=$B$16,1,IF(L866&gt;=$B$17,$B$21,MATCH(L866,Aux_CAV!$A$2:$A$121,1))))</f>
        <v>13</v>
      </c>
      <c r="AC866" s="19" t="n">
        <f aca="false">IF(D866="","",COUNT($D$24:D866))</f>
        <v>831</v>
      </c>
    </row>
    <row r="867" customFormat="false" ht="12.75" hidden="false" customHeight="true" outlineLevel="0" collapsed="false">
      <c r="A867" s="14" t="n">
        <f aca="false">IF(D867="","",DATE(B867,C867,1))</f>
        <v>29312</v>
      </c>
      <c r="B867" s="15" t="n">
        <f aca="false" t="array" ref="B867:B867">IF(D867="","",IFERROR(VALUE(INDEX(Vazoes_COLAR!$A$2:$A$200,INT((ROW()-24)/12)+1)),""))</f>
        <v>1980</v>
      </c>
      <c r="C867" s="15" t="n">
        <f aca="false">IF(D867="","",MOD(ROW()-24,12)+1)</f>
        <v>4</v>
      </c>
      <c r="D867" s="16" t="n">
        <f aca="false" t="array" ref="D867: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0.534657156156005</v>
      </c>
      <c r="E867" s="16" t="n">
        <f aca="false">IF(D867="","",D867*$B$15)</f>
        <v>1.38583134875637</v>
      </c>
      <c r="F867" s="16" t="n">
        <f aca="false" t="array" ref="F867:F867">IF(D867="","",IFERROR(INDEX(Dados_Evap!$C$2:$N$15,MATCH($B$9,Dados_Evap!$A$2:$A$15,0),C867),0))</f>
        <v>100.5</v>
      </c>
      <c r="G867" s="16" t="n">
        <f aca="false">IF(F867="","",F867/1000)</f>
        <v>0.1005</v>
      </c>
      <c r="H867" s="16" t="n">
        <f aca="false">IF(D867="","",MAX(0,MIN($B$8,IFERROR(LOOKUP(2,1/($U$24:U866&lt;&gt;""),$U$24:U866),$B$11))))</f>
        <v>35.4141543655379</v>
      </c>
      <c r="I867" s="16" t="n">
        <f aca="false" t="array" ref="I867: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>5.79127170159066</v>
      </c>
      <c r="J867" s="16" t="n">
        <f aca="false">IF(D867="","",$B$12)</f>
        <v>0.35</v>
      </c>
      <c r="K867" s="16" t="n">
        <f aca="false">IF(J867="","",J867*$B$15)</f>
        <v>0.9072</v>
      </c>
      <c r="L867" s="16" t="n">
        <f aca="false">IF(D867="","",H867+E867-K867-G867*I867)</f>
        <v>35.3107629082844</v>
      </c>
      <c r="M867" s="16" t="n">
        <f aca="false" t="array" ref="M867: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>5.78094881238374</v>
      </c>
      <c r="N867" s="16" t="n">
        <f aca="false">IF(D867="","",(I867+M867)/2)</f>
        <v>5.7861102569872</v>
      </c>
      <c r="O867" s="16" t="n">
        <f aca="false">IF(D867="","",G867*N867)</f>
        <v>0.581504080827214</v>
      </c>
      <c r="P867" s="16" t="n">
        <f aca="false">IF(D867="","",H867+E867-K867-O867)</f>
        <v>35.311281633467</v>
      </c>
      <c r="Q867" s="16" t="n">
        <f aca="false">IF(D867="","",IF(P867&gt;=0,K867,MAX(0,K867+P867)))</f>
        <v>0.9072</v>
      </c>
      <c r="R867" s="16" t="n">
        <f aca="false">IF(D867="","",Q867/$B$15)</f>
        <v>0.35</v>
      </c>
      <c r="S867" s="16" t="n">
        <f aca="false">IF(D867="","",MAX(0,J867-R867))</f>
        <v>0</v>
      </c>
      <c r="T867" s="16" t="n">
        <f aca="false">IF(D867="","",MAX(0,Z867-$B$8))</f>
        <v>0</v>
      </c>
      <c r="U867" s="16" t="n">
        <f aca="false">IF(D867="","",MAX(0,MIN($B$8,Z867)))</f>
        <v>35.311281633467</v>
      </c>
      <c r="V867" s="16" t="str">
        <f aca="false">IF(D867="","",IF(S867&gt;0.0000001,"Sim","Não"))</f>
        <v>Não</v>
      </c>
      <c r="W867" s="16" t="n">
        <f aca="false">IF(D867="","",U867-(H867+E867-Q867-O867-T867))</f>
        <v>0</v>
      </c>
      <c r="X867" s="16" t="n">
        <f aca="false">IF(W867="","",ABS(W867))</f>
        <v>0</v>
      </c>
      <c r="Y867" s="16" t="n">
        <f aca="false">IF(U867="","",IF($B$8=0,0,U867/$B$8*100))</f>
        <v>74.7803507697311</v>
      </c>
      <c r="Z867" s="18" t="n">
        <f aca="false">IF(D867="","",MAX(0,IF(P867&gt;=0,P867,IF(K867+P867&gt;=0,0,P867+K867))))</f>
        <v>35.311281633467</v>
      </c>
      <c r="AA867" s="18" t="n">
        <f aca="false">IF(D867="","",IF(H867&lt;=$B$16,1,IF(H867&gt;=$B$17,$B$21,MATCH(H867,Aux_CAV!$A$2:$A$121,1))))</f>
        <v>13</v>
      </c>
      <c r="AB867" s="18" t="n">
        <f aca="false">IF(D867="","",IF(L867&lt;=$B$16,1,IF(L867&gt;=$B$17,$B$21,MATCH(L867,Aux_CAV!$A$2:$A$121,1))))</f>
        <v>13</v>
      </c>
      <c r="AC867" s="19" t="n">
        <f aca="false">IF(D867="","",COUNT($D$24:D867))</f>
        <v>832</v>
      </c>
    </row>
    <row r="868" customFormat="false" ht="12.75" hidden="false" customHeight="true" outlineLevel="0" collapsed="false">
      <c r="A868" s="14" t="n">
        <f aca="false">IF(D868="","",DATE(B868,C868,1))</f>
        <v>29342</v>
      </c>
      <c r="B868" s="15" t="n">
        <f aca="false" t="array" ref="B868:B868">IF(D868="","",IFERROR(VALUE(INDEX(Vazoes_COLAR!$A$2:$A$200,INT((ROW()-24)/12)+1)),""))</f>
        <v>1980</v>
      </c>
      <c r="C868" s="15" t="n">
        <f aca="false">IF(D868="","",MOD(ROW()-24,12)+1)</f>
        <v>5</v>
      </c>
      <c r="D868" s="16" t="n">
        <f aca="false" t="array" ref="D868: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0.26872915584143</v>
      </c>
      <c r="E868" s="16" t="n">
        <f aca="false">IF(D868="","",D868*$B$15)</f>
        <v>0.696545971940987</v>
      </c>
      <c r="F868" s="16" t="n">
        <f aca="false" t="array" ref="F868:F868">IF(D868="","",IFERROR(INDEX(Dados_Evap!$C$2:$N$15,MATCH($B$9,Dados_Evap!$A$2:$A$15,0),C868),0))</f>
        <v>145.8</v>
      </c>
      <c r="G868" s="16" t="n">
        <f aca="false">IF(F868="","",F868/1000)</f>
        <v>0.1458</v>
      </c>
      <c r="H868" s="16" t="n">
        <f aca="false">IF(D868="","",MAX(0,MIN($B$8,IFERROR(LOOKUP(2,1/($U$24:U867&lt;&gt;""),$U$24:U867),$B$11))))</f>
        <v>35.311281633467</v>
      </c>
      <c r="I868" s="16" t="n">
        <f aca="false" t="array" ref="I868: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>5.78100060334144</v>
      </c>
      <c r="J868" s="16" t="n">
        <f aca="false">IF(D868="","",$B$12)</f>
        <v>0.35</v>
      </c>
      <c r="K868" s="16" t="n">
        <f aca="false">IF(J868="","",J868*$B$15)</f>
        <v>0.9072</v>
      </c>
      <c r="L868" s="16" t="n">
        <f aca="false">IF(D868="","",H868+E868-K868-G868*I868)</f>
        <v>34.2577577174408</v>
      </c>
      <c r="M868" s="16" t="n">
        <f aca="false" t="array" ref="M868: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>5.6748350250157</v>
      </c>
      <c r="N868" s="16" t="n">
        <f aca="false">IF(D868="","",(I868+M868)/2)</f>
        <v>5.72791781417857</v>
      </c>
      <c r="O868" s="16" t="n">
        <f aca="false">IF(D868="","",G868*N868)</f>
        <v>0.835130417307236</v>
      </c>
      <c r="P868" s="16" t="n">
        <f aca="false">IF(D868="","",H868+E868-K868-O868)</f>
        <v>34.2654971881008</v>
      </c>
      <c r="Q868" s="16" t="n">
        <f aca="false">IF(D868="","",IF(P868&gt;=0,K868,MAX(0,K868+P868)))</f>
        <v>0.9072</v>
      </c>
      <c r="R868" s="16" t="n">
        <f aca="false">IF(D868="","",Q868/$B$15)</f>
        <v>0.35</v>
      </c>
      <c r="S868" s="16" t="n">
        <f aca="false">IF(D868="","",MAX(0,J868-R868))</f>
        <v>0</v>
      </c>
      <c r="T868" s="16" t="n">
        <f aca="false">IF(D868="","",MAX(0,Z868-$B$8))</f>
        <v>0</v>
      </c>
      <c r="U868" s="16" t="n">
        <f aca="false">IF(D868="","",MAX(0,MIN($B$8,Z868)))</f>
        <v>34.2654971881008</v>
      </c>
      <c r="V868" s="16" t="str">
        <f aca="false">IF(D868="","",IF(S868&gt;0.0000001,"Sim","Não"))</f>
        <v>Não</v>
      </c>
      <c r="W868" s="16" t="n">
        <f aca="false">IF(D868="","",U868-(H868+E868-Q868-O868-T868))</f>
        <v>0</v>
      </c>
      <c r="X868" s="16" t="n">
        <f aca="false">IF(W868="","",ABS(W868))</f>
        <v>0</v>
      </c>
      <c r="Y868" s="16" t="n">
        <f aca="false">IF(U868="","",IF($B$8=0,0,U868/$B$8*100))</f>
        <v>72.5656441933519</v>
      </c>
      <c r="Z868" s="18" t="n">
        <f aca="false">IF(D868="","",MAX(0,IF(P868&gt;=0,P868,IF(K868+P868&gt;=0,0,P868+K868))))</f>
        <v>34.2654971881008</v>
      </c>
      <c r="AA868" s="18" t="n">
        <f aca="false">IF(D868="","",IF(H868&lt;=$B$16,1,IF(H868&gt;=$B$17,$B$21,MATCH(H868,Aux_CAV!$A$2:$A$121,1))))</f>
        <v>13</v>
      </c>
      <c r="AB868" s="18" t="n">
        <f aca="false">IF(D868="","",IF(L868&lt;=$B$16,1,IF(L868&gt;=$B$17,$B$21,MATCH(L868,Aux_CAV!$A$2:$A$121,1))))</f>
        <v>12</v>
      </c>
      <c r="AC868" s="19" t="n">
        <f aca="false">IF(D868="","",COUNT($D$24:D868))</f>
        <v>833</v>
      </c>
    </row>
    <row r="869" customFormat="false" ht="12.75" hidden="false" customHeight="true" outlineLevel="0" collapsed="false">
      <c r="A869" s="14" t="n">
        <f aca="false">IF(D869="","",DATE(B869,C869,1))</f>
        <v>29373</v>
      </c>
      <c r="B869" s="15" t="n">
        <f aca="false" t="array" ref="B869:B869">IF(D869="","",IFERROR(VALUE(INDEX(Vazoes_COLAR!$A$2:$A$200,INT((ROW()-24)/12)+1)),""))</f>
        <v>1980</v>
      </c>
      <c r="C869" s="15" t="n">
        <f aca="false">IF(D869="","",MOD(ROW()-24,12)+1)</f>
        <v>6</v>
      </c>
      <c r="D869" s="16" t="n">
        <f aca="false" t="array" ref="D869: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0.144029888856219</v>
      </c>
      <c r="E869" s="16" t="n">
        <f aca="false">IF(D869="","",D869*$B$15)</f>
        <v>0.37332547191532</v>
      </c>
      <c r="F869" s="16" t="n">
        <f aca="false" t="array" ref="F869:F869">IF(D869="","",IFERROR(INDEX(Dados_Evap!$C$2:$N$15,MATCH($B$9,Dados_Evap!$A$2:$A$15,0),C869),0))</f>
        <v>161.3</v>
      </c>
      <c r="G869" s="16" t="n">
        <f aca="false">IF(F869="","",F869/1000)</f>
        <v>0.1613</v>
      </c>
      <c r="H869" s="16" t="n">
        <f aca="false">IF(D869="","",MAX(0,MIN($B$8,IFERROR(LOOKUP(2,1/($U$24:U868&lt;&gt;""),$U$24:U868),$B$11))))</f>
        <v>34.2654971881008</v>
      </c>
      <c r="I869" s="16" t="n">
        <f aca="false" t="array" ref="I869: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>5.67563902827843</v>
      </c>
      <c r="J869" s="16" t="n">
        <f aca="false">IF(D869="","",$B$12)</f>
        <v>0.35</v>
      </c>
      <c r="K869" s="16" t="n">
        <f aca="false">IF(J869="","",J869*$B$15)</f>
        <v>0.9072</v>
      </c>
      <c r="L869" s="16" t="n">
        <f aca="false">IF(D869="","",H869+E869-K869-G869*I869)</f>
        <v>32.8161420847548</v>
      </c>
      <c r="M869" s="16" t="n">
        <f aca="false" t="array" ref="M869: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>5.52507495443569</v>
      </c>
      <c r="N869" s="16" t="n">
        <f aca="false">IF(D869="","",(I869+M869)/2)</f>
        <v>5.60035699135706</v>
      </c>
      <c r="O869" s="16" t="n">
        <f aca="false">IF(D869="","",G869*N869)</f>
        <v>0.903337582705894</v>
      </c>
      <c r="P869" s="16" t="n">
        <f aca="false">IF(D869="","",H869+E869-K869-O869)</f>
        <v>32.8282850773102</v>
      </c>
      <c r="Q869" s="16" t="n">
        <f aca="false">IF(D869="","",IF(P869&gt;=0,K869,MAX(0,K869+P869)))</f>
        <v>0.9072</v>
      </c>
      <c r="R869" s="16" t="n">
        <f aca="false">IF(D869="","",Q869/$B$15)</f>
        <v>0.35</v>
      </c>
      <c r="S869" s="16" t="n">
        <f aca="false">IF(D869="","",MAX(0,J869-R869))</f>
        <v>0</v>
      </c>
      <c r="T869" s="16" t="n">
        <f aca="false">IF(D869="","",MAX(0,Z869-$B$8))</f>
        <v>0</v>
      </c>
      <c r="U869" s="16" t="n">
        <f aca="false">IF(D869="","",MAX(0,MIN($B$8,Z869)))</f>
        <v>32.8282850773102</v>
      </c>
      <c r="V869" s="16" t="str">
        <f aca="false">IF(D869="","",IF(S869&gt;0.0000001,"Sim","Não"))</f>
        <v>Não</v>
      </c>
      <c r="W869" s="16" t="n">
        <f aca="false">IF(D869="","",U869-(H869+E869-Q869-O869-T869))</f>
        <v>0</v>
      </c>
      <c r="X869" s="16" t="n">
        <f aca="false">IF(W869="","",ABS(W869))</f>
        <v>0</v>
      </c>
      <c r="Y869" s="16" t="n">
        <f aca="false">IF(U869="","",IF($B$8=0,0,U869/$B$8*100))</f>
        <v>69.5219929633846</v>
      </c>
      <c r="Z869" s="18" t="n">
        <f aca="false">IF(D869="","",MAX(0,IF(P869&gt;=0,P869,IF(K869+P869&gt;=0,0,P869+K869))))</f>
        <v>32.8282850773102</v>
      </c>
      <c r="AA869" s="18" t="n">
        <f aca="false">IF(D869="","",IF(H869&lt;=$B$16,1,IF(H869&gt;=$B$17,$B$21,MATCH(H869,Aux_CAV!$A$2:$A$121,1))))</f>
        <v>12</v>
      </c>
      <c r="AB869" s="18" t="n">
        <f aca="false">IF(D869="","",IF(L869&lt;=$B$16,1,IF(L869&gt;=$B$17,$B$21,MATCH(L869,Aux_CAV!$A$2:$A$121,1))))</f>
        <v>12</v>
      </c>
      <c r="AC869" s="19" t="n">
        <f aca="false">IF(D869="","",COUNT($D$24:D869))</f>
        <v>834</v>
      </c>
    </row>
    <row r="870" customFormat="false" ht="12.75" hidden="false" customHeight="true" outlineLevel="0" collapsed="false">
      <c r="A870" s="14" t="n">
        <f aca="false">IF(D870="","",DATE(B870,C870,1))</f>
        <v>29403</v>
      </c>
      <c r="B870" s="15" t="n">
        <f aca="false" t="array" ref="B870:B870">IF(D870="","",IFERROR(VALUE(INDEX(Vazoes_COLAR!$A$2:$A$200,INT((ROW()-24)/12)+1)),""))</f>
        <v>1980</v>
      </c>
      <c r="C870" s="15" t="n">
        <f aca="false">IF(D870="","",MOD(ROW()-24,12)+1)</f>
        <v>7</v>
      </c>
      <c r="D870" s="16" t="n">
        <f aca="false" t="array" ref="D870: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0.0418046749818956</v>
      </c>
      <c r="E870" s="16" t="n">
        <f aca="false">IF(D870="","",D870*$B$15)</f>
        <v>0.108357717553073</v>
      </c>
      <c r="F870" s="16" t="n">
        <f aca="false" t="array" ref="F870:F870">IF(D870="","",IFERROR(INDEX(Dados_Evap!$C$2:$N$15,MATCH($B$9,Dados_Evap!$A$2:$A$15,0),C870),0))</f>
        <v>224.8</v>
      </c>
      <c r="G870" s="16" t="n">
        <f aca="false">IF(F870="","",F870/1000)</f>
        <v>0.2248</v>
      </c>
      <c r="H870" s="16" t="n">
        <f aca="false">IF(D870="","",MAX(0,MIN($B$8,IFERROR(LOOKUP(2,1/($U$24:U869&lt;&gt;""),$U$24:U869),$B$11))))</f>
        <v>32.8282850773102</v>
      </c>
      <c r="I870" s="16" t="n">
        <f aca="false" t="array" ref="I870: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>5.52633641094388</v>
      </c>
      <c r="J870" s="16" t="n">
        <f aca="false">IF(D870="","",$B$12)</f>
        <v>0.35</v>
      </c>
      <c r="K870" s="16" t="n">
        <f aca="false">IF(J870="","",J870*$B$15)</f>
        <v>0.9072</v>
      </c>
      <c r="L870" s="16" t="n">
        <f aca="false">IF(D870="","",H870+E870-K870-G870*I870)</f>
        <v>30.7871223696831</v>
      </c>
      <c r="M870" s="16" t="n">
        <f aca="false" t="array" ref="M870: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>5.31429329471465</v>
      </c>
      <c r="N870" s="16" t="n">
        <f aca="false">IF(D870="","",(I870+M870)/2)</f>
        <v>5.42031485282926</v>
      </c>
      <c r="O870" s="16" t="n">
        <f aca="false">IF(D870="","",G870*N870)</f>
        <v>1.21848677891602</v>
      </c>
      <c r="P870" s="16" t="n">
        <f aca="false">IF(D870="","",H870+E870-K870-O870)</f>
        <v>30.8109560159473</v>
      </c>
      <c r="Q870" s="16" t="n">
        <f aca="false">IF(D870="","",IF(P870&gt;=0,K870,MAX(0,K870+P870)))</f>
        <v>0.9072</v>
      </c>
      <c r="R870" s="16" t="n">
        <f aca="false">IF(D870="","",Q870/$B$15)</f>
        <v>0.35</v>
      </c>
      <c r="S870" s="16" t="n">
        <f aca="false">IF(D870="","",MAX(0,J870-R870))</f>
        <v>0</v>
      </c>
      <c r="T870" s="16" t="n">
        <f aca="false">IF(D870="","",MAX(0,Z870-$B$8))</f>
        <v>0</v>
      </c>
      <c r="U870" s="16" t="n">
        <f aca="false">IF(D870="","",MAX(0,MIN($B$8,Z870)))</f>
        <v>30.8109560159473</v>
      </c>
      <c r="V870" s="16" t="str">
        <f aca="false">IF(D870="","",IF(S870&gt;0.0000001,"Sim","Não"))</f>
        <v>Não</v>
      </c>
      <c r="W870" s="16" t="n">
        <f aca="false">IF(D870="","",U870-(H870+E870-Q870-O870-T870))</f>
        <v>0</v>
      </c>
      <c r="X870" s="16" t="n">
        <f aca="false">IF(W870="","",ABS(W870))</f>
        <v>0</v>
      </c>
      <c r="Y870" s="16" t="n">
        <f aca="false">IF(U870="","",IF($B$8=0,0,U870/$B$8*100))</f>
        <v>65.2498009655808</v>
      </c>
      <c r="Z870" s="18" t="n">
        <f aca="false">IF(D870="","",MAX(0,IF(P870&gt;=0,P870,IF(K870+P870&gt;=0,0,P870+K870))))</f>
        <v>30.8109560159473</v>
      </c>
      <c r="AA870" s="18" t="n">
        <f aca="false">IF(D870="","",IF(H870&lt;=$B$16,1,IF(H870&gt;=$B$17,$B$21,MATCH(H870,Aux_CAV!$A$2:$A$121,1))))</f>
        <v>12</v>
      </c>
      <c r="AB870" s="18" t="n">
        <f aca="false">IF(D870="","",IF(L870&lt;=$B$16,1,IF(L870&gt;=$B$17,$B$21,MATCH(L870,Aux_CAV!$A$2:$A$121,1))))</f>
        <v>12</v>
      </c>
      <c r="AC870" s="19" t="n">
        <f aca="false">IF(D870="","",COUNT($D$24:D870))</f>
        <v>835</v>
      </c>
    </row>
    <row r="871" customFormat="false" ht="12.75" hidden="false" customHeight="true" outlineLevel="0" collapsed="false">
      <c r="A871" s="14" t="n">
        <f aca="false">IF(D871="","",DATE(B871,C871,1))</f>
        <v>29434</v>
      </c>
      <c r="B871" s="15" t="n">
        <f aca="false" t="array" ref="B871:B871">IF(D871="","",IFERROR(VALUE(INDEX(Vazoes_COLAR!$A$2:$A$200,INT((ROW()-24)/12)+1)),""))</f>
        <v>1980</v>
      </c>
      <c r="C871" s="15" t="n">
        <f aca="false">IF(D871="","",MOD(ROW()-24,12)+1)</f>
        <v>8</v>
      </c>
      <c r="D871" s="16" t="n">
        <f aca="false" t="array" ref="D871: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0.0146115326619228</v>
      </c>
      <c r="E871" s="16" t="n">
        <f aca="false">IF(D871="","",D871*$B$15)</f>
        <v>0.0378730926597039</v>
      </c>
      <c r="F871" s="16" t="n">
        <f aca="false" t="array" ref="F871:F871">IF(D871="","",IFERROR(INDEX(Dados_Evap!$C$2:$N$15,MATCH($B$9,Dados_Evap!$A$2:$A$15,0),C871),0))</f>
        <v>268.7</v>
      </c>
      <c r="G871" s="16" t="n">
        <f aca="false">IF(F871="","",F871/1000)</f>
        <v>0.2687</v>
      </c>
      <c r="H871" s="16" t="n">
        <f aca="false">IF(D871="","",MAX(0,MIN($B$8,IFERROR(LOOKUP(2,1/($U$24:U870&lt;&gt;""),$U$24:U870),$B$11))))</f>
        <v>30.8109560159473</v>
      </c>
      <c r="I871" s="16" t="n">
        <f aca="false" t="array" ref="I871: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>5.31676921719064</v>
      </c>
      <c r="J871" s="16" t="n">
        <f aca="false">IF(D871="","",$B$12)</f>
        <v>0.35</v>
      </c>
      <c r="K871" s="16" t="n">
        <f aca="false">IF(J871="","",J871*$B$15)</f>
        <v>0.9072</v>
      </c>
      <c r="L871" s="16" t="n">
        <f aca="false">IF(D871="","",H871+E871-K871-G871*I871)</f>
        <v>28.5130132199478</v>
      </c>
      <c r="M871" s="16" t="n">
        <f aca="false" t="array" ref="M871: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>5.0780508878975</v>
      </c>
      <c r="N871" s="16" t="n">
        <f aca="false">IF(D871="","",(I871+M871)/2)</f>
        <v>5.19741005254407</v>
      </c>
      <c r="O871" s="16" t="n">
        <f aca="false">IF(D871="","",G871*N871)</f>
        <v>1.39654408111859</v>
      </c>
      <c r="P871" s="16" t="n">
        <f aca="false">IF(D871="","",H871+E871-K871-O871)</f>
        <v>28.5450850274884</v>
      </c>
      <c r="Q871" s="16" t="n">
        <f aca="false">IF(D871="","",IF(P871&gt;=0,K871,MAX(0,K871+P871)))</f>
        <v>0.9072</v>
      </c>
      <c r="R871" s="16" t="n">
        <f aca="false">IF(D871="","",Q871/$B$15)</f>
        <v>0.35</v>
      </c>
      <c r="S871" s="16" t="n">
        <f aca="false">IF(D871="","",MAX(0,J871-R871))</f>
        <v>0</v>
      </c>
      <c r="T871" s="16" t="n">
        <f aca="false">IF(D871="","",MAX(0,Z871-$B$8))</f>
        <v>0</v>
      </c>
      <c r="U871" s="16" t="n">
        <f aca="false">IF(D871="","",MAX(0,MIN($B$8,Z871)))</f>
        <v>28.5450850274884</v>
      </c>
      <c r="V871" s="16" t="str">
        <f aca="false">IF(D871="","",IF(S871&gt;0.0000001,"Sim","Não"))</f>
        <v>Não</v>
      </c>
      <c r="W871" s="16" t="n">
        <f aca="false">IF(D871="","",U871-(H871+E871-Q871-O871-T871))</f>
        <v>0</v>
      </c>
      <c r="X871" s="16" t="n">
        <f aca="false">IF(W871="","",ABS(W871))</f>
        <v>0</v>
      </c>
      <c r="Y871" s="16" t="n">
        <f aca="false">IF(U871="","",IF($B$8=0,0,U871/$B$8*100))</f>
        <v>60.4512601175103</v>
      </c>
      <c r="Z871" s="18" t="n">
        <f aca="false">IF(D871="","",MAX(0,IF(P871&gt;=0,P871,IF(K871+P871&gt;=0,0,P871+K871))))</f>
        <v>28.5450850274884</v>
      </c>
      <c r="AA871" s="18" t="n">
        <f aca="false">IF(D871="","",IF(H871&lt;=$B$16,1,IF(H871&gt;=$B$17,$B$21,MATCH(H871,Aux_CAV!$A$2:$A$121,1))))</f>
        <v>12</v>
      </c>
      <c r="AB871" s="18" t="n">
        <f aca="false">IF(D871="","",IF(L871&lt;=$B$16,1,IF(L871&gt;=$B$17,$B$21,MATCH(L871,Aux_CAV!$A$2:$A$121,1))))</f>
        <v>12</v>
      </c>
      <c r="AC871" s="19" t="n">
        <f aca="false">IF(D871="","",COUNT($D$24:D871))</f>
        <v>836</v>
      </c>
    </row>
    <row r="872" customFormat="false" ht="12.75" hidden="false" customHeight="true" outlineLevel="0" collapsed="false">
      <c r="A872" s="14" t="n">
        <f aca="false">IF(D872="","",DATE(B872,C872,1))</f>
        <v>29465</v>
      </c>
      <c r="B872" s="15" t="n">
        <f aca="false" t="array" ref="B872:B872">IF(D872="","",IFERROR(VALUE(INDEX(Vazoes_COLAR!$A$2:$A$200,INT((ROW()-24)/12)+1)),""))</f>
        <v>1980</v>
      </c>
      <c r="C872" s="15" t="n">
        <f aca="false">IF(D872="","",MOD(ROW()-24,12)+1)</f>
        <v>9</v>
      </c>
      <c r="D872" s="16" t="n">
        <f aca="false" t="array" ref="D872: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0.0159407776262671</v>
      </c>
      <c r="E872" s="16" t="n">
        <f aca="false">IF(D872="","",D872*$B$15)</f>
        <v>0.0413184956072843</v>
      </c>
      <c r="F872" s="16" t="n">
        <f aca="false" t="array" ref="F872:F872">IF(D872="","",IFERROR(INDEX(Dados_Evap!$C$2:$N$15,MATCH($B$9,Dados_Evap!$A$2:$A$15,0),C872),0))</f>
        <v>292.8</v>
      </c>
      <c r="G872" s="16" t="n">
        <f aca="false">IF(F872="","",F872/1000)</f>
        <v>0.2928</v>
      </c>
      <c r="H872" s="16" t="n">
        <f aca="false">IF(D872="","",MAX(0,MIN($B$8,IFERROR(LOOKUP(2,1/($U$24:U871&lt;&gt;""),$U$24:U871),$B$11))))</f>
        <v>28.5450850274884</v>
      </c>
      <c r="I872" s="16" t="n">
        <f aca="false" t="array" ref="I872: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>5.08138261936044</v>
      </c>
      <c r="J872" s="16" t="n">
        <f aca="false">IF(D872="","",$B$12)</f>
        <v>0.35</v>
      </c>
      <c r="K872" s="16" t="n">
        <f aca="false">IF(J872="","",J872*$B$15)</f>
        <v>0.9072</v>
      </c>
      <c r="L872" s="16" t="n">
        <f aca="false">IF(D872="","",H872+E872-K872-G872*I872)</f>
        <v>26.1913746921469</v>
      </c>
      <c r="M872" s="16" t="n">
        <f aca="false" t="array" ref="M872: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>4.83687096316478</v>
      </c>
      <c r="N872" s="16" t="n">
        <f aca="false">IF(D872="","",(I872+M872)/2)</f>
        <v>4.95912679126261</v>
      </c>
      <c r="O872" s="16" t="n">
        <f aca="false">IF(D872="","",G872*N872)</f>
        <v>1.45203232448169</v>
      </c>
      <c r="P872" s="16" t="n">
        <f aca="false">IF(D872="","",H872+E872-K872-O872)</f>
        <v>26.227171198614</v>
      </c>
      <c r="Q872" s="16" t="n">
        <f aca="false">IF(D872="","",IF(P872&gt;=0,K872,MAX(0,K872+P872)))</f>
        <v>0.9072</v>
      </c>
      <c r="R872" s="16" t="n">
        <f aca="false">IF(D872="","",Q872/$B$15)</f>
        <v>0.35</v>
      </c>
      <c r="S872" s="16" t="n">
        <f aca="false">IF(D872="","",MAX(0,J872-R872))</f>
        <v>0</v>
      </c>
      <c r="T872" s="16" t="n">
        <f aca="false">IF(D872="","",MAX(0,Z872-$B$8))</f>
        <v>0</v>
      </c>
      <c r="U872" s="16" t="n">
        <f aca="false">IF(D872="","",MAX(0,MIN($B$8,Z872)))</f>
        <v>26.227171198614</v>
      </c>
      <c r="V872" s="16" t="str">
        <f aca="false">IF(D872="","",IF(S872&gt;0.0000001,"Sim","Não"))</f>
        <v>Não</v>
      </c>
      <c r="W872" s="16" t="n">
        <f aca="false">IF(D872="","",U872-(H872+E872-Q872-O872-T872))</f>
        <v>0</v>
      </c>
      <c r="X872" s="16" t="n">
        <f aca="false">IF(W872="","",ABS(W872))</f>
        <v>0</v>
      </c>
      <c r="Y872" s="16" t="n">
        <f aca="false">IF(U872="","",IF($B$8=0,0,U872/$B$8*100))</f>
        <v>55.5425057149809</v>
      </c>
      <c r="Z872" s="18" t="n">
        <f aca="false">IF(D872="","",MAX(0,IF(P872&gt;=0,P872,IF(K872+P872&gt;=0,0,P872+K872))))</f>
        <v>26.227171198614</v>
      </c>
      <c r="AA872" s="18" t="n">
        <f aca="false">IF(D872="","",IF(H872&lt;=$B$16,1,IF(H872&gt;=$B$17,$B$21,MATCH(H872,Aux_CAV!$A$2:$A$121,1))))</f>
        <v>12</v>
      </c>
      <c r="AB872" s="18" t="n">
        <f aca="false">IF(D872="","",IF(L872&lt;=$B$16,1,IF(L872&gt;=$B$17,$B$21,MATCH(L872,Aux_CAV!$A$2:$A$121,1))))</f>
        <v>12</v>
      </c>
      <c r="AC872" s="19" t="n">
        <f aca="false">IF(D872="","",COUNT($D$24:D872))</f>
        <v>837</v>
      </c>
    </row>
    <row r="873" customFormat="false" ht="12.75" hidden="false" customHeight="true" outlineLevel="0" collapsed="false">
      <c r="A873" s="14" t="n">
        <f aca="false">IF(D873="","",DATE(B873,C873,1))</f>
        <v>29495</v>
      </c>
      <c r="B873" s="15" t="n">
        <f aca="false" t="array" ref="B873:B873">IF(D873="","",IFERROR(VALUE(INDEX(Vazoes_COLAR!$A$2:$A$200,INT((ROW()-24)/12)+1)),""))</f>
        <v>1980</v>
      </c>
      <c r="C873" s="15" t="n">
        <f aca="false">IF(D873="","",MOD(ROW()-24,12)+1)</f>
        <v>10</v>
      </c>
      <c r="D873" s="16" t="n">
        <f aca="false" t="array" ref="D873: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0.0286633290154923</v>
      </c>
      <c r="E873" s="16" t="n">
        <f aca="false">IF(D873="","",D873*$B$15)</f>
        <v>0.074295348808156</v>
      </c>
      <c r="F873" s="16" t="n">
        <f aca="false" t="array" ref="F873:F873">IF(D873="","",IFERROR(INDEX(Dados_Evap!$C$2:$N$15,MATCH($B$9,Dados_Evap!$A$2:$A$15,0),C873),0))</f>
        <v>262.9</v>
      </c>
      <c r="G873" s="16" t="n">
        <f aca="false">IF(F873="","",F873/1000)</f>
        <v>0.2629</v>
      </c>
      <c r="H873" s="16" t="n">
        <f aca="false">IF(D873="","",MAX(0,MIN($B$8,IFERROR(LOOKUP(2,1/($U$24:U872&lt;&gt;""),$U$24:U872),$B$11))))</f>
        <v>26.227171198614</v>
      </c>
      <c r="I873" s="16" t="n">
        <f aca="false" t="array" ref="I873: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>4.84058962937058</v>
      </c>
      <c r="J873" s="16" t="n">
        <f aca="false">IF(D873="","",$B$12)</f>
        <v>0.35</v>
      </c>
      <c r="K873" s="16" t="n">
        <f aca="false">IF(J873="","",J873*$B$15)</f>
        <v>0.9072</v>
      </c>
      <c r="L873" s="16" t="n">
        <f aca="false">IF(D873="","",H873+E873-K873-G873*I873)</f>
        <v>24.1216755338606</v>
      </c>
      <c r="M873" s="16" t="n">
        <f aca="false" t="array" ref="M873: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>4.62063927111993</v>
      </c>
      <c r="N873" s="16" t="n">
        <f aca="false">IF(D873="","",(I873+M873)/2)</f>
        <v>4.73061445024525</v>
      </c>
      <c r="O873" s="16" t="n">
        <f aca="false">IF(D873="","",G873*N873)</f>
        <v>1.24367853896948</v>
      </c>
      <c r="P873" s="16" t="n">
        <f aca="false">IF(D873="","",H873+E873-K873-O873)</f>
        <v>24.1505880084527</v>
      </c>
      <c r="Q873" s="16" t="n">
        <f aca="false">IF(D873="","",IF(P873&gt;=0,K873,MAX(0,K873+P873)))</f>
        <v>0.9072</v>
      </c>
      <c r="R873" s="16" t="n">
        <f aca="false">IF(D873="","",Q873/$B$15)</f>
        <v>0.35</v>
      </c>
      <c r="S873" s="16" t="n">
        <f aca="false">IF(D873="","",MAX(0,J873-R873))</f>
        <v>0</v>
      </c>
      <c r="T873" s="16" t="n">
        <f aca="false">IF(D873="","",MAX(0,Z873-$B$8))</f>
        <v>0</v>
      </c>
      <c r="U873" s="16" t="n">
        <f aca="false">IF(D873="","",MAX(0,MIN($B$8,Z873)))</f>
        <v>24.1505880084527</v>
      </c>
      <c r="V873" s="16" t="str">
        <f aca="false">IF(D873="","",IF(S873&gt;0.0000001,"Sim","Não"))</f>
        <v>Não</v>
      </c>
      <c r="W873" s="16" t="n">
        <f aca="false">IF(D873="","",U873-(H873+E873-Q873-O873-T873))</f>
        <v>0</v>
      </c>
      <c r="X873" s="16" t="n">
        <f aca="false">IF(W873="","",ABS(W873))</f>
        <v>0</v>
      </c>
      <c r="Y873" s="16" t="n">
        <f aca="false">IF(U873="","",IF($B$8=0,0,U873/$B$8*100))</f>
        <v>51.1448284804165</v>
      </c>
      <c r="Z873" s="18" t="n">
        <f aca="false">IF(D873="","",MAX(0,IF(P873&gt;=0,P873,IF(K873+P873&gt;=0,0,P873+K873))))</f>
        <v>24.1505880084527</v>
      </c>
      <c r="AA873" s="18" t="n">
        <f aca="false">IF(D873="","",IF(H873&lt;=$B$16,1,IF(H873&gt;=$B$17,$B$21,MATCH(H873,Aux_CAV!$A$2:$A$121,1))))</f>
        <v>12</v>
      </c>
      <c r="AB873" s="18" t="n">
        <f aca="false">IF(D873="","",IF(L873&lt;=$B$16,1,IF(L873&gt;=$B$17,$B$21,MATCH(L873,Aux_CAV!$A$2:$A$121,1))))</f>
        <v>11</v>
      </c>
      <c r="AC873" s="19" t="n">
        <f aca="false">IF(D873="","",COUNT($D$24:D873))</f>
        <v>838</v>
      </c>
    </row>
    <row r="874" customFormat="false" ht="12.75" hidden="false" customHeight="true" outlineLevel="0" collapsed="false">
      <c r="A874" s="14" t="n">
        <f aca="false">IF(D874="","",DATE(B874,C874,1))</f>
        <v>29526</v>
      </c>
      <c r="B874" s="15" t="n">
        <f aca="false" t="array" ref="B874:B874">IF(D874="","",IFERROR(VALUE(INDEX(Vazoes_COLAR!$A$2:$A$200,INT((ROW()-24)/12)+1)),""))</f>
        <v>1980</v>
      </c>
      <c r="C874" s="15" t="n">
        <f aca="false">IF(D874="","",MOD(ROW()-24,12)+1)</f>
        <v>11</v>
      </c>
      <c r="D874" s="16" t="n">
        <f aca="false" t="array" ref="D874: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0.104684952543569</v>
      </c>
      <c r="E874" s="16" t="n">
        <f aca="false">IF(D874="","",D874*$B$15)</f>
        <v>0.271343396992931</v>
      </c>
      <c r="F874" s="16" t="n">
        <f aca="false" t="array" ref="F874:F874">IF(D874="","",IFERROR(INDEX(Dados_Evap!$C$2:$N$15,MATCH($B$9,Dados_Evap!$A$2:$A$15,0),C874),0))</f>
        <v>223.7</v>
      </c>
      <c r="G874" s="16" t="n">
        <f aca="false">IF(F874="","",F874/1000)</f>
        <v>0.2237</v>
      </c>
      <c r="H874" s="16" t="n">
        <f aca="false">IF(D874="","",MAX(0,MIN($B$8,IFERROR(LOOKUP(2,1/($U$24:U873&lt;&gt;""),$U$24:U873),$B$11))))</f>
        <v>24.1505880084527</v>
      </c>
      <c r="I874" s="16" t="n">
        <f aca="false" t="array" ref="I874: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>4.62409466442483</v>
      </c>
      <c r="J874" s="16" t="n">
        <f aca="false">IF(D874="","",$B$12)</f>
        <v>0.35</v>
      </c>
      <c r="K874" s="16" t="n">
        <f aca="false">IF(J874="","",J874*$B$15)</f>
        <v>0.9072</v>
      </c>
      <c r="L874" s="16" t="n">
        <f aca="false">IF(D874="","",H874+E874-K874-G874*I874)</f>
        <v>22.4803214290138</v>
      </c>
      <c r="M874" s="16" t="n">
        <f aca="false" t="array" ref="M874: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>4.42447743907725</v>
      </c>
      <c r="N874" s="16" t="n">
        <f aca="false">IF(D874="","",(I874+M874)/2)</f>
        <v>4.52428605175104</v>
      </c>
      <c r="O874" s="16" t="n">
        <f aca="false">IF(D874="","",G874*N874)</f>
        <v>1.01208278977671</v>
      </c>
      <c r="P874" s="16" t="n">
        <f aca="false">IF(D874="","",H874+E874-K874-O874)</f>
        <v>22.5026486156689</v>
      </c>
      <c r="Q874" s="16" t="n">
        <f aca="false">IF(D874="","",IF(P874&gt;=0,K874,MAX(0,K874+P874)))</f>
        <v>0.9072</v>
      </c>
      <c r="R874" s="16" t="n">
        <f aca="false">IF(D874="","",Q874/$B$15)</f>
        <v>0.35</v>
      </c>
      <c r="S874" s="16" t="n">
        <f aca="false">IF(D874="","",MAX(0,J874-R874))</f>
        <v>0</v>
      </c>
      <c r="T874" s="16" t="n">
        <f aca="false">IF(D874="","",MAX(0,Z874-$B$8))</f>
        <v>0</v>
      </c>
      <c r="U874" s="16" t="n">
        <f aca="false">IF(D874="","",MAX(0,MIN($B$8,Z874)))</f>
        <v>22.5026486156689</v>
      </c>
      <c r="V874" s="16" t="str">
        <f aca="false">IF(D874="","",IF(S874&gt;0.0000001,"Sim","Não"))</f>
        <v>Não</v>
      </c>
      <c r="W874" s="16" t="n">
        <f aca="false">IF(D874="","",U874-(H874+E874-Q874-O874-T874))</f>
        <v>0</v>
      </c>
      <c r="X874" s="16" t="n">
        <f aca="false">IF(W874="","",ABS(W874))</f>
        <v>0</v>
      </c>
      <c r="Y874" s="16" t="n">
        <f aca="false">IF(U874="","",IF($B$8=0,0,U874/$B$8*100))</f>
        <v>47.6549102407219</v>
      </c>
      <c r="Z874" s="18" t="n">
        <f aca="false">IF(D874="","",MAX(0,IF(P874&gt;=0,P874,IF(K874+P874&gt;=0,0,P874+K874))))</f>
        <v>22.5026486156689</v>
      </c>
      <c r="AA874" s="18" t="n">
        <f aca="false">IF(D874="","",IF(H874&lt;=$B$16,1,IF(H874&gt;=$B$17,$B$21,MATCH(H874,Aux_CAV!$A$2:$A$121,1))))</f>
        <v>11</v>
      </c>
      <c r="AB874" s="18" t="n">
        <f aca="false">IF(D874="","",IF(L874&lt;=$B$16,1,IF(L874&gt;=$B$17,$B$21,MATCH(L874,Aux_CAV!$A$2:$A$121,1))))</f>
        <v>11</v>
      </c>
      <c r="AC874" s="19" t="n">
        <f aca="false">IF(D874="","",COUNT($D$24:D874))</f>
        <v>839</v>
      </c>
    </row>
    <row r="875" customFormat="false" ht="12.75" hidden="false" customHeight="true" outlineLevel="0" collapsed="false">
      <c r="A875" s="14" t="n">
        <f aca="false">IF(D875="","",DATE(B875,C875,1))</f>
        <v>29556</v>
      </c>
      <c r="B875" s="15" t="n">
        <f aca="false" t="array" ref="B875:B875">IF(D875="","",IFERROR(VALUE(INDEX(Vazoes_COLAR!$A$2:$A$200,INT((ROW()-24)/12)+1)),""))</f>
        <v>1980</v>
      </c>
      <c r="C875" s="15" t="n">
        <f aca="false">IF(D875="","",MOD(ROW()-24,12)+1)</f>
        <v>12</v>
      </c>
      <c r="D875" s="16" t="n">
        <f aca="false" t="array" ref="D875: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0.091433089027976</v>
      </c>
      <c r="E875" s="16" t="n">
        <f aca="false">IF(D875="","",D875*$B$15)</f>
        <v>0.236994566760514</v>
      </c>
      <c r="F875" s="16" t="n">
        <f aca="false" t="array" ref="F875:F875">IF(D875="","",IFERROR(INDEX(Dados_Evap!$C$2:$N$15,MATCH($B$9,Dados_Evap!$A$2:$A$15,0),C875),0))</f>
        <v>216.1</v>
      </c>
      <c r="G875" s="16" t="n">
        <f aca="false">IF(F875="","",F875/1000)</f>
        <v>0.2161</v>
      </c>
      <c r="H875" s="16" t="n">
        <f aca="false">IF(D875="","",MAX(0,MIN($B$8,IFERROR(LOOKUP(2,1/($U$24:U874&lt;&gt;""),$U$24:U874),$B$11))))</f>
        <v>22.5026486156689</v>
      </c>
      <c r="I875" s="16" t="n">
        <f aca="false" t="array" ref="I875: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>4.42714581016531</v>
      </c>
      <c r="J875" s="16" t="n">
        <f aca="false">IF(D875="","",$B$12)</f>
        <v>0.35</v>
      </c>
      <c r="K875" s="16" t="n">
        <f aca="false">IF(J875="","",J875*$B$15)</f>
        <v>0.9072</v>
      </c>
      <c r="L875" s="16" t="n">
        <f aca="false">IF(D875="","",H875+E875-K875-G875*I875)</f>
        <v>20.8757369728527</v>
      </c>
      <c r="M875" s="16" t="n">
        <f aca="false" t="array" ref="M875: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>4.23271002846288</v>
      </c>
      <c r="N875" s="16" t="n">
        <f aca="false">IF(D875="","",(I875+M875)/2)</f>
        <v>4.32992791931409</v>
      </c>
      <c r="O875" s="16" t="n">
        <f aca="false">IF(D875="","",G875*N875)</f>
        <v>0.935697423363775</v>
      </c>
      <c r="P875" s="16" t="n">
        <f aca="false">IF(D875="","",H875+E875-K875-O875)</f>
        <v>20.8967457590656</v>
      </c>
      <c r="Q875" s="16" t="n">
        <f aca="false">IF(D875="","",IF(P875&gt;=0,K875,MAX(0,K875+P875)))</f>
        <v>0.9072</v>
      </c>
      <c r="R875" s="16" t="n">
        <f aca="false">IF(D875="","",Q875/$B$15)</f>
        <v>0.35</v>
      </c>
      <c r="S875" s="16" t="n">
        <f aca="false">IF(D875="","",MAX(0,J875-R875))</f>
        <v>0</v>
      </c>
      <c r="T875" s="16" t="n">
        <f aca="false">IF(D875="","",MAX(0,Z875-$B$8))</f>
        <v>0</v>
      </c>
      <c r="U875" s="16" t="n">
        <f aca="false">IF(D875="","",MAX(0,MIN($B$8,Z875)))</f>
        <v>20.8967457590656</v>
      </c>
      <c r="V875" s="16" t="str">
        <f aca="false">IF(D875="","",IF(S875&gt;0.0000001,"Sim","Não"))</f>
        <v>Não</v>
      </c>
      <c r="W875" s="16" t="n">
        <f aca="false">IF(D875="","",U875-(H875+E875-Q875-O875-T875))</f>
        <v>0</v>
      </c>
      <c r="X875" s="16" t="n">
        <f aca="false">IF(W875="","",ABS(W875))</f>
        <v>0</v>
      </c>
      <c r="Y875" s="16" t="n">
        <f aca="false">IF(U875="","",IF($B$8=0,0,U875/$B$8*100))</f>
        <v>44.2540147375384</v>
      </c>
      <c r="Z875" s="18" t="n">
        <f aca="false">IF(D875="","",MAX(0,IF(P875&gt;=0,P875,IF(K875+P875&gt;=0,0,P875+K875))))</f>
        <v>20.8967457590656</v>
      </c>
      <c r="AA875" s="18" t="n">
        <f aca="false">IF(D875="","",IF(H875&lt;=$B$16,1,IF(H875&gt;=$B$17,$B$21,MATCH(H875,Aux_CAV!$A$2:$A$121,1))))</f>
        <v>11</v>
      </c>
      <c r="AB875" s="18" t="n">
        <f aca="false">IF(D875="","",IF(L875&lt;=$B$16,1,IF(L875&gt;=$B$17,$B$21,MATCH(L875,Aux_CAV!$A$2:$A$121,1))))</f>
        <v>11</v>
      </c>
      <c r="AC875" s="19" t="n">
        <f aca="false">IF(D875="","",COUNT($D$24:D875))</f>
        <v>840</v>
      </c>
    </row>
    <row r="876" customFormat="false" ht="12.75" hidden="false" customHeight="true" outlineLevel="0" collapsed="false">
      <c r="A876" s="14" t="n">
        <f aca="false">IF(D876="","",DATE(B876,C876,1))</f>
        <v>29587</v>
      </c>
      <c r="B876" s="15" t="n">
        <f aca="false" t="array" ref="B876:B876">IF(D876="","",IFERROR(VALUE(INDEX(Vazoes_COLAR!$A$2:$A$200,INT((ROW()-24)/12)+1)),""))</f>
        <v>1981</v>
      </c>
      <c r="C876" s="15" t="n">
        <f aca="false">IF(D876="","",MOD(ROW()-24,12)+1)</f>
        <v>1</v>
      </c>
      <c r="D876" s="16" t="n">
        <f aca="false" t="array" ref="D876: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0.170360813605517</v>
      </c>
      <c r="E876" s="16" t="n">
        <f aca="false">IF(D876="","",D876*$B$15)</f>
        <v>0.4415752288655</v>
      </c>
      <c r="F876" s="16" t="n">
        <f aca="false" t="array" ref="F876:F876">IF(D876="","",IFERROR(INDEX(Dados_Evap!$C$2:$N$15,MATCH($B$9,Dados_Evap!$A$2:$A$15,0),C876),0))</f>
        <v>160</v>
      </c>
      <c r="G876" s="16" t="n">
        <f aca="false">IF(F876="","",F876/1000)</f>
        <v>0.16</v>
      </c>
      <c r="H876" s="16" t="n">
        <f aca="false">IF(D876="","",MAX(0,MIN($B$8,IFERROR(LOOKUP(2,1/($U$24:U875&lt;&gt;""),$U$24:U875),$B$11))))</f>
        <v>20.8967457590656</v>
      </c>
      <c r="I876" s="16" t="n">
        <f aca="false" t="array" ref="I876: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>4.23522083462004</v>
      </c>
      <c r="J876" s="16" t="n">
        <f aca="false">IF(D876="","",$B$12)</f>
        <v>0.35</v>
      </c>
      <c r="K876" s="16" t="n">
        <f aca="false">IF(J876="","",J876*$B$15)</f>
        <v>0.9072</v>
      </c>
      <c r="L876" s="16" t="n">
        <f aca="false">IF(D876="","",H876+E876-K876-G876*I876)</f>
        <v>19.7534856543919</v>
      </c>
      <c r="M876" s="16" t="n">
        <f aca="false" t="array" ref="M876: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>4.09858730991513</v>
      </c>
      <c r="N876" s="16" t="n">
        <f aca="false">IF(D876="","",(I876+M876)/2)</f>
        <v>4.16690407226758</v>
      </c>
      <c r="O876" s="16" t="n">
        <f aca="false">IF(D876="","",G876*N876)</f>
        <v>0.666704651562813</v>
      </c>
      <c r="P876" s="16" t="n">
        <f aca="false">IF(D876="","",H876+E876-K876-O876)</f>
        <v>19.7644163363683</v>
      </c>
      <c r="Q876" s="16" t="n">
        <f aca="false">IF(D876="","",IF(P876&gt;=0,K876,MAX(0,K876+P876)))</f>
        <v>0.9072</v>
      </c>
      <c r="R876" s="16" t="n">
        <f aca="false">IF(D876="","",Q876/$B$15)</f>
        <v>0.35</v>
      </c>
      <c r="S876" s="16" t="n">
        <f aca="false">IF(D876="","",MAX(0,J876-R876))</f>
        <v>0</v>
      </c>
      <c r="T876" s="16" t="n">
        <f aca="false">IF(D876="","",MAX(0,Z876-$B$8))</f>
        <v>0</v>
      </c>
      <c r="U876" s="16" t="n">
        <f aca="false">IF(D876="","",MAX(0,MIN($B$8,Z876)))</f>
        <v>19.7644163363683</v>
      </c>
      <c r="V876" s="16" t="str">
        <f aca="false">IF(D876="","",IF(S876&gt;0.0000001,"Sim","Não"))</f>
        <v>Não</v>
      </c>
      <c r="W876" s="16" t="n">
        <f aca="false">IF(D876="","",U876-(H876+E876-Q876-O876-T876))</f>
        <v>0</v>
      </c>
      <c r="X876" s="16" t="n">
        <f aca="false">IF(W876="","",ABS(W876))</f>
        <v>0</v>
      </c>
      <c r="Y876" s="16" t="n">
        <f aca="false">IF(U876="","",IF($B$8=0,0,U876/$B$8*100))</f>
        <v>41.8560278195009</v>
      </c>
      <c r="Z876" s="18" t="n">
        <f aca="false">IF(D876="","",MAX(0,IF(P876&gt;=0,P876,IF(K876+P876&gt;=0,0,P876+K876))))</f>
        <v>19.7644163363683</v>
      </c>
      <c r="AA876" s="18" t="n">
        <f aca="false">IF(D876="","",IF(H876&lt;=$B$16,1,IF(H876&gt;=$B$17,$B$21,MATCH(H876,Aux_CAV!$A$2:$A$121,1))))</f>
        <v>11</v>
      </c>
      <c r="AB876" s="18" t="n">
        <f aca="false">IF(D876="","",IF(L876&lt;=$B$16,1,IF(L876&gt;=$B$17,$B$21,MATCH(L876,Aux_CAV!$A$2:$A$121,1))))</f>
        <v>11</v>
      </c>
      <c r="AC876" s="19" t="n">
        <f aca="false">IF(D876="","",COUNT($D$24:D876))</f>
        <v>841</v>
      </c>
    </row>
    <row r="877" customFormat="false" ht="12.75" hidden="false" customHeight="true" outlineLevel="0" collapsed="false">
      <c r="A877" s="14" t="n">
        <f aca="false">IF(D877="","",DATE(B877,C877,1))</f>
        <v>29618</v>
      </c>
      <c r="B877" s="15" t="n">
        <f aca="false" t="array" ref="B877:B877">IF(D877="","",IFERROR(VALUE(INDEX(Vazoes_COLAR!$A$2:$A$200,INT((ROW()-24)/12)+1)),""))</f>
        <v>1981</v>
      </c>
      <c r="C877" s="15" t="n">
        <f aca="false">IF(D877="","",MOD(ROW()-24,12)+1)</f>
        <v>2</v>
      </c>
      <c r="D877" s="16" t="n">
        <f aca="false" t="array" ref="D877: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0.152165266728411</v>
      </c>
      <c r="E877" s="16" t="n">
        <f aca="false">IF(D877="","",D877*$B$15)</f>
        <v>0.394412371360041</v>
      </c>
      <c r="F877" s="16" t="n">
        <f aca="false" t="array" ref="F877:F877">IF(D877="","",IFERROR(INDEX(Dados_Evap!$C$2:$N$15,MATCH($B$9,Dados_Evap!$A$2:$A$15,0),C877),0))</f>
        <v>124.3</v>
      </c>
      <c r="G877" s="16" t="n">
        <f aca="false">IF(F877="","",F877/1000)</f>
        <v>0.1243</v>
      </c>
      <c r="H877" s="16" t="n">
        <f aca="false">IF(D877="","",MAX(0,MIN($B$8,IFERROR(LOOKUP(2,1/($U$24:U876&lt;&gt;""),$U$24:U876),$B$11))))</f>
        <v>19.7644163363683</v>
      </c>
      <c r="I877" s="16" t="n">
        <f aca="false" t="array" ref="I877: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>4.09989365971231</v>
      </c>
      <c r="J877" s="16" t="n">
        <f aca="false">IF(D877="","",$B$12)</f>
        <v>0.35</v>
      </c>
      <c r="K877" s="16" t="n">
        <f aca="false">IF(J877="","",J877*$B$15)</f>
        <v>0.9072</v>
      </c>
      <c r="L877" s="16" t="n">
        <f aca="false">IF(D877="","",H877+E877-K877-G877*I877)</f>
        <v>18.7420119258261</v>
      </c>
      <c r="M877" s="16" t="n">
        <f aca="false" t="array" ref="M877: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>3.97770386430605</v>
      </c>
      <c r="N877" s="16" t="n">
        <f aca="false">IF(D877="","",(I877+M877)/2)</f>
        <v>4.03879876200918</v>
      </c>
      <c r="O877" s="16" t="n">
        <f aca="false">IF(D877="","",G877*N877)</f>
        <v>0.502022686117741</v>
      </c>
      <c r="P877" s="16" t="n">
        <f aca="false">IF(D877="","",H877+E877-K877-O877)</f>
        <v>18.7496060216106</v>
      </c>
      <c r="Q877" s="16" t="n">
        <f aca="false">IF(D877="","",IF(P877&gt;=0,K877,MAX(0,K877+P877)))</f>
        <v>0.9072</v>
      </c>
      <c r="R877" s="16" t="n">
        <f aca="false">IF(D877="","",Q877/$B$15)</f>
        <v>0.35</v>
      </c>
      <c r="S877" s="16" t="n">
        <f aca="false">IF(D877="","",MAX(0,J877-R877))</f>
        <v>0</v>
      </c>
      <c r="T877" s="16" t="n">
        <f aca="false">IF(D877="","",MAX(0,Z877-$B$8))</f>
        <v>0</v>
      </c>
      <c r="U877" s="16" t="n">
        <f aca="false">IF(D877="","",MAX(0,MIN($B$8,Z877)))</f>
        <v>18.7496060216106</v>
      </c>
      <c r="V877" s="16" t="str">
        <f aca="false">IF(D877="","",IF(S877&gt;0.0000001,"Sim","Não"))</f>
        <v>Não</v>
      </c>
      <c r="W877" s="16" t="n">
        <f aca="false">IF(D877="","",U877-(H877+E877-Q877-O877-T877))</f>
        <v>0</v>
      </c>
      <c r="X877" s="16" t="n">
        <f aca="false">IF(W877="","",ABS(W877))</f>
        <v>0</v>
      </c>
      <c r="Y877" s="16" t="n">
        <f aca="false">IF(U877="","",IF($B$8=0,0,U877/$B$8*100))</f>
        <v>39.7069166065451</v>
      </c>
      <c r="Z877" s="18" t="n">
        <f aca="false">IF(D877="","",MAX(0,IF(P877&gt;=0,P877,IF(K877+P877&gt;=0,0,P877+K877))))</f>
        <v>18.7496060216106</v>
      </c>
      <c r="AA877" s="18" t="n">
        <f aca="false">IF(D877="","",IF(H877&lt;=$B$16,1,IF(H877&gt;=$B$17,$B$21,MATCH(H877,Aux_CAV!$A$2:$A$121,1))))</f>
        <v>11</v>
      </c>
      <c r="AB877" s="18" t="n">
        <f aca="false">IF(D877="","",IF(L877&lt;=$B$16,1,IF(L877&gt;=$B$17,$B$21,MATCH(L877,Aux_CAV!$A$2:$A$121,1))))</f>
        <v>11</v>
      </c>
      <c r="AC877" s="19" t="n">
        <f aca="false">IF(D877="","",COUNT($D$24:D877))</f>
        <v>842</v>
      </c>
    </row>
    <row r="878" customFormat="false" ht="12.75" hidden="false" customHeight="true" outlineLevel="0" collapsed="false">
      <c r="A878" s="14" t="n">
        <f aca="false">IF(D878="","",DATE(B878,C878,1))</f>
        <v>29646</v>
      </c>
      <c r="B878" s="15" t="n">
        <f aca="false" t="array" ref="B878:B878">IF(D878="","",IFERROR(VALUE(INDEX(Vazoes_COLAR!$A$2:$A$200,INT((ROW()-24)/12)+1)),""))</f>
        <v>1981</v>
      </c>
      <c r="C878" s="15" t="n">
        <f aca="false">IF(D878="","",MOD(ROW()-24,12)+1)</f>
        <v>3</v>
      </c>
      <c r="D878" s="16" t="n">
        <f aca="false" t="array" ref="D878: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4.49977324197058</v>
      </c>
      <c r="E878" s="16" t="n">
        <f aca="false">IF(D878="","",D878*$B$15)</f>
        <v>11.6634122431877</v>
      </c>
      <c r="F878" s="16" t="n">
        <f aca="false" t="array" ref="F878:F878">IF(D878="","",IFERROR(INDEX(Dados_Evap!$C$2:$N$15,MATCH($B$9,Dados_Evap!$A$2:$A$15,0),C878),0))</f>
        <v>107.7</v>
      </c>
      <c r="G878" s="16" t="n">
        <f aca="false">IF(F878="","",F878/1000)</f>
        <v>0.1077</v>
      </c>
      <c r="H878" s="16" t="n">
        <f aca="false">IF(D878="","",MAX(0,MIN($B$8,IFERROR(LOOKUP(2,1/($U$24:U877&lt;&gt;""),$U$24:U877),$B$11))))</f>
        <v>18.7496060216106</v>
      </c>
      <c r="I878" s="16" t="n">
        <f aca="false" t="array" ref="I878: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>3.97861145136322</v>
      </c>
      <c r="J878" s="16" t="n">
        <f aca="false">IF(D878="","",$B$12)</f>
        <v>0.35</v>
      </c>
      <c r="K878" s="16" t="n">
        <f aca="false">IF(J878="","",J878*$B$15)</f>
        <v>0.9072</v>
      </c>
      <c r="L878" s="16" t="n">
        <f aca="false">IF(D878="","",H878+E878-K878-G878*I878)</f>
        <v>29.0773218114865</v>
      </c>
      <c r="M878" s="16" t="n">
        <f aca="false" t="array" ref="M878: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>5.13667323672724</v>
      </c>
      <c r="N878" s="16" t="n">
        <f aca="false">IF(D878="","",(I878+M878)/2)</f>
        <v>4.55764234404523</v>
      </c>
      <c r="O878" s="16" t="n">
        <f aca="false">IF(D878="","",G878*N878)</f>
        <v>0.490858080453671</v>
      </c>
      <c r="P878" s="16" t="n">
        <f aca="false">IF(D878="","",H878+E878-K878-O878)</f>
        <v>29.0149601843447</v>
      </c>
      <c r="Q878" s="16" t="n">
        <f aca="false">IF(D878="","",IF(P878&gt;=0,K878,MAX(0,K878+P878)))</f>
        <v>0.9072</v>
      </c>
      <c r="R878" s="16" t="n">
        <f aca="false">IF(D878="","",Q878/$B$15)</f>
        <v>0.35</v>
      </c>
      <c r="S878" s="16" t="n">
        <f aca="false">IF(D878="","",MAX(0,J878-R878))</f>
        <v>0</v>
      </c>
      <c r="T878" s="16" t="n">
        <f aca="false">IF(D878="","",MAX(0,Z878-$B$8))</f>
        <v>0</v>
      </c>
      <c r="U878" s="16" t="n">
        <f aca="false">IF(D878="","",MAX(0,MIN($B$8,Z878)))</f>
        <v>29.0149601843447</v>
      </c>
      <c r="V878" s="16" t="str">
        <f aca="false">IF(D878="","",IF(S878&gt;0.0000001,"Sim","Não"))</f>
        <v>Não</v>
      </c>
      <c r="W878" s="16" t="n">
        <f aca="false">IF(D878="","",U878-(H878+E878-Q878-O878-T878))</f>
        <v>0</v>
      </c>
      <c r="X878" s="16" t="n">
        <f aca="false">IF(W878="","",ABS(W878))</f>
        <v>0</v>
      </c>
      <c r="Y878" s="16" t="n">
        <f aca="false">IF(U878="","",IF($B$8=0,0,U878/$B$8*100))</f>
        <v>61.4463366885741</v>
      </c>
      <c r="Z878" s="18" t="n">
        <f aca="false">IF(D878="","",MAX(0,IF(P878&gt;=0,P878,IF(K878+P878&gt;=0,0,P878+K878))))</f>
        <v>29.0149601843447</v>
      </c>
      <c r="AA878" s="18" t="n">
        <f aca="false">IF(D878="","",IF(H878&lt;=$B$16,1,IF(H878&gt;=$B$17,$B$21,MATCH(H878,Aux_CAV!$A$2:$A$121,1))))</f>
        <v>11</v>
      </c>
      <c r="AB878" s="18" t="n">
        <f aca="false">IF(D878="","",IF(L878&lt;=$B$16,1,IF(L878&gt;=$B$17,$B$21,MATCH(L878,Aux_CAV!$A$2:$A$121,1))))</f>
        <v>12</v>
      </c>
      <c r="AC878" s="19" t="n">
        <f aca="false">IF(D878="","",COUNT($D$24:D878))</f>
        <v>843</v>
      </c>
    </row>
    <row r="879" customFormat="false" ht="12.75" hidden="false" customHeight="true" outlineLevel="0" collapsed="false">
      <c r="A879" s="14" t="n">
        <f aca="false">IF(D879="","",DATE(B879,C879,1))</f>
        <v>29677</v>
      </c>
      <c r="B879" s="15" t="n">
        <f aca="false" t="array" ref="B879:B879">IF(D879="","",IFERROR(VALUE(INDEX(Vazoes_COLAR!$A$2:$A$200,INT((ROW()-24)/12)+1)),""))</f>
        <v>1981</v>
      </c>
      <c r="C879" s="15" t="n">
        <f aca="false">IF(D879="","",MOD(ROW()-24,12)+1)</f>
        <v>4</v>
      </c>
      <c r="D879" s="16" t="n">
        <f aca="false" t="array" ref="D879: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2.57232575600919</v>
      </c>
      <c r="E879" s="16" t="n">
        <f aca="false">IF(D879="","",D879*$B$15)</f>
        <v>6.66746835957582</v>
      </c>
      <c r="F879" s="16" t="n">
        <f aca="false" t="array" ref="F879:F879">IF(D879="","",IFERROR(INDEX(Dados_Evap!$C$2:$N$15,MATCH($B$9,Dados_Evap!$A$2:$A$15,0),C879),0))</f>
        <v>100.5</v>
      </c>
      <c r="G879" s="16" t="n">
        <f aca="false">IF(F879="","",F879/1000)</f>
        <v>0.1005</v>
      </c>
      <c r="H879" s="16" t="n">
        <f aca="false">IF(D879="","",MAX(0,MIN($B$8,IFERROR(LOOKUP(2,1/($U$24:U878&lt;&gt;""),$U$24:U878),$B$11))))</f>
        <v>29.0149601843447</v>
      </c>
      <c r="I879" s="16" t="n">
        <f aca="false" t="array" ref="I879: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>5.13019489293678</v>
      </c>
      <c r="J879" s="16" t="n">
        <f aca="false">IF(D879="","",$B$12)</f>
        <v>0.35</v>
      </c>
      <c r="K879" s="16" t="n">
        <f aca="false">IF(J879="","",J879*$B$15)</f>
        <v>0.9072</v>
      </c>
      <c r="L879" s="16" t="n">
        <f aca="false">IF(D879="","",H879+E879-K879-G879*I879)</f>
        <v>34.2596439571803</v>
      </c>
      <c r="M879" s="16" t="n">
        <f aca="false" t="array" ref="M879: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>5.67503097419252</v>
      </c>
      <c r="N879" s="16" t="n">
        <f aca="false">IF(D879="","",(I879+M879)/2)</f>
        <v>5.40261293356465</v>
      </c>
      <c r="O879" s="16" t="n">
        <f aca="false">IF(D879="","",G879*N879)</f>
        <v>0.542962599823247</v>
      </c>
      <c r="P879" s="16" t="n">
        <f aca="false">IF(D879="","",H879+E879-K879-O879)</f>
        <v>34.2322659440972</v>
      </c>
      <c r="Q879" s="16" t="n">
        <f aca="false">IF(D879="","",IF(P879&gt;=0,K879,MAX(0,K879+P879)))</f>
        <v>0.9072</v>
      </c>
      <c r="R879" s="16" t="n">
        <f aca="false">IF(D879="","",Q879/$B$15)</f>
        <v>0.35</v>
      </c>
      <c r="S879" s="16" t="n">
        <f aca="false">IF(D879="","",MAX(0,J879-R879))</f>
        <v>0</v>
      </c>
      <c r="T879" s="16" t="n">
        <f aca="false">IF(D879="","",MAX(0,Z879-$B$8))</f>
        <v>0</v>
      </c>
      <c r="U879" s="16" t="n">
        <f aca="false">IF(D879="","",MAX(0,MIN($B$8,Z879)))</f>
        <v>34.2322659440972</v>
      </c>
      <c r="V879" s="16" t="str">
        <f aca="false">IF(D879="","",IF(S879&gt;0.0000001,"Sim","Não"))</f>
        <v>Não</v>
      </c>
      <c r="W879" s="16" t="n">
        <f aca="false">IF(D879="","",U879-(H879+E879-Q879-O879-T879))</f>
        <v>0</v>
      </c>
      <c r="X879" s="16" t="n">
        <f aca="false">IF(W879="","",ABS(W879))</f>
        <v>0</v>
      </c>
      <c r="Y879" s="16" t="n">
        <f aca="false">IF(U879="","",IF($B$8=0,0,U879/$B$8*100))</f>
        <v>72.4952688354452</v>
      </c>
      <c r="Z879" s="18" t="n">
        <f aca="false">IF(D879="","",MAX(0,IF(P879&gt;=0,P879,IF(K879+P879&gt;=0,0,P879+K879))))</f>
        <v>34.2322659440972</v>
      </c>
      <c r="AA879" s="18" t="n">
        <f aca="false">IF(D879="","",IF(H879&lt;=$B$16,1,IF(H879&gt;=$B$17,$B$21,MATCH(H879,Aux_CAV!$A$2:$A$121,1))))</f>
        <v>12</v>
      </c>
      <c r="AB879" s="18" t="n">
        <f aca="false">IF(D879="","",IF(L879&lt;=$B$16,1,IF(L879&gt;=$B$17,$B$21,MATCH(L879,Aux_CAV!$A$2:$A$121,1))))</f>
        <v>12</v>
      </c>
      <c r="AC879" s="19" t="n">
        <f aca="false">IF(D879="","",COUNT($D$24:D879))</f>
        <v>844</v>
      </c>
    </row>
    <row r="880" customFormat="false" ht="12.75" hidden="false" customHeight="true" outlineLevel="0" collapsed="false">
      <c r="A880" s="14" t="n">
        <f aca="false">IF(D880="","",DATE(B880,C880,1))</f>
        <v>29707</v>
      </c>
      <c r="B880" s="15" t="n">
        <f aca="false" t="array" ref="B880:B880">IF(D880="","",IFERROR(VALUE(INDEX(Vazoes_COLAR!$A$2:$A$200,INT((ROW()-24)/12)+1)),""))</f>
        <v>1981</v>
      </c>
      <c r="C880" s="15" t="n">
        <f aca="false">IF(D880="","",MOD(ROW()-24,12)+1)</f>
        <v>5</v>
      </c>
      <c r="D880" s="16" t="n">
        <f aca="false" t="array" ref="D880: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0.112589381924453</v>
      </c>
      <c r="E880" s="16" t="n">
        <f aca="false">IF(D880="","",D880*$B$15)</f>
        <v>0.291831677948182</v>
      </c>
      <c r="F880" s="16" t="n">
        <f aca="false" t="array" ref="F880:F880">IF(D880="","",IFERROR(INDEX(Dados_Evap!$C$2:$N$15,MATCH($B$9,Dados_Evap!$A$2:$A$15,0),C880),0))</f>
        <v>145.8</v>
      </c>
      <c r="G880" s="16" t="n">
        <f aca="false">IF(F880="","",F880/1000)</f>
        <v>0.1458</v>
      </c>
      <c r="H880" s="16" t="n">
        <f aca="false">IF(D880="","",MAX(0,MIN($B$8,IFERROR(LOOKUP(2,1/($U$24:U879&lt;&gt;""),$U$24:U879),$B$11))))</f>
        <v>34.2322659440972</v>
      </c>
      <c r="I880" s="16" t="n">
        <f aca="false" t="array" ref="I880: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>5.67218685050331</v>
      </c>
      <c r="J880" s="16" t="n">
        <f aca="false">IF(D880="","",$B$12)</f>
        <v>0.35</v>
      </c>
      <c r="K880" s="16" t="n">
        <f aca="false">IF(J880="","",J880*$B$15)</f>
        <v>0.9072</v>
      </c>
      <c r="L880" s="16" t="n">
        <f aca="false">IF(D880="","",H880+E880-K880-G880*I880)</f>
        <v>32.789892779242</v>
      </c>
      <c r="M880" s="16" t="n">
        <f aca="false" t="array" ref="M880: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>5.52234808483388</v>
      </c>
      <c r="N880" s="16" t="n">
        <f aca="false">IF(D880="","",(I880+M880)/2)</f>
        <v>5.59726746766859</v>
      </c>
      <c r="O880" s="16" t="n">
        <f aca="false">IF(D880="","",G880*N880)</f>
        <v>0.816081596786081</v>
      </c>
      <c r="P880" s="16" t="n">
        <f aca="false">IF(D880="","",H880+E880-K880-O880)</f>
        <v>32.8008160252593</v>
      </c>
      <c r="Q880" s="16" t="n">
        <f aca="false">IF(D880="","",IF(P880&gt;=0,K880,MAX(0,K880+P880)))</f>
        <v>0.9072</v>
      </c>
      <c r="R880" s="16" t="n">
        <f aca="false">IF(D880="","",Q880/$B$15)</f>
        <v>0.35</v>
      </c>
      <c r="S880" s="16" t="n">
        <f aca="false">IF(D880="","",MAX(0,J880-R880))</f>
        <v>0</v>
      </c>
      <c r="T880" s="16" t="n">
        <f aca="false">IF(D880="","",MAX(0,Z880-$B$8))</f>
        <v>0</v>
      </c>
      <c r="U880" s="16" t="n">
        <f aca="false">IF(D880="","",MAX(0,MIN($B$8,Z880)))</f>
        <v>32.8008160252593</v>
      </c>
      <c r="V880" s="16" t="str">
        <f aca="false">IF(D880="","",IF(S880&gt;0.0000001,"Sim","Não"))</f>
        <v>Não</v>
      </c>
      <c r="W880" s="16" t="n">
        <f aca="false">IF(D880="","",U880-(H880+E880-Q880-O880-T880))</f>
        <v>0</v>
      </c>
      <c r="X880" s="16" t="n">
        <f aca="false">IF(W880="","",ABS(W880))</f>
        <v>0</v>
      </c>
      <c r="Y880" s="16" t="n">
        <f aca="false">IF(U880="","",IF($B$8=0,0,U880/$B$8*100))</f>
        <v>69.4638204685712</v>
      </c>
      <c r="Z880" s="18" t="n">
        <f aca="false">IF(D880="","",MAX(0,IF(P880&gt;=0,P880,IF(K880+P880&gt;=0,0,P880+K880))))</f>
        <v>32.8008160252593</v>
      </c>
      <c r="AA880" s="18" t="n">
        <f aca="false">IF(D880="","",IF(H880&lt;=$B$16,1,IF(H880&gt;=$B$17,$B$21,MATCH(H880,Aux_CAV!$A$2:$A$121,1))))</f>
        <v>12</v>
      </c>
      <c r="AB880" s="18" t="n">
        <f aca="false">IF(D880="","",IF(L880&lt;=$B$16,1,IF(L880&gt;=$B$17,$B$21,MATCH(L880,Aux_CAV!$A$2:$A$121,1))))</f>
        <v>12</v>
      </c>
      <c r="AC880" s="19" t="n">
        <f aca="false">IF(D880="","",COUNT($D$24:D880))</f>
        <v>845</v>
      </c>
    </row>
    <row r="881" customFormat="false" ht="12.75" hidden="false" customHeight="true" outlineLevel="0" collapsed="false">
      <c r="A881" s="14" t="n">
        <f aca="false">IF(D881="","",DATE(B881,C881,1))</f>
        <v>29738</v>
      </c>
      <c r="B881" s="15" t="n">
        <f aca="false" t="array" ref="B881:B881">IF(D881="","",IFERROR(VALUE(INDEX(Vazoes_COLAR!$A$2:$A$200,INT((ROW()-24)/12)+1)),""))</f>
        <v>1981</v>
      </c>
      <c r="C881" s="15" t="n">
        <f aca="false">IF(D881="","",MOD(ROW()-24,12)+1)</f>
        <v>6</v>
      </c>
      <c r="D881" s="16" t="n">
        <f aca="false" t="array" ref="D881: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0.12588030989671</v>
      </c>
      <c r="E881" s="16" t="n">
        <f aca="false">IF(D881="","",D881*$B$15)</f>
        <v>0.326281763252272</v>
      </c>
      <c r="F881" s="16" t="n">
        <f aca="false" t="array" ref="F881:F881">IF(D881="","",IFERROR(INDEX(Dados_Evap!$C$2:$N$15,MATCH($B$9,Dados_Evap!$A$2:$A$15,0),C881),0))</f>
        <v>161.3</v>
      </c>
      <c r="G881" s="16" t="n">
        <f aca="false">IF(F881="","",F881/1000)</f>
        <v>0.1613</v>
      </c>
      <c r="H881" s="16" t="n">
        <f aca="false">IF(D881="","",MAX(0,MIN($B$8,IFERROR(LOOKUP(2,1/($U$24:U880&lt;&gt;""),$U$24:U880),$B$11))))</f>
        <v>32.8008160252593</v>
      </c>
      <c r="I881" s="16" t="n">
        <f aca="false" t="array" ref="I881: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>5.52348282980849</v>
      </c>
      <c r="J881" s="16" t="n">
        <f aca="false">IF(D881="","",$B$12)</f>
        <v>0.35</v>
      </c>
      <c r="K881" s="16" t="n">
        <f aca="false">IF(J881="","",J881*$B$15)</f>
        <v>0.9072</v>
      </c>
      <c r="L881" s="16" t="n">
        <f aca="false">IF(D881="","",H881+E881-K881-G881*I881)</f>
        <v>31.3289600080635</v>
      </c>
      <c r="M881" s="16" t="n">
        <f aca="false" t="array" ref="M881: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>5.37058128239106</v>
      </c>
      <c r="N881" s="16" t="n">
        <f aca="false">IF(D881="","",(I881+M881)/2)</f>
        <v>5.44703205609978</v>
      </c>
      <c r="O881" s="16" t="n">
        <f aca="false">IF(D881="","",G881*N881)</f>
        <v>0.878606270648894</v>
      </c>
      <c r="P881" s="16" t="n">
        <f aca="false">IF(D881="","",H881+E881-K881-O881)</f>
        <v>31.3412915178627</v>
      </c>
      <c r="Q881" s="16" t="n">
        <f aca="false">IF(D881="","",IF(P881&gt;=0,K881,MAX(0,K881+P881)))</f>
        <v>0.9072</v>
      </c>
      <c r="R881" s="16" t="n">
        <f aca="false">IF(D881="","",Q881/$B$15)</f>
        <v>0.35</v>
      </c>
      <c r="S881" s="16" t="n">
        <f aca="false">IF(D881="","",MAX(0,J881-R881))</f>
        <v>0</v>
      </c>
      <c r="T881" s="16" t="n">
        <f aca="false">IF(D881="","",MAX(0,Z881-$B$8))</f>
        <v>0</v>
      </c>
      <c r="U881" s="16" t="n">
        <f aca="false">IF(D881="","",MAX(0,MIN($B$8,Z881)))</f>
        <v>31.3412915178627</v>
      </c>
      <c r="V881" s="16" t="str">
        <f aca="false">IF(D881="","",IF(S881&gt;0.0000001,"Sim","Não"))</f>
        <v>Não</v>
      </c>
      <c r="W881" s="16" t="n">
        <f aca="false">IF(D881="","",U881-(H881+E881-Q881-O881-T881))</f>
        <v>0</v>
      </c>
      <c r="X881" s="16" t="n">
        <f aca="false">IF(W881="","",ABS(W881))</f>
        <v>0</v>
      </c>
      <c r="Y881" s="16" t="n">
        <f aca="false">IF(U881="","",IF($B$8=0,0,U881/$B$8*100))</f>
        <v>66.372917233932</v>
      </c>
      <c r="Z881" s="18" t="n">
        <f aca="false">IF(D881="","",MAX(0,IF(P881&gt;=0,P881,IF(K881+P881&gt;=0,0,P881+K881))))</f>
        <v>31.3412915178627</v>
      </c>
      <c r="AA881" s="18" t="n">
        <f aca="false">IF(D881="","",IF(H881&lt;=$B$16,1,IF(H881&gt;=$B$17,$B$21,MATCH(H881,Aux_CAV!$A$2:$A$121,1))))</f>
        <v>12</v>
      </c>
      <c r="AB881" s="18" t="n">
        <f aca="false">IF(D881="","",IF(L881&lt;=$B$16,1,IF(L881&gt;=$B$17,$B$21,MATCH(L881,Aux_CAV!$A$2:$A$121,1))))</f>
        <v>12</v>
      </c>
      <c r="AC881" s="19" t="n">
        <f aca="false">IF(D881="","",COUNT($D$24:D881))</f>
        <v>846</v>
      </c>
    </row>
    <row r="882" customFormat="false" ht="12.75" hidden="false" customHeight="true" outlineLevel="0" collapsed="false">
      <c r="A882" s="14" t="n">
        <f aca="false">IF(D882="","",DATE(B882,C882,1))</f>
        <v>29768</v>
      </c>
      <c r="B882" s="15" t="n">
        <f aca="false" t="array" ref="B882:B882">IF(D882="","",IFERROR(VALUE(INDEX(Vazoes_COLAR!$A$2:$A$200,INT((ROW()-24)/12)+1)),""))</f>
        <v>1981</v>
      </c>
      <c r="C882" s="15" t="n">
        <f aca="false">IF(D882="","",MOD(ROW()-24,12)+1)</f>
        <v>7</v>
      </c>
      <c r="D882" s="16" t="n">
        <f aca="false" t="array" ref="D882: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0.052517258349942</v>
      </c>
      <c r="E882" s="16" t="n">
        <f aca="false">IF(D882="","",D882*$B$15)</f>
        <v>0.13612473364305</v>
      </c>
      <c r="F882" s="16" t="n">
        <f aca="false" t="array" ref="F882:F882">IF(D882="","",IFERROR(INDEX(Dados_Evap!$C$2:$N$15,MATCH($B$9,Dados_Evap!$A$2:$A$15,0),C882),0))</f>
        <v>224.8</v>
      </c>
      <c r="G882" s="16" t="n">
        <f aca="false">IF(F882="","",F882/1000)</f>
        <v>0.2248</v>
      </c>
      <c r="H882" s="16" t="n">
        <f aca="false">IF(D882="","",MAX(0,MIN($B$8,IFERROR(LOOKUP(2,1/($U$24:U881&lt;&gt;""),$U$24:U881),$B$11))))</f>
        <v>31.3412915178627</v>
      </c>
      <c r="I882" s="16" t="n">
        <f aca="false" t="array" ref="I882: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>5.37186232272943</v>
      </c>
      <c r="J882" s="16" t="n">
        <f aca="false">IF(D882="","",$B$12)</f>
        <v>0.35</v>
      </c>
      <c r="K882" s="16" t="n">
        <f aca="false">IF(J882="","",J882*$B$15)</f>
        <v>0.9072</v>
      </c>
      <c r="L882" s="16" t="n">
        <f aca="false">IF(D882="","",H882+E882-K882-G882*I882)</f>
        <v>29.3626216013562</v>
      </c>
      <c r="M882" s="16" t="n">
        <f aca="false" t="array" ref="M882: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>5.16631117606322</v>
      </c>
      <c r="N882" s="16" t="n">
        <f aca="false">IF(D882="","",(I882+M882)/2)</f>
        <v>5.26908674939632</v>
      </c>
      <c r="O882" s="16" t="n">
        <f aca="false">IF(D882="","",G882*N882)</f>
        <v>1.18449070126429</v>
      </c>
      <c r="P882" s="16" t="n">
        <f aca="false">IF(D882="","",H882+E882-K882-O882)</f>
        <v>29.3857255502415</v>
      </c>
      <c r="Q882" s="16" t="n">
        <f aca="false">IF(D882="","",IF(P882&gt;=0,K882,MAX(0,K882+P882)))</f>
        <v>0.9072</v>
      </c>
      <c r="R882" s="16" t="n">
        <f aca="false">IF(D882="","",Q882/$B$15)</f>
        <v>0.35</v>
      </c>
      <c r="S882" s="16" t="n">
        <f aca="false">IF(D882="","",MAX(0,J882-R882))</f>
        <v>0</v>
      </c>
      <c r="T882" s="16" t="n">
        <f aca="false">IF(D882="","",MAX(0,Z882-$B$8))</f>
        <v>0</v>
      </c>
      <c r="U882" s="16" t="n">
        <f aca="false">IF(D882="","",MAX(0,MIN($B$8,Z882)))</f>
        <v>29.3857255502415</v>
      </c>
      <c r="V882" s="16" t="str">
        <f aca="false">IF(D882="","",IF(S882&gt;0.0000001,"Sim","Não"))</f>
        <v>Não</v>
      </c>
      <c r="W882" s="16" t="n">
        <f aca="false">IF(D882="","",U882-(H882+E882-Q882-O882-T882))</f>
        <v>0</v>
      </c>
      <c r="X882" s="16" t="n">
        <f aca="false">IF(W882="","",ABS(W882))</f>
        <v>0</v>
      </c>
      <c r="Y882" s="16" t="n">
        <f aca="false">IF(U882="","",IF($B$8=0,0,U882/$B$8*100))</f>
        <v>62.231523825162</v>
      </c>
      <c r="Z882" s="18" t="n">
        <f aca="false">IF(D882="","",MAX(0,IF(P882&gt;=0,P882,IF(K882+P882&gt;=0,0,P882+K882))))</f>
        <v>29.3857255502415</v>
      </c>
      <c r="AA882" s="18" t="n">
        <f aca="false">IF(D882="","",IF(H882&lt;=$B$16,1,IF(H882&gt;=$B$17,$B$21,MATCH(H882,Aux_CAV!$A$2:$A$121,1))))</f>
        <v>12</v>
      </c>
      <c r="AB882" s="18" t="n">
        <f aca="false">IF(D882="","",IF(L882&lt;=$B$16,1,IF(L882&gt;=$B$17,$B$21,MATCH(L882,Aux_CAV!$A$2:$A$121,1))))</f>
        <v>12</v>
      </c>
      <c r="AC882" s="19" t="n">
        <f aca="false">IF(D882="","",COUNT($D$24:D882))</f>
        <v>847</v>
      </c>
    </row>
    <row r="883" customFormat="false" ht="12.75" hidden="false" customHeight="true" outlineLevel="0" collapsed="false">
      <c r="A883" s="14" t="n">
        <f aca="false">IF(D883="","",DATE(B883,C883,1))</f>
        <v>29799</v>
      </c>
      <c r="B883" s="15" t="n">
        <f aca="false" t="array" ref="B883:B883">IF(D883="","",IFERROR(VALUE(INDEX(Vazoes_COLAR!$A$2:$A$200,INT((ROW()-24)/12)+1)),""))</f>
        <v>1981</v>
      </c>
      <c r="C883" s="15" t="n">
        <f aca="false">IF(D883="","",MOD(ROW()-24,12)+1)</f>
        <v>8</v>
      </c>
      <c r="D883" s="16" t="n">
        <f aca="false" t="array" ref="D883: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0.0160164352831738</v>
      </c>
      <c r="E883" s="16" t="n">
        <f aca="false">IF(D883="","",D883*$B$15)</f>
        <v>0.0415146002539865</v>
      </c>
      <c r="F883" s="16" t="n">
        <f aca="false" t="array" ref="F883:F883">IF(D883="","",IFERROR(INDEX(Dados_Evap!$C$2:$N$15,MATCH($B$9,Dados_Evap!$A$2:$A$15,0),C883),0))</f>
        <v>268.7</v>
      </c>
      <c r="G883" s="16" t="n">
        <f aca="false">IF(F883="","",F883/1000)</f>
        <v>0.2687</v>
      </c>
      <c r="H883" s="16" t="n">
        <f aca="false">IF(D883="","",MAX(0,MIN($B$8,IFERROR(LOOKUP(2,1/($U$24:U882&lt;&gt;""),$U$24:U882),$B$11))))</f>
        <v>29.3857255502415</v>
      </c>
      <c r="I883" s="16" t="n">
        <f aca="false" t="array" ref="I883: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>5.16871129502509</v>
      </c>
      <c r="J883" s="16" t="n">
        <f aca="false">IF(D883="","",$B$12)</f>
        <v>0.35</v>
      </c>
      <c r="K883" s="16" t="n">
        <f aca="false">IF(J883="","",J883*$B$15)</f>
        <v>0.9072</v>
      </c>
      <c r="L883" s="16" t="n">
        <f aca="false">IF(D883="","",H883+E883-K883-G883*I883)</f>
        <v>27.1312074255222</v>
      </c>
      <c r="M883" s="16" t="n">
        <f aca="false" t="array" ref="M883: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>4.93450407236008</v>
      </c>
      <c r="N883" s="16" t="n">
        <f aca="false">IF(D883="","",(I883+M883)/2)</f>
        <v>5.05160768369258</v>
      </c>
      <c r="O883" s="16" t="n">
        <f aca="false">IF(D883="","",G883*N883)</f>
        <v>1.3573669846082</v>
      </c>
      <c r="P883" s="16" t="n">
        <f aca="false">IF(D883="","",H883+E883-K883-O883)</f>
        <v>27.1626731658873</v>
      </c>
      <c r="Q883" s="16" t="n">
        <f aca="false">IF(D883="","",IF(P883&gt;=0,K883,MAX(0,K883+P883)))</f>
        <v>0.9072</v>
      </c>
      <c r="R883" s="16" t="n">
        <f aca="false">IF(D883="","",Q883/$B$15)</f>
        <v>0.35</v>
      </c>
      <c r="S883" s="16" t="n">
        <f aca="false">IF(D883="","",MAX(0,J883-R883))</f>
        <v>0</v>
      </c>
      <c r="T883" s="16" t="n">
        <f aca="false">IF(D883="","",MAX(0,Z883-$B$8))</f>
        <v>0</v>
      </c>
      <c r="U883" s="16" t="n">
        <f aca="false">IF(D883="","",MAX(0,MIN($B$8,Z883)))</f>
        <v>27.1626731658873</v>
      </c>
      <c r="V883" s="16" t="str">
        <f aca="false">IF(D883="","",IF(S883&gt;0.0000001,"Sim","Não"))</f>
        <v>Não</v>
      </c>
      <c r="W883" s="16" t="n">
        <f aca="false">IF(D883="","",U883-(H883+E883-Q883-O883-T883))</f>
        <v>0</v>
      </c>
      <c r="X883" s="16" t="n">
        <f aca="false">IF(W883="","",ABS(W883))</f>
        <v>0</v>
      </c>
      <c r="Y883" s="16" t="n">
        <f aca="false">IF(U883="","",IF($B$8=0,0,U883/$B$8*100))</f>
        <v>57.5236619353818</v>
      </c>
      <c r="Z883" s="18" t="n">
        <f aca="false">IF(D883="","",MAX(0,IF(P883&gt;=0,P883,IF(K883+P883&gt;=0,0,P883+K883))))</f>
        <v>27.1626731658873</v>
      </c>
      <c r="AA883" s="18" t="n">
        <f aca="false">IF(D883="","",IF(H883&lt;=$B$16,1,IF(H883&gt;=$B$17,$B$21,MATCH(H883,Aux_CAV!$A$2:$A$121,1))))</f>
        <v>12</v>
      </c>
      <c r="AB883" s="18" t="n">
        <f aca="false">IF(D883="","",IF(L883&lt;=$B$16,1,IF(L883&gt;=$B$17,$B$21,MATCH(L883,Aux_CAV!$A$2:$A$121,1))))</f>
        <v>12</v>
      </c>
      <c r="AC883" s="19" t="n">
        <f aca="false">IF(D883="","",COUNT($D$24:D883))</f>
        <v>848</v>
      </c>
    </row>
    <row r="884" customFormat="false" ht="12.75" hidden="false" customHeight="true" outlineLevel="0" collapsed="false">
      <c r="A884" s="14" t="n">
        <f aca="false">IF(D884="","",DATE(B884,C884,1))</f>
        <v>29830</v>
      </c>
      <c r="B884" s="15" t="n">
        <f aca="false" t="array" ref="B884:B884">IF(D884="","",IFERROR(VALUE(INDEX(Vazoes_COLAR!$A$2:$A$200,INT((ROW()-24)/12)+1)),""))</f>
        <v>1981</v>
      </c>
      <c r="C884" s="15" t="n">
        <f aca="false">IF(D884="","",MOD(ROW()-24,12)+1)</f>
        <v>9</v>
      </c>
      <c r="D884" s="16" t="n">
        <f aca="false" t="array" ref="D884: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0.0116800362197659</v>
      </c>
      <c r="E884" s="16" t="n">
        <f aca="false">IF(D884="","",D884*$B$15)</f>
        <v>0.0302746538816332</v>
      </c>
      <c r="F884" s="16" t="n">
        <f aca="false" t="array" ref="F884:F884">IF(D884="","",IFERROR(INDEX(Dados_Evap!$C$2:$N$15,MATCH($B$9,Dados_Evap!$A$2:$A$15,0),C884),0))</f>
        <v>292.8</v>
      </c>
      <c r="G884" s="16" t="n">
        <f aca="false">IF(F884="","",F884/1000)</f>
        <v>0.2928</v>
      </c>
      <c r="H884" s="16" t="n">
        <f aca="false">IF(D884="","",MAX(0,MIN($B$8,IFERROR(LOOKUP(2,1/($U$24:U883&lt;&gt;""),$U$24:U883),$B$11))))</f>
        <v>27.1626731658873</v>
      </c>
      <c r="I884" s="16" t="n">
        <f aca="false" t="array" ref="I884: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>4.93777284344654</v>
      </c>
      <c r="J884" s="16" t="n">
        <f aca="false">IF(D884="","",$B$12)</f>
        <v>0.35</v>
      </c>
      <c r="K884" s="16" t="n">
        <f aca="false">IF(J884="","",J884*$B$15)</f>
        <v>0.9072</v>
      </c>
      <c r="L884" s="16" t="n">
        <f aca="false">IF(D884="","",H884+E884-K884-G884*I884)</f>
        <v>24.8399679312078</v>
      </c>
      <c r="M884" s="16" t="n">
        <f aca="false" t="array" ref="M884: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>4.69648210547498</v>
      </c>
      <c r="N884" s="16" t="n">
        <f aca="false">IF(D884="","",(I884+M884)/2)</f>
        <v>4.81712747446076</v>
      </c>
      <c r="O884" s="16" t="n">
        <f aca="false">IF(D884="","",G884*N884)</f>
        <v>1.41045492452211</v>
      </c>
      <c r="P884" s="16" t="n">
        <f aca="false">IF(D884="","",H884+E884-K884-O884)</f>
        <v>24.8752928952468</v>
      </c>
      <c r="Q884" s="16" t="n">
        <f aca="false">IF(D884="","",IF(P884&gt;=0,K884,MAX(0,K884+P884)))</f>
        <v>0.9072</v>
      </c>
      <c r="R884" s="16" t="n">
        <f aca="false">IF(D884="","",Q884/$B$15)</f>
        <v>0.35</v>
      </c>
      <c r="S884" s="16" t="n">
        <f aca="false">IF(D884="","",MAX(0,J884-R884))</f>
        <v>0</v>
      </c>
      <c r="T884" s="16" t="n">
        <f aca="false">IF(D884="","",MAX(0,Z884-$B$8))</f>
        <v>0</v>
      </c>
      <c r="U884" s="16" t="n">
        <f aca="false">IF(D884="","",MAX(0,MIN($B$8,Z884)))</f>
        <v>24.8752928952468</v>
      </c>
      <c r="V884" s="16" t="str">
        <f aca="false">IF(D884="","",IF(S884&gt;0.0000001,"Sim","Não"))</f>
        <v>Não</v>
      </c>
      <c r="W884" s="16" t="n">
        <f aca="false">IF(D884="","",U884-(H884+E884-Q884-O884-T884))</f>
        <v>0</v>
      </c>
      <c r="X884" s="16" t="n">
        <f aca="false">IF(W884="","",ABS(W884))</f>
        <v>0</v>
      </c>
      <c r="Y884" s="16" t="n">
        <f aca="false">IF(U884="","",IF($B$8=0,0,U884/$B$8*100))</f>
        <v>52.6795698755756</v>
      </c>
      <c r="Z884" s="18" t="n">
        <f aca="false">IF(D884="","",MAX(0,IF(P884&gt;=0,P884,IF(K884+P884&gt;=0,0,P884+K884))))</f>
        <v>24.8752928952468</v>
      </c>
      <c r="AA884" s="18" t="n">
        <f aca="false">IF(D884="","",IF(H884&lt;=$B$16,1,IF(H884&gt;=$B$17,$B$21,MATCH(H884,Aux_CAV!$A$2:$A$121,1))))</f>
        <v>12</v>
      </c>
      <c r="AB884" s="18" t="n">
        <f aca="false">IF(D884="","",IF(L884&lt;=$B$16,1,IF(L884&gt;=$B$17,$B$21,MATCH(L884,Aux_CAV!$A$2:$A$121,1))))</f>
        <v>12</v>
      </c>
      <c r="AC884" s="19" t="n">
        <f aca="false">IF(D884="","",COUNT($D$24:D884))</f>
        <v>849</v>
      </c>
    </row>
    <row r="885" customFormat="false" ht="12.75" hidden="false" customHeight="true" outlineLevel="0" collapsed="false">
      <c r="A885" s="14" t="n">
        <f aca="false">IF(D885="","",DATE(B885,C885,1))</f>
        <v>29860</v>
      </c>
      <c r="B885" s="15" t="n">
        <f aca="false" t="array" ref="B885:B885">IF(D885="","",IFERROR(VALUE(INDEX(Vazoes_COLAR!$A$2:$A$200,INT((ROW()-24)/12)+1)),""))</f>
        <v>1981</v>
      </c>
      <c r="C885" s="15" t="n">
        <f aca="false">IF(D885="","",MOD(ROW()-24,12)+1)</f>
        <v>10</v>
      </c>
      <c r="D885" s="16" t="n">
        <f aca="false" t="array" ref="D885: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0.010726115714989</v>
      </c>
      <c r="E885" s="16" t="n">
        <f aca="false">IF(D885="","",D885*$B$15)</f>
        <v>0.0278020919332515</v>
      </c>
      <c r="F885" s="16" t="n">
        <f aca="false" t="array" ref="F885:F885">IF(D885="","",IFERROR(INDEX(Dados_Evap!$C$2:$N$15,MATCH($B$9,Dados_Evap!$A$2:$A$15,0),C885),0))</f>
        <v>262.9</v>
      </c>
      <c r="G885" s="16" t="n">
        <f aca="false">IF(F885="","",F885/1000)</f>
        <v>0.2629</v>
      </c>
      <c r="H885" s="16" t="n">
        <f aca="false">IF(D885="","",MAX(0,MIN($B$8,IFERROR(LOOKUP(2,1/($U$24:U884&lt;&gt;""),$U$24:U884),$B$11))))</f>
        <v>24.8752928952468</v>
      </c>
      <c r="I885" s="16" t="n">
        <f aca="false" t="array" ref="I885: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>4.70015178620525</v>
      </c>
      <c r="J885" s="16" t="n">
        <f aca="false">IF(D885="","",$B$12)</f>
        <v>0.35</v>
      </c>
      <c r="K885" s="16" t="n">
        <f aca="false">IF(J885="","",J885*$B$15)</f>
        <v>0.9072</v>
      </c>
      <c r="L885" s="16" t="n">
        <f aca="false">IF(D885="","",H885+E885-K885-G885*I885)</f>
        <v>22.7602250825867</v>
      </c>
      <c r="M885" s="16" t="n">
        <f aca="false" t="array" ref="M885: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>4.45792933913841</v>
      </c>
      <c r="N885" s="16" t="n">
        <f aca="false">IF(D885="","",(I885+M885)/2)</f>
        <v>4.57904056267183</v>
      </c>
      <c r="O885" s="16" t="n">
        <f aca="false">IF(D885="","",G885*N885)</f>
        <v>1.20382976392642</v>
      </c>
      <c r="P885" s="16" t="n">
        <f aca="false">IF(D885="","",H885+E885-K885-O885)</f>
        <v>22.7920652232536</v>
      </c>
      <c r="Q885" s="16" t="n">
        <f aca="false">IF(D885="","",IF(P885&gt;=0,K885,MAX(0,K885+P885)))</f>
        <v>0.9072</v>
      </c>
      <c r="R885" s="16" t="n">
        <f aca="false">IF(D885="","",Q885/$B$15)</f>
        <v>0.35</v>
      </c>
      <c r="S885" s="16" t="n">
        <f aca="false">IF(D885="","",MAX(0,J885-R885))</f>
        <v>0</v>
      </c>
      <c r="T885" s="16" t="n">
        <f aca="false">IF(D885="","",MAX(0,Z885-$B$8))</f>
        <v>0</v>
      </c>
      <c r="U885" s="16" t="n">
        <f aca="false">IF(D885="","",MAX(0,MIN($B$8,Z885)))</f>
        <v>22.7920652232536</v>
      </c>
      <c r="V885" s="16" t="str">
        <f aca="false">IF(D885="","",IF(S885&gt;0.0000001,"Sim","Não"))</f>
        <v>Não</v>
      </c>
      <c r="W885" s="16" t="n">
        <f aca="false">IF(D885="","",U885-(H885+E885-Q885-O885-T885))</f>
        <v>0</v>
      </c>
      <c r="X885" s="16" t="n">
        <f aca="false">IF(W885="","",ABS(W885))</f>
        <v>0</v>
      </c>
      <c r="Y885" s="16" t="n">
        <f aca="false">IF(U885="","",IF($B$8=0,0,U885/$B$8*100))</f>
        <v>48.2678213114223</v>
      </c>
      <c r="Z885" s="18" t="n">
        <f aca="false">IF(D885="","",MAX(0,IF(P885&gt;=0,P885,IF(K885+P885&gt;=0,0,P885+K885))))</f>
        <v>22.7920652232536</v>
      </c>
      <c r="AA885" s="18" t="n">
        <f aca="false">IF(D885="","",IF(H885&lt;=$B$16,1,IF(H885&gt;=$B$17,$B$21,MATCH(H885,Aux_CAV!$A$2:$A$121,1))))</f>
        <v>12</v>
      </c>
      <c r="AB885" s="18" t="n">
        <f aca="false">IF(D885="","",IF(L885&lt;=$B$16,1,IF(L885&gt;=$B$17,$B$21,MATCH(L885,Aux_CAV!$A$2:$A$121,1))))</f>
        <v>11</v>
      </c>
      <c r="AC885" s="19" t="n">
        <f aca="false">IF(D885="","",COUNT($D$24:D885))</f>
        <v>850</v>
      </c>
    </row>
    <row r="886" customFormat="false" ht="12.75" hidden="false" customHeight="true" outlineLevel="0" collapsed="false">
      <c r="A886" s="14" t="n">
        <f aca="false">IF(D886="","",DATE(B886,C886,1))</f>
        <v>29891</v>
      </c>
      <c r="B886" s="15" t="n">
        <f aca="false" t="array" ref="B886:B886">IF(D886="","",IFERROR(VALUE(INDEX(Vazoes_COLAR!$A$2:$A$200,INT((ROW()-24)/12)+1)),""))</f>
        <v>1981</v>
      </c>
      <c r="C886" s="15" t="n">
        <f aca="false">IF(D886="","",MOD(ROW()-24,12)+1)</f>
        <v>11</v>
      </c>
      <c r="D886" s="16" t="n">
        <f aca="false" t="array" ref="D886: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0.00938384255470067</v>
      </c>
      <c r="E886" s="16" t="n">
        <f aca="false">IF(D886="","",D886*$B$15)</f>
        <v>0.0243229199017841</v>
      </c>
      <c r="F886" s="16" t="n">
        <f aca="false" t="array" ref="F886:F886">IF(D886="","",IFERROR(INDEX(Dados_Evap!$C$2:$N$15,MATCH($B$9,Dados_Evap!$A$2:$A$15,0),C886),0))</f>
        <v>223.7</v>
      </c>
      <c r="G886" s="16" t="n">
        <f aca="false">IF(F886="","",F886/1000)</f>
        <v>0.2237</v>
      </c>
      <c r="H886" s="16" t="n">
        <f aca="false">IF(D886="","",MAX(0,MIN($B$8,IFERROR(LOOKUP(2,1/($U$24:U885&lt;&gt;""),$U$24:U885),$B$11))))</f>
        <v>22.7920652232536</v>
      </c>
      <c r="I886" s="16" t="n">
        <f aca="false" t="array" ref="I886: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>4.46173462424251</v>
      </c>
      <c r="J886" s="16" t="n">
        <f aca="false">IF(D886="","",$B$12)</f>
        <v>0.35</v>
      </c>
      <c r="K886" s="16" t="n">
        <f aca="false">IF(J886="","",J886*$B$15)</f>
        <v>0.9072</v>
      </c>
      <c r="L886" s="16" t="n">
        <f aca="false">IF(D886="","",H886+E886-K886-G886*I886)</f>
        <v>20.9110981077124</v>
      </c>
      <c r="M886" s="16" t="n">
        <f aca="false" t="array" ref="M886: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>4.23693611531196</v>
      </c>
      <c r="N886" s="16" t="n">
        <f aca="false">IF(D886="","",(I886+M886)/2)</f>
        <v>4.34933536977724</v>
      </c>
      <c r="O886" s="16" t="n">
        <f aca="false">IF(D886="","",G886*N886)</f>
        <v>0.972946322219167</v>
      </c>
      <c r="P886" s="16" t="n">
        <f aca="false">IF(D886="","",H886+E886-K886-O886)</f>
        <v>20.9362418209362</v>
      </c>
      <c r="Q886" s="16" t="n">
        <f aca="false">IF(D886="","",IF(P886&gt;=0,K886,MAX(0,K886+P886)))</f>
        <v>0.9072</v>
      </c>
      <c r="R886" s="16" t="n">
        <f aca="false">IF(D886="","",Q886/$B$15)</f>
        <v>0.35</v>
      </c>
      <c r="S886" s="16" t="n">
        <f aca="false">IF(D886="","",MAX(0,J886-R886))</f>
        <v>0</v>
      </c>
      <c r="T886" s="16" t="n">
        <f aca="false">IF(D886="","",MAX(0,Z886-$B$8))</f>
        <v>0</v>
      </c>
      <c r="U886" s="16" t="n">
        <f aca="false">IF(D886="","",MAX(0,MIN($B$8,Z886)))</f>
        <v>20.9362418209362</v>
      </c>
      <c r="V886" s="16" t="str">
        <f aca="false">IF(D886="","",IF(S886&gt;0.0000001,"Sim","Não"))</f>
        <v>Não</v>
      </c>
      <c r="W886" s="16" t="n">
        <f aca="false">IF(D886="","",U886-(H886+E886-Q886-O886-T886))</f>
        <v>0</v>
      </c>
      <c r="X886" s="16" t="n">
        <f aca="false">IF(W886="","",ABS(W886))</f>
        <v>0</v>
      </c>
      <c r="Y886" s="16" t="n">
        <f aca="false">IF(U886="","",IF($B$8=0,0,U886/$B$8*100))</f>
        <v>44.3376573929187</v>
      </c>
      <c r="Z886" s="18" t="n">
        <f aca="false">IF(D886="","",MAX(0,IF(P886&gt;=0,P886,IF(K886+P886&gt;=0,0,P886+K886))))</f>
        <v>20.9362418209362</v>
      </c>
      <c r="AA886" s="18" t="n">
        <f aca="false">IF(D886="","",IF(H886&lt;=$B$16,1,IF(H886&gt;=$B$17,$B$21,MATCH(H886,Aux_CAV!$A$2:$A$121,1))))</f>
        <v>11</v>
      </c>
      <c r="AB886" s="18" t="n">
        <f aca="false">IF(D886="","",IF(L886&lt;=$B$16,1,IF(L886&gt;=$B$17,$B$21,MATCH(L886,Aux_CAV!$A$2:$A$121,1))))</f>
        <v>11</v>
      </c>
      <c r="AC886" s="19" t="n">
        <f aca="false">IF(D886="","",COUNT($D$24:D886))</f>
        <v>851</v>
      </c>
    </row>
    <row r="887" customFormat="false" ht="12.75" hidden="false" customHeight="true" outlineLevel="0" collapsed="false">
      <c r="A887" s="14" t="n">
        <f aca="false">IF(D887="","",DATE(B887,C887,1))</f>
        <v>29921</v>
      </c>
      <c r="B887" s="15" t="n">
        <f aca="false" t="array" ref="B887:B887">IF(D887="","",IFERROR(VALUE(INDEX(Vazoes_COLAR!$A$2:$A$200,INT((ROW()-24)/12)+1)),""))</f>
        <v>1981</v>
      </c>
      <c r="C887" s="15" t="n">
        <f aca="false">IF(D887="","",MOD(ROW()-24,12)+1)</f>
        <v>12</v>
      </c>
      <c r="D887" s="16" t="n">
        <f aca="false" t="array" ref="D887: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0.0611548382042448</v>
      </c>
      <c r="E887" s="16" t="n">
        <f aca="false">IF(D887="","",D887*$B$15)</f>
        <v>0.158513340625403</v>
      </c>
      <c r="F887" s="16" t="n">
        <f aca="false" t="array" ref="F887:F887">IF(D887="","",IFERROR(INDEX(Dados_Evap!$C$2:$N$15,MATCH($B$9,Dados_Evap!$A$2:$A$15,0),C887),0))</f>
        <v>216.1</v>
      </c>
      <c r="G887" s="16" t="n">
        <f aca="false">IF(F887="","",F887/1000)</f>
        <v>0.2161</v>
      </c>
      <c r="H887" s="16" t="n">
        <f aca="false">IF(D887="","",MAX(0,MIN($B$8,IFERROR(LOOKUP(2,1/($U$24:U886&lt;&gt;""),$U$24:U886),$B$11))))</f>
        <v>20.9362418209362</v>
      </c>
      <c r="I887" s="16" t="n">
        <f aca="false" t="array" ref="I887: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>4.23994109567287</v>
      </c>
      <c r="J887" s="16" t="n">
        <f aca="false">IF(D887="","",$B$12)</f>
        <v>0.35</v>
      </c>
      <c r="K887" s="16" t="n">
        <f aca="false">IF(J887="","",J887*$B$15)</f>
        <v>0.9072</v>
      </c>
      <c r="L887" s="16" t="n">
        <f aca="false">IF(D887="","",H887+E887-K887-G887*I887)</f>
        <v>19.2713038907867</v>
      </c>
      <c r="M887" s="16" t="n">
        <f aca="false" t="array" ref="M887: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>4.0409607088989</v>
      </c>
      <c r="N887" s="16" t="n">
        <f aca="false">IF(D887="","",(I887+M887)/2)</f>
        <v>4.14045090228589</v>
      </c>
      <c r="O887" s="16" t="n">
        <f aca="false">IF(D887="","",G887*N887)</f>
        <v>0.89475143998398</v>
      </c>
      <c r="P887" s="16" t="n">
        <f aca="false">IF(D887="","",H887+E887-K887-O887)</f>
        <v>19.2928037215777</v>
      </c>
      <c r="Q887" s="16" t="n">
        <f aca="false">IF(D887="","",IF(P887&gt;=0,K887,MAX(0,K887+P887)))</f>
        <v>0.9072</v>
      </c>
      <c r="R887" s="16" t="n">
        <f aca="false">IF(D887="","",Q887/$B$15)</f>
        <v>0.35</v>
      </c>
      <c r="S887" s="16" t="n">
        <f aca="false">IF(D887="","",MAX(0,J887-R887))</f>
        <v>0</v>
      </c>
      <c r="T887" s="16" t="n">
        <f aca="false">IF(D887="","",MAX(0,Z887-$B$8))</f>
        <v>0</v>
      </c>
      <c r="U887" s="16" t="n">
        <f aca="false">IF(D887="","",MAX(0,MIN($B$8,Z887)))</f>
        <v>19.2928037215777</v>
      </c>
      <c r="V887" s="16" t="str">
        <f aca="false">IF(D887="","",IF(S887&gt;0.0000001,"Sim","Não"))</f>
        <v>Não</v>
      </c>
      <c r="W887" s="16" t="n">
        <f aca="false">IF(D887="","",U887-(H887+E887-Q887-O887-T887))</f>
        <v>0</v>
      </c>
      <c r="X887" s="16" t="n">
        <f aca="false">IF(W887="","",ABS(W887))</f>
        <v>0</v>
      </c>
      <c r="Y887" s="16" t="n">
        <f aca="false">IF(U887="","",IF($B$8=0,0,U887/$B$8*100))</f>
        <v>40.8572717525999</v>
      </c>
      <c r="Z887" s="18" t="n">
        <f aca="false">IF(D887="","",MAX(0,IF(P887&gt;=0,P887,IF(K887+P887&gt;=0,0,P887+K887))))</f>
        <v>19.2928037215777</v>
      </c>
      <c r="AA887" s="18" t="n">
        <f aca="false">IF(D887="","",IF(H887&lt;=$B$16,1,IF(H887&gt;=$B$17,$B$21,MATCH(H887,Aux_CAV!$A$2:$A$121,1))))</f>
        <v>11</v>
      </c>
      <c r="AB887" s="18" t="n">
        <f aca="false">IF(D887="","",IF(L887&lt;=$B$16,1,IF(L887&gt;=$B$17,$B$21,MATCH(L887,Aux_CAV!$A$2:$A$121,1))))</f>
        <v>11</v>
      </c>
      <c r="AC887" s="19" t="n">
        <f aca="false">IF(D887="","",COUNT($D$24:D887))</f>
        <v>852</v>
      </c>
    </row>
    <row r="888" customFormat="false" ht="12.75" hidden="false" customHeight="true" outlineLevel="0" collapsed="false">
      <c r="A888" s="14" t="n">
        <f aca="false">IF(D888="","",DATE(B888,C888,1))</f>
        <v>29952</v>
      </c>
      <c r="B888" s="15" t="n">
        <f aca="false" t="array" ref="B888:B888">IF(D888="","",IFERROR(VALUE(INDEX(Vazoes_COLAR!$A$2:$A$200,INT((ROW()-24)/12)+1)),""))</f>
        <v>1982</v>
      </c>
      <c r="C888" s="15" t="n">
        <f aca="false">IF(D888="","",MOD(ROW()-24,12)+1)</f>
        <v>1</v>
      </c>
      <c r="D888" s="16" t="n">
        <f aca="false" t="array" ref="D888: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0.22850052531573</v>
      </c>
      <c r="E888" s="16" t="n">
        <f aca="false">IF(D888="","",D888*$B$15)</f>
        <v>0.592273361618372</v>
      </c>
      <c r="F888" s="16" t="n">
        <f aca="false" t="array" ref="F888:F888">IF(D888="","",IFERROR(INDEX(Dados_Evap!$C$2:$N$15,MATCH($B$9,Dados_Evap!$A$2:$A$15,0),C888),0))</f>
        <v>160</v>
      </c>
      <c r="G888" s="16" t="n">
        <f aca="false">IF(F888="","",F888/1000)</f>
        <v>0.16</v>
      </c>
      <c r="H888" s="16" t="n">
        <f aca="false">IF(D888="","",MAX(0,MIN($B$8,IFERROR(LOOKUP(2,1/($U$24:U887&lt;&gt;""),$U$24:U887),$B$11))))</f>
        <v>19.2928037215777</v>
      </c>
      <c r="I888" s="16" t="n">
        <f aca="false" t="array" ref="I888: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>4.04353020087148</v>
      </c>
      <c r="J888" s="16" t="n">
        <f aca="false">IF(D888="","",$B$12)</f>
        <v>0.35</v>
      </c>
      <c r="K888" s="16" t="n">
        <f aca="false">IF(J888="","",J888*$B$15)</f>
        <v>0.9072</v>
      </c>
      <c r="L888" s="16" t="n">
        <f aca="false">IF(D888="","",H888+E888-K888-G888*I888)</f>
        <v>18.3309122510566</v>
      </c>
      <c r="M888" s="16" t="n">
        <f aca="false" t="array" ref="M888: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>3.92857243976042</v>
      </c>
      <c r="N888" s="16" t="n">
        <f aca="false">IF(D888="","",(I888+M888)/2)</f>
        <v>3.98605132031595</v>
      </c>
      <c r="O888" s="16" t="n">
        <f aca="false">IF(D888="","",G888*N888)</f>
        <v>0.637768211250552</v>
      </c>
      <c r="P888" s="16" t="n">
        <f aca="false">IF(D888="","",H888+E888-K888-O888)</f>
        <v>18.3401088719455</v>
      </c>
      <c r="Q888" s="16" t="n">
        <f aca="false">IF(D888="","",IF(P888&gt;=0,K888,MAX(0,K888+P888)))</f>
        <v>0.9072</v>
      </c>
      <c r="R888" s="16" t="n">
        <f aca="false">IF(D888="","",Q888/$B$15)</f>
        <v>0.35</v>
      </c>
      <c r="S888" s="16" t="n">
        <f aca="false">IF(D888="","",MAX(0,J888-R888))</f>
        <v>0</v>
      </c>
      <c r="T888" s="16" t="n">
        <f aca="false">IF(D888="","",MAX(0,Z888-$B$8))</f>
        <v>0</v>
      </c>
      <c r="U888" s="16" t="n">
        <f aca="false">IF(D888="","",MAX(0,MIN($B$8,Z888)))</f>
        <v>18.3401088719455</v>
      </c>
      <c r="V888" s="16" t="str">
        <f aca="false">IF(D888="","",IF(S888&gt;0.0000001,"Sim","Não"))</f>
        <v>Não</v>
      </c>
      <c r="W888" s="16" t="n">
        <f aca="false">IF(D888="","",U888-(H888+E888-Q888-O888-T888))</f>
        <v>0</v>
      </c>
      <c r="X888" s="16" t="n">
        <f aca="false">IF(W888="","",ABS(W888))</f>
        <v>0</v>
      </c>
      <c r="Y888" s="16" t="n">
        <f aca="false">IF(U888="","",IF($B$8=0,0,U888/$B$8*100))</f>
        <v>38.8397053620192</v>
      </c>
      <c r="Z888" s="18" t="n">
        <f aca="false">IF(D888="","",MAX(0,IF(P888&gt;=0,P888,IF(K888+P888&gt;=0,0,P888+K888))))</f>
        <v>18.3401088719455</v>
      </c>
      <c r="AA888" s="18" t="n">
        <f aca="false">IF(D888="","",IF(H888&lt;=$B$16,1,IF(H888&gt;=$B$17,$B$21,MATCH(H888,Aux_CAV!$A$2:$A$121,1))))</f>
        <v>11</v>
      </c>
      <c r="AB888" s="18" t="n">
        <f aca="false">IF(D888="","",IF(L888&lt;=$B$16,1,IF(L888&gt;=$B$17,$B$21,MATCH(L888,Aux_CAV!$A$2:$A$121,1))))</f>
        <v>11</v>
      </c>
      <c r="AC888" s="19" t="n">
        <f aca="false">IF(D888="","",COUNT($D$24:D888))</f>
        <v>853</v>
      </c>
    </row>
    <row r="889" customFormat="false" ht="12.75" hidden="false" customHeight="true" outlineLevel="0" collapsed="false">
      <c r="A889" s="14" t="n">
        <f aca="false">IF(D889="","",DATE(B889,C889,1))</f>
        <v>29983</v>
      </c>
      <c r="B889" s="15" t="n">
        <f aca="false" t="array" ref="B889:B889">IF(D889="","",IFERROR(VALUE(INDEX(Vazoes_COLAR!$A$2:$A$200,INT((ROW()-24)/12)+1)),""))</f>
        <v>1982</v>
      </c>
      <c r="C889" s="15" t="n">
        <f aca="false">IF(D889="","",MOD(ROW()-24,12)+1)</f>
        <v>2</v>
      </c>
      <c r="D889" s="16" t="n">
        <f aca="false" t="array" ref="D889: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0.570484412595482</v>
      </c>
      <c r="E889" s="16" t="n">
        <f aca="false">IF(D889="","",D889*$B$15)</f>
        <v>1.47869559744749</v>
      </c>
      <c r="F889" s="16" t="n">
        <f aca="false" t="array" ref="F889:F889">IF(D889="","",IFERROR(INDEX(Dados_Evap!$C$2:$N$15,MATCH($B$9,Dados_Evap!$A$2:$A$15,0),C889),0))</f>
        <v>124.3</v>
      </c>
      <c r="G889" s="16" t="n">
        <f aca="false">IF(F889="","",F889/1000)</f>
        <v>0.1243</v>
      </c>
      <c r="H889" s="16" t="n">
        <f aca="false">IF(D889="","",MAX(0,MIN($B$8,IFERROR(LOOKUP(2,1/($U$24:U888&lt;&gt;""),$U$24:U888),$B$11))))</f>
        <v>18.3401088719455</v>
      </c>
      <c r="I889" s="16" t="n">
        <f aca="false" t="array" ref="I889: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>3.92967154811056</v>
      </c>
      <c r="J889" s="16" t="n">
        <f aca="false">IF(D889="","",$B$12)</f>
        <v>0.35</v>
      </c>
      <c r="K889" s="16" t="n">
        <f aca="false">IF(J889="","",J889*$B$15)</f>
        <v>0.9072</v>
      </c>
      <c r="L889" s="16" t="n">
        <f aca="false">IF(D889="","",H889+E889-K889-G889*I889)</f>
        <v>18.4231462959628</v>
      </c>
      <c r="M889" s="16" t="n">
        <f aca="false" t="array" ref="M889: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>3.93959553293214</v>
      </c>
      <c r="N889" s="16" t="n">
        <f aca="false">IF(D889="","",(I889+M889)/2)</f>
        <v>3.93463354052135</v>
      </c>
      <c r="O889" s="16" t="n">
        <f aca="false">IF(D889="","",G889*N889)</f>
        <v>0.489074949086804</v>
      </c>
      <c r="P889" s="16" t="n">
        <f aca="false">IF(D889="","",H889+E889-K889-O889)</f>
        <v>18.4225295203062</v>
      </c>
      <c r="Q889" s="16" t="n">
        <f aca="false">IF(D889="","",IF(P889&gt;=0,K889,MAX(0,K889+P889)))</f>
        <v>0.9072</v>
      </c>
      <c r="R889" s="16" t="n">
        <f aca="false">IF(D889="","",Q889/$B$15)</f>
        <v>0.35</v>
      </c>
      <c r="S889" s="16" t="n">
        <f aca="false">IF(D889="","",MAX(0,J889-R889))</f>
        <v>0</v>
      </c>
      <c r="T889" s="16" t="n">
        <f aca="false">IF(D889="","",MAX(0,Z889-$B$8))</f>
        <v>0</v>
      </c>
      <c r="U889" s="16" t="n">
        <f aca="false">IF(D889="","",MAX(0,MIN($B$8,Z889)))</f>
        <v>18.4225295203062</v>
      </c>
      <c r="V889" s="16" t="str">
        <f aca="false">IF(D889="","",IF(S889&gt;0.0000001,"Sim","Não"))</f>
        <v>Não</v>
      </c>
      <c r="W889" s="16" t="n">
        <f aca="false">IF(D889="","",U889-(H889+E889-Q889-O889-T889))</f>
        <v>0</v>
      </c>
      <c r="X889" s="16" t="n">
        <f aca="false">IF(W889="","",ABS(W889))</f>
        <v>0</v>
      </c>
      <c r="Y889" s="16" t="n">
        <f aca="false">IF(U889="","",IF($B$8=0,0,U889/$B$8*100))</f>
        <v>39.0142514195387</v>
      </c>
      <c r="Z889" s="18" t="n">
        <f aca="false">IF(D889="","",MAX(0,IF(P889&gt;=0,P889,IF(K889+P889&gt;=0,0,P889+K889))))</f>
        <v>18.4225295203062</v>
      </c>
      <c r="AA889" s="18" t="n">
        <f aca="false">IF(D889="","",IF(H889&lt;=$B$16,1,IF(H889&gt;=$B$17,$B$21,MATCH(H889,Aux_CAV!$A$2:$A$121,1))))</f>
        <v>11</v>
      </c>
      <c r="AB889" s="18" t="n">
        <f aca="false">IF(D889="","",IF(L889&lt;=$B$16,1,IF(L889&gt;=$B$17,$B$21,MATCH(L889,Aux_CAV!$A$2:$A$121,1))))</f>
        <v>11</v>
      </c>
      <c r="AC889" s="19" t="n">
        <f aca="false">IF(D889="","",COUNT($D$24:D889))</f>
        <v>854</v>
      </c>
    </row>
    <row r="890" customFormat="false" ht="12.75" hidden="false" customHeight="true" outlineLevel="0" collapsed="false">
      <c r="A890" s="14" t="n">
        <f aca="false">IF(D890="","",DATE(B890,C890,1))</f>
        <v>30011</v>
      </c>
      <c r="B890" s="15" t="n">
        <f aca="false" t="array" ref="B890:B890">IF(D890="","",IFERROR(VALUE(INDEX(Vazoes_COLAR!$A$2:$A$200,INT((ROW()-24)/12)+1)),""))</f>
        <v>1982</v>
      </c>
      <c r="C890" s="15" t="n">
        <f aca="false">IF(D890="","",MOD(ROW()-24,12)+1)</f>
        <v>3</v>
      </c>
      <c r="D890" s="16" t="n">
        <f aca="false" t="array" ref="D890: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0.690581977378158</v>
      </c>
      <c r="E890" s="16" t="n">
        <f aca="false">IF(D890="","",D890*$B$15)</f>
        <v>1.78998848536419</v>
      </c>
      <c r="F890" s="16" t="n">
        <f aca="false" t="array" ref="F890:F890">IF(D890="","",IFERROR(INDEX(Dados_Evap!$C$2:$N$15,MATCH($B$9,Dados_Evap!$A$2:$A$15,0),C890),0))</f>
        <v>107.7</v>
      </c>
      <c r="G890" s="16" t="n">
        <f aca="false">IF(F890="","",F890/1000)</f>
        <v>0.1077</v>
      </c>
      <c r="H890" s="16" t="n">
        <f aca="false">IF(D890="","",MAX(0,MIN($B$8,IFERROR(LOOKUP(2,1/($U$24:U889&lt;&gt;""),$U$24:U889),$B$11))))</f>
        <v>18.4225295203062</v>
      </c>
      <c r="I890" s="16" t="n">
        <f aca="false" t="array" ref="I890: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>3.93952182071952</v>
      </c>
      <c r="J890" s="16" t="n">
        <f aca="false">IF(D890="","",$B$12)</f>
        <v>0.35</v>
      </c>
      <c r="K890" s="16" t="n">
        <f aca="false">IF(J890="","",J890*$B$15)</f>
        <v>0.9072</v>
      </c>
      <c r="L890" s="16" t="n">
        <f aca="false">IF(D890="","",H890+E890-K890-G890*I890)</f>
        <v>18.8810315055789</v>
      </c>
      <c r="M890" s="16" t="n">
        <f aca="false" t="array" ref="M890: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>3.99431839944723</v>
      </c>
      <c r="N890" s="16" t="n">
        <f aca="false">IF(D890="","",(I890+M890)/2)</f>
        <v>3.96692011008337</v>
      </c>
      <c r="O890" s="16" t="n">
        <f aca="false">IF(D890="","",G890*N890)</f>
        <v>0.427237295855979</v>
      </c>
      <c r="P890" s="16" t="n">
        <f aca="false">IF(D890="","",H890+E890-K890-O890)</f>
        <v>18.8780807098144</v>
      </c>
      <c r="Q890" s="16" t="n">
        <f aca="false">IF(D890="","",IF(P890&gt;=0,K890,MAX(0,K890+P890)))</f>
        <v>0.9072</v>
      </c>
      <c r="R890" s="16" t="n">
        <f aca="false">IF(D890="","",Q890/$B$15)</f>
        <v>0.35</v>
      </c>
      <c r="S890" s="16" t="n">
        <f aca="false">IF(D890="","",MAX(0,J890-R890))</f>
        <v>0</v>
      </c>
      <c r="T890" s="16" t="n">
        <f aca="false">IF(D890="","",MAX(0,Z890-$B$8))</f>
        <v>0</v>
      </c>
      <c r="U890" s="16" t="n">
        <f aca="false">IF(D890="","",MAX(0,MIN($B$8,Z890)))</f>
        <v>18.8780807098144</v>
      </c>
      <c r="V890" s="16" t="str">
        <f aca="false">IF(D890="","",IF(S890&gt;0.0000001,"Sim","Não"))</f>
        <v>Não</v>
      </c>
      <c r="W890" s="16" t="n">
        <f aca="false">IF(D890="","",U890-(H890+E890-Q890-O890-T890))</f>
        <v>0</v>
      </c>
      <c r="X890" s="16" t="n">
        <f aca="false">IF(W890="","",ABS(W890))</f>
        <v>0</v>
      </c>
      <c r="Y890" s="16" t="n">
        <f aca="false">IF(U890="","",IF($B$8=0,0,U890/$B$8*100))</f>
        <v>39.9789934557695</v>
      </c>
      <c r="Z890" s="18" t="n">
        <f aca="false">IF(D890="","",MAX(0,IF(P890&gt;=0,P890,IF(K890+P890&gt;=0,0,P890+K890))))</f>
        <v>18.8780807098144</v>
      </c>
      <c r="AA890" s="18" t="n">
        <f aca="false">IF(D890="","",IF(H890&lt;=$B$16,1,IF(H890&gt;=$B$17,$B$21,MATCH(H890,Aux_CAV!$A$2:$A$121,1))))</f>
        <v>11</v>
      </c>
      <c r="AB890" s="18" t="n">
        <f aca="false">IF(D890="","",IF(L890&lt;=$B$16,1,IF(L890&gt;=$B$17,$B$21,MATCH(L890,Aux_CAV!$A$2:$A$121,1))))</f>
        <v>11</v>
      </c>
      <c r="AC890" s="19" t="n">
        <f aca="false">IF(D890="","",COUNT($D$24:D890))</f>
        <v>855</v>
      </c>
    </row>
    <row r="891" customFormat="false" ht="12.75" hidden="false" customHeight="true" outlineLevel="0" collapsed="false">
      <c r="A891" s="14" t="n">
        <f aca="false">IF(D891="","",DATE(B891,C891,1))</f>
        <v>30042</v>
      </c>
      <c r="B891" s="15" t="n">
        <f aca="false" t="array" ref="B891:B891">IF(D891="","",IFERROR(VALUE(INDEX(Vazoes_COLAR!$A$2:$A$200,INT((ROW()-24)/12)+1)),""))</f>
        <v>1982</v>
      </c>
      <c r="C891" s="15" t="n">
        <f aca="false">IF(D891="","",MOD(ROW()-24,12)+1)</f>
        <v>4</v>
      </c>
      <c r="D891" s="16" t="n">
        <f aca="false" t="array" ref="D891: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1.76665721703491</v>
      </c>
      <c r="E891" s="16" t="n">
        <f aca="false">IF(D891="","",D891*$B$15)</f>
        <v>4.57917550655449</v>
      </c>
      <c r="F891" s="16" t="n">
        <f aca="false" t="array" ref="F891:F891">IF(D891="","",IFERROR(INDEX(Dados_Evap!$C$2:$N$15,MATCH($B$9,Dados_Evap!$A$2:$A$15,0),C891),0))</f>
        <v>100.5</v>
      </c>
      <c r="G891" s="16" t="n">
        <f aca="false">IF(F891="","",F891/1000)</f>
        <v>0.1005</v>
      </c>
      <c r="H891" s="16" t="n">
        <f aca="false">IF(D891="","",MAX(0,MIN($B$8,IFERROR(LOOKUP(2,1/($U$24:U890&lt;&gt;""),$U$24:U890),$B$11))))</f>
        <v>18.8780807098144</v>
      </c>
      <c r="I891" s="16" t="n">
        <f aca="false" t="array" ref="I891: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>3.99396574336806</v>
      </c>
      <c r="J891" s="16" t="n">
        <f aca="false">IF(D891="","",$B$12)</f>
        <v>0.35</v>
      </c>
      <c r="K891" s="16" t="n">
        <f aca="false">IF(J891="","",J891*$B$15)</f>
        <v>0.9072</v>
      </c>
      <c r="L891" s="16" t="n">
        <f aca="false">IF(D891="","",H891+E891-K891-G891*I891)</f>
        <v>22.1486626591604</v>
      </c>
      <c r="M891" s="16" t="n">
        <f aca="false" t="array" ref="M891: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>4.38484017146063</v>
      </c>
      <c r="N891" s="16" t="n">
        <f aca="false">IF(D891="","",(I891+M891)/2)</f>
        <v>4.18940295741434</v>
      </c>
      <c r="O891" s="16" t="n">
        <f aca="false">IF(D891="","",G891*N891)</f>
        <v>0.421034997220142</v>
      </c>
      <c r="P891" s="16" t="n">
        <f aca="false">IF(D891="","",H891+E891-K891-O891)</f>
        <v>22.1290212191487</v>
      </c>
      <c r="Q891" s="16" t="n">
        <f aca="false">IF(D891="","",IF(P891&gt;=0,K891,MAX(0,K891+P891)))</f>
        <v>0.9072</v>
      </c>
      <c r="R891" s="16" t="n">
        <f aca="false">IF(D891="","",Q891/$B$15)</f>
        <v>0.35</v>
      </c>
      <c r="S891" s="16" t="n">
        <f aca="false">IF(D891="","",MAX(0,J891-R891))</f>
        <v>0</v>
      </c>
      <c r="T891" s="16" t="n">
        <f aca="false">IF(D891="","",MAX(0,Z891-$B$8))</f>
        <v>0</v>
      </c>
      <c r="U891" s="16" t="n">
        <f aca="false">IF(D891="","",MAX(0,MIN($B$8,Z891)))</f>
        <v>22.1290212191487</v>
      </c>
      <c r="V891" s="16" t="str">
        <f aca="false">IF(D891="","",IF(S891&gt;0.0000001,"Sim","Não"))</f>
        <v>Não</v>
      </c>
      <c r="W891" s="16" t="n">
        <f aca="false">IF(D891="","",U891-(H891+E891-Q891-O891-T891))</f>
        <v>0</v>
      </c>
      <c r="X891" s="16" t="n">
        <f aca="false">IF(W891="","",ABS(W891))</f>
        <v>0</v>
      </c>
      <c r="Y891" s="16" t="n">
        <f aca="false">IF(U891="","",IF($B$8=0,0,U891/$B$8*100))</f>
        <v>46.863662048176</v>
      </c>
      <c r="Z891" s="18" t="n">
        <f aca="false">IF(D891="","",MAX(0,IF(P891&gt;=0,P891,IF(K891+P891&gt;=0,0,P891+K891))))</f>
        <v>22.1290212191487</v>
      </c>
      <c r="AA891" s="18" t="n">
        <f aca="false">IF(D891="","",IF(H891&lt;=$B$16,1,IF(H891&gt;=$B$17,$B$21,MATCH(H891,Aux_CAV!$A$2:$A$121,1))))</f>
        <v>11</v>
      </c>
      <c r="AB891" s="18" t="n">
        <f aca="false">IF(D891="","",IF(L891&lt;=$B$16,1,IF(L891&gt;=$B$17,$B$21,MATCH(L891,Aux_CAV!$A$2:$A$121,1))))</f>
        <v>11</v>
      </c>
      <c r="AC891" s="19" t="n">
        <f aca="false">IF(D891="","",COUNT($D$24:D891))</f>
        <v>856</v>
      </c>
    </row>
    <row r="892" customFormat="false" ht="12.75" hidden="false" customHeight="true" outlineLevel="0" collapsed="false">
      <c r="A892" s="14" t="n">
        <f aca="false">IF(D892="","",DATE(B892,C892,1))</f>
        <v>30072</v>
      </c>
      <c r="B892" s="15" t="n">
        <f aca="false" t="array" ref="B892:B892">IF(D892="","",IFERROR(VALUE(INDEX(Vazoes_COLAR!$A$2:$A$200,INT((ROW()-24)/12)+1)),""))</f>
        <v>1982</v>
      </c>
      <c r="C892" s="15" t="n">
        <f aca="false">IF(D892="","",MOD(ROW()-24,12)+1)</f>
        <v>5</v>
      </c>
      <c r="D892" s="16" t="n">
        <f aca="false" t="array" ref="D892: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0.349606728122765</v>
      </c>
      <c r="E892" s="16" t="n">
        <f aca="false">IF(D892="","",D892*$B$15)</f>
        <v>0.906180639294207</v>
      </c>
      <c r="F892" s="16" t="n">
        <f aca="false" t="array" ref="F892:F892">IF(D892="","",IFERROR(INDEX(Dados_Evap!$C$2:$N$15,MATCH($B$9,Dados_Evap!$A$2:$A$15,0),C892),0))</f>
        <v>145.8</v>
      </c>
      <c r="G892" s="16" t="n">
        <f aca="false">IF(F892="","",F892/1000)</f>
        <v>0.1458</v>
      </c>
      <c r="H892" s="16" t="n">
        <f aca="false">IF(D892="","",MAX(0,MIN($B$8,IFERROR(LOOKUP(2,1/($U$24:U891&lt;&gt;""),$U$24:U891),$B$11))))</f>
        <v>22.1290212191487</v>
      </c>
      <c r="I892" s="16" t="n">
        <f aca="false" t="array" ref="I892: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>4.38249277984948</v>
      </c>
      <c r="J892" s="16" t="n">
        <f aca="false">IF(D892="","",$B$12)</f>
        <v>0.35</v>
      </c>
      <c r="K892" s="16" t="n">
        <f aca="false">IF(J892="","",J892*$B$15)</f>
        <v>0.9072</v>
      </c>
      <c r="L892" s="16" t="n">
        <f aca="false">IF(D892="","",H892+E892-K892-G892*I892)</f>
        <v>21.4890344111409</v>
      </c>
      <c r="M892" s="16" t="n">
        <f aca="false" t="array" ref="M892: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>4.30600655157537</v>
      </c>
      <c r="N892" s="16" t="n">
        <f aca="false">IF(D892="","",(I892+M892)/2)</f>
        <v>4.34424966571243</v>
      </c>
      <c r="O892" s="16" t="n">
        <f aca="false">IF(D892="","",G892*N892)</f>
        <v>0.633391601260872</v>
      </c>
      <c r="P892" s="16" t="n">
        <f aca="false">IF(D892="","",H892+E892-K892-O892)</f>
        <v>21.4946102571821</v>
      </c>
      <c r="Q892" s="16" t="n">
        <f aca="false">IF(D892="","",IF(P892&gt;=0,K892,MAX(0,K892+P892)))</f>
        <v>0.9072</v>
      </c>
      <c r="R892" s="16" t="n">
        <f aca="false">IF(D892="","",Q892/$B$15)</f>
        <v>0.35</v>
      </c>
      <c r="S892" s="16" t="n">
        <f aca="false">IF(D892="","",MAX(0,J892-R892))</f>
        <v>0</v>
      </c>
      <c r="T892" s="16" t="n">
        <f aca="false">IF(D892="","",MAX(0,Z892-$B$8))</f>
        <v>0</v>
      </c>
      <c r="U892" s="16" t="n">
        <f aca="false">IF(D892="","",MAX(0,MIN($B$8,Z892)))</f>
        <v>21.4946102571821</v>
      </c>
      <c r="V892" s="16" t="str">
        <f aca="false">IF(D892="","",IF(S892&gt;0.0000001,"Sim","Não"))</f>
        <v>Não</v>
      </c>
      <c r="W892" s="16" t="n">
        <f aca="false">IF(D892="","",U892-(H892+E892-Q892-O892-T892))</f>
        <v>0</v>
      </c>
      <c r="X892" s="16" t="n">
        <f aca="false">IF(W892="","",ABS(W892))</f>
        <v>0</v>
      </c>
      <c r="Y892" s="16" t="n">
        <f aca="false">IF(U892="","",IF($B$8=0,0,U892/$B$8*100))</f>
        <v>45.5201403159298</v>
      </c>
      <c r="Z892" s="18" t="n">
        <f aca="false">IF(D892="","",MAX(0,IF(P892&gt;=0,P892,IF(K892+P892&gt;=0,0,P892+K892))))</f>
        <v>21.4946102571821</v>
      </c>
      <c r="AA892" s="18" t="n">
        <f aca="false">IF(D892="","",IF(H892&lt;=$B$16,1,IF(H892&gt;=$B$17,$B$21,MATCH(H892,Aux_CAV!$A$2:$A$121,1))))</f>
        <v>11</v>
      </c>
      <c r="AB892" s="18" t="n">
        <f aca="false">IF(D892="","",IF(L892&lt;=$B$16,1,IF(L892&gt;=$B$17,$B$21,MATCH(L892,Aux_CAV!$A$2:$A$121,1))))</f>
        <v>11</v>
      </c>
      <c r="AC892" s="19" t="n">
        <f aca="false">IF(D892="","",COUNT($D$24:D892))</f>
        <v>857</v>
      </c>
    </row>
    <row r="893" customFormat="false" ht="12.75" hidden="false" customHeight="true" outlineLevel="0" collapsed="false">
      <c r="A893" s="14" t="n">
        <f aca="false">IF(D893="","",DATE(B893,C893,1))</f>
        <v>30103</v>
      </c>
      <c r="B893" s="15" t="n">
        <f aca="false" t="array" ref="B893:B893">IF(D893="","",IFERROR(VALUE(INDEX(Vazoes_COLAR!$A$2:$A$200,INT((ROW()-24)/12)+1)),""))</f>
        <v>1982</v>
      </c>
      <c r="C893" s="15" t="n">
        <f aca="false">IF(D893="","",MOD(ROW()-24,12)+1)</f>
        <v>6</v>
      </c>
      <c r="D893" s="16" t="n">
        <f aca="false" t="array" ref="D893: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0.0361427558347861</v>
      </c>
      <c r="E893" s="16" t="n">
        <f aca="false">IF(D893="","",D893*$B$15)</f>
        <v>0.0936820231237656</v>
      </c>
      <c r="F893" s="16" t="n">
        <f aca="false" t="array" ref="F893:F893">IF(D893="","",IFERROR(INDEX(Dados_Evap!$C$2:$N$15,MATCH($B$9,Dados_Evap!$A$2:$A$15,0),C893),0))</f>
        <v>161.3</v>
      </c>
      <c r="G893" s="16" t="n">
        <f aca="false">IF(F893="","",F893/1000)</f>
        <v>0.1613</v>
      </c>
      <c r="H893" s="16" t="n">
        <f aca="false">IF(D893="","",MAX(0,MIN($B$8,IFERROR(LOOKUP(2,1/($U$24:U892&lt;&gt;""),$U$24:U892),$B$11))))</f>
        <v>21.4946102571821</v>
      </c>
      <c r="I893" s="16" t="n">
        <f aca="false" t="array" ref="I893: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>4.30667293317542</v>
      </c>
      <c r="J893" s="16" t="n">
        <f aca="false">IF(D893="","",$B$12)</f>
        <v>0.35</v>
      </c>
      <c r="K893" s="16" t="n">
        <f aca="false">IF(J893="","",J893*$B$15)</f>
        <v>0.9072</v>
      </c>
      <c r="L893" s="16" t="n">
        <f aca="false">IF(D893="","",H893+E893-K893-G893*I893)</f>
        <v>19.9864259361846</v>
      </c>
      <c r="M893" s="16" t="n">
        <f aca="false" t="array" ref="M893: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>4.1264265143245</v>
      </c>
      <c r="N893" s="16" t="n">
        <f aca="false">IF(D893="","",(I893+M893)/2)</f>
        <v>4.21654972374996</v>
      </c>
      <c r="O893" s="16" t="n">
        <f aca="false">IF(D893="","",G893*N893)</f>
        <v>0.680129470440869</v>
      </c>
      <c r="P893" s="16" t="n">
        <f aca="false">IF(D893="","",H893+E893-K893-O893)</f>
        <v>20.0009628098649</v>
      </c>
      <c r="Q893" s="16" t="n">
        <f aca="false">IF(D893="","",IF(P893&gt;=0,K893,MAX(0,K893+P893)))</f>
        <v>0.9072</v>
      </c>
      <c r="R893" s="16" t="n">
        <f aca="false">IF(D893="","",Q893/$B$15)</f>
        <v>0.35</v>
      </c>
      <c r="S893" s="16" t="n">
        <f aca="false">IF(D893="","",MAX(0,J893-R893))</f>
        <v>0</v>
      </c>
      <c r="T893" s="16" t="n">
        <f aca="false">IF(D893="","",MAX(0,Z893-$B$8))</f>
        <v>0</v>
      </c>
      <c r="U893" s="16" t="n">
        <f aca="false">IF(D893="","",MAX(0,MIN($B$8,Z893)))</f>
        <v>20.0009628098649</v>
      </c>
      <c r="V893" s="16" t="str">
        <f aca="false">IF(D893="","",IF(S893&gt;0.0000001,"Sim","Não"))</f>
        <v>Não</v>
      </c>
      <c r="W893" s="16" t="n">
        <f aca="false">IF(D893="","",U893-(H893+E893-Q893-O893-T893))</f>
        <v>0</v>
      </c>
      <c r="X893" s="16" t="n">
        <f aca="false">IF(W893="","",ABS(W893))</f>
        <v>0</v>
      </c>
      <c r="Y893" s="16" t="n">
        <f aca="false">IF(U893="","",IF($B$8=0,0,U893/$B$8*100))</f>
        <v>42.3569733372828</v>
      </c>
      <c r="Z893" s="18" t="n">
        <f aca="false">IF(D893="","",MAX(0,IF(P893&gt;=0,P893,IF(K893+P893&gt;=0,0,P893+K893))))</f>
        <v>20.0009628098649</v>
      </c>
      <c r="AA893" s="18" t="n">
        <f aca="false">IF(D893="","",IF(H893&lt;=$B$16,1,IF(H893&gt;=$B$17,$B$21,MATCH(H893,Aux_CAV!$A$2:$A$121,1))))</f>
        <v>11</v>
      </c>
      <c r="AB893" s="18" t="n">
        <f aca="false">IF(D893="","",IF(L893&lt;=$B$16,1,IF(L893&gt;=$B$17,$B$21,MATCH(L893,Aux_CAV!$A$2:$A$121,1))))</f>
        <v>11</v>
      </c>
      <c r="AC893" s="19" t="n">
        <f aca="false">IF(D893="","",COUNT($D$24:D893))</f>
        <v>858</v>
      </c>
    </row>
    <row r="894" customFormat="false" ht="12.75" hidden="false" customHeight="true" outlineLevel="0" collapsed="false">
      <c r="A894" s="14" t="n">
        <f aca="false">IF(D894="","",DATE(B894,C894,1))</f>
        <v>30133</v>
      </c>
      <c r="B894" s="15" t="n">
        <f aca="false" t="array" ref="B894:B894">IF(D894="","",IFERROR(VALUE(INDEX(Vazoes_COLAR!$A$2:$A$200,INT((ROW()-24)/12)+1)),""))</f>
        <v>1982</v>
      </c>
      <c r="C894" s="15" t="n">
        <f aca="false">IF(D894="","",MOD(ROW()-24,12)+1)</f>
        <v>7</v>
      </c>
      <c r="D894" s="16" t="n">
        <f aca="false" t="array" ref="D894: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0.0252103649831719</v>
      </c>
      <c r="E894" s="16" t="n">
        <f aca="false">IF(D894="","",D894*$B$15)</f>
        <v>0.0653452660363816</v>
      </c>
      <c r="F894" s="16" t="n">
        <f aca="false" t="array" ref="F894:F894">IF(D894="","",IFERROR(INDEX(Dados_Evap!$C$2:$N$15,MATCH($B$9,Dados_Evap!$A$2:$A$15,0),C894),0))</f>
        <v>224.8</v>
      </c>
      <c r="G894" s="16" t="n">
        <f aca="false">IF(F894="","",F894/1000)</f>
        <v>0.2248</v>
      </c>
      <c r="H894" s="16" t="n">
        <f aca="false">IF(D894="","",MAX(0,MIN($B$8,IFERROR(LOOKUP(2,1/($U$24:U893&lt;&gt;""),$U$24:U893),$B$11))))</f>
        <v>20.0009628098649</v>
      </c>
      <c r="I894" s="16" t="n">
        <f aca="false" t="array" ref="I894: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>4.12816384800825</v>
      </c>
      <c r="J894" s="16" t="n">
        <f aca="false">IF(D894="","",$B$12)</f>
        <v>0.35</v>
      </c>
      <c r="K894" s="16" t="n">
        <f aca="false">IF(J894="","",J894*$B$15)</f>
        <v>0.9072</v>
      </c>
      <c r="L894" s="16" t="n">
        <f aca="false">IF(D894="","",H894+E894-K894-G894*I894)</f>
        <v>18.2310968428691</v>
      </c>
      <c r="M894" s="16" t="n">
        <f aca="false" t="array" ref="M894: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>3.91664328122094</v>
      </c>
      <c r="N894" s="16" t="n">
        <f aca="false">IF(D894="","",(I894+M894)/2)</f>
        <v>4.02240356461459</v>
      </c>
      <c r="O894" s="16" t="n">
        <f aca="false">IF(D894="","",G894*N894)</f>
        <v>0.904236321325361</v>
      </c>
      <c r="P894" s="16" t="n">
        <f aca="false">IF(D894="","",H894+E894-K894-O894)</f>
        <v>18.254871754576</v>
      </c>
      <c r="Q894" s="16" t="n">
        <f aca="false">IF(D894="","",IF(P894&gt;=0,K894,MAX(0,K894+P894)))</f>
        <v>0.9072</v>
      </c>
      <c r="R894" s="16" t="n">
        <f aca="false">IF(D894="","",Q894/$B$15)</f>
        <v>0.35</v>
      </c>
      <c r="S894" s="16" t="n">
        <f aca="false">IF(D894="","",MAX(0,J894-R894))</f>
        <v>0</v>
      </c>
      <c r="T894" s="16" t="n">
        <f aca="false">IF(D894="","",MAX(0,Z894-$B$8))</f>
        <v>0</v>
      </c>
      <c r="U894" s="16" t="n">
        <f aca="false">IF(D894="","",MAX(0,MIN($B$8,Z894)))</f>
        <v>18.254871754576</v>
      </c>
      <c r="V894" s="16" t="str">
        <f aca="false">IF(D894="","",IF(S894&gt;0.0000001,"Sim","Não"))</f>
        <v>Não</v>
      </c>
      <c r="W894" s="16" t="n">
        <f aca="false">IF(D894="","",U894-(H894+E894-Q894-O894-T894))</f>
        <v>0</v>
      </c>
      <c r="X894" s="16" t="n">
        <f aca="false">IF(W894="","",ABS(W894))</f>
        <v>0</v>
      </c>
      <c r="Y894" s="16" t="n">
        <f aca="false">IF(U894="","",IF($B$8=0,0,U894/$B$8*100))</f>
        <v>38.6591947365014</v>
      </c>
      <c r="Z894" s="18" t="n">
        <f aca="false">IF(D894="","",MAX(0,IF(P894&gt;=0,P894,IF(K894+P894&gt;=0,0,P894+K894))))</f>
        <v>18.254871754576</v>
      </c>
      <c r="AA894" s="18" t="n">
        <f aca="false">IF(D894="","",IF(H894&lt;=$B$16,1,IF(H894&gt;=$B$17,$B$21,MATCH(H894,Aux_CAV!$A$2:$A$121,1))))</f>
        <v>11</v>
      </c>
      <c r="AB894" s="18" t="n">
        <f aca="false">IF(D894="","",IF(L894&lt;=$B$16,1,IF(L894&gt;=$B$17,$B$21,MATCH(L894,Aux_CAV!$A$2:$A$121,1))))</f>
        <v>11</v>
      </c>
      <c r="AC894" s="19" t="n">
        <f aca="false">IF(D894="","",COUNT($D$24:D894))</f>
        <v>859</v>
      </c>
    </row>
    <row r="895" customFormat="false" ht="12.75" hidden="false" customHeight="true" outlineLevel="0" collapsed="false">
      <c r="A895" s="14" t="n">
        <f aca="false">IF(D895="","",DATE(B895,C895,1))</f>
        <v>30164</v>
      </c>
      <c r="B895" s="15" t="n">
        <f aca="false" t="array" ref="B895:B895">IF(D895="","",IFERROR(VALUE(INDEX(Vazoes_COLAR!$A$2:$A$200,INT((ROW()-24)/12)+1)),""))</f>
        <v>1982</v>
      </c>
      <c r="C895" s="15" t="n">
        <f aca="false">IF(D895="","",MOD(ROW()-24,12)+1)</f>
        <v>8</v>
      </c>
      <c r="D895" s="16" t="n">
        <f aca="false" t="array" ref="D895: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0.0129880503860985</v>
      </c>
      <c r="E895" s="16" t="n">
        <f aca="false">IF(D895="","",D895*$B$15)</f>
        <v>0.0336650266007673</v>
      </c>
      <c r="F895" s="16" t="n">
        <f aca="false" t="array" ref="F895:F895">IF(D895="","",IFERROR(INDEX(Dados_Evap!$C$2:$N$15,MATCH($B$9,Dados_Evap!$A$2:$A$15,0),C895),0))</f>
        <v>268.7</v>
      </c>
      <c r="G895" s="16" t="n">
        <f aca="false">IF(F895="","",F895/1000)</f>
        <v>0.2687</v>
      </c>
      <c r="H895" s="16" t="n">
        <f aca="false">IF(D895="","",MAX(0,MIN($B$8,IFERROR(LOOKUP(2,1/($U$24:U894&lt;&gt;""),$U$24:U894),$B$11))))</f>
        <v>18.254871754576</v>
      </c>
      <c r="I895" s="16" t="n">
        <f aca="false" t="array" ref="I895: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>3.91948467310786</v>
      </c>
      <c r="J895" s="16" t="n">
        <f aca="false">IF(D895="","",$B$12)</f>
        <v>0.35</v>
      </c>
      <c r="K895" s="16" t="n">
        <f aca="false">IF(J895="","",J895*$B$15)</f>
        <v>0.9072</v>
      </c>
      <c r="L895" s="16" t="n">
        <f aca="false">IF(D895="","",H895+E895-K895-G895*I895)</f>
        <v>16.3281712495127</v>
      </c>
      <c r="M895" s="16" t="n">
        <f aca="false" t="array" ref="M895: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>3.68922046640517</v>
      </c>
      <c r="N895" s="16" t="n">
        <f aca="false">IF(D895="","",(I895+M895)/2)</f>
        <v>3.80435256975652</v>
      </c>
      <c r="O895" s="16" t="n">
        <f aca="false">IF(D895="","",G895*N895)</f>
        <v>1.02222953549358</v>
      </c>
      <c r="P895" s="16" t="n">
        <f aca="false">IF(D895="","",H895+E895-K895-O895)</f>
        <v>16.3591072456832</v>
      </c>
      <c r="Q895" s="16" t="n">
        <f aca="false">IF(D895="","",IF(P895&gt;=0,K895,MAX(0,K895+P895)))</f>
        <v>0.9072</v>
      </c>
      <c r="R895" s="16" t="n">
        <f aca="false">IF(D895="","",Q895/$B$15)</f>
        <v>0.35</v>
      </c>
      <c r="S895" s="16" t="n">
        <f aca="false">IF(D895="","",MAX(0,J895-R895))</f>
        <v>0</v>
      </c>
      <c r="T895" s="16" t="n">
        <f aca="false">IF(D895="","",MAX(0,Z895-$B$8))</f>
        <v>0</v>
      </c>
      <c r="U895" s="16" t="n">
        <f aca="false">IF(D895="","",MAX(0,MIN($B$8,Z895)))</f>
        <v>16.3591072456832</v>
      </c>
      <c r="V895" s="16" t="str">
        <f aca="false">IF(D895="","",IF(S895&gt;0.0000001,"Sim","Não"))</f>
        <v>Não</v>
      </c>
      <c r="W895" s="16" t="n">
        <f aca="false">IF(D895="","",U895-(H895+E895-Q895-O895-T895))</f>
        <v>0</v>
      </c>
      <c r="X895" s="16" t="n">
        <f aca="false">IF(W895="","",ABS(W895))</f>
        <v>0</v>
      </c>
      <c r="Y895" s="16" t="n">
        <f aca="false">IF(U895="","",IF($B$8=0,0,U895/$B$8*100))</f>
        <v>34.6444456706547</v>
      </c>
      <c r="Z895" s="18" t="n">
        <f aca="false">IF(D895="","",MAX(0,IF(P895&gt;=0,P895,IF(K895+P895&gt;=0,0,P895+K895))))</f>
        <v>16.3591072456832</v>
      </c>
      <c r="AA895" s="18" t="n">
        <f aca="false">IF(D895="","",IF(H895&lt;=$B$16,1,IF(H895&gt;=$B$17,$B$21,MATCH(H895,Aux_CAV!$A$2:$A$121,1))))</f>
        <v>11</v>
      </c>
      <c r="AB895" s="18" t="n">
        <f aca="false">IF(D895="","",IF(L895&lt;=$B$16,1,IF(L895&gt;=$B$17,$B$21,MATCH(L895,Aux_CAV!$A$2:$A$121,1))))</f>
        <v>11</v>
      </c>
      <c r="AC895" s="19" t="n">
        <f aca="false">IF(D895="","",COUNT($D$24:D895))</f>
        <v>860</v>
      </c>
    </row>
    <row r="896" customFormat="false" ht="12.75" hidden="false" customHeight="true" outlineLevel="0" collapsed="false">
      <c r="A896" s="14" t="n">
        <f aca="false">IF(D896="","",DATE(B896,C896,1))</f>
        <v>30195</v>
      </c>
      <c r="B896" s="15" t="n">
        <f aca="false" t="array" ref="B896:B896">IF(D896="","",IFERROR(VALUE(INDEX(Vazoes_COLAR!$A$2:$A$200,INT((ROW()-24)/12)+1)),""))</f>
        <v>1982</v>
      </c>
      <c r="C896" s="15" t="n">
        <f aca="false">IF(D896="","",MOD(ROW()-24,12)+1)</f>
        <v>9</v>
      </c>
      <c r="D896" s="16" t="n">
        <f aca="false" t="array" ref="D896: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0.01099930485017</v>
      </c>
      <c r="E896" s="16" t="n">
        <f aca="false">IF(D896="","",D896*$B$15)</f>
        <v>0.0285101981716406</v>
      </c>
      <c r="F896" s="16" t="n">
        <f aca="false" t="array" ref="F896:F896">IF(D896="","",IFERROR(INDEX(Dados_Evap!$C$2:$N$15,MATCH($B$9,Dados_Evap!$A$2:$A$15,0),C896),0))</f>
        <v>292.8</v>
      </c>
      <c r="G896" s="16" t="n">
        <f aca="false">IF(F896="","",F896/1000)</f>
        <v>0.2928</v>
      </c>
      <c r="H896" s="16" t="n">
        <f aca="false">IF(D896="","",MAX(0,MIN($B$8,IFERROR(LOOKUP(2,1/($U$24:U895&lt;&gt;""),$U$24:U895),$B$11))))</f>
        <v>16.3591072456832</v>
      </c>
      <c r="I896" s="16" t="n">
        <f aca="false" t="array" ref="I896: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>3.69291769521579</v>
      </c>
      <c r="J896" s="16" t="n">
        <f aca="false">IF(D896="","",$B$12)</f>
        <v>0.35</v>
      </c>
      <c r="K896" s="16" t="n">
        <f aca="false">IF(J896="","",J896*$B$15)</f>
        <v>0.9072</v>
      </c>
      <c r="L896" s="16" t="n">
        <f aca="false">IF(D896="","",H896+E896-K896-G896*I896)</f>
        <v>14.3991311426956</v>
      </c>
      <c r="M896" s="16" t="n">
        <f aca="false" t="array" ref="M896: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>3.51345530334757</v>
      </c>
      <c r="N896" s="16" t="n">
        <f aca="false">IF(D896="","",(I896+M896)/2)</f>
        <v>3.60318649928168</v>
      </c>
      <c r="O896" s="16" t="n">
        <f aca="false">IF(D896="","",G896*N896)</f>
        <v>1.05501300698968</v>
      </c>
      <c r="P896" s="16" t="n">
        <f aca="false">IF(D896="","",H896+E896-K896-O896)</f>
        <v>14.4254044368651</v>
      </c>
      <c r="Q896" s="16" t="n">
        <f aca="false">IF(D896="","",IF(P896&gt;=0,K896,MAX(0,K896+P896)))</f>
        <v>0.9072</v>
      </c>
      <c r="R896" s="16" t="n">
        <f aca="false">IF(D896="","",Q896/$B$15)</f>
        <v>0.35</v>
      </c>
      <c r="S896" s="16" t="n">
        <f aca="false">IF(D896="","",MAX(0,J896-R896))</f>
        <v>0</v>
      </c>
      <c r="T896" s="16" t="n">
        <f aca="false">IF(D896="","",MAX(0,Z896-$B$8))</f>
        <v>0</v>
      </c>
      <c r="U896" s="16" t="n">
        <f aca="false">IF(D896="","",MAX(0,MIN($B$8,Z896)))</f>
        <v>14.4254044368651</v>
      </c>
      <c r="V896" s="16" t="str">
        <f aca="false">IF(D896="","",IF(S896&gt;0.0000001,"Sim","Não"))</f>
        <v>Não</v>
      </c>
      <c r="W896" s="16" t="n">
        <f aca="false">IF(D896="","",U896-(H896+E896-Q896-O896-T896))</f>
        <v>0</v>
      </c>
      <c r="X896" s="16" t="n">
        <f aca="false">IF(W896="","",ABS(W896))</f>
        <v>0</v>
      </c>
      <c r="Y896" s="16" t="n">
        <f aca="false">IF(U896="","",IF($B$8=0,0,U896/$B$8*100))</f>
        <v>30.5493528946741</v>
      </c>
      <c r="Z896" s="18" t="n">
        <f aca="false">IF(D896="","",MAX(0,IF(P896&gt;=0,P896,IF(K896+P896&gt;=0,0,P896+K896))))</f>
        <v>14.4254044368651</v>
      </c>
      <c r="AA896" s="18" t="n">
        <f aca="false">IF(D896="","",IF(H896&lt;=$B$16,1,IF(H896&gt;=$B$17,$B$21,MATCH(H896,Aux_CAV!$A$2:$A$121,1))))</f>
        <v>11</v>
      </c>
      <c r="AB896" s="18" t="n">
        <f aca="false">IF(D896="","",IF(L896&lt;=$B$16,1,IF(L896&gt;=$B$17,$B$21,MATCH(L896,Aux_CAV!$A$2:$A$121,1))))</f>
        <v>10</v>
      </c>
      <c r="AC896" s="19" t="n">
        <f aca="false">IF(D896="","",COUNT($D$24:D896))</f>
        <v>861</v>
      </c>
    </row>
    <row r="897" customFormat="false" ht="12.75" hidden="false" customHeight="true" outlineLevel="0" collapsed="false">
      <c r="A897" s="14" t="n">
        <f aca="false">IF(D897="","",DATE(B897,C897,1))</f>
        <v>30225</v>
      </c>
      <c r="B897" s="15" t="n">
        <f aca="false" t="array" ref="B897:B897">IF(D897="","",IFERROR(VALUE(INDEX(Vazoes_COLAR!$A$2:$A$200,INT((ROW()-24)/12)+1)),""))</f>
        <v>1982</v>
      </c>
      <c r="C897" s="15" t="n">
        <f aca="false">IF(D897="","",MOD(ROW()-24,12)+1)</f>
        <v>10</v>
      </c>
      <c r="D897" s="16" t="n">
        <f aca="false" t="array" ref="D897: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0.00930656796212666</v>
      </c>
      <c r="E897" s="16" t="n">
        <f aca="false">IF(D897="","",D897*$B$15)</f>
        <v>0.0241226241578323</v>
      </c>
      <c r="F897" s="16" t="n">
        <f aca="false" t="array" ref="F897:F897">IF(D897="","",IFERROR(INDEX(Dados_Evap!$C$2:$N$15,MATCH($B$9,Dados_Evap!$A$2:$A$15,0),C897),0))</f>
        <v>262.9</v>
      </c>
      <c r="G897" s="16" t="n">
        <f aca="false">IF(F897="","",F897/1000)</f>
        <v>0.2629</v>
      </c>
      <c r="H897" s="16" t="n">
        <f aca="false">IF(D897="","",MAX(0,MIN($B$8,IFERROR(LOOKUP(2,1/($U$24:U896&lt;&gt;""),$U$24:U896),$B$11))))</f>
        <v>14.4254044368651</v>
      </c>
      <c r="I897" s="16" t="n">
        <f aca="false" t="array" ref="I897: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>3.51569626079144</v>
      </c>
      <c r="J897" s="16" t="n">
        <f aca="false">IF(D897="","",$B$12)</f>
        <v>0.35</v>
      </c>
      <c r="K897" s="16" t="n">
        <f aca="false">IF(J897="","",J897*$B$15)</f>
        <v>0.9072</v>
      </c>
      <c r="L897" s="16" t="n">
        <f aca="false">IF(D897="","",H897+E897-K897-G897*I897)</f>
        <v>12.6180505140609</v>
      </c>
      <c r="M897" s="16" t="n">
        <f aca="false" t="array" ref="M897: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>3.3615396026699</v>
      </c>
      <c r="N897" s="16" t="n">
        <f aca="false">IF(D897="","",(I897+M897)/2)</f>
        <v>3.43861793173067</v>
      </c>
      <c r="O897" s="16" t="n">
        <f aca="false">IF(D897="","",G897*N897)</f>
        <v>0.904012654251993</v>
      </c>
      <c r="P897" s="16" t="n">
        <f aca="false">IF(D897="","",H897+E897-K897-O897)</f>
        <v>12.638314406771</v>
      </c>
      <c r="Q897" s="16" t="n">
        <f aca="false">IF(D897="","",IF(P897&gt;=0,K897,MAX(0,K897+P897)))</f>
        <v>0.9072</v>
      </c>
      <c r="R897" s="16" t="n">
        <f aca="false">IF(D897="","",Q897/$B$15)</f>
        <v>0.35</v>
      </c>
      <c r="S897" s="16" t="n">
        <f aca="false">IF(D897="","",MAX(0,J897-R897))</f>
        <v>0</v>
      </c>
      <c r="T897" s="16" t="n">
        <f aca="false">IF(D897="","",MAX(0,Z897-$B$8))</f>
        <v>0</v>
      </c>
      <c r="U897" s="16" t="n">
        <f aca="false">IF(D897="","",MAX(0,MIN($B$8,Z897)))</f>
        <v>12.638314406771</v>
      </c>
      <c r="V897" s="16" t="str">
        <f aca="false">IF(D897="","",IF(S897&gt;0.0000001,"Sim","Não"))</f>
        <v>Não</v>
      </c>
      <c r="W897" s="16" t="n">
        <f aca="false">IF(D897="","",U897-(H897+E897-Q897-O897-T897))</f>
        <v>0</v>
      </c>
      <c r="X897" s="16" t="n">
        <f aca="false">IF(W897="","",ABS(W897))</f>
        <v>0</v>
      </c>
      <c r="Y897" s="16" t="n">
        <f aca="false">IF(U897="","",IF($B$8=0,0,U897/$B$8*100))</f>
        <v>26.7647488495785</v>
      </c>
      <c r="Z897" s="18" t="n">
        <f aca="false">IF(D897="","",MAX(0,IF(P897&gt;=0,P897,IF(K897+P897&gt;=0,0,P897+K897))))</f>
        <v>12.638314406771</v>
      </c>
      <c r="AA897" s="18" t="n">
        <f aca="false">IF(D897="","",IF(H897&lt;=$B$16,1,IF(H897&gt;=$B$17,$B$21,MATCH(H897,Aux_CAV!$A$2:$A$121,1))))</f>
        <v>10</v>
      </c>
      <c r="AB897" s="18" t="n">
        <f aca="false">IF(D897="","",IF(L897&lt;=$B$16,1,IF(L897&gt;=$B$17,$B$21,MATCH(L897,Aux_CAV!$A$2:$A$121,1))))</f>
        <v>10</v>
      </c>
      <c r="AC897" s="19" t="n">
        <f aca="false">IF(D897="","",COUNT($D$24:D897))</f>
        <v>862</v>
      </c>
    </row>
    <row r="898" customFormat="false" ht="12.75" hidden="false" customHeight="true" outlineLevel="0" collapsed="false">
      <c r="A898" s="14" t="n">
        <f aca="false">IF(D898="","",DATE(B898,C898,1))</f>
        <v>30256</v>
      </c>
      <c r="B898" s="15" t="n">
        <f aca="false" t="array" ref="B898:B898">IF(D898="","",IFERROR(VALUE(INDEX(Vazoes_COLAR!$A$2:$A$200,INT((ROW()-24)/12)+1)),""))</f>
        <v>1982</v>
      </c>
      <c r="C898" s="15" t="n">
        <f aca="false">IF(D898="","",MOD(ROW()-24,12)+1)</f>
        <v>11</v>
      </c>
      <c r="D898" s="16" t="n">
        <f aca="false" t="array" ref="D898: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0.0118326366063638</v>
      </c>
      <c r="E898" s="16" t="n">
        <f aca="false">IF(D898="","",D898*$B$15)</f>
        <v>0.030670194083695</v>
      </c>
      <c r="F898" s="16" t="n">
        <f aca="false" t="array" ref="F898:F898">IF(D898="","",IFERROR(INDEX(Dados_Evap!$C$2:$N$15,MATCH($B$9,Dados_Evap!$A$2:$A$15,0),C898),0))</f>
        <v>223.7</v>
      </c>
      <c r="G898" s="16" t="n">
        <f aca="false">IF(F898="","",F898/1000)</f>
        <v>0.2237</v>
      </c>
      <c r="H898" s="16" t="n">
        <f aca="false">IF(D898="","",MAX(0,MIN($B$8,IFERROR(LOOKUP(2,1/($U$24:U897&lt;&gt;""),$U$24:U897),$B$11))))</f>
        <v>12.638314406771</v>
      </c>
      <c r="I898" s="16" t="n">
        <f aca="false" t="array" ref="I898: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>3.3632679935187</v>
      </c>
      <c r="J898" s="16" t="n">
        <f aca="false">IF(D898="","",$B$12)</f>
        <v>0.35</v>
      </c>
      <c r="K898" s="16" t="n">
        <f aca="false">IF(J898="","",J898*$B$15)</f>
        <v>0.9072</v>
      </c>
      <c r="L898" s="16" t="n">
        <f aca="false">IF(D898="","",H898+E898-K898-G898*I898)</f>
        <v>11.0094215507045</v>
      </c>
      <c r="M898" s="16" t="n">
        <f aca="false" t="array" ref="M898: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>3.22433301461892</v>
      </c>
      <c r="N898" s="16" t="n">
        <f aca="false">IF(D898="","",(I898+M898)/2)</f>
        <v>3.29380050406881</v>
      </c>
      <c r="O898" s="16" t="n">
        <f aca="false">IF(D898="","",G898*N898)</f>
        <v>0.736823172760192</v>
      </c>
      <c r="P898" s="16" t="n">
        <f aca="false">IF(D898="","",H898+E898-K898-O898)</f>
        <v>11.0249614280945</v>
      </c>
      <c r="Q898" s="16" t="n">
        <f aca="false">IF(D898="","",IF(P898&gt;=0,K898,MAX(0,K898+P898)))</f>
        <v>0.9072</v>
      </c>
      <c r="R898" s="16" t="n">
        <f aca="false">IF(D898="","",Q898/$B$15)</f>
        <v>0.35</v>
      </c>
      <c r="S898" s="16" t="n">
        <f aca="false">IF(D898="","",MAX(0,J898-R898))</f>
        <v>0</v>
      </c>
      <c r="T898" s="16" t="n">
        <f aca="false">IF(D898="","",MAX(0,Z898-$B$8))</f>
        <v>0</v>
      </c>
      <c r="U898" s="16" t="n">
        <f aca="false">IF(D898="","",MAX(0,MIN($B$8,Z898)))</f>
        <v>11.0249614280945</v>
      </c>
      <c r="V898" s="16" t="str">
        <f aca="false">IF(D898="","",IF(S898&gt;0.0000001,"Sim","Não"))</f>
        <v>Não</v>
      </c>
      <c r="W898" s="16" t="n">
        <f aca="false">IF(D898="","",U898-(H898+E898-Q898-O898-T898))</f>
        <v>0</v>
      </c>
      <c r="X898" s="16" t="n">
        <f aca="false">IF(W898="","",ABS(W898))</f>
        <v>0</v>
      </c>
      <c r="Y898" s="16" t="n">
        <f aca="false">IF(U898="","",IF($B$8=0,0,U898/$B$8*100))</f>
        <v>23.3480758748295</v>
      </c>
      <c r="Z898" s="18" t="n">
        <f aca="false">IF(D898="","",MAX(0,IF(P898&gt;=0,P898,IF(K898+P898&gt;=0,0,P898+K898))))</f>
        <v>11.0249614280945</v>
      </c>
      <c r="AA898" s="18" t="n">
        <f aca="false">IF(D898="","",IF(H898&lt;=$B$16,1,IF(H898&gt;=$B$17,$B$21,MATCH(H898,Aux_CAV!$A$2:$A$121,1))))</f>
        <v>10</v>
      </c>
      <c r="AB898" s="18" t="n">
        <f aca="false">IF(D898="","",IF(L898&lt;=$B$16,1,IF(L898&gt;=$B$17,$B$21,MATCH(L898,Aux_CAV!$A$2:$A$121,1))))</f>
        <v>10</v>
      </c>
      <c r="AC898" s="19" t="n">
        <f aca="false">IF(D898="","",COUNT($D$24:D898))</f>
        <v>863</v>
      </c>
    </row>
    <row r="899" customFormat="false" ht="12.75" hidden="false" customHeight="true" outlineLevel="0" collapsed="false">
      <c r="A899" s="14" t="n">
        <f aca="false">IF(D899="","",DATE(B899,C899,1))</f>
        <v>30286</v>
      </c>
      <c r="B899" s="15" t="n">
        <f aca="false" t="array" ref="B899:B899">IF(D899="","",IFERROR(VALUE(INDEX(Vazoes_COLAR!$A$2:$A$200,INT((ROW()-24)/12)+1)),""))</f>
        <v>1982</v>
      </c>
      <c r="C899" s="15" t="n">
        <f aca="false">IF(D899="","",MOD(ROW()-24,12)+1)</f>
        <v>12</v>
      </c>
      <c r="D899" s="16" t="n">
        <f aca="false" t="array" ref="D899: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0.0236277000625228</v>
      </c>
      <c r="E899" s="16" t="n">
        <f aca="false">IF(D899="","",D899*$B$15)</f>
        <v>0.0612429985620591</v>
      </c>
      <c r="F899" s="16" t="n">
        <f aca="false" t="array" ref="F899:F899">IF(D899="","",IFERROR(INDEX(Dados_Evap!$C$2:$N$15,MATCH($B$9,Dados_Evap!$A$2:$A$15,0),C899),0))</f>
        <v>216.1</v>
      </c>
      <c r="G899" s="16" t="n">
        <f aca="false">IF(F899="","",F899/1000)</f>
        <v>0.2161</v>
      </c>
      <c r="H899" s="16" t="n">
        <f aca="false">IF(D899="","",MAX(0,MIN($B$8,IFERROR(LOOKUP(2,1/($U$24:U898&lt;&gt;""),$U$24:U898),$B$11))))</f>
        <v>11.0249614280945</v>
      </c>
      <c r="I899" s="16" t="n">
        <f aca="false" t="array" ref="I899: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>3.22565847474923</v>
      </c>
      <c r="J899" s="16" t="n">
        <f aca="false">IF(D899="","",$B$12)</f>
        <v>0.35</v>
      </c>
      <c r="K899" s="16" t="n">
        <f aca="false">IF(J899="","",J899*$B$15)</f>
        <v>0.9072</v>
      </c>
      <c r="L899" s="16" t="n">
        <f aca="false">IF(D899="","",H899+E899-K899-G899*I899)</f>
        <v>9.48193963026322</v>
      </c>
      <c r="M899" s="16" t="n">
        <f aca="false" t="array" ref="M899: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>3.09404779199304</v>
      </c>
      <c r="N899" s="16" t="n">
        <f aca="false">IF(D899="","",(I899+M899)/2)</f>
        <v>3.15985313337114</v>
      </c>
      <c r="O899" s="16" t="n">
        <f aca="false">IF(D899="","",G899*N899)</f>
        <v>0.682844262121503</v>
      </c>
      <c r="P899" s="16" t="n">
        <f aca="false">IF(D899="","",H899+E899-K899-O899)</f>
        <v>9.49616016453503</v>
      </c>
      <c r="Q899" s="16" t="n">
        <f aca="false">IF(D899="","",IF(P899&gt;=0,K899,MAX(0,K899+P899)))</f>
        <v>0.9072</v>
      </c>
      <c r="R899" s="16" t="n">
        <f aca="false">IF(D899="","",Q899/$B$15)</f>
        <v>0.35</v>
      </c>
      <c r="S899" s="16" t="n">
        <f aca="false">IF(D899="","",MAX(0,J899-R899))</f>
        <v>0</v>
      </c>
      <c r="T899" s="16" t="n">
        <f aca="false">IF(D899="","",MAX(0,Z899-$B$8))</f>
        <v>0</v>
      </c>
      <c r="U899" s="16" t="n">
        <f aca="false">IF(D899="","",MAX(0,MIN($B$8,Z899)))</f>
        <v>9.49616016453503</v>
      </c>
      <c r="V899" s="16" t="str">
        <f aca="false">IF(D899="","",IF(S899&gt;0.0000001,"Sim","Não"))</f>
        <v>Não</v>
      </c>
      <c r="W899" s="16" t="n">
        <f aca="false">IF(D899="","",U899-(H899+E899-Q899-O899-T899))</f>
        <v>0</v>
      </c>
      <c r="X899" s="16" t="n">
        <f aca="false">IF(W899="","",ABS(W899))</f>
        <v>0</v>
      </c>
      <c r="Y899" s="16" t="n">
        <f aca="false">IF(U899="","",IF($B$8=0,0,U899/$B$8*100))</f>
        <v>20.1104620172279</v>
      </c>
      <c r="Z899" s="18" t="n">
        <f aca="false">IF(D899="","",MAX(0,IF(P899&gt;=0,P899,IF(K899+P899&gt;=0,0,P899+K899))))</f>
        <v>9.49616016453503</v>
      </c>
      <c r="AA899" s="18" t="n">
        <f aca="false">IF(D899="","",IF(H899&lt;=$B$16,1,IF(H899&gt;=$B$17,$B$21,MATCH(H899,Aux_CAV!$A$2:$A$121,1))))</f>
        <v>10</v>
      </c>
      <c r="AB899" s="18" t="n">
        <f aca="false">IF(D899="","",IF(L899&lt;=$B$16,1,IF(L899&gt;=$B$17,$B$21,MATCH(L899,Aux_CAV!$A$2:$A$121,1))))</f>
        <v>10</v>
      </c>
      <c r="AC899" s="19" t="n">
        <f aca="false">IF(D899="","",COUNT($D$24:D899))</f>
        <v>864</v>
      </c>
    </row>
    <row r="900" customFormat="false" ht="12.75" hidden="false" customHeight="true" outlineLevel="0" collapsed="false">
      <c r="A900" s="14" t="n">
        <f aca="false">IF(D900="","",DATE(B900,C900,1))</f>
        <v>30317</v>
      </c>
      <c r="B900" s="15" t="n">
        <f aca="false" t="array" ref="B900:B900">IF(D900="","",IFERROR(VALUE(INDEX(Vazoes_COLAR!$A$2:$A$200,INT((ROW()-24)/12)+1)),""))</f>
        <v>1983</v>
      </c>
      <c r="C900" s="15" t="n">
        <f aca="false">IF(D900="","",MOD(ROW()-24,12)+1)</f>
        <v>1</v>
      </c>
      <c r="D900" s="16" t="n">
        <f aca="false" t="array" ref="D900: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0.0246981291332287</v>
      </c>
      <c r="E900" s="16" t="n">
        <f aca="false">IF(D900="","",D900*$B$15)</f>
        <v>0.0640175507133288</v>
      </c>
      <c r="F900" s="16" t="n">
        <f aca="false" t="array" ref="F900:F900">IF(D900="","",IFERROR(INDEX(Dados_Evap!$C$2:$N$15,MATCH($B$9,Dados_Evap!$A$2:$A$15,0),C900),0))</f>
        <v>160</v>
      </c>
      <c r="G900" s="16" t="n">
        <f aca="false">IF(F900="","",F900/1000)</f>
        <v>0.16</v>
      </c>
      <c r="H900" s="16" t="n">
        <f aca="false">IF(D900="","",MAX(0,MIN($B$8,IFERROR(LOOKUP(2,1/($U$24:U899&lt;&gt;""),$U$24:U899),$B$11))))</f>
        <v>9.49616016453503</v>
      </c>
      <c r="I900" s="16" t="n">
        <f aca="false" t="array" ref="I900: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>3.09526071991622</v>
      </c>
      <c r="J900" s="16" t="n">
        <f aca="false">IF(D900="","",$B$12)</f>
        <v>0.35</v>
      </c>
      <c r="K900" s="16" t="n">
        <f aca="false">IF(J900="","",J900*$B$15)</f>
        <v>0.9072</v>
      </c>
      <c r="L900" s="16" t="n">
        <f aca="false">IF(D900="","",H900+E900-K900-G900*I900)</f>
        <v>8.15773600006176</v>
      </c>
      <c r="M900" s="16" t="n">
        <f aca="false" t="array" ref="M900: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>2.75288563406135</v>
      </c>
      <c r="N900" s="16" t="n">
        <f aca="false">IF(D900="","",(I900+M900)/2)</f>
        <v>2.92407317698878</v>
      </c>
      <c r="O900" s="16" t="n">
        <f aca="false">IF(D900="","",G900*N900)</f>
        <v>0.467851708318206</v>
      </c>
      <c r="P900" s="16" t="n">
        <f aca="false">IF(D900="","",H900+E900-K900-O900)</f>
        <v>8.18512600693016</v>
      </c>
      <c r="Q900" s="16" t="n">
        <f aca="false">IF(D900="","",IF(P900&gt;=0,K900,MAX(0,K900+P900)))</f>
        <v>0.9072</v>
      </c>
      <c r="R900" s="16" t="n">
        <f aca="false">IF(D900="","",Q900/$B$15)</f>
        <v>0.35</v>
      </c>
      <c r="S900" s="16" t="n">
        <f aca="false">IF(D900="","",MAX(0,J900-R900))</f>
        <v>0</v>
      </c>
      <c r="T900" s="16" t="n">
        <f aca="false">IF(D900="","",MAX(0,Z900-$B$8))</f>
        <v>0</v>
      </c>
      <c r="U900" s="16" t="n">
        <f aca="false">IF(D900="","",MAX(0,MIN($B$8,Z900)))</f>
        <v>8.18512600693016</v>
      </c>
      <c r="V900" s="16" t="str">
        <f aca="false">IF(D900="","",IF(S900&gt;0.0000001,"Sim","Não"))</f>
        <v>Não</v>
      </c>
      <c r="W900" s="16" t="n">
        <f aca="false">IF(D900="","",U900-(H900+E900-Q900-O900-T900))</f>
        <v>0</v>
      </c>
      <c r="X900" s="16" t="n">
        <f aca="false">IF(W900="","",ABS(W900))</f>
        <v>0</v>
      </c>
      <c r="Y900" s="16" t="n">
        <f aca="false">IF(U900="","",IF($B$8=0,0,U900/$B$8*100))</f>
        <v>17.3340237334395</v>
      </c>
      <c r="Z900" s="18" t="n">
        <f aca="false">IF(D900="","",MAX(0,IF(P900&gt;=0,P900,IF(K900+P900&gt;=0,0,P900+K900))))</f>
        <v>8.18512600693016</v>
      </c>
      <c r="AA900" s="18" t="n">
        <f aca="false">IF(D900="","",IF(H900&lt;=$B$16,1,IF(H900&gt;=$B$17,$B$21,MATCH(H900,Aux_CAV!$A$2:$A$121,1))))</f>
        <v>10</v>
      </c>
      <c r="AB900" s="18" t="n">
        <f aca="false">IF(D900="","",IF(L900&lt;=$B$16,1,IF(L900&gt;=$B$17,$B$21,MATCH(L900,Aux_CAV!$A$2:$A$121,1))))</f>
        <v>9</v>
      </c>
      <c r="AC900" s="19" t="n">
        <f aca="false">IF(D900="","",COUNT($D$24:D900))</f>
        <v>865</v>
      </c>
    </row>
    <row r="901" customFormat="false" ht="12.75" hidden="false" customHeight="true" outlineLevel="0" collapsed="false">
      <c r="A901" s="14" t="n">
        <f aca="false">IF(D901="","",DATE(B901,C901,1))</f>
        <v>30348</v>
      </c>
      <c r="B901" s="15" t="n">
        <f aca="false" t="array" ref="B901:B901">IF(D901="","",IFERROR(VALUE(INDEX(Vazoes_COLAR!$A$2:$A$200,INT((ROW()-24)/12)+1)),""))</f>
        <v>1983</v>
      </c>
      <c r="C901" s="15" t="n">
        <f aca="false">IF(D901="","",MOD(ROW()-24,12)+1)</f>
        <v>2</v>
      </c>
      <c r="D901" s="16" t="n">
        <f aca="false" t="array" ref="D901: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0.271768921580196</v>
      </c>
      <c r="E901" s="16" t="n">
        <f aca="false">IF(D901="","",D901*$B$15)</f>
        <v>0.704425044735868</v>
      </c>
      <c r="F901" s="16" t="n">
        <f aca="false" t="array" ref="F901:F901">IF(D901="","",IFERROR(INDEX(Dados_Evap!$C$2:$N$15,MATCH($B$9,Dados_Evap!$A$2:$A$15,0),C901),0))</f>
        <v>124.3</v>
      </c>
      <c r="G901" s="16" t="n">
        <f aca="false">IF(F901="","",F901/1000)</f>
        <v>0.1243</v>
      </c>
      <c r="H901" s="16" t="n">
        <f aca="false">IF(D901="","",MAX(0,MIN($B$8,IFERROR(LOOKUP(2,1/($U$24:U900&lt;&gt;""),$U$24:U900),$B$11))))</f>
        <v>8.18512600693016</v>
      </c>
      <c r="I901" s="16" t="n">
        <f aca="false" t="array" ref="I901: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>2.76121918934258</v>
      </c>
      <c r="J901" s="16" t="n">
        <f aca="false">IF(D901="","",$B$12)</f>
        <v>0.35</v>
      </c>
      <c r="K901" s="16" t="n">
        <f aca="false">IF(J901="","",J901*$B$15)</f>
        <v>0.9072</v>
      </c>
      <c r="L901" s="16" t="n">
        <f aca="false">IF(D901="","",H901+E901-K901-G901*I901)</f>
        <v>7.63913150643074</v>
      </c>
      <c r="M901" s="16" t="n">
        <f aca="false" t="array" ref="M901: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>2.59509745833957</v>
      </c>
      <c r="N901" s="16" t="n">
        <f aca="false">IF(D901="","",(I901+M901)/2)</f>
        <v>2.67815832384107</v>
      </c>
      <c r="O901" s="16" t="n">
        <f aca="false">IF(D901="","",G901*N901)</f>
        <v>0.332895079653445</v>
      </c>
      <c r="P901" s="16" t="n">
        <f aca="false">IF(D901="","",H901+E901-K901-O901)</f>
        <v>7.64945597201258</v>
      </c>
      <c r="Q901" s="16" t="n">
        <f aca="false">IF(D901="","",IF(P901&gt;=0,K901,MAX(0,K901+P901)))</f>
        <v>0.9072</v>
      </c>
      <c r="R901" s="16" t="n">
        <f aca="false">IF(D901="","",Q901/$B$15)</f>
        <v>0.35</v>
      </c>
      <c r="S901" s="16" t="n">
        <f aca="false">IF(D901="","",MAX(0,J901-R901))</f>
        <v>0</v>
      </c>
      <c r="T901" s="16" t="n">
        <f aca="false">IF(D901="","",MAX(0,Z901-$B$8))</f>
        <v>0</v>
      </c>
      <c r="U901" s="16" t="n">
        <f aca="false">IF(D901="","",MAX(0,MIN($B$8,Z901)))</f>
        <v>7.64945597201258</v>
      </c>
      <c r="V901" s="16" t="str">
        <f aca="false">IF(D901="","",IF(S901&gt;0.0000001,"Sim","Não"))</f>
        <v>Não</v>
      </c>
      <c r="W901" s="16" t="n">
        <f aca="false">IF(D901="","",U901-(H901+E901-Q901-O901-T901))</f>
        <v>0</v>
      </c>
      <c r="X901" s="16" t="n">
        <f aca="false">IF(W901="","",ABS(W901))</f>
        <v>0</v>
      </c>
      <c r="Y901" s="16" t="n">
        <f aca="false">IF(U901="","",IF($B$8=0,0,U901/$B$8*100))</f>
        <v>16.1996102753337</v>
      </c>
      <c r="Z901" s="18" t="n">
        <f aca="false">IF(D901="","",MAX(0,IF(P901&gt;=0,P901,IF(K901+P901&gt;=0,0,P901+K901))))</f>
        <v>7.64945597201258</v>
      </c>
      <c r="AA901" s="18" t="n">
        <f aca="false">IF(D901="","",IF(H901&lt;=$B$16,1,IF(H901&gt;=$B$17,$B$21,MATCH(H901,Aux_CAV!$A$2:$A$121,1))))</f>
        <v>9</v>
      </c>
      <c r="AB901" s="18" t="n">
        <f aca="false">IF(D901="","",IF(L901&lt;=$B$16,1,IF(L901&gt;=$B$17,$B$21,MATCH(L901,Aux_CAV!$A$2:$A$121,1))))</f>
        <v>9</v>
      </c>
      <c r="AC901" s="19" t="n">
        <f aca="false">IF(D901="","",COUNT($D$24:D901))</f>
        <v>866</v>
      </c>
    </row>
    <row r="902" customFormat="false" ht="12.75" hidden="false" customHeight="true" outlineLevel="0" collapsed="false">
      <c r="A902" s="14" t="n">
        <f aca="false">IF(D902="","",DATE(B902,C902,1))</f>
        <v>30376</v>
      </c>
      <c r="B902" s="15" t="n">
        <f aca="false" t="array" ref="B902:B902">IF(D902="","",IFERROR(VALUE(INDEX(Vazoes_COLAR!$A$2:$A$200,INT((ROW()-24)/12)+1)),""))</f>
        <v>1983</v>
      </c>
      <c r="C902" s="15" t="n">
        <f aca="false">IF(D902="","",MOD(ROW()-24,12)+1)</f>
        <v>3</v>
      </c>
      <c r="D902" s="16" t="n">
        <f aca="false" t="array" ref="D902: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0.659073011013422</v>
      </c>
      <c r="E902" s="16" t="n">
        <f aca="false">IF(D902="","",D902*$B$15)</f>
        <v>1.70831724454679</v>
      </c>
      <c r="F902" s="16" t="n">
        <f aca="false" t="array" ref="F902:F902">IF(D902="","",IFERROR(INDEX(Dados_Evap!$C$2:$N$15,MATCH($B$9,Dados_Evap!$A$2:$A$15,0),C902),0))</f>
        <v>107.7</v>
      </c>
      <c r="G902" s="16" t="n">
        <f aca="false">IF(F902="","",F902/1000)</f>
        <v>0.1077</v>
      </c>
      <c r="H902" s="16" t="n">
        <f aca="false">IF(D902="","",MAX(0,MIN($B$8,IFERROR(LOOKUP(2,1/($U$24:U901&lt;&gt;""),$U$24:U901),$B$11))))</f>
        <v>7.64945597201258</v>
      </c>
      <c r="I902" s="16" t="n">
        <f aca="false" t="array" ref="I902: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>2.59823873191021</v>
      </c>
      <c r="J902" s="16" t="n">
        <f aca="false">IF(D902="","",$B$12)</f>
        <v>0.35</v>
      </c>
      <c r="K902" s="16" t="n">
        <f aca="false">IF(J902="","",J902*$B$15)</f>
        <v>0.9072</v>
      </c>
      <c r="L902" s="16" t="n">
        <f aca="false">IF(D902="","",H902+E902-K902-G902*I902)</f>
        <v>8.17074290513264</v>
      </c>
      <c r="M902" s="16" t="n">
        <f aca="false" t="array" ref="M902: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>2.75684305411482</v>
      </c>
      <c r="N902" s="16" t="n">
        <f aca="false">IF(D902="","",(I902+M902)/2)</f>
        <v>2.67754089301252</v>
      </c>
      <c r="O902" s="16" t="n">
        <f aca="false">IF(D902="","",G902*N902)</f>
        <v>0.288371154177448</v>
      </c>
      <c r="P902" s="16" t="n">
        <f aca="false">IF(D902="","",H902+E902-K902-O902)</f>
        <v>8.16220206238192</v>
      </c>
      <c r="Q902" s="16" t="n">
        <f aca="false">IF(D902="","",IF(P902&gt;=0,K902,MAX(0,K902+P902)))</f>
        <v>0.9072</v>
      </c>
      <c r="R902" s="16" t="n">
        <f aca="false">IF(D902="","",Q902/$B$15)</f>
        <v>0.35</v>
      </c>
      <c r="S902" s="16" t="n">
        <f aca="false">IF(D902="","",MAX(0,J902-R902))</f>
        <v>0</v>
      </c>
      <c r="T902" s="16" t="n">
        <f aca="false">IF(D902="","",MAX(0,Z902-$B$8))</f>
        <v>0</v>
      </c>
      <c r="U902" s="16" t="n">
        <f aca="false">IF(D902="","",MAX(0,MIN($B$8,Z902)))</f>
        <v>8.16220206238192</v>
      </c>
      <c r="V902" s="16" t="str">
        <f aca="false">IF(D902="","",IF(S902&gt;0.0000001,"Sim","Não"))</f>
        <v>Não</v>
      </c>
      <c r="W902" s="16" t="n">
        <f aca="false">IF(D902="","",U902-(H902+E902-Q902-O902-T902))</f>
        <v>0</v>
      </c>
      <c r="X902" s="16" t="n">
        <f aca="false">IF(W902="","",ABS(W902))</f>
        <v>0</v>
      </c>
      <c r="Y902" s="16" t="n">
        <f aca="false">IF(U902="","",IF($B$8=0,0,U902/$B$8*100))</f>
        <v>17.2854766251205</v>
      </c>
      <c r="Z902" s="18" t="n">
        <f aca="false">IF(D902="","",MAX(0,IF(P902&gt;=0,P902,IF(K902+P902&gt;=0,0,P902+K902))))</f>
        <v>8.16220206238192</v>
      </c>
      <c r="AA902" s="18" t="n">
        <f aca="false">IF(D902="","",IF(H902&lt;=$B$16,1,IF(H902&gt;=$B$17,$B$21,MATCH(H902,Aux_CAV!$A$2:$A$121,1))))</f>
        <v>9</v>
      </c>
      <c r="AB902" s="18" t="n">
        <f aca="false">IF(D902="","",IF(L902&lt;=$B$16,1,IF(L902&gt;=$B$17,$B$21,MATCH(L902,Aux_CAV!$A$2:$A$121,1))))</f>
        <v>9</v>
      </c>
      <c r="AC902" s="19" t="n">
        <f aca="false">IF(D902="","",COUNT($D$24:D902))</f>
        <v>867</v>
      </c>
    </row>
    <row r="903" customFormat="false" ht="12.75" hidden="false" customHeight="true" outlineLevel="0" collapsed="false">
      <c r="A903" s="14" t="n">
        <f aca="false">IF(D903="","",DATE(B903,C903,1))</f>
        <v>30407</v>
      </c>
      <c r="B903" s="15" t="n">
        <f aca="false" t="array" ref="B903:B903">IF(D903="","",IFERROR(VALUE(INDEX(Vazoes_COLAR!$A$2:$A$200,INT((ROW()-24)/12)+1)),""))</f>
        <v>1983</v>
      </c>
      <c r="C903" s="15" t="n">
        <f aca="false">IF(D903="","",MOD(ROW()-24,12)+1)</f>
        <v>4</v>
      </c>
      <c r="D903" s="16" t="n">
        <f aca="false" t="array" ref="D903: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0.376271551915998</v>
      </c>
      <c r="E903" s="16" t="n">
        <f aca="false">IF(D903="","",D903*$B$15)</f>
        <v>0.975295862566267</v>
      </c>
      <c r="F903" s="16" t="n">
        <f aca="false" t="array" ref="F903:F903">IF(D903="","",IFERROR(INDEX(Dados_Evap!$C$2:$N$15,MATCH($B$9,Dados_Evap!$A$2:$A$15,0),C903),0))</f>
        <v>100.5</v>
      </c>
      <c r="G903" s="16" t="n">
        <f aca="false">IF(F903="","",F903/1000)</f>
        <v>0.1005</v>
      </c>
      <c r="H903" s="16" t="n">
        <f aca="false">IF(D903="","",MAX(0,MIN($B$8,IFERROR(LOOKUP(2,1/($U$24:U902&lt;&gt;""),$U$24:U902),$B$11))))</f>
        <v>8.16220206238192</v>
      </c>
      <c r="I903" s="16" t="n">
        <f aca="false" t="array" ref="I903: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>2.7542444572779</v>
      </c>
      <c r="J903" s="16" t="n">
        <f aca="false">IF(D903="","",$B$12)</f>
        <v>0.35</v>
      </c>
      <c r="K903" s="16" t="n">
        <f aca="false">IF(J903="","",J903*$B$15)</f>
        <v>0.9072</v>
      </c>
      <c r="L903" s="16" t="n">
        <f aca="false">IF(D903="","",H903+E903-K903-G903*I903)</f>
        <v>7.95349635699176</v>
      </c>
      <c r="M903" s="16" t="n">
        <f aca="false" t="array" ref="M903: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>2.69074463627622</v>
      </c>
      <c r="N903" s="16" t="n">
        <f aca="false">IF(D903="","",(I903+M903)/2)</f>
        <v>2.72249454677706</v>
      </c>
      <c r="O903" s="16" t="n">
        <f aca="false">IF(D903="","",G903*N903)</f>
        <v>0.273610701951095</v>
      </c>
      <c r="P903" s="16" t="n">
        <f aca="false">IF(D903="","",H903+E903-K903-O903)</f>
        <v>7.95668722299709</v>
      </c>
      <c r="Q903" s="16" t="n">
        <f aca="false">IF(D903="","",IF(P903&gt;=0,K903,MAX(0,K903+P903)))</f>
        <v>0.9072</v>
      </c>
      <c r="R903" s="16" t="n">
        <f aca="false">IF(D903="","",Q903/$B$15)</f>
        <v>0.35</v>
      </c>
      <c r="S903" s="16" t="n">
        <f aca="false">IF(D903="","",MAX(0,J903-R903))</f>
        <v>0</v>
      </c>
      <c r="T903" s="16" t="n">
        <f aca="false">IF(D903="","",MAX(0,Z903-$B$8))</f>
        <v>0</v>
      </c>
      <c r="U903" s="16" t="n">
        <f aca="false">IF(D903="","",MAX(0,MIN($B$8,Z903)))</f>
        <v>7.95668722299709</v>
      </c>
      <c r="V903" s="16" t="str">
        <f aca="false">IF(D903="","",IF(S903&gt;0.0000001,"Sim","Não"))</f>
        <v>Não</v>
      </c>
      <c r="W903" s="16" t="n">
        <f aca="false">IF(D903="","",U903-(H903+E903-Q903-O903-T903))</f>
        <v>0</v>
      </c>
      <c r="X903" s="16" t="n">
        <f aca="false">IF(W903="","",ABS(W903))</f>
        <v>0</v>
      </c>
      <c r="Y903" s="16" t="n">
        <f aca="false">IF(U903="","",IF($B$8=0,0,U903/$B$8*100))</f>
        <v>16.8502482486173</v>
      </c>
      <c r="Z903" s="18" t="n">
        <f aca="false">IF(D903="","",MAX(0,IF(P903&gt;=0,P903,IF(K903+P903&gt;=0,0,P903+K903))))</f>
        <v>7.95668722299709</v>
      </c>
      <c r="AA903" s="18" t="n">
        <f aca="false">IF(D903="","",IF(H903&lt;=$B$16,1,IF(H903&gt;=$B$17,$B$21,MATCH(H903,Aux_CAV!$A$2:$A$121,1))))</f>
        <v>9</v>
      </c>
      <c r="AB903" s="18" t="n">
        <f aca="false">IF(D903="","",IF(L903&lt;=$B$16,1,IF(L903&gt;=$B$17,$B$21,MATCH(L903,Aux_CAV!$A$2:$A$121,1))))</f>
        <v>9</v>
      </c>
      <c r="AC903" s="19" t="n">
        <f aca="false">IF(D903="","",COUNT($D$24:D903))</f>
        <v>868</v>
      </c>
    </row>
    <row r="904" customFormat="false" ht="12.75" hidden="false" customHeight="true" outlineLevel="0" collapsed="false">
      <c r="A904" s="14" t="n">
        <f aca="false">IF(D904="","",DATE(B904,C904,1))</f>
        <v>30437</v>
      </c>
      <c r="B904" s="15" t="n">
        <f aca="false" t="array" ref="B904:B904">IF(D904="","",IFERROR(VALUE(INDEX(Vazoes_COLAR!$A$2:$A$200,INT((ROW()-24)/12)+1)),""))</f>
        <v>1983</v>
      </c>
      <c r="C904" s="15" t="n">
        <f aca="false">IF(D904="","",MOD(ROW()-24,12)+1)</f>
        <v>5</v>
      </c>
      <c r="D904" s="16" t="n">
        <f aca="false" t="array" ref="D904: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0.0357703969259827</v>
      </c>
      <c r="E904" s="16" t="n">
        <f aca="false">IF(D904="","",D904*$B$15)</f>
        <v>0.0927168688321472</v>
      </c>
      <c r="F904" s="16" t="n">
        <f aca="false" t="array" ref="F904:F904">IF(D904="","",IFERROR(INDEX(Dados_Evap!$C$2:$N$15,MATCH($B$9,Dados_Evap!$A$2:$A$15,0),C904),0))</f>
        <v>145.8</v>
      </c>
      <c r="G904" s="16" t="n">
        <f aca="false">IF(F904="","",F904/1000)</f>
        <v>0.1458</v>
      </c>
      <c r="H904" s="16" t="n">
        <f aca="false">IF(D904="","",MAX(0,MIN($B$8,IFERROR(LOOKUP(2,1/($U$24:U903&lt;&gt;""),$U$24:U903),$B$11))))</f>
        <v>7.95668722299709</v>
      </c>
      <c r="I904" s="16" t="n">
        <f aca="false" t="array" ref="I904: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>2.69171547423103</v>
      </c>
      <c r="J904" s="16" t="n">
        <f aca="false">IF(D904="","",$B$12)</f>
        <v>0.35</v>
      </c>
      <c r="K904" s="16" t="n">
        <f aca="false">IF(J904="","",J904*$B$15)</f>
        <v>0.9072</v>
      </c>
      <c r="L904" s="16" t="n">
        <f aca="false">IF(D904="","",H904+E904-K904-G904*I904)</f>
        <v>6.74975197568636</v>
      </c>
      <c r="M904" s="16" t="n">
        <f aca="false" t="array" ref="M904: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>2.3244990053684</v>
      </c>
      <c r="N904" s="16" t="n">
        <f aca="false">IF(D904="","",(I904+M904)/2)</f>
        <v>2.50810723979972</v>
      </c>
      <c r="O904" s="16" t="n">
        <f aca="false">IF(D904="","",G904*N904)</f>
        <v>0.365682035562799</v>
      </c>
      <c r="P904" s="16" t="n">
        <f aca="false">IF(D904="","",H904+E904-K904-O904)</f>
        <v>6.77652205626644</v>
      </c>
      <c r="Q904" s="16" t="n">
        <f aca="false">IF(D904="","",IF(P904&gt;=0,K904,MAX(0,K904+P904)))</f>
        <v>0.9072</v>
      </c>
      <c r="R904" s="16" t="n">
        <f aca="false">IF(D904="","",Q904/$B$15)</f>
        <v>0.35</v>
      </c>
      <c r="S904" s="16" t="n">
        <f aca="false">IF(D904="","",MAX(0,J904-R904))</f>
        <v>0</v>
      </c>
      <c r="T904" s="16" t="n">
        <f aca="false">IF(D904="","",MAX(0,Z904-$B$8))</f>
        <v>0</v>
      </c>
      <c r="U904" s="16" t="n">
        <f aca="false">IF(D904="","",MAX(0,MIN($B$8,Z904)))</f>
        <v>6.77652205626644</v>
      </c>
      <c r="V904" s="16" t="str">
        <f aca="false">IF(D904="","",IF(S904&gt;0.0000001,"Sim","Não"))</f>
        <v>Não</v>
      </c>
      <c r="W904" s="16" t="n">
        <f aca="false">IF(D904="","",U904-(H904+E904-Q904-O904-T904))</f>
        <v>0</v>
      </c>
      <c r="X904" s="16" t="n">
        <f aca="false">IF(W904="","",ABS(W904))</f>
        <v>0</v>
      </c>
      <c r="Y904" s="16" t="n">
        <f aca="false">IF(U904="","",IF($B$8=0,0,U904/$B$8*100))</f>
        <v>14.3509573406744</v>
      </c>
      <c r="Z904" s="18" t="n">
        <f aca="false">IF(D904="","",MAX(0,IF(P904&gt;=0,P904,IF(K904+P904&gt;=0,0,P904+K904))))</f>
        <v>6.77652205626644</v>
      </c>
      <c r="AA904" s="18" t="n">
        <f aca="false">IF(D904="","",IF(H904&lt;=$B$16,1,IF(H904&gt;=$B$17,$B$21,MATCH(H904,Aux_CAV!$A$2:$A$121,1))))</f>
        <v>9</v>
      </c>
      <c r="AB904" s="18" t="n">
        <f aca="false">IF(D904="","",IF(L904&lt;=$B$16,1,IF(L904&gt;=$B$17,$B$21,MATCH(L904,Aux_CAV!$A$2:$A$121,1))))</f>
        <v>9</v>
      </c>
      <c r="AC904" s="19" t="n">
        <f aca="false">IF(D904="","",COUNT($D$24:D904))</f>
        <v>869</v>
      </c>
    </row>
    <row r="905" customFormat="false" ht="12.75" hidden="false" customHeight="true" outlineLevel="0" collapsed="false">
      <c r="A905" s="14" t="n">
        <f aca="false">IF(D905="","",DATE(B905,C905,1))</f>
        <v>30468</v>
      </c>
      <c r="B905" s="15" t="n">
        <f aca="false" t="array" ref="B905:B905">IF(D905="","",IFERROR(VALUE(INDEX(Vazoes_COLAR!$A$2:$A$200,INT((ROW()-24)/12)+1)),""))</f>
        <v>1983</v>
      </c>
      <c r="C905" s="15" t="n">
        <f aca="false">IF(D905="","",MOD(ROW()-24,12)+1)</f>
        <v>6</v>
      </c>
      <c r="D905" s="16" t="n">
        <f aca="false" t="array" ref="D905: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0.058618939383285</v>
      </c>
      <c r="E905" s="16" t="n">
        <f aca="false">IF(D905="","",D905*$B$15)</f>
        <v>0.151940290881475</v>
      </c>
      <c r="F905" s="16" t="n">
        <f aca="false" t="array" ref="F905:F905">IF(D905="","",IFERROR(INDEX(Dados_Evap!$C$2:$N$15,MATCH($B$9,Dados_Evap!$A$2:$A$15,0),C905),0))</f>
        <v>161.3</v>
      </c>
      <c r="G905" s="16" t="n">
        <f aca="false">IF(F905="","",F905/1000)</f>
        <v>0.1613</v>
      </c>
      <c r="H905" s="16" t="n">
        <f aca="false">IF(D905="","",MAX(0,MIN($B$8,IFERROR(LOOKUP(2,1/($U$24:U904&lt;&gt;""),$U$24:U904),$B$11))))</f>
        <v>6.77652205626644</v>
      </c>
      <c r="I905" s="16" t="n">
        <f aca="false" t="array" ref="I905: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>2.33264394477894</v>
      </c>
      <c r="J905" s="16" t="n">
        <f aca="false">IF(D905="","",$B$12)</f>
        <v>0.35</v>
      </c>
      <c r="K905" s="16" t="n">
        <f aca="false">IF(J905="","",J905*$B$15)</f>
        <v>0.9072</v>
      </c>
      <c r="L905" s="16" t="n">
        <f aca="false">IF(D905="","",H905+E905-K905-G905*I905)</f>
        <v>5.64500687885507</v>
      </c>
      <c r="M905" s="16" t="n">
        <f aca="false" t="array" ref="M905: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>1.98837443335378</v>
      </c>
      <c r="N905" s="16" t="n">
        <f aca="false">IF(D905="","",(I905+M905)/2)</f>
        <v>2.16050918906636</v>
      </c>
      <c r="O905" s="16" t="n">
        <f aca="false">IF(D905="","",G905*N905)</f>
        <v>0.348490132196404</v>
      </c>
      <c r="P905" s="16" t="n">
        <f aca="false">IF(D905="","",H905+E905-K905-O905)</f>
        <v>5.67277221495151</v>
      </c>
      <c r="Q905" s="16" t="n">
        <f aca="false">IF(D905="","",IF(P905&gt;=0,K905,MAX(0,K905+P905)))</f>
        <v>0.9072</v>
      </c>
      <c r="R905" s="16" t="n">
        <f aca="false">IF(D905="","",Q905/$B$15)</f>
        <v>0.35</v>
      </c>
      <c r="S905" s="16" t="n">
        <f aca="false">IF(D905="","",MAX(0,J905-R905))</f>
        <v>0</v>
      </c>
      <c r="T905" s="16" t="n">
        <f aca="false">IF(D905="","",MAX(0,Z905-$B$8))</f>
        <v>0</v>
      </c>
      <c r="U905" s="16" t="n">
        <f aca="false">IF(D905="","",MAX(0,MIN($B$8,Z905)))</f>
        <v>5.67277221495151</v>
      </c>
      <c r="V905" s="16" t="str">
        <f aca="false">IF(D905="","",IF(S905&gt;0.0000001,"Sim","Não"))</f>
        <v>Não</v>
      </c>
      <c r="W905" s="16" t="n">
        <f aca="false">IF(D905="","",U905-(H905+E905-Q905-O905-T905))</f>
        <v>0</v>
      </c>
      <c r="X905" s="16" t="n">
        <f aca="false">IF(W905="","",ABS(W905))</f>
        <v>0</v>
      </c>
      <c r="Y905" s="16" t="n">
        <f aca="false">IF(U905="","",IF($B$8=0,0,U905/$B$8*100))</f>
        <v>12.0134947372967</v>
      </c>
      <c r="Z905" s="18" t="n">
        <f aca="false">IF(D905="","",MAX(0,IF(P905&gt;=0,P905,IF(K905+P905&gt;=0,0,P905+K905))))</f>
        <v>5.67277221495151</v>
      </c>
      <c r="AA905" s="18" t="n">
        <f aca="false">IF(D905="","",IF(H905&lt;=$B$16,1,IF(H905&gt;=$B$17,$B$21,MATCH(H905,Aux_CAV!$A$2:$A$121,1))))</f>
        <v>9</v>
      </c>
      <c r="AB905" s="18" t="n">
        <f aca="false">IF(D905="","",IF(L905&lt;=$B$16,1,IF(L905&gt;=$B$17,$B$21,MATCH(L905,Aux_CAV!$A$2:$A$121,1))))</f>
        <v>9</v>
      </c>
      <c r="AC905" s="19" t="n">
        <f aca="false">IF(D905="","",COUNT($D$24:D905))</f>
        <v>870</v>
      </c>
    </row>
    <row r="906" customFormat="false" ht="12.75" hidden="false" customHeight="true" outlineLevel="0" collapsed="false">
      <c r="A906" s="14" t="n">
        <f aca="false">IF(D906="","",DATE(B906,C906,1))</f>
        <v>30498</v>
      </c>
      <c r="B906" s="15" t="n">
        <f aca="false" t="array" ref="B906:B906">IF(D906="","",IFERROR(VALUE(INDEX(Vazoes_COLAR!$A$2:$A$200,INT((ROW()-24)/12)+1)),""))</f>
        <v>1983</v>
      </c>
      <c r="C906" s="15" t="n">
        <f aca="false">IF(D906="","",MOD(ROW()-24,12)+1)</f>
        <v>7</v>
      </c>
      <c r="D906" s="16" t="n">
        <f aca="false" t="array" ref="D906: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0.0135240768439732</v>
      </c>
      <c r="E906" s="16" t="n">
        <f aca="false">IF(D906="","",D906*$B$15)</f>
        <v>0.0350544071795785</v>
      </c>
      <c r="F906" s="16" t="n">
        <f aca="false" t="array" ref="F906:F906">IF(D906="","",IFERROR(INDEX(Dados_Evap!$C$2:$N$15,MATCH($B$9,Dados_Evap!$A$2:$A$15,0),C906),0))</f>
        <v>224.8</v>
      </c>
      <c r="G906" s="16" t="n">
        <f aca="false">IF(F906="","",F906/1000)</f>
        <v>0.2248</v>
      </c>
      <c r="H906" s="16" t="n">
        <f aca="false">IF(D906="","",MAX(0,MIN($B$8,IFERROR(LOOKUP(2,1/($U$24:U905&lt;&gt;""),$U$24:U905),$B$11))))</f>
        <v>5.67277221495151</v>
      </c>
      <c r="I906" s="16" t="n">
        <f aca="false" t="array" ref="I906: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>1.99682218454908</v>
      </c>
      <c r="J906" s="16" t="n">
        <f aca="false">IF(D906="","",$B$12)</f>
        <v>0.35</v>
      </c>
      <c r="K906" s="16" t="n">
        <f aca="false">IF(J906="","",J906*$B$15)</f>
        <v>0.9072</v>
      </c>
      <c r="L906" s="16" t="n">
        <f aca="false">IF(D906="","",H906+E906-K906-G906*I906)</f>
        <v>4.35174099504446</v>
      </c>
      <c r="M906" s="16" t="n">
        <f aca="false" t="array" ref="M906: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>1.59967355065209</v>
      </c>
      <c r="N906" s="16" t="n">
        <f aca="false">IF(D906="","",(I906+M906)/2)</f>
        <v>1.79824786760059</v>
      </c>
      <c r="O906" s="16" t="n">
        <f aca="false">IF(D906="","",G906*N906)</f>
        <v>0.404246120636612</v>
      </c>
      <c r="P906" s="16" t="n">
        <f aca="false">IF(D906="","",H906+E906-K906-O906)</f>
        <v>4.39638050149448</v>
      </c>
      <c r="Q906" s="16" t="n">
        <f aca="false">IF(D906="","",IF(P906&gt;=0,K906,MAX(0,K906+P906)))</f>
        <v>0.9072</v>
      </c>
      <c r="R906" s="16" t="n">
        <f aca="false">IF(D906="","",Q906/$B$15)</f>
        <v>0.35</v>
      </c>
      <c r="S906" s="16" t="n">
        <f aca="false">IF(D906="","",MAX(0,J906-R906))</f>
        <v>0</v>
      </c>
      <c r="T906" s="16" t="n">
        <f aca="false">IF(D906="","",MAX(0,Z906-$B$8))</f>
        <v>0</v>
      </c>
      <c r="U906" s="16" t="n">
        <f aca="false">IF(D906="","",MAX(0,MIN($B$8,Z906)))</f>
        <v>4.39638050149448</v>
      </c>
      <c r="V906" s="16" t="str">
        <f aca="false">IF(D906="","",IF(S906&gt;0.0000001,"Sim","Não"))</f>
        <v>Não</v>
      </c>
      <c r="W906" s="16" t="n">
        <f aca="false">IF(D906="","",U906-(H906+E906-Q906-O906-T906))</f>
        <v>0</v>
      </c>
      <c r="X906" s="16" t="n">
        <f aca="false">IF(W906="","",ABS(W906))</f>
        <v>0</v>
      </c>
      <c r="Y906" s="16" t="n">
        <f aca="false">IF(U906="","",IF($B$8=0,0,U906/$B$8*100))</f>
        <v>9.31042037588836</v>
      </c>
      <c r="Z906" s="18" t="n">
        <f aca="false">IF(D906="","",MAX(0,IF(P906&gt;=0,P906,IF(K906+P906&gt;=0,0,P906+K906))))</f>
        <v>4.39638050149448</v>
      </c>
      <c r="AA906" s="18" t="n">
        <f aca="false">IF(D906="","",IF(H906&lt;=$B$16,1,IF(H906&gt;=$B$17,$B$21,MATCH(H906,Aux_CAV!$A$2:$A$121,1))))</f>
        <v>9</v>
      </c>
      <c r="AB906" s="18" t="n">
        <f aca="false">IF(D906="","",IF(L906&lt;=$B$16,1,IF(L906&gt;=$B$17,$B$21,MATCH(L906,Aux_CAV!$A$2:$A$121,1))))</f>
        <v>8</v>
      </c>
      <c r="AC906" s="19" t="n">
        <f aca="false">IF(D906="","",COUNT($D$24:D906))</f>
        <v>871</v>
      </c>
    </row>
    <row r="907" customFormat="false" ht="12.75" hidden="false" customHeight="true" outlineLevel="0" collapsed="false">
      <c r="A907" s="14" t="n">
        <f aca="false">IF(D907="","",DATE(B907,C907,1))</f>
        <v>30529</v>
      </c>
      <c r="B907" s="15" t="n">
        <f aca="false" t="array" ref="B907:B907">IF(D907="","",IFERROR(VALUE(INDEX(Vazoes_COLAR!$A$2:$A$200,INT((ROW()-24)/12)+1)),""))</f>
        <v>1983</v>
      </c>
      <c r="C907" s="15" t="n">
        <f aca="false">IF(D907="","",MOD(ROW()-24,12)+1)</f>
        <v>8</v>
      </c>
      <c r="D907" s="16" t="n">
        <f aca="false" t="array" ref="D907: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0.00544005997267032</v>
      </c>
      <c r="E907" s="16" t="n">
        <f aca="false">IF(D907="","",D907*$B$15)</f>
        <v>0.0141006354491615</v>
      </c>
      <c r="F907" s="16" t="n">
        <f aca="false" t="array" ref="F907:F907">IF(D907="","",IFERROR(INDEX(Dados_Evap!$C$2:$N$15,MATCH($B$9,Dados_Evap!$A$2:$A$15,0),C907),0))</f>
        <v>268.7</v>
      </c>
      <c r="G907" s="16" t="n">
        <f aca="false">IF(F907="","",F907/1000)</f>
        <v>0.2687</v>
      </c>
      <c r="H907" s="16" t="n">
        <f aca="false">IF(D907="","",MAX(0,MIN($B$8,IFERROR(LOOKUP(2,1/($U$24:U906&lt;&gt;""),$U$24:U906),$B$11))))</f>
        <v>4.39638050149448</v>
      </c>
      <c r="I907" s="16" t="n">
        <f aca="false" t="array" ref="I907: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>1.6118154964065</v>
      </c>
      <c r="J907" s="16" t="n">
        <f aca="false">IF(D907="","",$B$12)</f>
        <v>0.35</v>
      </c>
      <c r="K907" s="16" t="n">
        <f aca="false">IF(J907="","",J907*$B$15)</f>
        <v>0.9072</v>
      </c>
      <c r="L907" s="16" t="n">
        <f aca="false">IF(D907="","",H907+E907-K907-G907*I907)</f>
        <v>3.07018631305922</v>
      </c>
      <c r="M907" s="16" t="n">
        <f aca="false" t="array" ref="M907: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>1.25109067715211</v>
      </c>
      <c r="N907" s="16" t="n">
        <f aca="false">IF(D907="","",(I907+M907)/2)</f>
        <v>1.4314530867793</v>
      </c>
      <c r="O907" s="16" t="n">
        <f aca="false">IF(D907="","",G907*N907)</f>
        <v>0.384631444417599</v>
      </c>
      <c r="P907" s="16" t="n">
        <f aca="false">IF(D907="","",H907+E907-K907-O907)</f>
        <v>3.11864969252604</v>
      </c>
      <c r="Q907" s="16" t="n">
        <f aca="false">IF(D907="","",IF(P907&gt;=0,K907,MAX(0,K907+P907)))</f>
        <v>0.9072</v>
      </c>
      <c r="R907" s="16" t="n">
        <f aca="false">IF(D907="","",Q907/$B$15)</f>
        <v>0.35</v>
      </c>
      <c r="S907" s="16" t="n">
        <f aca="false">IF(D907="","",MAX(0,J907-R907))</f>
        <v>0</v>
      </c>
      <c r="T907" s="16" t="n">
        <f aca="false">IF(D907="","",MAX(0,Z907-$B$8))</f>
        <v>0</v>
      </c>
      <c r="U907" s="16" t="n">
        <f aca="false">IF(D907="","",MAX(0,MIN($B$8,Z907)))</f>
        <v>3.11864969252604</v>
      </c>
      <c r="V907" s="16" t="str">
        <f aca="false">IF(D907="","",IF(S907&gt;0.0000001,"Sim","Não"))</f>
        <v>Não</v>
      </c>
      <c r="W907" s="16" t="n">
        <f aca="false">IF(D907="","",U907-(H907+E907-Q907-O907-T907))</f>
        <v>0</v>
      </c>
      <c r="X907" s="16" t="n">
        <f aca="false">IF(W907="","",ABS(W907))</f>
        <v>0</v>
      </c>
      <c r="Y907" s="16" t="n">
        <f aca="false">IF(U907="","",IF($B$8=0,0,U907/$B$8*100))</f>
        <v>6.6045101493563</v>
      </c>
      <c r="Z907" s="18" t="n">
        <f aca="false">IF(D907="","",MAX(0,IF(P907&gt;=0,P907,IF(K907+P907&gt;=0,0,P907+K907))))</f>
        <v>3.11864969252604</v>
      </c>
      <c r="AA907" s="18" t="n">
        <f aca="false">IF(D907="","",IF(H907&lt;=$B$16,1,IF(H907&gt;=$B$17,$B$21,MATCH(H907,Aux_CAV!$A$2:$A$121,1))))</f>
        <v>8</v>
      </c>
      <c r="AB907" s="18" t="n">
        <f aca="false">IF(D907="","",IF(L907&lt;=$B$16,1,IF(L907&gt;=$B$17,$B$21,MATCH(L907,Aux_CAV!$A$2:$A$121,1))))</f>
        <v>8</v>
      </c>
      <c r="AC907" s="19" t="n">
        <f aca="false">IF(D907="","",COUNT($D$24:D907))</f>
        <v>872</v>
      </c>
    </row>
    <row r="908" customFormat="false" ht="12.75" hidden="false" customHeight="true" outlineLevel="0" collapsed="false">
      <c r="A908" s="14" t="n">
        <f aca="false">IF(D908="","",DATE(B908,C908,1))</f>
        <v>30560</v>
      </c>
      <c r="B908" s="15" t="n">
        <f aca="false" t="array" ref="B908:B908">IF(D908="","",IFERROR(VALUE(INDEX(Vazoes_COLAR!$A$2:$A$200,INT((ROW()-24)/12)+1)),""))</f>
        <v>1983</v>
      </c>
      <c r="C908" s="15" t="n">
        <f aca="false">IF(D908="","",MOD(ROW()-24,12)+1)</f>
        <v>9</v>
      </c>
      <c r="D908" s="16" t="n">
        <f aca="false" t="array" ref="D908: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0.00346710258480544</v>
      </c>
      <c r="E908" s="16" t="n">
        <f aca="false">IF(D908="","",D908*$B$15)</f>
        <v>0.0089867298998157</v>
      </c>
      <c r="F908" s="16" t="n">
        <f aca="false" t="array" ref="F908:F908">IF(D908="","",IFERROR(INDEX(Dados_Evap!$C$2:$N$15,MATCH($B$9,Dados_Evap!$A$2:$A$15,0),C908),0))</f>
        <v>292.8</v>
      </c>
      <c r="G908" s="16" t="n">
        <f aca="false">IF(F908="","",F908/1000)</f>
        <v>0.2928</v>
      </c>
      <c r="H908" s="16" t="n">
        <f aca="false">IF(D908="","",MAX(0,MIN($B$8,IFERROR(LOOKUP(2,1/($U$24:U907&lt;&gt;""),$U$24:U907),$B$11))))</f>
        <v>3.11864969252604</v>
      </c>
      <c r="I908" s="16" t="n">
        <f aca="false" t="array" ref="I908: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>1.26427271636708</v>
      </c>
      <c r="J908" s="16" t="n">
        <f aca="false">IF(D908="","",$B$12)</f>
        <v>0.35</v>
      </c>
      <c r="K908" s="16" t="n">
        <f aca="false">IF(J908="","",J908*$B$15)</f>
        <v>0.9072</v>
      </c>
      <c r="L908" s="16" t="n">
        <f aca="false">IF(D908="","",H908+E908-K908-G908*I908)</f>
        <v>1.85025737107358</v>
      </c>
      <c r="M908" s="16" t="n">
        <f aca="false" t="array" ref="M908: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>0.920594045019363</v>
      </c>
      <c r="N908" s="16" t="n">
        <f aca="false">IF(D908="","",(I908+M908)/2)</f>
        <v>1.09243338069322</v>
      </c>
      <c r="O908" s="16" t="n">
        <f aca="false">IF(D908="","",G908*N908)</f>
        <v>0.319864493866976</v>
      </c>
      <c r="P908" s="16" t="n">
        <f aca="false">IF(D908="","",H908+E908-K908-O908)</f>
        <v>1.90057192855888</v>
      </c>
      <c r="Q908" s="16" t="n">
        <f aca="false">IF(D908="","",IF(P908&gt;=0,K908,MAX(0,K908+P908)))</f>
        <v>0.9072</v>
      </c>
      <c r="R908" s="16" t="n">
        <f aca="false">IF(D908="","",Q908/$B$15)</f>
        <v>0.35</v>
      </c>
      <c r="S908" s="16" t="n">
        <f aca="false">IF(D908="","",MAX(0,J908-R908))</f>
        <v>0</v>
      </c>
      <c r="T908" s="16" t="n">
        <f aca="false">IF(D908="","",MAX(0,Z908-$B$8))</f>
        <v>0</v>
      </c>
      <c r="U908" s="16" t="n">
        <f aca="false">IF(D908="","",MAX(0,MIN($B$8,Z908)))</f>
        <v>1.90057192855888</v>
      </c>
      <c r="V908" s="16" t="str">
        <f aca="false">IF(D908="","",IF(S908&gt;0.0000001,"Sim","Não"))</f>
        <v>Não</v>
      </c>
      <c r="W908" s="16" t="n">
        <f aca="false">IF(D908="","",U908-(H908+E908-Q908-O908-T908))</f>
        <v>0</v>
      </c>
      <c r="X908" s="16" t="n">
        <f aca="false">IF(W908="","",ABS(W908))</f>
        <v>0</v>
      </c>
      <c r="Y908" s="16" t="n">
        <f aca="false">IF(U908="","",IF($B$8=0,0,U908/$B$8*100))</f>
        <v>4.02492996306414</v>
      </c>
      <c r="Z908" s="18" t="n">
        <f aca="false">IF(D908="","",MAX(0,IF(P908&gt;=0,P908,IF(K908+P908&gt;=0,0,P908+K908))))</f>
        <v>1.90057192855888</v>
      </c>
      <c r="AA908" s="18" t="n">
        <f aca="false">IF(D908="","",IF(H908&lt;=$B$16,1,IF(H908&gt;=$B$17,$B$21,MATCH(H908,Aux_CAV!$A$2:$A$121,1))))</f>
        <v>8</v>
      </c>
      <c r="AB908" s="18" t="n">
        <f aca="false">IF(D908="","",IF(L908&lt;=$B$16,1,IF(L908&gt;=$B$17,$B$21,MATCH(L908,Aux_CAV!$A$2:$A$121,1))))</f>
        <v>7</v>
      </c>
      <c r="AC908" s="19" t="n">
        <f aca="false">IF(D908="","",COUNT($D$24:D908))</f>
        <v>873</v>
      </c>
    </row>
    <row r="909" customFormat="false" ht="12.75" hidden="false" customHeight="true" outlineLevel="0" collapsed="false">
      <c r="A909" s="14" t="n">
        <f aca="false">IF(D909="","",DATE(B909,C909,1))</f>
        <v>30590</v>
      </c>
      <c r="B909" s="15" t="n">
        <f aca="false" t="array" ref="B909:B909">IF(D909="","",IFERROR(VALUE(INDEX(Vazoes_COLAR!$A$2:$A$200,INT((ROW()-24)/12)+1)),""))</f>
        <v>1983</v>
      </c>
      <c r="C909" s="15" t="n">
        <f aca="false">IF(D909="","",MOD(ROW()-24,12)+1)</f>
        <v>10</v>
      </c>
      <c r="D909" s="16" t="n">
        <f aca="false" t="array" ref="D909: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0.00339323073152194</v>
      </c>
      <c r="E909" s="16" t="n">
        <f aca="false">IF(D909="","",D909*$B$15)</f>
        <v>0.00879525405610487</v>
      </c>
      <c r="F909" s="16" t="n">
        <f aca="false" t="array" ref="F909:F909">IF(D909="","",IFERROR(INDEX(Dados_Evap!$C$2:$N$15,MATCH($B$9,Dados_Evap!$A$2:$A$15,0),C909),0))</f>
        <v>262.9</v>
      </c>
      <c r="G909" s="16" t="n">
        <f aca="false">IF(F909="","",F909/1000)</f>
        <v>0.2629</v>
      </c>
      <c r="H909" s="16" t="n">
        <f aca="false">IF(D909="","",MAX(0,MIN($B$8,IFERROR(LOOKUP(2,1/($U$24:U908&lt;&gt;""),$U$24:U908),$B$11))))</f>
        <v>1.90057192855888</v>
      </c>
      <c r="I909" s="16" t="n">
        <f aca="false" t="array" ref="I909: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>0.933834718041812</v>
      </c>
      <c r="J909" s="16" t="n">
        <f aca="false">IF(D909="","",$B$12)</f>
        <v>0.35</v>
      </c>
      <c r="K909" s="16" t="n">
        <f aca="false">IF(J909="","",J909*$B$15)</f>
        <v>0.9072</v>
      </c>
      <c r="L909" s="16" t="n">
        <f aca="false">IF(D909="","",H909+E909-K909-G909*I909)</f>
        <v>0.756662035241797</v>
      </c>
      <c r="M909" s="16" t="n">
        <f aca="false" t="array" ref="M909: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>0.559437150832073</v>
      </c>
      <c r="N909" s="16" t="n">
        <f aca="false">IF(D909="","",(I909+M909)/2)</f>
        <v>0.746635934436942</v>
      </c>
      <c r="O909" s="16" t="n">
        <f aca="false">IF(D909="","",G909*N909)</f>
        <v>0.196290587163472</v>
      </c>
      <c r="P909" s="16" t="n">
        <f aca="false">IF(D909="","",H909+E909-K909-O909)</f>
        <v>0.805876595451518</v>
      </c>
      <c r="Q909" s="16" t="n">
        <f aca="false">IF(D909="","",IF(P909&gt;=0,K909,MAX(0,K909+P909)))</f>
        <v>0.9072</v>
      </c>
      <c r="R909" s="16" t="n">
        <f aca="false">IF(D909="","",Q909/$B$15)</f>
        <v>0.35</v>
      </c>
      <c r="S909" s="16" t="n">
        <f aca="false">IF(D909="","",MAX(0,J909-R909))</f>
        <v>0</v>
      </c>
      <c r="T909" s="16" t="n">
        <f aca="false">IF(D909="","",MAX(0,Z909-$B$8))</f>
        <v>0</v>
      </c>
      <c r="U909" s="16" t="n">
        <f aca="false">IF(D909="","",MAX(0,MIN($B$8,Z909)))</f>
        <v>0.805876595451518</v>
      </c>
      <c r="V909" s="16" t="str">
        <f aca="false">IF(D909="","",IF(S909&gt;0.0000001,"Sim","Não"))</f>
        <v>Não</v>
      </c>
      <c r="W909" s="16" t="n">
        <f aca="false">IF(D909="","",U909-(H909+E909-Q909-O909-T909))</f>
        <v>0</v>
      </c>
      <c r="X909" s="16" t="n">
        <f aca="false">IF(W909="","",ABS(W909))</f>
        <v>0</v>
      </c>
      <c r="Y909" s="16" t="n">
        <f aca="false">IF(U909="","",IF($B$8=0,0,U909/$B$8*100))</f>
        <v>1.70664251472155</v>
      </c>
      <c r="Z909" s="18" t="n">
        <f aca="false">IF(D909="","",MAX(0,IF(P909&gt;=0,P909,IF(K909+P909&gt;=0,0,P909+K909))))</f>
        <v>0.805876595451518</v>
      </c>
      <c r="AA909" s="18" t="n">
        <f aca="false">IF(D909="","",IF(H909&lt;=$B$16,1,IF(H909&gt;=$B$17,$B$21,MATCH(H909,Aux_CAV!$A$2:$A$121,1))))</f>
        <v>7</v>
      </c>
      <c r="AB909" s="18" t="n">
        <f aca="false">IF(D909="","",IF(L909&lt;=$B$16,1,IF(L909&gt;=$B$17,$B$21,MATCH(L909,Aux_CAV!$A$2:$A$121,1))))</f>
        <v>6</v>
      </c>
      <c r="AC909" s="19" t="n">
        <f aca="false">IF(D909="","",COUNT($D$24:D909))</f>
        <v>874</v>
      </c>
    </row>
    <row r="910" customFormat="false" ht="12.75" hidden="false" customHeight="true" outlineLevel="0" collapsed="false">
      <c r="A910" s="14" t="n">
        <f aca="false">IF(D910="","",DATE(B910,C910,1))</f>
        <v>30621</v>
      </c>
      <c r="B910" s="15" t="n">
        <f aca="false" t="array" ref="B910:B910">IF(D910="","",IFERROR(VALUE(INDEX(Vazoes_COLAR!$A$2:$A$200,INT((ROW()-24)/12)+1)),""))</f>
        <v>1983</v>
      </c>
      <c r="C910" s="15" t="n">
        <f aca="false">IF(D910="","",MOD(ROW()-24,12)+1)</f>
        <v>11</v>
      </c>
      <c r="D910" s="16" t="n">
        <f aca="false" t="array" ref="D910: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0.00246491318885536</v>
      </c>
      <c r="E910" s="16" t="n">
        <f aca="false">IF(D910="","",D910*$B$15)</f>
        <v>0.00638905498551309</v>
      </c>
      <c r="F910" s="16" t="n">
        <f aca="false" t="array" ref="F910:F910">IF(D910="","",IFERROR(INDEX(Dados_Evap!$C$2:$N$15,MATCH($B$9,Dados_Evap!$A$2:$A$15,0),C910),0))</f>
        <v>223.7</v>
      </c>
      <c r="G910" s="16" t="n">
        <f aca="false">IF(F910="","",F910/1000)</f>
        <v>0.2237</v>
      </c>
      <c r="H910" s="16" t="n">
        <f aca="false">IF(D910="","",MAX(0,MIN($B$8,IFERROR(LOOKUP(2,1/($U$24:U909&lt;&gt;""),$U$24:U909),$B$11))))</f>
        <v>0.805876595451518</v>
      </c>
      <c r="I910" s="16" t="n">
        <f aca="false" t="array" ref="I910: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>0.584697721559186</v>
      </c>
      <c r="J910" s="16" t="n">
        <f aca="false">IF(D910="","",$B$12)</f>
        <v>0.35</v>
      </c>
      <c r="K910" s="16" t="n">
        <f aca="false">IF(J910="","",J910*$B$15)</f>
        <v>0.9072</v>
      </c>
      <c r="L910" s="16" t="n">
        <f aca="false">IF(D910="","",H910+E910-K910-G910*I910)</f>
        <v>-0.225731229875759</v>
      </c>
      <c r="M910" s="16" t="n">
        <f aca="false" t="array" ref="M910: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>0</v>
      </c>
      <c r="N910" s="16" t="n">
        <f aca="false">IF(D910="","",(I910+M910)/2)</f>
        <v>0.292348860779593</v>
      </c>
      <c r="O910" s="16" t="n">
        <f aca="false">IF(D910="","",G910*N910)</f>
        <v>0.0653984401563949</v>
      </c>
      <c r="P910" s="16" t="n">
        <f aca="false">IF(D910="","",H910+E910-K910-O910)</f>
        <v>-0.160332789719364</v>
      </c>
      <c r="Q910" s="16" t="n">
        <f aca="false">IF(D910="","",IF(P910&gt;=0,K910,MAX(0,K910+P910)))</f>
        <v>0.746867210280636</v>
      </c>
      <c r="R910" s="16" t="n">
        <f aca="false">IF(D910="","",Q910/$B$15)</f>
        <v>0.288143213842838</v>
      </c>
      <c r="S910" s="16" t="n">
        <f aca="false">IF(D910="","",MAX(0,J910-R910))</f>
        <v>0.0618567861571622</v>
      </c>
      <c r="T910" s="16" t="n">
        <f aca="false">IF(D910="","",MAX(0,Z910-$B$8))</f>
        <v>0</v>
      </c>
      <c r="U910" s="16" t="n">
        <f aca="false">IF(D910="","",MAX(0,MIN($B$8,Z910)))</f>
        <v>0</v>
      </c>
      <c r="V910" s="16" t="str">
        <f aca="false">IF(D910="","",IF(S910&gt;0.0000001,"Sim","Não"))</f>
        <v>Sim</v>
      </c>
      <c r="W910" s="16" t="n">
        <f aca="false">IF(D910="","",U910-(H910+E910-Q910-O910-T910))</f>
        <v>0</v>
      </c>
      <c r="X910" s="16" t="n">
        <f aca="false">IF(W910="","",ABS(W910))</f>
        <v>0</v>
      </c>
      <c r="Y910" s="16" t="n">
        <f aca="false">IF(U910="","",IF($B$8=0,0,U910/$B$8*100))</f>
        <v>0</v>
      </c>
      <c r="Z910" s="18" t="n">
        <f aca="false">IF(D910="","",MAX(0,IF(P910&gt;=0,P910,IF(K910+P910&gt;=0,0,P910+K910))))</f>
        <v>0</v>
      </c>
      <c r="AA910" s="18" t="n">
        <f aca="false">IF(D910="","",IF(H910&lt;=$B$16,1,IF(H910&gt;=$B$17,$B$21,MATCH(H910,Aux_CAV!$A$2:$A$121,1))))</f>
        <v>6</v>
      </c>
      <c r="AB910" s="18" t="n">
        <f aca="false">IF(D910="","",IF(L910&lt;=$B$16,1,IF(L910&gt;=$B$17,$B$21,MATCH(L910,Aux_CAV!$A$2:$A$121,1))))</f>
        <v>1</v>
      </c>
      <c r="AC910" s="19" t="n">
        <f aca="false">IF(D910="","",COUNT($D$24:D910))</f>
        <v>875</v>
      </c>
    </row>
    <row r="911" customFormat="false" ht="12.75" hidden="false" customHeight="true" outlineLevel="0" collapsed="false">
      <c r="A911" s="14" t="n">
        <f aca="false">IF(D911="","",DATE(B911,C911,1))</f>
        <v>30651</v>
      </c>
      <c r="B911" s="15" t="n">
        <f aca="false" t="array" ref="B911:B911">IF(D911="","",IFERROR(VALUE(INDEX(Vazoes_COLAR!$A$2:$A$200,INT((ROW()-24)/12)+1)),""))</f>
        <v>1983</v>
      </c>
      <c r="C911" s="15" t="n">
        <f aca="false">IF(D911="","",MOD(ROW()-24,12)+1)</f>
        <v>12</v>
      </c>
      <c r="D911" s="16" t="n">
        <f aca="false" t="array" ref="D911: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0.00697964534104878</v>
      </c>
      <c r="E911" s="16" t="n">
        <f aca="false">IF(D911="","",D911*$B$15)</f>
        <v>0.0180912407239984</v>
      </c>
      <c r="F911" s="16" t="n">
        <f aca="false" t="array" ref="F911:F911">IF(D911="","",IFERROR(INDEX(Dados_Evap!$C$2:$N$15,MATCH($B$9,Dados_Evap!$A$2:$A$15,0),C911),0))</f>
        <v>216.1</v>
      </c>
      <c r="G911" s="16" t="n">
        <f aca="false">IF(F911="","",F911/1000)</f>
        <v>0.2161</v>
      </c>
      <c r="H911" s="16" t="n">
        <f aca="false">IF(D911="","",MAX(0,MIN($B$8,IFERROR(LOOKUP(2,1/($U$24:U910&lt;&gt;""),$U$24:U910),$B$11))))</f>
        <v>0</v>
      </c>
      <c r="I911" s="16" t="n">
        <f aca="false" t="array" ref="I911: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>0</v>
      </c>
      <c r="J911" s="16" t="n">
        <f aca="false">IF(D911="","",$B$12)</f>
        <v>0.35</v>
      </c>
      <c r="K911" s="16" t="n">
        <f aca="false">IF(J911="","",J911*$B$15)</f>
        <v>0.9072</v>
      </c>
      <c r="L911" s="16" t="n">
        <f aca="false">IF(D911="","",H911+E911-K911-G911*I911)</f>
        <v>-0.889108759276002</v>
      </c>
      <c r="M911" s="16" t="n">
        <f aca="false" t="array" ref="M911: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>0</v>
      </c>
      <c r="N911" s="16" t="n">
        <f aca="false">IF(D911="","",(I911+M911)/2)</f>
        <v>0</v>
      </c>
      <c r="O911" s="16" t="n">
        <f aca="false">IF(D911="","",G911*N911)</f>
        <v>0</v>
      </c>
      <c r="P911" s="16" t="n">
        <f aca="false">IF(D911="","",H911+E911-K911-O911)</f>
        <v>-0.889108759276002</v>
      </c>
      <c r="Q911" s="16" t="n">
        <f aca="false">IF(D911="","",IF(P911&gt;=0,K911,MAX(0,K911+P911)))</f>
        <v>0.0180912407239985</v>
      </c>
      <c r="R911" s="16" t="n">
        <f aca="false">IF(D911="","",Q911/$B$15)</f>
        <v>0.0069796453410488</v>
      </c>
      <c r="S911" s="16" t="n">
        <f aca="false">IF(D911="","",MAX(0,J911-R911))</f>
        <v>0.343020354658951</v>
      </c>
      <c r="T911" s="16" t="n">
        <f aca="false">IF(D911="","",MAX(0,Z911-$B$8))</f>
        <v>0</v>
      </c>
      <c r="U911" s="16" t="n">
        <f aca="false">IF(D911="","",MAX(0,MIN($B$8,Z911)))</f>
        <v>0</v>
      </c>
      <c r="V911" s="16" t="str">
        <f aca="false">IF(D911="","",IF(S911&gt;0.0000001,"Sim","Não"))</f>
        <v>Sim</v>
      </c>
      <c r="W911" s="16" t="n">
        <f aca="false">IF(D911="","",U911-(H911+E911-Q911-O911-T911))</f>
        <v>0</v>
      </c>
      <c r="X911" s="16" t="n">
        <f aca="false">IF(W911="","",ABS(W911))</f>
        <v>0</v>
      </c>
      <c r="Y911" s="16" t="n">
        <f aca="false">IF(U911="","",IF($B$8=0,0,U911/$B$8*100))</f>
        <v>0</v>
      </c>
      <c r="Z911" s="18" t="n">
        <f aca="false">IF(D911="","",MAX(0,IF(P911&gt;=0,P911,IF(K911+P911&gt;=0,0,P911+K911))))</f>
        <v>0</v>
      </c>
      <c r="AA911" s="18" t="n">
        <f aca="false">IF(D911="","",IF(H911&lt;=$B$16,1,IF(H911&gt;=$B$17,$B$21,MATCH(H911,Aux_CAV!$A$2:$A$121,1))))</f>
        <v>1</v>
      </c>
      <c r="AB911" s="18" t="n">
        <f aca="false">IF(D911="","",IF(L911&lt;=$B$16,1,IF(L911&gt;=$B$17,$B$21,MATCH(L911,Aux_CAV!$A$2:$A$121,1))))</f>
        <v>1</v>
      </c>
      <c r="AC911" s="19" t="n">
        <f aca="false">IF(D911="","",COUNT($D$24:D911))</f>
        <v>876</v>
      </c>
    </row>
    <row r="912" customFormat="false" ht="12.75" hidden="false" customHeight="true" outlineLevel="0" collapsed="false">
      <c r="A912" s="14" t="n">
        <f aca="false">IF(D912="","",DATE(B912,C912,1))</f>
        <v>30682</v>
      </c>
      <c r="B912" s="15" t="n">
        <f aca="false" t="array" ref="B912:B912">IF(D912="","",IFERROR(VALUE(INDEX(Vazoes_COLAR!$A$2:$A$200,INT((ROW()-24)/12)+1)),""))</f>
        <v>1984</v>
      </c>
      <c r="C912" s="15" t="n">
        <f aca="false">IF(D912="","",MOD(ROW()-24,12)+1)</f>
        <v>1</v>
      </c>
      <c r="D912" s="16" t="n">
        <f aca="false" t="array" ref="D912: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0.0210959487766607</v>
      </c>
      <c r="E912" s="16" t="n">
        <f aca="false">IF(D912="","",D912*$B$15)</f>
        <v>0.0546806992291045</v>
      </c>
      <c r="F912" s="16" t="n">
        <f aca="false" t="array" ref="F912:F912">IF(D912="","",IFERROR(INDEX(Dados_Evap!$C$2:$N$15,MATCH($B$9,Dados_Evap!$A$2:$A$15,0),C912),0))</f>
        <v>160</v>
      </c>
      <c r="G912" s="16" t="n">
        <f aca="false">IF(F912="","",F912/1000)</f>
        <v>0.16</v>
      </c>
      <c r="H912" s="16" t="n">
        <f aca="false">IF(D912="","",MAX(0,MIN($B$8,IFERROR(LOOKUP(2,1/($U$24:U911&lt;&gt;""),$U$24:U911),$B$11))))</f>
        <v>0</v>
      </c>
      <c r="I912" s="16" t="n">
        <f aca="false" t="array" ref="I912: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>0</v>
      </c>
      <c r="J912" s="16" t="n">
        <f aca="false">IF(D912="","",$B$12)</f>
        <v>0.35</v>
      </c>
      <c r="K912" s="16" t="n">
        <f aca="false">IF(J912="","",J912*$B$15)</f>
        <v>0.9072</v>
      </c>
      <c r="L912" s="16" t="n">
        <f aca="false">IF(D912="","",H912+E912-K912-G912*I912)</f>
        <v>-0.852519300770895</v>
      </c>
      <c r="M912" s="16" t="n">
        <f aca="false" t="array" ref="M912: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>0</v>
      </c>
      <c r="N912" s="16" t="n">
        <f aca="false">IF(D912="","",(I912+M912)/2)</f>
        <v>0</v>
      </c>
      <c r="O912" s="16" t="n">
        <f aca="false">IF(D912="","",G912*N912)</f>
        <v>0</v>
      </c>
      <c r="P912" s="16" t="n">
        <f aca="false">IF(D912="","",H912+E912-K912-O912)</f>
        <v>-0.852519300770895</v>
      </c>
      <c r="Q912" s="16" t="n">
        <f aca="false">IF(D912="","",IF(P912&gt;=0,K912,MAX(0,K912+P912)))</f>
        <v>0.0546806992291046</v>
      </c>
      <c r="R912" s="16" t="n">
        <f aca="false">IF(D912="","",Q912/$B$15)</f>
        <v>0.0210959487766607</v>
      </c>
      <c r="S912" s="16" t="n">
        <f aca="false">IF(D912="","",MAX(0,J912-R912))</f>
        <v>0.328904051223339</v>
      </c>
      <c r="T912" s="16" t="n">
        <f aca="false">IF(D912="","",MAX(0,Z912-$B$8))</f>
        <v>0</v>
      </c>
      <c r="U912" s="16" t="n">
        <f aca="false">IF(D912="","",MAX(0,MIN($B$8,Z912)))</f>
        <v>0</v>
      </c>
      <c r="V912" s="16" t="str">
        <f aca="false">IF(D912="","",IF(S912&gt;0.0000001,"Sim","Não"))</f>
        <v>Sim</v>
      </c>
      <c r="W912" s="16" t="n">
        <f aca="false">IF(D912="","",U912-(H912+E912-Q912-O912-T912))</f>
        <v>0</v>
      </c>
      <c r="X912" s="16" t="n">
        <f aca="false">IF(W912="","",ABS(W912))</f>
        <v>0</v>
      </c>
      <c r="Y912" s="16" t="n">
        <f aca="false">IF(U912="","",IF($B$8=0,0,U912/$B$8*100))</f>
        <v>0</v>
      </c>
      <c r="Z912" s="18" t="n">
        <f aca="false">IF(D912="","",MAX(0,IF(P912&gt;=0,P912,IF(K912+P912&gt;=0,0,P912+K912))))</f>
        <v>0</v>
      </c>
      <c r="AA912" s="18" t="n">
        <f aca="false">IF(D912="","",IF(H912&lt;=$B$16,1,IF(H912&gt;=$B$17,$B$21,MATCH(H912,Aux_CAV!$A$2:$A$121,1))))</f>
        <v>1</v>
      </c>
      <c r="AB912" s="18" t="n">
        <f aca="false">IF(D912="","",IF(L912&lt;=$B$16,1,IF(L912&gt;=$B$17,$B$21,MATCH(L912,Aux_CAV!$A$2:$A$121,1))))</f>
        <v>1</v>
      </c>
      <c r="AC912" s="19" t="n">
        <f aca="false">IF(D912="","",COUNT($D$24:D912))</f>
        <v>877</v>
      </c>
    </row>
    <row r="913" customFormat="false" ht="12.75" hidden="false" customHeight="true" outlineLevel="0" collapsed="false">
      <c r="A913" s="14" t="n">
        <f aca="false">IF(D913="","",DATE(B913,C913,1))</f>
        <v>30713</v>
      </c>
      <c r="B913" s="15" t="n">
        <f aca="false" t="array" ref="B913:B913">IF(D913="","",IFERROR(VALUE(INDEX(Vazoes_COLAR!$A$2:$A$200,INT((ROW()-24)/12)+1)),""))</f>
        <v>1984</v>
      </c>
      <c r="C913" s="15" t="n">
        <f aca="false">IF(D913="","",MOD(ROW()-24,12)+1)</f>
        <v>2</v>
      </c>
      <c r="D913" s="16" t="n">
        <f aca="false" t="array" ref="D913: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0.0421271646212628</v>
      </c>
      <c r="E913" s="16" t="n">
        <f aca="false">IF(D913="","",D913*$B$15)</f>
        <v>0.109193610698313</v>
      </c>
      <c r="F913" s="16" t="n">
        <f aca="false" t="array" ref="F913:F913">IF(D913="","",IFERROR(INDEX(Dados_Evap!$C$2:$N$15,MATCH($B$9,Dados_Evap!$A$2:$A$15,0),C913),0))</f>
        <v>124.3</v>
      </c>
      <c r="G913" s="16" t="n">
        <f aca="false">IF(F913="","",F913/1000)</f>
        <v>0.1243</v>
      </c>
      <c r="H913" s="16" t="n">
        <f aca="false">IF(D913="","",MAX(0,MIN($B$8,IFERROR(LOOKUP(2,1/($U$24:U912&lt;&gt;""),$U$24:U912),$B$11))))</f>
        <v>0</v>
      </c>
      <c r="I913" s="16" t="n">
        <f aca="false" t="array" ref="I913: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>0</v>
      </c>
      <c r="J913" s="16" t="n">
        <f aca="false">IF(D913="","",$B$12)</f>
        <v>0.35</v>
      </c>
      <c r="K913" s="16" t="n">
        <f aca="false">IF(J913="","",J913*$B$15)</f>
        <v>0.9072</v>
      </c>
      <c r="L913" s="16" t="n">
        <f aca="false">IF(D913="","",H913+E913-K913-G913*I913)</f>
        <v>-0.798006389301687</v>
      </c>
      <c r="M913" s="16" t="n">
        <f aca="false" t="array" ref="M913: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>0</v>
      </c>
      <c r="N913" s="16" t="n">
        <f aca="false">IF(D913="","",(I913+M913)/2)</f>
        <v>0</v>
      </c>
      <c r="O913" s="16" t="n">
        <f aca="false">IF(D913="","",G913*N913)</f>
        <v>0</v>
      </c>
      <c r="P913" s="16" t="n">
        <f aca="false">IF(D913="","",H913+E913-K913-O913)</f>
        <v>-0.798006389301687</v>
      </c>
      <c r="Q913" s="16" t="n">
        <f aca="false">IF(D913="","",IF(P913&gt;=0,K913,MAX(0,K913+P913)))</f>
        <v>0.109193610698313</v>
      </c>
      <c r="R913" s="16" t="n">
        <f aca="false">IF(D913="","",Q913/$B$15)</f>
        <v>0.0421271646212628</v>
      </c>
      <c r="S913" s="16" t="n">
        <f aca="false">IF(D913="","",MAX(0,J913-R913))</f>
        <v>0.307872835378737</v>
      </c>
      <c r="T913" s="16" t="n">
        <f aca="false">IF(D913="","",MAX(0,Z913-$B$8))</f>
        <v>0</v>
      </c>
      <c r="U913" s="16" t="n">
        <f aca="false">IF(D913="","",MAX(0,MIN($B$8,Z913)))</f>
        <v>0</v>
      </c>
      <c r="V913" s="16" t="str">
        <f aca="false">IF(D913="","",IF(S913&gt;0.0000001,"Sim","Não"))</f>
        <v>Sim</v>
      </c>
      <c r="W913" s="16" t="n">
        <f aca="false">IF(D913="","",U913-(H913+E913-Q913-O913-T913))</f>
        <v>0</v>
      </c>
      <c r="X913" s="16" t="n">
        <f aca="false">IF(W913="","",ABS(W913))</f>
        <v>0</v>
      </c>
      <c r="Y913" s="16" t="n">
        <f aca="false">IF(U913="","",IF($B$8=0,0,U913/$B$8*100))</f>
        <v>0</v>
      </c>
      <c r="Z913" s="18" t="n">
        <f aca="false">IF(D913="","",MAX(0,IF(P913&gt;=0,P913,IF(K913+P913&gt;=0,0,P913+K913))))</f>
        <v>0</v>
      </c>
      <c r="AA913" s="18" t="n">
        <f aca="false">IF(D913="","",IF(H913&lt;=$B$16,1,IF(H913&gt;=$B$17,$B$21,MATCH(H913,Aux_CAV!$A$2:$A$121,1))))</f>
        <v>1</v>
      </c>
      <c r="AB913" s="18" t="n">
        <f aca="false">IF(D913="","",IF(L913&lt;=$B$16,1,IF(L913&gt;=$B$17,$B$21,MATCH(L913,Aux_CAV!$A$2:$A$121,1))))</f>
        <v>1</v>
      </c>
      <c r="AC913" s="19" t="n">
        <f aca="false">IF(D913="","",COUNT($D$24:D913))</f>
        <v>878</v>
      </c>
    </row>
    <row r="914" customFormat="false" ht="12.75" hidden="false" customHeight="true" outlineLevel="0" collapsed="false">
      <c r="A914" s="14" t="n">
        <f aca="false">IF(D914="","",DATE(B914,C914,1))</f>
        <v>30742</v>
      </c>
      <c r="B914" s="15" t="n">
        <f aca="false" t="array" ref="B914:B914">IF(D914="","",IFERROR(VALUE(INDEX(Vazoes_COLAR!$A$2:$A$200,INT((ROW()-24)/12)+1)),""))</f>
        <v>1984</v>
      </c>
      <c r="C914" s="15" t="n">
        <f aca="false">IF(D914="","",MOD(ROW()-24,12)+1)</f>
        <v>3</v>
      </c>
      <c r="D914" s="16" t="n">
        <f aca="false" t="array" ref="D914: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0.48646217377324</v>
      </c>
      <c r="E914" s="16" t="n">
        <f aca="false">IF(D914="","",D914*$B$15)</f>
        <v>1.26090995442024</v>
      </c>
      <c r="F914" s="16" t="n">
        <f aca="false" t="array" ref="F914:F914">IF(D914="","",IFERROR(INDEX(Dados_Evap!$C$2:$N$15,MATCH($B$9,Dados_Evap!$A$2:$A$15,0),C914),0))</f>
        <v>107.7</v>
      </c>
      <c r="G914" s="16" t="n">
        <f aca="false">IF(F914="","",F914/1000)</f>
        <v>0.1077</v>
      </c>
      <c r="H914" s="16" t="n">
        <f aca="false">IF(D914="","",MAX(0,MIN($B$8,IFERROR(LOOKUP(2,1/($U$24:U913&lt;&gt;""),$U$24:U913),$B$11))))</f>
        <v>0</v>
      </c>
      <c r="I914" s="16" t="n">
        <f aca="false" t="array" ref="I914: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>0</v>
      </c>
      <c r="J914" s="16" t="n">
        <f aca="false">IF(D914="","",$B$12)</f>
        <v>0.35</v>
      </c>
      <c r="K914" s="16" t="n">
        <f aca="false">IF(J914="","",J914*$B$15)</f>
        <v>0.9072</v>
      </c>
      <c r="L914" s="16" t="n">
        <f aca="false">IF(D914="","",H914+E914-K914-G914*I914)</f>
        <v>0.353709954420238</v>
      </c>
      <c r="M914" s="16" t="n">
        <f aca="false" t="array" ref="M914: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>0.320668715515312</v>
      </c>
      <c r="N914" s="16" t="n">
        <f aca="false">IF(D914="","",(I914+M914)/2)</f>
        <v>0.160334357757656</v>
      </c>
      <c r="O914" s="16" t="n">
        <f aca="false">IF(D914="","",G914*N914)</f>
        <v>0.0172680103304995</v>
      </c>
      <c r="P914" s="16" t="n">
        <f aca="false">IF(D914="","",H914+E914-K914-O914)</f>
        <v>0.336441944089739</v>
      </c>
      <c r="Q914" s="16" t="n">
        <f aca="false">IF(D914="","",IF(P914&gt;=0,K914,MAX(0,K914+P914)))</f>
        <v>0.9072</v>
      </c>
      <c r="R914" s="16" t="n">
        <f aca="false">IF(D914="","",Q914/$B$15)</f>
        <v>0.35</v>
      </c>
      <c r="S914" s="16" t="n">
        <f aca="false">IF(D914="","",MAX(0,J914-R914))</f>
        <v>0</v>
      </c>
      <c r="T914" s="16" t="n">
        <f aca="false">IF(D914="","",MAX(0,Z914-$B$8))</f>
        <v>0</v>
      </c>
      <c r="U914" s="16" t="n">
        <f aca="false">IF(D914="","",MAX(0,MIN($B$8,Z914)))</f>
        <v>0.336441944089739</v>
      </c>
      <c r="V914" s="16" t="str">
        <f aca="false">IF(D914="","",IF(S914&gt;0.0000001,"Sim","Não"))</f>
        <v>Não</v>
      </c>
      <c r="W914" s="16" t="n">
        <f aca="false">IF(D914="","",U914-(H914+E914-Q914-O914-T914))</f>
        <v>0</v>
      </c>
      <c r="X914" s="16" t="n">
        <f aca="false">IF(W914="","",ABS(W914))</f>
        <v>0</v>
      </c>
      <c r="Y914" s="16" t="n">
        <f aca="false">IF(U914="","",IF($B$8=0,0,U914/$B$8*100))</f>
        <v>0.712498822722869</v>
      </c>
      <c r="Z914" s="18" t="n">
        <f aca="false">IF(D914="","",MAX(0,IF(P914&gt;=0,P914,IF(K914+P914&gt;=0,0,P914+K914))))</f>
        <v>0.336441944089739</v>
      </c>
      <c r="AA914" s="18" t="n">
        <f aca="false">IF(D914="","",IF(H914&lt;=$B$16,1,IF(H914&gt;=$B$17,$B$21,MATCH(H914,Aux_CAV!$A$2:$A$121,1))))</f>
        <v>1</v>
      </c>
      <c r="AB914" s="18" t="n">
        <f aca="false">IF(D914="","",IF(L914&lt;=$B$16,1,IF(L914&gt;=$B$17,$B$21,MATCH(L914,Aux_CAV!$A$2:$A$121,1))))</f>
        <v>5</v>
      </c>
      <c r="AC914" s="19" t="n">
        <f aca="false">IF(D914="","",COUNT($D$24:D914))</f>
        <v>879</v>
      </c>
    </row>
    <row r="915" customFormat="false" ht="12.75" hidden="false" customHeight="true" outlineLevel="0" collapsed="false">
      <c r="A915" s="14" t="n">
        <f aca="false">IF(D915="","",DATE(B915,C915,1))</f>
        <v>30773</v>
      </c>
      <c r="B915" s="15" t="n">
        <f aca="false" t="array" ref="B915:B915">IF(D915="","",IFERROR(VALUE(INDEX(Vazoes_COLAR!$A$2:$A$200,INT((ROW()-24)/12)+1)),""))</f>
        <v>1984</v>
      </c>
      <c r="C915" s="15" t="n">
        <f aca="false">IF(D915="","",MOD(ROW()-24,12)+1)</f>
        <v>4</v>
      </c>
      <c r="D915" s="16" t="n">
        <f aca="false" t="array" ref="D915: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4.58365583091293</v>
      </c>
      <c r="E915" s="16" t="n">
        <f aca="false">IF(D915="","",D915*$B$15)</f>
        <v>11.8808359137263</v>
      </c>
      <c r="F915" s="16" t="n">
        <f aca="false" t="array" ref="F915:F915">IF(D915="","",IFERROR(INDEX(Dados_Evap!$C$2:$N$15,MATCH($B$9,Dados_Evap!$A$2:$A$15,0),C915),0))</f>
        <v>100.5</v>
      </c>
      <c r="G915" s="16" t="n">
        <f aca="false">IF(F915="","",F915/1000)</f>
        <v>0.1005</v>
      </c>
      <c r="H915" s="16" t="n">
        <f aca="false">IF(D915="","",MAX(0,MIN($B$8,IFERROR(LOOKUP(2,1/($U$24:U914&lt;&gt;""),$U$24:U914),$B$11))))</f>
        <v>0.336441944089739</v>
      </c>
      <c r="I915" s="16" t="n">
        <f aca="false" t="array" ref="I915: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>0.307604102436316</v>
      </c>
      <c r="J915" s="16" t="n">
        <f aca="false">IF(D915="","",$B$12)</f>
        <v>0.35</v>
      </c>
      <c r="K915" s="16" t="n">
        <f aca="false">IF(J915="","",J915*$B$15)</f>
        <v>0.9072</v>
      </c>
      <c r="L915" s="16" t="n">
        <f aca="false">IF(D915="","",H915+E915-K915-G915*I915)</f>
        <v>11.2791636455212</v>
      </c>
      <c r="M915" s="16" t="n">
        <f aca="false" t="array" ref="M915: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>3.24734042858857</v>
      </c>
      <c r="N915" s="16" t="n">
        <f aca="false">IF(D915="","",(I915+M915)/2)</f>
        <v>1.77747226551244</v>
      </c>
      <c r="O915" s="16" t="n">
        <f aca="false">IF(D915="","",G915*N915)</f>
        <v>0.178635962684001</v>
      </c>
      <c r="P915" s="16" t="n">
        <f aca="false">IF(D915="","",H915+E915-K915-O915)</f>
        <v>11.1314418951321</v>
      </c>
      <c r="Q915" s="16" t="n">
        <f aca="false">IF(D915="","",IF(P915&gt;=0,K915,MAX(0,K915+P915)))</f>
        <v>0.9072</v>
      </c>
      <c r="R915" s="16" t="n">
        <f aca="false">IF(D915="","",Q915/$B$15)</f>
        <v>0.35</v>
      </c>
      <c r="S915" s="16" t="n">
        <f aca="false">IF(D915="","",MAX(0,J915-R915))</f>
        <v>0</v>
      </c>
      <c r="T915" s="16" t="n">
        <f aca="false">IF(D915="","",MAX(0,Z915-$B$8))</f>
        <v>0</v>
      </c>
      <c r="U915" s="16" t="n">
        <f aca="false">IF(D915="","",MAX(0,MIN($B$8,Z915)))</f>
        <v>11.1314418951321</v>
      </c>
      <c r="V915" s="16" t="str">
        <f aca="false">IF(D915="","",IF(S915&gt;0.0000001,"Sim","Não"))</f>
        <v>Não</v>
      </c>
      <c r="W915" s="16" t="n">
        <f aca="false">IF(D915="","",U915-(H915+E915-Q915-O915-T915))</f>
        <v>0</v>
      </c>
      <c r="X915" s="16" t="n">
        <f aca="false">IF(W915="","",ABS(W915))</f>
        <v>0</v>
      </c>
      <c r="Y915" s="16" t="n">
        <f aca="false">IF(U915="","",IF($B$8=0,0,U915/$B$8*100))</f>
        <v>23.5735745343754</v>
      </c>
      <c r="Z915" s="18" t="n">
        <f aca="false">IF(D915="","",MAX(0,IF(P915&gt;=0,P915,IF(K915+P915&gt;=0,0,P915+K915))))</f>
        <v>11.1314418951321</v>
      </c>
      <c r="AA915" s="18" t="n">
        <f aca="false">IF(D915="","",IF(H915&lt;=$B$16,1,IF(H915&gt;=$B$17,$B$21,MATCH(H915,Aux_CAV!$A$2:$A$121,1))))</f>
        <v>5</v>
      </c>
      <c r="AB915" s="18" t="n">
        <f aca="false">IF(D915="","",IF(L915&lt;=$B$16,1,IF(L915&gt;=$B$17,$B$21,MATCH(L915,Aux_CAV!$A$2:$A$121,1))))</f>
        <v>10</v>
      </c>
      <c r="AC915" s="19" t="n">
        <f aca="false">IF(D915="","",COUNT($D$24:D915))</f>
        <v>880</v>
      </c>
    </row>
    <row r="916" customFormat="false" ht="12.75" hidden="false" customHeight="true" outlineLevel="0" collapsed="false">
      <c r="A916" s="14" t="n">
        <f aca="false">IF(D916="","",DATE(B916,C916,1))</f>
        <v>30803</v>
      </c>
      <c r="B916" s="15" t="n">
        <f aca="false" t="array" ref="B916:B916">IF(D916="","",IFERROR(VALUE(INDEX(Vazoes_COLAR!$A$2:$A$200,INT((ROW()-24)/12)+1)),""))</f>
        <v>1984</v>
      </c>
      <c r="C916" s="15" t="n">
        <f aca="false">IF(D916="","",MOD(ROW()-24,12)+1)</f>
        <v>5</v>
      </c>
      <c r="D916" s="16" t="n">
        <f aca="false" t="array" ref="D916: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1.68422329000283</v>
      </c>
      <c r="E916" s="16" t="n">
        <f aca="false">IF(D916="","",D916*$B$15)</f>
        <v>4.36550676768734</v>
      </c>
      <c r="F916" s="16" t="n">
        <f aca="false" t="array" ref="F916:F916">IF(D916="","",IFERROR(INDEX(Dados_Evap!$C$2:$N$15,MATCH($B$9,Dados_Evap!$A$2:$A$15,0),C916),0))</f>
        <v>145.8</v>
      </c>
      <c r="G916" s="16" t="n">
        <f aca="false">IF(F916="","",F916/1000)</f>
        <v>0.1458</v>
      </c>
      <c r="H916" s="16" t="n">
        <f aca="false">IF(D916="","",MAX(0,MIN($B$8,IFERROR(LOOKUP(2,1/($U$24:U915&lt;&gt;""),$U$24:U915),$B$11))))</f>
        <v>11.1314418951321</v>
      </c>
      <c r="I916" s="16" t="n">
        <f aca="false" t="array" ref="I916: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>3.23474063223185</v>
      </c>
      <c r="J916" s="16" t="n">
        <f aca="false">IF(D916="","",$B$12)</f>
        <v>0.35</v>
      </c>
      <c r="K916" s="16" t="n">
        <f aca="false">IF(J916="","",J916*$B$15)</f>
        <v>0.9072</v>
      </c>
      <c r="L916" s="16" t="n">
        <f aca="false">IF(D916="","",H916+E916-K916-G916*I916)</f>
        <v>14.11812347864</v>
      </c>
      <c r="M916" s="16" t="n">
        <f aca="false" t="array" ref="M916: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>3.48948700258988</v>
      </c>
      <c r="N916" s="16" t="n">
        <f aca="false">IF(D916="","",(I916+M916)/2)</f>
        <v>3.36211381741087</v>
      </c>
      <c r="O916" s="16" t="n">
        <f aca="false">IF(D916="","",G916*N916)</f>
        <v>0.490196194578504</v>
      </c>
      <c r="P916" s="16" t="n">
        <f aca="false">IF(D916="","",H916+E916-K916-O916)</f>
        <v>14.0995524682409</v>
      </c>
      <c r="Q916" s="16" t="n">
        <f aca="false">IF(D916="","",IF(P916&gt;=0,K916,MAX(0,K916+P916)))</f>
        <v>0.9072</v>
      </c>
      <c r="R916" s="16" t="n">
        <f aca="false">IF(D916="","",Q916/$B$15)</f>
        <v>0.35</v>
      </c>
      <c r="S916" s="16" t="n">
        <f aca="false">IF(D916="","",MAX(0,J916-R916))</f>
        <v>0</v>
      </c>
      <c r="T916" s="16" t="n">
        <f aca="false">IF(D916="","",MAX(0,Z916-$B$8))</f>
        <v>0</v>
      </c>
      <c r="U916" s="16" t="n">
        <f aca="false">IF(D916="","",MAX(0,MIN($B$8,Z916)))</f>
        <v>14.0995524682409</v>
      </c>
      <c r="V916" s="16" t="str">
        <f aca="false">IF(D916="","",IF(S916&gt;0.0000001,"Sim","Não"))</f>
        <v>Não</v>
      </c>
      <c r="W916" s="16" t="n">
        <f aca="false">IF(D916="","",U916-(H916+E916-Q916-O916-T916))</f>
        <v>0</v>
      </c>
      <c r="X916" s="16" t="n">
        <f aca="false">IF(W916="","",ABS(W916))</f>
        <v>0</v>
      </c>
      <c r="Y916" s="16" t="n">
        <f aca="false">IF(U916="","",IF($B$8=0,0,U916/$B$8*100))</f>
        <v>29.8592809577317</v>
      </c>
      <c r="Z916" s="18" t="n">
        <f aca="false">IF(D916="","",MAX(0,IF(P916&gt;=0,P916,IF(K916+P916&gt;=0,0,P916+K916))))</f>
        <v>14.0995524682409</v>
      </c>
      <c r="AA916" s="18" t="n">
        <f aca="false">IF(D916="","",IF(H916&lt;=$B$16,1,IF(H916&gt;=$B$17,$B$21,MATCH(H916,Aux_CAV!$A$2:$A$121,1))))</f>
        <v>10</v>
      </c>
      <c r="AB916" s="18" t="n">
        <f aca="false">IF(D916="","",IF(L916&lt;=$B$16,1,IF(L916&gt;=$B$17,$B$21,MATCH(L916,Aux_CAV!$A$2:$A$121,1))))</f>
        <v>10</v>
      </c>
      <c r="AC916" s="19" t="n">
        <f aca="false">IF(D916="","",COUNT($D$24:D916))</f>
        <v>881</v>
      </c>
    </row>
    <row r="917" customFormat="false" ht="12.75" hidden="false" customHeight="true" outlineLevel="0" collapsed="false">
      <c r="A917" s="14" t="n">
        <f aca="false">IF(D917="","",DATE(B917,C917,1))</f>
        <v>30834</v>
      </c>
      <c r="B917" s="15" t="n">
        <f aca="false" t="array" ref="B917:B917">IF(D917="","",IFERROR(VALUE(INDEX(Vazoes_COLAR!$A$2:$A$200,INT((ROW()-24)/12)+1)),""))</f>
        <v>1984</v>
      </c>
      <c r="C917" s="15" t="n">
        <f aca="false">IF(D917="","",MOD(ROW()-24,12)+1)</f>
        <v>6</v>
      </c>
      <c r="D917" s="16" t="n">
        <f aca="false" t="array" ref="D917: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0.246184772467756</v>
      </c>
      <c r="E917" s="16" t="n">
        <f aca="false">IF(D917="","",D917*$B$15)</f>
        <v>0.638110930236424</v>
      </c>
      <c r="F917" s="16" t="n">
        <f aca="false" t="array" ref="F917:F917">IF(D917="","",IFERROR(INDEX(Dados_Evap!$C$2:$N$15,MATCH($B$9,Dados_Evap!$A$2:$A$15,0),C917),0))</f>
        <v>161.3</v>
      </c>
      <c r="G917" s="16" t="n">
        <f aca="false">IF(F917="","",F917/1000)</f>
        <v>0.1613</v>
      </c>
      <c r="H917" s="16" t="n">
        <f aca="false">IF(D917="","",MAX(0,MIN($B$8,IFERROR(LOOKUP(2,1/($U$24:U916&lt;&gt;""),$U$24:U916),$B$11))))</f>
        <v>14.0995524682409</v>
      </c>
      <c r="I917" s="16" t="n">
        <f aca="false" t="array" ref="I917: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>3.48790300464408</v>
      </c>
      <c r="J917" s="16" t="n">
        <f aca="false">IF(D917="","",$B$12)</f>
        <v>0.35</v>
      </c>
      <c r="K917" s="16" t="n">
        <f aca="false">IF(J917="","",J917*$B$15)</f>
        <v>0.9072</v>
      </c>
      <c r="L917" s="16" t="n">
        <f aca="false">IF(D917="","",H917+E917-K917-G917*I917)</f>
        <v>13.2678646438282</v>
      </c>
      <c r="M917" s="16" t="n">
        <f aca="false" t="array" ref="M917: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>3.416964925503</v>
      </c>
      <c r="N917" s="16" t="n">
        <f aca="false">IF(D917="","",(I917+M917)/2)</f>
        <v>3.45243396507354</v>
      </c>
      <c r="O917" s="16" t="n">
        <f aca="false">IF(D917="","",G917*N917)</f>
        <v>0.556877598566361</v>
      </c>
      <c r="P917" s="16" t="n">
        <f aca="false">IF(D917="","",H917+E917-K917-O917)</f>
        <v>13.273585799911</v>
      </c>
      <c r="Q917" s="16" t="n">
        <f aca="false">IF(D917="","",IF(P917&gt;=0,K917,MAX(0,K917+P917)))</f>
        <v>0.9072</v>
      </c>
      <c r="R917" s="16" t="n">
        <f aca="false">IF(D917="","",Q917/$B$15)</f>
        <v>0.35</v>
      </c>
      <c r="S917" s="16" t="n">
        <f aca="false">IF(D917="","",MAX(0,J917-R917))</f>
        <v>0</v>
      </c>
      <c r="T917" s="16" t="n">
        <f aca="false">IF(D917="","",MAX(0,Z917-$B$8))</f>
        <v>0</v>
      </c>
      <c r="U917" s="16" t="n">
        <f aca="false">IF(D917="","",MAX(0,MIN($B$8,Z917)))</f>
        <v>13.273585799911</v>
      </c>
      <c r="V917" s="16" t="str">
        <f aca="false">IF(D917="","",IF(S917&gt;0.0000001,"Sim","Não"))</f>
        <v>Não</v>
      </c>
      <c r="W917" s="16" t="n">
        <f aca="false">IF(D917="","",U917-(H917+E917-Q917-O917-T917))</f>
        <v>0</v>
      </c>
      <c r="X917" s="16" t="n">
        <f aca="false">IF(W917="","",ABS(W917))</f>
        <v>0</v>
      </c>
      <c r="Y917" s="16" t="n">
        <f aca="false">IF(U917="","",IF($B$8=0,0,U917/$B$8*100))</f>
        <v>28.1100927571176</v>
      </c>
      <c r="Z917" s="18" t="n">
        <f aca="false">IF(D917="","",MAX(0,IF(P917&gt;=0,P917,IF(K917+P917&gt;=0,0,P917+K917))))</f>
        <v>13.273585799911</v>
      </c>
      <c r="AA917" s="18" t="n">
        <f aca="false">IF(D917="","",IF(H917&lt;=$B$16,1,IF(H917&gt;=$B$17,$B$21,MATCH(H917,Aux_CAV!$A$2:$A$121,1))))</f>
        <v>10</v>
      </c>
      <c r="AB917" s="18" t="n">
        <f aca="false">IF(D917="","",IF(L917&lt;=$B$16,1,IF(L917&gt;=$B$17,$B$21,MATCH(L917,Aux_CAV!$A$2:$A$121,1))))</f>
        <v>10</v>
      </c>
      <c r="AC917" s="19" t="n">
        <f aca="false">IF(D917="","",COUNT($D$24:D917))</f>
        <v>882</v>
      </c>
    </row>
    <row r="918" customFormat="false" ht="12.75" hidden="false" customHeight="true" outlineLevel="0" collapsed="false">
      <c r="A918" s="14" t="n">
        <f aca="false">IF(D918="","",DATE(B918,C918,1))</f>
        <v>30864</v>
      </c>
      <c r="B918" s="15" t="n">
        <f aca="false" t="array" ref="B918:B918">IF(D918="","",IFERROR(VALUE(INDEX(Vazoes_COLAR!$A$2:$A$200,INT((ROW()-24)/12)+1)),""))</f>
        <v>1984</v>
      </c>
      <c r="C918" s="15" t="n">
        <f aca="false">IF(D918="","",MOD(ROW()-24,12)+1)</f>
        <v>7</v>
      </c>
      <c r="D918" s="16" t="n">
        <f aca="false" t="array" ref="D918: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0.0673498868519198</v>
      </c>
      <c r="E918" s="16" t="n">
        <f aca="false">IF(D918="","",D918*$B$15)</f>
        <v>0.174570906720176</v>
      </c>
      <c r="F918" s="16" t="n">
        <f aca="false" t="array" ref="F918:F918">IF(D918="","",IFERROR(INDEX(Dados_Evap!$C$2:$N$15,MATCH($B$9,Dados_Evap!$A$2:$A$15,0),C918),0))</f>
        <v>224.8</v>
      </c>
      <c r="G918" s="16" t="n">
        <f aca="false">IF(F918="","",F918/1000)</f>
        <v>0.2248</v>
      </c>
      <c r="H918" s="16" t="n">
        <f aca="false">IF(D918="","",MAX(0,MIN($B$8,IFERROR(LOOKUP(2,1/($U$24:U917&lt;&gt;""),$U$24:U917),$B$11))))</f>
        <v>13.273585799911</v>
      </c>
      <c r="I918" s="16" t="n">
        <f aca="false" t="array" ref="I918: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>3.41745290646299</v>
      </c>
      <c r="J918" s="16" t="n">
        <f aca="false">IF(D918="","",$B$12)</f>
        <v>0.35</v>
      </c>
      <c r="K918" s="16" t="n">
        <f aca="false">IF(J918="","",J918*$B$15)</f>
        <v>0.9072</v>
      </c>
      <c r="L918" s="16" t="n">
        <f aca="false">IF(D918="","",H918+E918-K918-G918*I918)</f>
        <v>11.7727132932582</v>
      </c>
      <c r="M918" s="16" t="n">
        <f aca="false" t="array" ref="M918: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>3.28943731030732</v>
      </c>
      <c r="N918" s="16" t="n">
        <f aca="false">IF(D918="","",(I918+M918)/2)</f>
        <v>3.35344510838516</v>
      </c>
      <c r="O918" s="16" t="n">
        <f aca="false">IF(D918="","",G918*N918)</f>
        <v>0.753854460364983</v>
      </c>
      <c r="P918" s="16" t="n">
        <f aca="false">IF(D918="","",H918+E918-K918-O918)</f>
        <v>11.7871022462661</v>
      </c>
      <c r="Q918" s="16" t="n">
        <f aca="false">IF(D918="","",IF(P918&gt;=0,K918,MAX(0,K918+P918)))</f>
        <v>0.9072</v>
      </c>
      <c r="R918" s="16" t="n">
        <f aca="false">IF(D918="","",Q918/$B$15)</f>
        <v>0.35</v>
      </c>
      <c r="S918" s="16" t="n">
        <f aca="false">IF(D918="","",MAX(0,J918-R918))</f>
        <v>0</v>
      </c>
      <c r="T918" s="16" t="n">
        <f aca="false">IF(D918="","",MAX(0,Z918-$B$8))</f>
        <v>0</v>
      </c>
      <c r="U918" s="16" t="n">
        <f aca="false">IF(D918="","",MAX(0,MIN($B$8,Z918)))</f>
        <v>11.7871022462661</v>
      </c>
      <c r="V918" s="16" t="str">
        <f aca="false">IF(D918="","",IF(S918&gt;0.0000001,"Sim","Não"))</f>
        <v>Não</v>
      </c>
      <c r="W918" s="16" t="n">
        <f aca="false">IF(D918="","",U918-(H918+E918-Q918-O918-T918))</f>
        <v>0</v>
      </c>
      <c r="X918" s="16" t="n">
        <f aca="false">IF(W918="","",ABS(W918))</f>
        <v>0</v>
      </c>
      <c r="Y918" s="16" t="n">
        <f aca="false">IF(U918="","",IF($B$8=0,0,U918/$B$8*100))</f>
        <v>24.9620970907796</v>
      </c>
      <c r="Z918" s="18" t="n">
        <f aca="false">IF(D918="","",MAX(0,IF(P918&gt;=0,P918,IF(K918+P918&gt;=0,0,P918+K918))))</f>
        <v>11.7871022462661</v>
      </c>
      <c r="AA918" s="18" t="n">
        <f aca="false">IF(D918="","",IF(H918&lt;=$B$16,1,IF(H918&gt;=$B$17,$B$21,MATCH(H918,Aux_CAV!$A$2:$A$121,1))))</f>
        <v>10</v>
      </c>
      <c r="AB918" s="18" t="n">
        <f aca="false">IF(D918="","",IF(L918&lt;=$B$16,1,IF(L918&gt;=$B$17,$B$21,MATCH(L918,Aux_CAV!$A$2:$A$121,1))))</f>
        <v>10</v>
      </c>
      <c r="AC918" s="19" t="n">
        <f aca="false">IF(D918="","",COUNT($D$24:D918))</f>
        <v>883</v>
      </c>
    </row>
    <row r="919" customFormat="false" ht="12.75" hidden="false" customHeight="true" outlineLevel="0" collapsed="false">
      <c r="A919" s="14" t="n">
        <f aca="false">IF(D919="","",DATE(B919,C919,1))</f>
        <v>30895</v>
      </c>
      <c r="B919" s="15" t="n">
        <f aca="false" t="array" ref="B919:B919">IF(D919="","",IFERROR(VALUE(INDEX(Vazoes_COLAR!$A$2:$A$200,INT((ROW()-24)/12)+1)),""))</f>
        <v>1984</v>
      </c>
      <c r="C919" s="15" t="n">
        <f aca="false">IF(D919="","",MOD(ROW()-24,12)+1)</f>
        <v>8</v>
      </c>
      <c r="D919" s="16" t="n">
        <f aca="false" t="array" ref="D919: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0.0250292033389103</v>
      </c>
      <c r="E919" s="16" t="n">
        <f aca="false">IF(D919="","",D919*$B$15)</f>
        <v>0.0648756950544555</v>
      </c>
      <c r="F919" s="16" t="n">
        <f aca="false" t="array" ref="F919:F919">IF(D919="","",IFERROR(INDEX(Dados_Evap!$C$2:$N$15,MATCH($B$9,Dados_Evap!$A$2:$A$15,0),C919),0))</f>
        <v>268.7</v>
      </c>
      <c r="G919" s="16" t="n">
        <f aca="false">IF(F919="","",F919/1000)</f>
        <v>0.2687</v>
      </c>
      <c r="H919" s="16" t="n">
        <f aca="false">IF(D919="","",MAX(0,MIN($B$8,IFERROR(LOOKUP(2,1/($U$24:U918&lt;&gt;""),$U$24:U918),$B$11))))</f>
        <v>11.7871022462661</v>
      </c>
      <c r="I919" s="16" t="n">
        <f aca="false" t="array" ref="I919: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>3.29066460335799</v>
      </c>
      <c r="J919" s="16" t="n">
        <f aca="false">IF(D919="","",$B$12)</f>
        <v>0.35</v>
      </c>
      <c r="K919" s="16" t="n">
        <f aca="false">IF(J919="","",J919*$B$15)</f>
        <v>0.9072</v>
      </c>
      <c r="L919" s="16" t="n">
        <f aca="false">IF(D919="","",H919+E919-K919-G919*I919)</f>
        <v>10.0605763623983</v>
      </c>
      <c r="M919" s="16" t="n">
        <f aca="false" t="array" ref="M919: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>3.14340210149868</v>
      </c>
      <c r="N919" s="16" t="n">
        <f aca="false">IF(D919="","",(I919+M919)/2)</f>
        <v>3.21703335242834</v>
      </c>
      <c r="O919" s="16" t="n">
        <f aca="false">IF(D919="","",G919*N919)</f>
        <v>0.864416861797494</v>
      </c>
      <c r="P919" s="16" t="n">
        <f aca="false">IF(D919="","",H919+E919-K919-O919)</f>
        <v>10.0803610795231</v>
      </c>
      <c r="Q919" s="16" t="n">
        <f aca="false">IF(D919="","",IF(P919&gt;=0,K919,MAX(0,K919+P919)))</f>
        <v>0.9072</v>
      </c>
      <c r="R919" s="16" t="n">
        <f aca="false">IF(D919="","",Q919/$B$15)</f>
        <v>0.35</v>
      </c>
      <c r="S919" s="16" t="n">
        <f aca="false">IF(D919="","",MAX(0,J919-R919))</f>
        <v>0</v>
      </c>
      <c r="T919" s="16" t="n">
        <f aca="false">IF(D919="","",MAX(0,Z919-$B$8))</f>
        <v>0</v>
      </c>
      <c r="U919" s="16" t="n">
        <f aca="false">IF(D919="","",MAX(0,MIN($B$8,Z919)))</f>
        <v>10.0803610795231</v>
      </c>
      <c r="V919" s="16" t="str">
        <f aca="false">IF(D919="","",IF(S919&gt;0.0000001,"Sim","Não"))</f>
        <v>Não</v>
      </c>
      <c r="W919" s="16" t="n">
        <f aca="false">IF(D919="","",U919-(H919+E919-Q919-O919-T919))</f>
        <v>0</v>
      </c>
      <c r="X919" s="16" t="n">
        <f aca="false">IF(W919="","",ABS(W919))</f>
        <v>0</v>
      </c>
      <c r="Y919" s="16" t="n">
        <f aca="false">IF(U919="","",IF($B$8=0,0,U919/$B$8*100))</f>
        <v>21.3476515873001</v>
      </c>
      <c r="Z919" s="18" t="n">
        <f aca="false">IF(D919="","",MAX(0,IF(P919&gt;=0,P919,IF(K919+P919&gt;=0,0,P919+K919))))</f>
        <v>10.0803610795231</v>
      </c>
      <c r="AA919" s="18" t="n">
        <f aca="false">IF(D919="","",IF(H919&lt;=$B$16,1,IF(H919&gt;=$B$17,$B$21,MATCH(H919,Aux_CAV!$A$2:$A$121,1))))</f>
        <v>10</v>
      </c>
      <c r="AB919" s="18" t="n">
        <f aca="false">IF(D919="","",IF(L919&lt;=$B$16,1,IF(L919&gt;=$B$17,$B$21,MATCH(L919,Aux_CAV!$A$2:$A$121,1))))</f>
        <v>10</v>
      </c>
      <c r="AC919" s="19" t="n">
        <f aca="false">IF(D919="","",COUNT($D$24:D919))</f>
        <v>884</v>
      </c>
    </row>
    <row r="920" customFormat="false" ht="12.75" hidden="false" customHeight="true" outlineLevel="0" collapsed="false">
      <c r="A920" s="14" t="n">
        <f aca="false">IF(D920="","",DATE(B920,C920,1))</f>
        <v>30926</v>
      </c>
      <c r="B920" s="15" t="n">
        <f aca="false" t="array" ref="B920:B920">IF(D920="","",IFERROR(VALUE(INDEX(Vazoes_COLAR!$A$2:$A$200,INT((ROW()-24)/12)+1)),""))</f>
        <v>1984</v>
      </c>
      <c r="C920" s="15" t="n">
        <f aca="false">IF(D920="","",MOD(ROW()-24,12)+1)</f>
        <v>9</v>
      </c>
      <c r="D920" s="16" t="n">
        <f aca="false" t="array" ref="D920: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0.0189585622130676</v>
      </c>
      <c r="E920" s="16" t="n">
        <f aca="false">IF(D920="","",D920*$B$15)</f>
        <v>0.0491405932562712</v>
      </c>
      <c r="F920" s="16" t="n">
        <f aca="false" t="array" ref="F920:F920">IF(D920="","",IFERROR(INDEX(Dados_Evap!$C$2:$N$15,MATCH($B$9,Dados_Evap!$A$2:$A$15,0),C920),0))</f>
        <v>292.8</v>
      </c>
      <c r="G920" s="16" t="n">
        <f aca="false">IF(F920="","",F920/1000)</f>
        <v>0.2928</v>
      </c>
      <c r="H920" s="16" t="n">
        <f aca="false">IF(D920="","",MAX(0,MIN($B$8,IFERROR(LOOKUP(2,1/($U$24:U919&lt;&gt;""),$U$24:U919),$B$11))))</f>
        <v>10.0803610795231</v>
      </c>
      <c r="I920" s="16" t="n">
        <f aca="false" t="array" ref="I920: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>3.14508962148874</v>
      </c>
      <c r="J920" s="16" t="n">
        <f aca="false">IF(D920="","",$B$12)</f>
        <v>0.35</v>
      </c>
      <c r="K920" s="16" t="n">
        <f aca="false">IF(J920="","",J920*$B$15)</f>
        <v>0.9072</v>
      </c>
      <c r="L920" s="16" t="n">
        <f aca="false">IF(D920="","",H920+E920-K920-G920*I920)</f>
        <v>8.30141943160748</v>
      </c>
      <c r="M920" s="16" t="n">
        <f aca="false" t="array" ref="M920: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>2.7966020823827</v>
      </c>
      <c r="N920" s="16" t="n">
        <f aca="false">IF(D920="","",(I920+M920)/2)</f>
        <v>2.97084585193572</v>
      </c>
      <c r="O920" s="16" t="n">
        <f aca="false">IF(D920="","",G920*N920)</f>
        <v>0.869863665446778</v>
      </c>
      <c r="P920" s="16" t="n">
        <f aca="false">IF(D920="","",H920+E920-K920-O920)</f>
        <v>8.3524380073326</v>
      </c>
      <c r="Q920" s="16" t="n">
        <f aca="false">IF(D920="","",IF(P920&gt;=0,K920,MAX(0,K920+P920)))</f>
        <v>0.9072</v>
      </c>
      <c r="R920" s="16" t="n">
        <f aca="false">IF(D920="","",Q920/$B$15)</f>
        <v>0.35</v>
      </c>
      <c r="S920" s="16" t="n">
        <f aca="false">IF(D920="","",MAX(0,J920-R920))</f>
        <v>0</v>
      </c>
      <c r="T920" s="16" t="n">
        <f aca="false">IF(D920="","",MAX(0,Z920-$B$8))</f>
        <v>0</v>
      </c>
      <c r="U920" s="16" t="n">
        <f aca="false">IF(D920="","",MAX(0,MIN($B$8,Z920)))</f>
        <v>8.3524380073326</v>
      </c>
      <c r="V920" s="16" t="str">
        <f aca="false">IF(D920="","",IF(S920&gt;0.0000001,"Sim","Não"))</f>
        <v>Não</v>
      </c>
      <c r="W920" s="16" t="n">
        <f aca="false">IF(D920="","",U920-(H920+E920-Q920-O920-T920))</f>
        <v>0</v>
      </c>
      <c r="X920" s="16" t="n">
        <f aca="false">IF(W920="","",ABS(W920))</f>
        <v>0</v>
      </c>
      <c r="Y920" s="16" t="n">
        <f aca="false">IF(U920="","",IF($B$8=0,0,U920/$B$8*100))</f>
        <v>17.6883481730889</v>
      </c>
      <c r="Z920" s="18" t="n">
        <f aca="false">IF(D920="","",MAX(0,IF(P920&gt;=0,P920,IF(K920+P920&gt;=0,0,P920+K920))))</f>
        <v>8.3524380073326</v>
      </c>
      <c r="AA920" s="18" t="n">
        <f aca="false">IF(D920="","",IF(H920&lt;=$B$16,1,IF(H920&gt;=$B$17,$B$21,MATCH(H920,Aux_CAV!$A$2:$A$121,1))))</f>
        <v>10</v>
      </c>
      <c r="AB920" s="18" t="n">
        <f aca="false">IF(D920="","",IF(L920&lt;=$B$16,1,IF(L920&gt;=$B$17,$B$21,MATCH(L920,Aux_CAV!$A$2:$A$121,1))))</f>
        <v>9</v>
      </c>
      <c r="AC920" s="19" t="n">
        <f aca="false">IF(D920="","",COUNT($D$24:D920))</f>
        <v>885</v>
      </c>
    </row>
    <row r="921" customFormat="false" ht="12.75" hidden="false" customHeight="true" outlineLevel="0" collapsed="false">
      <c r="A921" s="14" t="n">
        <f aca="false">IF(D921="","",DATE(B921,C921,1))</f>
        <v>30956</v>
      </c>
      <c r="B921" s="15" t="n">
        <f aca="false" t="array" ref="B921:B921">IF(D921="","",IFERROR(VALUE(INDEX(Vazoes_COLAR!$A$2:$A$200,INT((ROW()-24)/12)+1)),""))</f>
        <v>1984</v>
      </c>
      <c r="C921" s="15" t="n">
        <f aca="false">IF(D921="","",MOD(ROW()-24,12)+1)</f>
        <v>10</v>
      </c>
      <c r="D921" s="16" t="n">
        <f aca="false" t="array" ref="D921: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0.13627817783301</v>
      </c>
      <c r="E921" s="16" t="n">
        <f aca="false">IF(D921="","",D921*$B$15)</f>
        <v>0.353233036943162</v>
      </c>
      <c r="F921" s="16" t="n">
        <f aca="false" t="array" ref="F921:F921">IF(D921="","",IFERROR(INDEX(Dados_Evap!$C$2:$N$15,MATCH($B$9,Dados_Evap!$A$2:$A$15,0),C921),0))</f>
        <v>262.9</v>
      </c>
      <c r="G921" s="16" t="n">
        <f aca="false">IF(F921="","",F921/1000)</f>
        <v>0.2629</v>
      </c>
      <c r="H921" s="16" t="n">
        <f aca="false">IF(D921="","",MAX(0,MIN($B$8,IFERROR(LOOKUP(2,1/($U$24:U920&lt;&gt;""),$U$24:U920),$B$11))))</f>
        <v>8.3524380073326</v>
      </c>
      <c r="I921" s="16" t="n">
        <f aca="false" t="array" ref="I921: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>2.81212475542247</v>
      </c>
      <c r="J921" s="16" t="n">
        <f aca="false">IF(D921="","",$B$12)</f>
        <v>0.35</v>
      </c>
      <c r="K921" s="16" t="n">
        <f aca="false">IF(J921="","",J921*$B$15)</f>
        <v>0.9072</v>
      </c>
      <c r="L921" s="16" t="n">
        <f aca="false">IF(D921="","",H921+E921-K921-G921*I921)</f>
        <v>7.05916344607519</v>
      </c>
      <c r="M921" s="16" t="n">
        <f aca="false" t="array" ref="M921: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>2.4186390910399</v>
      </c>
      <c r="N921" s="16" t="n">
        <f aca="false">IF(D921="","",(I921+M921)/2)</f>
        <v>2.61538192323119</v>
      </c>
      <c r="O921" s="16" t="n">
        <f aca="false">IF(D921="","",G921*N921)</f>
        <v>0.687583907617479</v>
      </c>
      <c r="P921" s="16" t="n">
        <f aca="false">IF(D921="","",H921+E921-K921-O921)</f>
        <v>7.11088713665828</v>
      </c>
      <c r="Q921" s="16" t="n">
        <f aca="false">IF(D921="","",IF(P921&gt;=0,K921,MAX(0,K921+P921)))</f>
        <v>0.9072</v>
      </c>
      <c r="R921" s="16" t="n">
        <f aca="false">IF(D921="","",Q921/$B$15)</f>
        <v>0.35</v>
      </c>
      <c r="S921" s="16" t="n">
        <f aca="false">IF(D921="","",MAX(0,J921-R921))</f>
        <v>0</v>
      </c>
      <c r="T921" s="16" t="n">
        <f aca="false">IF(D921="","",MAX(0,Z921-$B$8))</f>
        <v>0</v>
      </c>
      <c r="U921" s="16" t="n">
        <f aca="false">IF(D921="","",MAX(0,MIN($B$8,Z921)))</f>
        <v>7.11088713665828</v>
      </c>
      <c r="V921" s="16" t="str">
        <f aca="false">IF(D921="","",IF(S921&gt;0.0000001,"Sim","Não"))</f>
        <v>Não</v>
      </c>
      <c r="W921" s="16" t="n">
        <f aca="false">IF(D921="","",U921-(H921+E921-Q921-O921-T921))</f>
        <v>0</v>
      </c>
      <c r="X921" s="16" t="n">
        <f aca="false">IF(W921="","",ABS(W921))</f>
        <v>0</v>
      </c>
      <c r="Y921" s="16" t="n">
        <f aca="false">IF(U921="","",IF($B$8=0,0,U921/$B$8*100))</f>
        <v>15.0590578921183</v>
      </c>
      <c r="Z921" s="18" t="n">
        <f aca="false">IF(D921="","",MAX(0,IF(P921&gt;=0,P921,IF(K921+P921&gt;=0,0,P921+K921))))</f>
        <v>7.11088713665828</v>
      </c>
      <c r="AA921" s="18" t="n">
        <f aca="false">IF(D921="","",IF(H921&lt;=$B$16,1,IF(H921&gt;=$B$17,$B$21,MATCH(H921,Aux_CAV!$A$2:$A$121,1))))</f>
        <v>9</v>
      </c>
      <c r="AB921" s="18" t="n">
        <f aca="false">IF(D921="","",IF(L921&lt;=$B$16,1,IF(L921&gt;=$B$17,$B$21,MATCH(L921,Aux_CAV!$A$2:$A$121,1))))</f>
        <v>9</v>
      </c>
      <c r="AC921" s="19" t="n">
        <f aca="false">IF(D921="","",COUNT($D$24:D921))</f>
        <v>886</v>
      </c>
    </row>
    <row r="922" customFormat="false" ht="12.75" hidden="false" customHeight="true" outlineLevel="0" collapsed="false">
      <c r="A922" s="14" t="n">
        <f aca="false">IF(D922="","",DATE(B922,C922,1))</f>
        <v>30987</v>
      </c>
      <c r="B922" s="15" t="n">
        <f aca="false" t="array" ref="B922:B922">IF(D922="","",IFERROR(VALUE(INDEX(Vazoes_COLAR!$A$2:$A$200,INT((ROW()-24)/12)+1)),""))</f>
        <v>1984</v>
      </c>
      <c r="C922" s="15" t="n">
        <f aca="false">IF(D922="","",MOD(ROW()-24,12)+1)</f>
        <v>11</v>
      </c>
      <c r="D922" s="16" t="n">
        <f aca="false" t="array" ref="D922: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0.0311044184751694</v>
      </c>
      <c r="E922" s="16" t="n">
        <f aca="false">IF(D922="","",D922*$B$15)</f>
        <v>0.0806226526876391</v>
      </c>
      <c r="F922" s="16" t="n">
        <f aca="false" t="array" ref="F922:F922">IF(D922="","",IFERROR(INDEX(Dados_Evap!$C$2:$N$15,MATCH($B$9,Dados_Evap!$A$2:$A$15,0),C922),0))</f>
        <v>223.7</v>
      </c>
      <c r="G922" s="16" t="n">
        <f aca="false">IF(F922="","",F922/1000)</f>
        <v>0.2237</v>
      </c>
      <c r="H922" s="16" t="n">
        <f aca="false">IF(D922="","",MAX(0,MIN($B$8,IFERROR(LOOKUP(2,1/($U$24:U921&lt;&gt;""),$U$24:U921),$B$11))))</f>
        <v>7.11088713665828</v>
      </c>
      <c r="I922" s="16" t="n">
        <f aca="false" t="array" ref="I922: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>2.43437629902582</v>
      </c>
      <c r="J922" s="16" t="n">
        <f aca="false">IF(D922="","",$B$12)</f>
        <v>0.35</v>
      </c>
      <c r="K922" s="16" t="n">
        <f aca="false">IF(J922="","",J922*$B$15)</f>
        <v>0.9072</v>
      </c>
      <c r="L922" s="16" t="n">
        <f aca="false">IF(D922="","",H922+E922-K922-G922*I922)</f>
        <v>5.73973981125385</v>
      </c>
      <c r="M922" s="16" t="n">
        <f aca="false" t="array" ref="M922: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>2.01719743193468</v>
      </c>
      <c r="N922" s="16" t="n">
        <f aca="false">IF(D922="","",(I922+M922)/2)</f>
        <v>2.22578686548025</v>
      </c>
      <c r="O922" s="16" t="n">
        <f aca="false">IF(D922="","",G922*N922)</f>
        <v>0.497908521807932</v>
      </c>
      <c r="P922" s="16" t="n">
        <f aca="false">IF(D922="","",H922+E922-K922-O922)</f>
        <v>5.78640126753799</v>
      </c>
      <c r="Q922" s="16" t="n">
        <f aca="false">IF(D922="","",IF(P922&gt;=0,K922,MAX(0,K922+P922)))</f>
        <v>0.9072</v>
      </c>
      <c r="R922" s="16" t="n">
        <f aca="false">IF(D922="","",Q922/$B$15)</f>
        <v>0.35</v>
      </c>
      <c r="S922" s="16" t="n">
        <f aca="false">IF(D922="","",MAX(0,J922-R922))</f>
        <v>0</v>
      </c>
      <c r="T922" s="16" t="n">
        <f aca="false">IF(D922="","",MAX(0,Z922-$B$8))</f>
        <v>0</v>
      </c>
      <c r="U922" s="16" t="n">
        <f aca="false">IF(D922="","",MAX(0,MIN($B$8,Z922)))</f>
        <v>5.78640126753799</v>
      </c>
      <c r="V922" s="16" t="str">
        <f aca="false">IF(D922="","",IF(S922&gt;0.0000001,"Sim","Não"))</f>
        <v>Não</v>
      </c>
      <c r="W922" s="16" t="n">
        <f aca="false">IF(D922="","",U922-(H922+E922-Q922-O922-T922))</f>
        <v>0</v>
      </c>
      <c r="X922" s="16" t="n">
        <f aca="false">IF(W922="","",ABS(W922))</f>
        <v>0</v>
      </c>
      <c r="Y922" s="16" t="n">
        <f aca="false">IF(U922="","",IF($B$8=0,0,U922/$B$8*100))</f>
        <v>12.2541322904235</v>
      </c>
      <c r="Z922" s="18" t="n">
        <f aca="false">IF(D922="","",MAX(0,IF(P922&gt;=0,P922,IF(K922+P922&gt;=0,0,P922+K922))))</f>
        <v>5.78640126753799</v>
      </c>
      <c r="AA922" s="18" t="n">
        <f aca="false">IF(D922="","",IF(H922&lt;=$B$16,1,IF(H922&gt;=$B$17,$B$21,MATCH(H922,Aux_CAV!$A$2:$A$121,1))))</f>
        <v>9</v>
      </c>
      <c r="AB922" s="18" t="n">
        <f aca="false">IF(D922="","",IF(L922&lt;=$B$16,1,IF(L922&gt;=$B$17,$B$21,MATCH(L922,Aux_CAV!$A$2:$A$121,1))))</f>
        <v>9</v>
      </c>
      <c r="AC922" s="19" t="n">
        <f aca="false">IF(D922="","",COUNT($D$24:D922))</f>
        <v>887</v>
      </c>
    </row>
    <row r="923" customFormat="false" ht="12.75" hidden="false" customHeight="true" outlineLevel="0" collapsed="false">
      <c r="A923" s="14" t="n">
        <f aca="false">IF(D923="","",DATE(B923,C923,1))</f>
        <v>31017</v>
      </c>
      <c r="B923" s="15" t="n">
        <f aca="false" t="array" ref="B923:B923">IF(D923="","",IFERROR(VALUE(INDEX(Vazoes_COLAR!$A$2:$A$200,INT((ROW()-24)/12)+1)),""))</f>
        <v>1984</v>
      </c>
      <c r="C923" s="15" t="n">
        <f aca="false">IF(D923="","",MOD(ROW()-24,12)+1)</f>
        <v>12</v>
      </c>
      <c r="D923" s="16" t="n">
        <f aca="false" t="array" ref="D923: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0.0676722749628629</v>
      </c>
      <c r="E923" s="16" t="n">
        <f aca="false">IF(D923="","",D923*$B$15)</f>
        <v>0.175406536703741</v>
      </c>
      <c r="F923" s="16" t="n">
        <f aca="false" t="array" ref="F923:F923">IF(D923="","",IFERROR(INDEX(Dados_Evap!$C$2:$N$15,MATCH($B$9,Dados_Evap!$A$2:$A$15,0),C923),0))</f>
        <v>216.1</v>
      </c>
      <c r="G923" s="16" t="n">
        <f aca="false">IF(F923="","",F923/1000)</f>
        <v>0.2161</v>
      </c>
      <c r="H923" s="16" t="n">
        <f aca="false">IF(D923="","",MAX(0,MIN($B$8,IFERROR(LOOKUP(2,1/($U$24:U922&lt;&gt;""),$U$24:U922),$B$11))))</f>
        <v>5.78640126753799</v>
      </c>
      <c r="I923" s="16" t="n">
        <f aca="false" t="array" ref="I923: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>2.03139442820837</v>
      </c>
      <c r="J923" s="16" t="n">
        <f aca="false">IF(D923="","",$B$12)</f>
        <v>0.35</v>
      </c>
      <c r="K923" s="16" t="n">
        <f aca="false">IF(J923="","",J923*$B$15)</f>
        <v>0.9072</v>
      </c>
      <c r="L923" s="16" t="n">
        <f aca="false">IF(D923="","",H923+E923-K923-G923*I923)</f>
        <v>4.6156234683059</v>
      </c>
      <c r="M923" s="16" t="n">
        <f aca="false" t="array" ref="M923: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>1.67517905525052</v>
      </c>
      <c r="N923" s="16" t="n">
        <f aca="false">IF(D923="","",(I923+M923)/2)</f>
        <v>1.85328674172944</v>
      </c>
      <c r="O923" s="16" t="n">
        <f aca="false">IF(D923="","",G923*N923)</f>
        <v>0.400495264887733</v>
      </c>
      <c r="P923" s="16" t="n">
        <f aca="false">IF(D923="","",H923+E923-K923-O923)</f>
        <v>4.654112539354</v>
      </c>
      <c r="Q923" s="16" t="n">
        <f aca="false">IF(D923="","",IF(P923&gt;=0,K923,MAX(0,K923+P923)))</f>
        <v>0.9072</v>
      </c>
      <c r="R923" s="16" t="n">
        <f aca="false">IF(D923="","",Q923/$B$15)</f>
        <v>0.35</v>
      </c>
      <c r="S923" s="16" t="n">
        <f aca="false">IF(D923="","",MAX(0,J923-R923))</f>
        <v>0</v>
      </c>
      <c r="T923" s="16" t="n">
        <f aca="false">IF(D923="","",MAX(0,Z923-$B$8))</f>
        <v>0</v>
      </c>
      <c r="U923" s="16" t="n">
        <f aca="false">IF(D923="","",MAX(0,MIN($B$8,Z923)))</f>
        <v>4.654112539354</v>
      </c>
      <c r="V923" s="16" t="str">
        <f aca="false">IF(D923="","",IF(S923&gt;0.0000001,"Sim","Não"))</f>
        <v>Não</v>
      </c>
      <c r="W923" s="16" t="n">
        <f aca="false">IF(D923="","",U923-(H923+E923-Q923-O923-T923))</f>
        <v>0</v>
      </c>
      <c r="X923" s="16" t="n">
        <f aca="false">IF(W923="","",ABS(W923))</f>
        <v>0</v>
      </c>
      <c r="Y923" s="16" t="n">
        <f aca="false">IF(U923="","",IF($B$8=0,0,U923/$B$8*100))</f>
        <v>9.85623155305802</v>
      </c>
      <c r="Z923" s="18" t="n">
        <f aca="false">IF(D923="","",MAX(0,IF(P923&gt;=0,P923,IF(K923+P923&gt;=0,0,P923+K923))))</f>
        <v>4.654112539354</v>
      </c>
      <c r="AA923" s="18" t="n">
        <f aca="false">IF(D923="","",IF(H923&lt;=$B$16,1,IF(H923&gt;=$B$17,$B$21,MATCH(H923,Aux_CAV!$A$2:$A$121,1))))</f>
        <v>9</v>
      </c>
      <c r="AB923" s="18" t="n">
        <f aca="false">IF(D923="","",IF(L923&lt;=$B$16,1,IF(L923&gt;=$B$17,$B$21,MATCH(L923,Aux_CAV!$A$2:$A$121,1))))</f>
        <v>9</v>
      </c>
      <c r="AC923" s="19" t="n">
        <f aca="false">IF(D923="","",COUNT($D$24:D923))</f>
        <v>888</v>
      </c>
    </row>
    <row r="924" customFormat="false" ht="12.75" hidden="false" customHeight="true" outlineLevel="0" collapsed="false">
      <c r="A924" s="14" t="n">
        <f aca="false">IF(D924="","",DATE(B924,C924,1))</f>
        <v>31048</v>
      </c>
      <c r="B924" s="15" t="n">
        <f aca="false" t="array" ref="B924:B924">IF(D924="","",IFERROR(VALUE(INDEX(Vazoes_COLAR!$A$2:$A$200,INT((ROW()-24)/12)+1)),""))</f>
        <v>1985</v>
      </c>
      <c r="C924" s="15" t="n">
        <f aca="false">IF(D924="","",MOD(ROW()-24,12)+1)</f>
        <v>1</v>
      </c>
      <c r="D924" s="16" t="n">
        <f aca="false" t="array" ref="D924: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1.3125026688882</v>
      </c>
      <c r="E924" s="16" t="n">
        <f aca="false">IF(D924="","",D924*$B$15)</f>
        <v>3.40200691775821</v>
      </c>
      <c r="F924" s="16" t="n">
        <f aca="false" t="array" ref="F924:F924">IF(D924="","",IFERROR(INDEX(Dados_Evap!$C$2:$N$15,MATCH($B$9,Dados_Evap!$A$2:$A$15,0),C924),0))</f>
        <v>160</v>
      </c>
      <c r="G924" s="16" t="n">
        <f aca="false">IF(F924="","",F924/1000)</f>
        <v>0.16</v>
      </c>
      <c r="H924" s="16" t="n">
        <f aca="false">IF(D924="","",MAX(0,MIN($B$8,IFERROR(LOOKUP(2,1/($U$24:U923&lt;&gt;""),$U$24:U923),$B$11))))</f>
        <v>4.654112539354</v>
      </c>
      <c r="I924" s="16" t="n">
        <f aca="false" t="array" ref="I924: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>1.686889559846</v>
      </c>
      <c r="J924" s="16" t="n">
        <f aca="false">IF(D924="","",$B$12)</f>
        <v>0.35</v>
      </c>
      <c r="K924" s="16" t="n">
        <f aca="false">IF(J924="","",J924*$B$15)</f>
        <v>0.9072</v>
      </c>
      <c r="L924" s="16" t="n">
        <f aca="false">IF(D924="","",H924+E924-K924-G924*I924)</f>
        <v>6.87901712753685</v>
      </c>
      <c r="M924" s="16" t="n">
        <f aca="false" t="array" ref="M924: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>2.36382861539951</v>
      </c>
      <c r="N924" s="16" t="n">
        <f aca="false">IF(D924="","",(I924+M924)/2)</f>
        <v>2.02535908762276</v>
      </c>
      <c r="O924" s="16" t="n">
        <f aca="false">IF(D924="","",G924*N924)</f>
        <v>0.324057454019641</v>
      </c>
      <c r="P924" s="16" t="n">
        <f aca="false">IF(D924="","",H924+E924-K924-O924)</f>
        <v>6.82486200309257</v>
      </c>
      <c r="Q924" s="16" t="n">
        <f aca="false">IF(D924="","",IF(P924&gt;=0,K924,MAX(0,K924+P924)))</f>
        <v>0.9072</v>
      </c>
      <c r="R924" s="16" t="n">
        <f aca="false">IF(D924="","",Q924/$B$15)</f>
        <v>0.35</v>
      </c>
      <c r="S924" s="16" t="n">
        <f aca="false">IF(D924="","",MAX(0,J924-R924))</f>
        <v>0</v>
      </c>
      <c r="T924" s="16" t="n">
        <f aca="false">IF(D924="","",MAX(0,Z924-$B$8))</f>
        <v>0</v>
      </c>
      <c r="U924" s="16" t="n">
        <f aca="false">IF(D924="","",MAX(0,MIN($B$8,Z924)))</f>
        <v>6.82486200309257</v>
      </c>
      <c r="V924" s="16" t="str">
        <f aca="false">IF(D924="","",IF(S924&gt;0.0000001,"Sim","Não"))</f>
        <v>Não</v>
      </c>
      <c r="W924" s="16" t="n">
        <f aca="false">IF(D924="","",U924-(H924+E924-Q924-O924-T924))</f>
        <v>0</v>
      </c>
      <c r="X924" s="16" t="n">
        <f aca="false">IF(W924="","",ABS(W924))</f>
        <v>0</v>
      </c>
      <c r="Y924" s="16" t="n">
        <f aca="false">IF(U924="","",IF($B$8=0,0,U924/$B$8*100))</f>
        <v>14.4533291043892</v>
      </c>
      <c r="Z924" s="18" t="n">
        <f aca="false">IF(D924="","",MAX(0,IF(P924&gt;=0,P924,IF(K924+P924&gt;=0,0,P924+K924))))</f>
        <v>6.82486200309257</v>
      </c>
      <c r="AA924" s="18" t="n">
        <f aca="false">IF(D924="","",IF(H924&lt;=$B$16,1,IF(H924&gt;=$B$17,$B$21,MATCH(H924,Aux_CAV!$A$2:$A$121,1))))</f>
        <v>9</v>
      </c>
      <c r="AB924" s="18" t="n">
        <f aca="false">IF(D924="","",IF(L924&lt;=$B$16,1,IF(L924&gt;=$B$17,$B$21,MATCH(L924,Aux_CAV!$A$2:$A$121,1))))</f>
        <v>9</v>
      </c>
      <c r="AC924" s="19" t="n">
        <f aca="false">IF(D924="","",COUNT($D$24:D924))</f>
        <v>889</v>
      </c>
    </row>
    <row r="925" customFormat="false" ht="12.75" hidden="false" customHeight="true" outlineLevel="0" collapsed="false">
      <c r="A925" s="14" t="n">
        <f aca="false">IF(D925="","",DATE(B925,C925,1))</f>
        <v>31079</v>
      </c>
      <c r="B925" s="15" t="n">
        <f aca="false" t="array" ref="B925:B925">IF(D925="","",IFERROR(VALUE(INDEX(Vazoes_COLAR!$A$2:$A$200,INT((ROW()-24)/12)+1)),""))</f>
        <v>1985</v>
      </c>
      <c r="C925" s="15" t="n">
        <f aca="false">IF(D925="","",MOD(ROW()-24,12)+1)</f>
        <v>2</v>
      </c>
      <c r="D925" s="16" t="n">
        <f aca="false" t="array" ref="D925: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10.7728653465094</v>
      </c>
      <c r="E925" s="16" t="n">
        <f aca="false">IF(D925="","",D925*$B$15)</f>
        <v>27.9232669781524</v>
      </c>
      <c r="F925" s="16" t="n">
        <f aca="false" t="array" ref="F925:F925">IF(D925="","",IFERROR(INDEX(Dados_Evap!$C$2:$N$15,MATCH($B$9,Dados_Evap!$A$2:$A$15,0),C925),0))</f>
        <v>124.3</v>
      </c>
      <c r="G925" s="16" t="n">
        <f aca="false">IF(F925="","",F925/1000)</f>
        <v>0.1243</v>
      </c>
      <c r="H925" s="16" t="n">
        <f aca="false">IF(D925="","",MAX(0,MIN($B$8,IFERROR(LOOKUP(2,1/($U$24:U924&lt;&gt;""),$U$24:U924),$B$11))))</f>
        <v>6.82486200309257</v>
      </c>
      <c r="I925" s="16" t="n">
        <f aca="false" t="array" ref="I925: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>2.34735163072817</v>
      </c>
      <c r="J925" s="16" t="n">
        <f aca="false">IF(D925="","",$B$12)</f>
        <v>0.35</v>
      </c>
      <c r="K925" s="16" t="n">
        <f aca="false">IF(J925="","",J925*$B$15)</f>
        <v>0.9072</v>
      </c>
      <c r="L925" s="16" t="n">
        <f aca="false">IF(D925="","",H925+E925-K925-G925*I925)</f>
        <v>33.5491531735454</v>
      </c>
      <c r="M925" s="16" t="n">
        <f aca="false" t="array" ref="M925: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>5.60122270831977</v>
      </c>
      <c r="N925" s="16" t="n">
        <f aca="false">IF(D925="","",(I925+M925)/2)</f>
        <v>3.97428716952397</v>
      </c>
      <c r="O925" s="16" t="n">
        <f aca="false">IF(D925="","",G925*N925)</f>
        <v>0.494003895171829</v>
      </c>
      <c r="P925" s="16" t="n">
        <f aca="false">IF(D925="","",H925+E925-K925-O925)</f>
        <v>33.3469250860731</v>
      </c>
      <c r="Q925" s="16" t="n">
        <f aca="false">IF(D925="","",IF(P925&gt;=0,K925,MAX(0,K925+P925)))</f>
        <v>0.9072</v>
      </c>
      <c r="R925" s="16" t="n">
        <f aca="false">IF(D925="","",Q925/$B$15)</f>
        <v>0.35</v>
      </c>
      <c r="S925" s="16" t="n">
        <f aca="false">IF(D925="","",MAX(0,J925-R925))</f>
        <v>0</v>
      </c>
      <c r="T925" s="16" t="n">
        <f aca="false">IF(D925="","",MAX(0,Z925-$B$8))</f>
        <v>0</v>
      </c>
      <c r="U925" s="16" t="n">
        <f aca="false">IF(D925="","",MAX(0,MIN($B$8,Z925)))</f>
        <v>33.3469250860731</v>
      </c>
      <c r="V925" s="16" t="str">
        <f aca="false">IF(D925="","",IF(S925&gt;0.0000001,"Sim","Não"))</f>
        <v>Não</v>
      </c>
      <c r="W925" s="16" t="n">
        <f aca="false">IF(D925="","",U925-(H925+E925-Q925-O925-T925))</f>
        <v>0</v>
      </c>
      <c r="X925" s="16" t="n">
        <f aca="false">IF(W925="","",ABS(W925))</f>
        <v>0</v>
      </c>
      <c r="Y925" s="16" t="n">
        <f aca="false">IF(U925="","",IF($B$8=0,0,U925/$B$8*100))</f>
        <v>70.6203411395026</v>
      </c>
      <c r="Z925" s="18" t="n">
        <f aca="false">IF(D925="","",MAX(0,IF(P925&gt;=0,P925,IF(K925+P925&gt;=0,0,P925+K925))))</f>
        <v>33.3469250860731</v>
      </c>
      <c r="AA925" s="18" t="n">
        <f aca="false">IF(D925="","",IF(H925&lt;=$B$16,1,IF(H925&gt;=$B$17,$B$21,MATCH(H925,Aux_CAV!$A$2:$A$121,1))))</f>
        <v>9</v>
      </c>
      <c r="AB925" s="18" t="n">
        <f aca="false">IF(D925="","",IF(L925&lt;=$B$16,1,IF(L925&gt;=$B$17,$B$21,MATCH(L925,Aux_CAV!$A$2:$A$121,1))))</f>
        <v>12</v>
      </c>
      <c r="AC925" s="19" t="n">
        <f aca="false">IF(D925="","",COUNT($D$24:D925))</f>
        <v>890</v>
      </c>
    </row>
    <row r="926" customFormat="false" ht="12.75" hidden="false" customHeight="true" outlineLevel="0" collapsed="false">
      <c r="A926" s="14" t="n">
        <f aca="false">IF(D926="","",DATE(B926,C926,1))</f>
        <v>31107</v>
      </c>
      <c r="B926" s="15" t="n">
        <f aca="false" t="array" ref="B926:B926">IF(D926="","",IFERROR(VALUE(INDEX(Vazoes_COLAR!$A$2:$A$200,INT((ROW()-24)/12)+1)),""))</f>
        <v>1985</v>
      </c>
      <c r="C926" s="15" t="n">
        <f aca="false">IF(D926="","",MOD(ROW()-24,12)+1)</f>
        <v>3</v>
      </c>
      <c r="D926" s="16" t="n">
        <f aca="false" t="array" ref="D926: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16.5143650509687</v>
      </c>
      <c r="E926" s="16" t="n">
        <f aca="false">IF(D926="","",D926*$B$15)</f>
        <v>42.8052342121109</v>
      </c>
      <c r="F926" s="16" t="n">
        <f aca="false" t="array" ref="F926:F926">IF(D926="","",IFERROR(INDEX(Dados_Evap!$C$2:$N$15,MATCH($B$9,Dados_Evap!$A$2:$A$15,0),C926),0))</f>
        <v>107.7</v>
      </c>
      <c r="G926" s="16" t="n">
        <f aca="false">IF(F926="","",F926/1000)</f>
        <v>0.1077</v>
      </c>
      <c r="H926" s="16" t="n">
        <f aca="false">IF(D926="","",MAX(0,MIN($B$8,IFERROR(LOOKUP(2,1/($U$24:U925&lt;&gt;""),$U$24:U925),$B$11))))</f>
        <v>33.3469250860731</v>
      </c>
      <c r="I926" s="16" t="n">
        <f aca="false" t="array" ref="I926: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>5.58021454777653</v>
      </c>
      <c r="J926" s="16" t="n">
        <f aca="false">IF(D926="","",$B$12)</f>
        <v>0.35</v>
      </c>
      <c r="K926" s="16" t="n">
        <f aca="false">IF(J926="","",J926*$B$15)</f>
        <v>0.9072</v>
      </c>
      <c r="L926" s="16" t="n">
        <f aca="false">IF(D926="","",H926+E926-K926-G926*I926)</f>
        <v>74.6439701913884</v>
      </c>
      <c r="M926" s="16" t="n">
        <f aca="false" t="array" ref="M926: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>10.1459624759159</v>
      </c>
      <c r="N926" s="16" t="n">
        <f aca="false">IF(D926="","",(I926+M926)/2)</f>
        <v>7.86308851184623</v>
      </c>
      <c r="O926" s="16" t="n">
        <f aca="false">IF(D926="","",G926*N926)</f>
        <v>0.846854632725839</v>
      </c>
      <c r="P926" s="16" t="n">
        <f aca="false">IF(D926="","",H926+E926-K926-O926)</f>
        <v>74.3981046654581</v>
      </c>
      <c r="Q926" s="16" t="n">
        <f aca="false">IF(D926="","",IF(P926&gt;=0,K926,MAX(0,K926+P926)))</f>
        <v>0.9072</v>
      </c>
      <c r="R926" s="16" t="n">
        <f aca="false">IF(D926="","",Q926/$B$15)</f>
        <v>0.35</v>
      </c>
      <c r="S926" s="16" t="n">
        <f aca="false">IF(D926="","",MAX(0,J926-R926))</f>
        <v>0</v>
      </c>
      <c r="T926" s="16" t="n">
        <f aca="false">IF(D926="","",MAX(0,Z926-$B$8))</f>
        <v>27.1781046654581</v>
      </c>
      <c r="U926" s="16" t="n">
        <f aca="false">IF(D926="","",MAX(0,MIN($B$8,Z926)))</f>
        <v>47.22</v>
      </c>
      <c r="V926" s="16" t="str">
        <f aca="false">IF(D926="","",IF(S926&gt;0.0000001,"Sim","Não"))</f>
        <v>Não</v>
      </c>
      <c r="W926" s="16" t="n">
        <f aca="false">IF(D926="","",U926-(H926+E926-Q926-O926-T926))</f>
        <v>0</v>
      </c>
      <c r="X926" s="16" t="n">
        <f aca="false">IF(W926="","",ABS(W926))</f>
        <v>0</v>
      </c>
      <c r="Y926" s="16" t="n">
        <f aca="false">IF(U926="","",IF($B$8=0,0,U926/$B$8*100))</f>
        <v>100</v>
      </c>
      <c r="Z926" s="18" t="n">
        <f aca="false">IF(D926="","",MAX(0,IF(P926&gt;=0,P926,IF(K926+P926&gt;=0,0,P926+K926))))</f>
        <v>74.3981046654581</v>
      </c>
      <c r="AA926" s="18" t="n">
        <f aca="false">IF(D926="","",IF(H926&lt;=$B$16,1,IF(H926&gt;=$B$17,$B$21,MATCH(H926,Aux_CAV!$A$2:$A$121,1))))</f>
        <v>12</v>
      </c>
      <c r="AB926" s="18" t="n">
        <f aca="false">IF(D926="","",IF(L926&lt;=$B$16,1,IF(L926&gt;=$B$17,$B$21,MATCH(L926,Aux_CAV!$A$2:$A$121,1))))</f>
        <v>17</v>
      </c>
      <c r="AC926" s="19" t="n">
        <f aca="false">IF(D926="","",COUNT($D$24:D926))</f>
        <v>891</v>
      </c>
    </row>
    <row r="927" customFormat="false" ht="12.75" hidden="false" customHeight="true" outlineLevel="0" collapsed="false">
      <c r="A927" s="14" t="n">
        <f aca="false">IF(D927="","",DATE(B927,C927,1))</f>
        <v>31138</v>
      </c>
      <c r="B927" s="15" t="n">
        <f aca="false" t="array" ref="B927:B927">IF(D927="","",IFERROR(VALUE(INDEX(Vazoes_COLAR!$A$2:$A$200,INT((ROW()-24)/12)+1)),""))</f>
        <v>1985</v>
      </c>
      <c r="C927" s="15" t="n">
        <f aca="false">IF(D927="","",MOD(ROW()-24,12)+1)</f>
        <v>4</v>
      </c>
      <c r="D927" s="16" t="n">
        <f aca="false" t="array" ref="D927: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38.3276266127908</v>
      </c>
      <c r="E927" s="16" t="n">
        <f aca="false">IF(D927="","",D927*$B$15)</f>
        <v>99.3452081803538</v>
      </c>
      <c r="F927" s="16" t="n">
        <f aca="false" t="array" ref="F927:F927">IF(D927="","",IFERROR(INDEX(Dados_Evap!$C$2:$N$15,MATCH($B$9,Dados_Evap!$A$2:$A$15,0),C927),0))</f>
        <v>100.5</v>
      </c>
      <c r="G927" s="16" t="n">
        <f aca="false">IF(F927="","",F927/1000)</f>
        <v>0.1005</v>
      </c>
      <c r="H927" s="16" t="n">
        <f aca="false">IF(D927="","",MAX(0,MIN($B$8,IFERROR(LOOKUP(2,1/($U$24:U926&lt;&gt;""),$U$24:U926),$B$11))))</f>
        <v>47.22</v>
      </c>
      <c r="I927" s="16" t="n">
        <f aca="false" t="array" ref="I927: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>6.97</v>
      </c>
      <c r="J927" s="16" t="n">
        <f aca="false">IF(D927="","",$B$12)</f>
        <v>0.35</v>
      </c>
      <c r="K927" s="16" t="n">
        <f aca="false">IF(J927="","",J927*$B$15)</f>
        <v>0.9072</v>
      </c>
      <c r="L927" s="16" t="n">
        <f aca="false">IF(D927="","",H927+E927-K927-G927*I927)</f>
        <v>144.957523180354</v>
      </c>
      <c r="M927" s="16" t="n">
        <f aca="false" t="array" ref="M927: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>10.96</v>
      </c>
      <c r="N927" s="16" t="n">
        <f aca="false">IF(D927="","",(I927+M927)/2)</f>
        <v>8.965</v>
      </c>
      <c r="O927" s="16" t="n">
        <f aca="false">IF(D927="","",G927*N927)</f>
        <v>0.9009825</v>
      </c>
      <c r="P927" s="16" t="n">
        <f aca="false">IF(D927="","",H927+E927-K927-O927)</f>
        <v>144.757025680354</v>
      </c>
      <c r="Q927" s="16" t="n">
        <f aca="false">IF(D927="","",IF(P927&gt;=0,K927,MAX(0,K927+P927)))</f>
        <v>0.9072</v>
      </c>
      <c r="R927" s="16" t="n">
        <f aca="false">IF(D927="","",Q927/$B$15)</f>
        <v>0.35</v>
      </c>
      <c r="S927" s="16" t="n">
        <f aca="false">IF(D927="","",MAX(0,J927-R927))</f>
        <v>0</v>
      </c>
      <c r="T927" s="16" t="n">
        <f aca="false">IF(D927="","",MAX(0,Z927-$B$8))</f>
        <v>97.5370256803538</v>
      </c>
      <c r="U927" s="16" t="n">
        <f aca="false">IF(D927="","",MAX(0,MIN($B$8,Z927)))</f>
        <v>47.22</v>
      </c>
      <c r="V927" s="16" t="str">
        <f aca="false">IF(D927="","",IF(S927&gt;0.0000001,"Sim","Não"))</f>
        <v>Não</v>
      </c>
      <c r="W927" s="16" t="n">
        <f aca="false">IF(D927="","",U927-(H927+E927-Q927-O927-T927))</f>
        <v>0</v>
      </c>
      <c r="X927" s="16" t="n">
        <f aca="false">IF(W927="","",ABS(W927))</f>
        <v>0</v>
      </c>
      <c r="Y927" s="16" t="n">
        <f aca="false">IF(U927="","",IF($B$8=0,0,U927/$B$8*100))</f>
        <v>100</v>
      </c>
      <c r="Z927" s="18" t="n">
        <f aca="false">IF(D927="","",MAX(0,IF(P927&gt;=0,P927,IF(K927+P927&gt;=0,0,P927+K927))))</f>
        <v>144.757025680354</v>
      </c>
      <c r="AA927" s="18" t="n">
        <f aca="false">IF(D927="","",IF(H927&lt;=$B$16,1,IF(H927&gt;=$B$17,$B$21,MATCH(H927,Aux_CAV!$A$2:$A$121,1))))</f>
        <v>14</v>
      </c>
      <c r="AB927" s="18" t="n">
        <f aca="false">IF(D927="","",IF(L927&lt;=$B$16,1,IF(L927&gt;=$B$17,$B$21,MATCH(L927,Aux_CAV!$A$2:$A$121,1))))</f>
        <v>18</v>
      </c>
      <c r="AC927" s="19" t="n">
        <f aca="false">IF(D927="","",COUNT($D$24:D927))</f>
        <v>892</v>
      </c>
    </row>
    <row r="928" customFormat="false" ht="12.75" hidden="false" customHeight="true" outlineLevel="0" collapsed="false">
      <c r="A928" s="14" t="n">
        <f aca="false">IF(D928="","",DATE(B928,C928,1))</f>
        <v>31168</v>
      </c>
      <c r="B928" s="15" t="n">
        <f aca="false" t="array" ref="B928:B928">IF(D928="","",IFERROR(VALUE(INDEX(Vazoes_COLAR!$A$2:$A$200,INT((ROW()-24)/12)+1)),""))</f>
        <v>1985</v>
      </c>
      <c r="C928" s="15" t="n">
        <f aca="false">IF(D928="","",MOD(ROW()-24,12)+1)</f>
        <v>5</v>
      </c>
      <c r="D928" s="16" t="n">
        <f aca="false" t="array" ref="D928: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8.01301782745416</v>
      </c>
      <c r="E928" s="16" t="n">
        <f aca="false">IF(D928="","",D928*$B$15)</f>
        <v>20.7697422087612</v>
      </c>
      <c r="F928" s="16" t="n">
        <f aca="false" t="array" ref="F928:F928">IF(D928="","",IFERROR(INDEX(Dados_Evap!$C$2:$N$15,MATCH($B$9,Dados_Evap!$A$2:$A$15,0),C928),0))</f>
        <v>145.8</v>
      </c>
      <c r="G928" s="16" t="n">
        <f aca="false">IF(F928="","",F928/1000)</f>
        <v>0.1458</v>
      </c>
      <c r="H928" s="16" t="n">
        <f aca="false">IF(D928="","",MAX(0,MIN($B$8,IFERROR(LOOKUP(2,1/($U$24:U927&lt;&gt;""),$U$24:U927),$B$11))))</f>
        <v>47.22</v>
      </c>
      <c r="I928" s="16" t="n">
        <f aca="false" t="array" ref="I928: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>6.97</v>
      </c>
      <c r="J928" s="16" t="n">
        <f aca="false">IF(D928="","",$B$12)</f>
        <v>0.35</v>
      </c>
      <c r="K928" s="16" t="n">
        <f aca="false">IF(J928="","",J928*$B$15)</f>
        <v>0.9072</v>
      </c>
      <c r="L928" s="16" t="n">
        <f aca="false">IF(D928="","",H928+E928-K928-G928*I928)</f>
        <v>66.0663162087612</v>
      </c>
      <c r="M928" s="16" t="n">
        <f aca="false" t="array" ref="M928: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>9.21997535790103</v>
      </c>
      <c r="N928" s="16" t="n">
        <f aca="false">IF(D928="","",(I928+M928)/2)</f>
        <v>8.09498767895051</v>
      </c>
      <c r="O928" s="16" t="n">
        <f aca="false">IF(D928="","",G928*N928)</f>
        <v>1.18024920359098</v>
      </c>
      <c r="P928" s="16" t="n">
        <f aca="false">IF(D928="","",H928+E928-K928-O928)</f>
        <v>65.9022930051702</v>
      </c>
      <c r="Q928" s="16" t="n">
        <f aca="false">IF(D928="","",IF(P928&gt;=0,K928,MAX(0,K928+P928)))</f>
        <v>0.9072</v>
      </c>
      <c r="R928" s="16" t="n">
        <f aca="false">IF(D928="","",Q928/$B$15)</f>
        <v>0.35</v>
      </c>
      <c r="S928" s="16" t="n">
        <f aca="false">IF(D928="","",MAX(0,J928-R928))</f>
        <v>0</v>
      </c>
      <c r="T928" s="16" t="n">
        <f aca="false">IF(D928="","",MAX(0,Z928-$B$8))</f>
        <v>18.6822930051702</v>
      </c>
      <c r="U928" s="16" t="n">
        <f aca="false">IF(D928="","",MAX(0,MIN($B$8,Z928)))</f>
        <v>47.22</v>
      </c>
      <c r="V928" s="16" t="str">
        <f aca="false">IF(D928="","",IF(S928&gt;0.0000001,"Sim","Não"))</f>
        <v>Não</v>
      </c>
      <c r="W928" s="16" t="n">
        <f aca="false">IF(D928="","",U928-(H928+E928-Q928-O928-T928))</f>
        <v>0</v>
      </c>
      <c r="X928" s="16" t="n">
        <f aca="false">IF(W928="","",ABS(W928))</f>
        <v>0</v>
      </c>
      <c r="Y928" s="16" t="n">
        <f aca="false">IF(U928="","",IF($B$8=0,0,U928/$B$8*100))</f>
        <v>100</v>
      </c>
      <c r="Z928" s="18" t="n">
        <f aca="false">IF(D928="","",MAX(0,IF(P928&gt;=0,P928,IF(K928+P928&gt;=0,0,P928+K928))))</f>
        <v>65.9022930051702</v>
      </c>
      <c r="AA928" s="18" t="n">
        <f aca="false">IF(D928="","",IF(H928&lt;=$B$16,1,IF(H928&gt;=$B$17,$B$21,MATCH(H928,Aux_CAV!$A$2:$A$121,1))))</f>
        <v>14</v>
      </c>
      <c r="AB928" s="18" t="n">
        <f aca="false">IF(D928="","",IF(L928&lt;=$B$16,1,IF(L928&gt;=$B$17,$B$21,MATCH(L928,Aux_CAV!$A$2:$A$121,1))))</f>
        <v>16</v>
      </c>
      <c r="AC928" s="19" t="n">
        <f aca="false">IF(D928="","",COUNT($D$24:D928))</f>
        <v>893</v>
      </c>
    </row>
    <row r="929" customFormat="false" ht="12.75" hidden="false" customHeight="true" outlineLevel="0" collapsed="false">
      <c r="A929" s="14" t="n">
        <f aca="false">IF(D929="","",DATE(B929,C929,1))</f>
        <v>31199</v>
      </c>
      <c r="B929" s="15" t="n">
        <f aca="false" t="array" ref="B929:B929">IF(D929="","",IFERROR(VALUE(INDEX(Vazoes_COLAR!$A$2:$A$200,INT((ROW()-24)/12)+1)),""))</f>
        <v>1985</v>
      </c>
      <c r="C929" s="15" t="n">
        <f aca="false">IF(D929="","",MOD(ROW()-24,12)+1)</f>
        <v>6</v>
      </c>
      <c r="D929" s="16" t="n">
        <f aca="false" t="array" ref="D929: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3.29232635162704</v>
      </c>
      <c r="E929" s="16" t="n">
        <f aca="false">IF(D929="","",D929*$B$15)</f>
        <v>8.53370990341729</v>
      </c>
      <c r="F929" s="16" t="n">
        <f aca="false" t="array" ref="F929:F929">IF(D929="","",IFERROR(INDEX(Dados_Evap!$C$2:$N$15,MATCH($B$9,Dados_Evap!$A$2:$A$15,0),C929),0))</f>
        <v>161.3</v>
      </c>
      <c r="G929" s="16" t="n">
        <f aca="false">IF(F929="","",F929/1000)</f>
        <v>0.1613</v>
      </c>
      <c r="H929" s="16" t="n">
        <f aca="false">IF(D929="","",MAX(0,MIN($B$8,IFERROR(LOOKUP(2,1/($U$24:U928&lt;&gt;""),$U$24:U928),$B$11))))</f>
        <v>47.22</v>
      </c>
      <c r="I929" s="16" t="n">
        <f aca="false" t="array" ref="I929: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>6.97</v>
      </c>
      <c r="J929" s="16" t="n">
        <f aca="false">IF(D929="","",$B$12)</f>
        <v>0.35</v>
      </c>
      <c r="K929" s="16" t="n">
        <f aca="false">IF(J929="","",J929*$B$15)</f>
        <v>0.9072</v>
      </c>
      <c r="L929" s="16" t="n">
        <f aca="false">IF(D929="","",H929+E929-K929-G929*I929)</f>
        <v>53.7222489034173</v>
      </c>
      <c r="M929" s="16" t="n">
        <f aca="false" t="array" ref="M929: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>7.73652527723212</v>
      </c>
      <c r="N929" s="16" t="n">
        <f aca="false">IF(D929="","",(I929+M929)/2)</f>
        <v>7.35326263861606</v>
      </c>
      <c r="O929" s="16" t="n">
        <f aca="false">IF(D929="","",G929*N929)</f>
        <v>1.18608126360877</v>
      </c>
      <c r="P929" s="16" t="n">
        <f aca="false">IF(D929="","",H929+E929-K929-O929)</f>
        <v>53.6604286398085</v>
      </c>
      <c r="Q929" s="16" t="n">
        <f aca="false">IF(D929="","",IF(P929&gt;=0,K929,MAX(0,K929+P929)))</f>
        <v>0.9072</v>
      </c>
      <c r="R929" s="16" t="n">
        <f aca="false">IF(D929="","",Q929/$B$15)</f>
        <v>0.35</v>
      </c>
      <c r="S929" s="16" t="n">
        <f aca="false">IF(D929="","",MAX(0,J929-R929))</f>
        <v>0</v>
      </c>
      <c r="T929" s="16" t="n">
        <f aca="false">IF(D929="","",MAX(0,Z929-$B$8))</f>
        <v>6.44042863980852</v>
      </c>
      <c r="U929" s="16" t="n">
        <f aca="false">IF(D929="","",MAX(0,MIN($B$8,Z929)))</f>
        <v>47.22</v>
      </c>
      <c r="V929" s="16" t="str">
        <f aca="false">IF(D929="","",IF(S929&gt;0.0000001,"Sim","Não"))</f>
        <v>Não</v>
      </c>
      <c r="W929" s="16" t="n">
        <f aca="false">IF(D929="","",U929-(H929+E929-Q929-O929-T929))</f>
        <v>0</v>
      </c>
      <c r="X929" s="16" t="n">
        <f aca="false">IF(W929="","",ABS(W929))</f>
        <v>0</v>
      </c>
      <c r="Y929" s="16" t="n">
        <f aca="false">IF(U929="","",IF($B$8=0,0,U929/$B$8*100))</f>
        <v>100</v>
      </c>
      <c r="Z929" s="18" t="n">
        <f aca="false">IF(D929="","",MAX(0,IF(P929&gt;=0,P929,IF(K929+P929&gt;=0,0,P929+K929))))</f>
        <v>53.6604286398085</v>
      </c>
      <c r="AA929" s="18" t="n">
        <f aca="false">IF(D929="","",IF(H929&lt;=$B$16,1,IF(H929&gt;=$B$17,$B$21,MATCH(H929,Aux_CAV!$A$2:$A$121,1))))</f>
        <v>14</v>
      </c>
      <c r="AB929" s="18" t="n">
        <f aca="false">IF(D929="","",IF(L929&lt;=$B$16,1,IF(L929&gt;=$B$17,$B$21,MATCH(L929,Aux_CAV!$A$2:$A$121,1))))</f>
        <v>14</v>
      </c>
      <c r="AC929" s="19" t="n">
        <f aca="false">IF(D929="","",COUNT($D$24:D929))</f>
        <v>894</v>
      </c>
    </row>
    <row r="930" customFormat="false" ht="12.75" hidden="false" customHeight="true" outlineLevel="0" collapsed="false">
      <c r="A930" s="14" t="n">
        <f aca="false">IF(D930="","",DATE(B930,C930,1))</f>
        <v>31229</v>
      </c>
      <c r="B930" s="15" t="n">
        <f aca="false" t="array" ref="B930:B930">IF(D930="","",IFERROR(VALUE(INDEX(Vazoes_COLAR!$A$2:$A$200,INT((ROW()-24)/12)+1)),""))</f>
        <v>1985</v>
      </c>
      <c r="C930" s="15" t="n">
        <f aca="false">IF(D930="","",MOD(ROW()-24,12)+1)</f>
        <v>7</v>
      </c>
      <c r="D930" s="16" t="n">
        <f aca="false" t="array" ref="D930: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1.634725334528</v>
      </c>
      <c r="E930" s="16" t="n">
        <f aca="false">IF(D930="","",D930*$B$15)</f>
        <v>4.23720806709658</v>
      </c>
      <c r="F930" s="16" t="n">
        <f aca="false" t="array" ref="F930:F930">IF(D930="","",IFERROR(INDEX(Dados_Evap!$C$2:$N$15,MATCH($B$9,Dados_Evap!$A$2:$A$15,0),C930),0))</f>
        <v>224.8</v>
      </c>
      <c r="G930" s="16" t="n">
        <f aca="false">IF(F930="","",F930/1000)</f>
        <v>0.2248</v>
      </c>
      <c r="H930" s="16" t="n">
        <f aca="false">IF(D930="","",MAX(0,MIN($B$8,IFERROR(LOOKUP(2,1/($U$24:U929&lt;&gt;""),$U$24:U929),$B$11))))</f>
        <v>47.22</v>
      </c>
      <c r="I930" s="16" t="n">
        <f aca="false" t="array" ref="I930: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>6.97</v>
      </c>
      <c r="J930" s="16" t="n">
        <f aca="false">IF(D930="","",$B$12)</f>
        <v>0.35</v>
      </c>
      <c r="K930" s="16" t="n">
        <f aca="false">IF(J930="","",J930*$B$15)</f>
        <v>0.9072</v>
      </c>
      <c r="L930" s="16" t="n">
        <f aca="false">IF(D930="","",H930+E930-K930-G930*I930)</f>
        <v>48.9831520670966</v>
      </c>
      <c r="M930" s="16" t="n">
        <f aca="false" t="array" ref="M930: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>7.17785125994228</v>
      </c>
      <c r="N930" s="16" t="n">
        <f aca="false">IF(D930="","",(I930+M930)/2)</f>
        <v>7.07392562997114</v>
      </c>
      <c r="O930" s="16" t="n">
        <f aca="false">IF(D930="","",G930*N930)</f>
        <v>1.59021848161751</v>
      </c>
      <c r="P930" s="16" t="n">
        <f aca="false">IF(D930="","",H930+E930-K930-O930)</f>
        <v>48.9597895854791</v>
      </c>
      <c r="Q930" s="16" t="n">
        <f aca="false">IF(D930="","",IF(P930&gt;=0,K930,MAX(0,K930+P930)))</f>
        <v>0.9072</v>
      </c>
      <c r="R930" s="16" t="n">
        <f aca="false">IF(D930="","",Q930/$B$15)</f>
        <v>0.35</v>
      </c>
      <c r="S930" s="16" t="n">
        <f aca="false">IF(D930="","",MAX(0,J930-R930))</f>
        <v>0</v>
      </c>
      <c r="T930" s="16" t="n">
        <f aca="false">IF(D930="","",MAX(0,Z930-$B$8))</f>
        <v>1.73978958547906</v>
      </c>
      <c r="U930" s="16" t="n">
        <f aca="false">IF(D930="","",MAX(0,MIN($B$8,Z930)))</f>
        <v>47.22</v>
      </c>
      <c r="V930" s="16" t="str">
        <f aca="false">IF(D930="","",IF(S930&gt;0.0000001,"Sim","Não"))</f>
        <v>Não</v>
      </c>
      <c r="W930" s="16" t="n">
        <f aca="false">IF(D930="","",U930-(H930+E930-Q930-O930-T930))</f>
        <v>0</v>
      </c>
      <c r="X930" s="16" t="n">
        <f aca="false">IF(W930="","",ABS(W930))</f>
        <v>0</v>
      </c>
      <c r="Y930" s="16" t="n">
        <f aca="false">IF(U930="","",IF($B$8=0,0,U930/$B$8*100))</f>
        <v>100</v>
      </c>
      <c r="Z930" s="18" t="n">
        <f aca="false">IF(D930="","",MAX(0,IF(P930&gt;=0,P930,IF(K930+P930&gt;=0,0,P930+K930))))</f>
        <v>48.9597895854791</v>
      </c>
      <c r="AA930" s="18" t="n">
        <f aca="false">IF(D930="","",IF(H930&lt;=$B$16,1,IF(H930&gt;=$B$17,$B$21,MATCH(H930,Aux_CAV!$A$2:$A$121,1))))</f>
        <v>14</v>
      </c>
      <c r="AB930" s="18" t="n">
        <f aca="false">IF(D930="","",IF(L930&lt;=$B$16,1,IF(L930&gt;=$B$17,$B$21,MATCH(L930,Aux_CAV!$A$2:$A$121,1))))</f>
        <v>14</v>
      </c>
      <c r="AC930" s="19" t="n">
        <f aca="false">IF(D930="","",COUNT($D$24:D930))</f>
        <v>895</v>
      </c>
    </row>
    <row r="931" customFormat="false" ht="12.75" hidden="false" customHeight="true" outlineLevel="0" collapsed="false">
      <c r="A931" s="14" t="n">
        <f aca="false">IF(D931="","",DATE(B931,C931,1))</f>
        <v>31260</v>
      </c>
      <c r="B931" s="15" t="n">
        <f aca="false" t="array" ref="B931:B931">IF(D931="","",IFERROR(VALUE(INDEX(Vazoes_COLAR!$A$2:$A$200,INT((ROW()-24)/12)+1)),""))</f>
        <v>1985</v>
      </c>
      <c r="C931" s="15" t="n">
        <f aca="false">IF(D931="","",MOD(ROW()-24,12)+1)</f>
        <v>8</v>
      </c>
      <c r="D931" s="16" t="n">
        <f aca="false" t="array" ref="D931: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0.199420430520387</v>
      </c>
      <c r="E931" s="16" t="n">
        <f aca="false">IF(D931="","",D931*$B$15)</f>
        <v>0.516897755908843</v>
      </c>
      <c r="F931" s="16" t="n">
        <f aca="false" t="array" ref="F931:F931">IF(D931="","",IFERROR(INDEX(Dados_Evap!$C$2:$N$15,MATCH($B$9,Dados_Evap!$A$2:$A$15,0),C931),0))</f>
        <v>268.7</v>
      </c>
      <c r="G931" s="16" t="n">
        <f aca="false">IF(F931="","",F931/1000)</f>
        <v>0.2687</v>
      </c>
      <c r="H931" s="16" t="n">
        <f aca="false">IF(D931="","",MAX(0,MIN($B$8,IFERROR(LOOKUP(2,1/($U$24:U930&lt;&gt;""),$U$24:U930),$B$11))))</f>
        <v>47.22</v>
      </c>
      <c r="I931" s="16" t="n">
        <f aca="false" t="array" ref="I931: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>6.97</v>
      </c>
      <c r="J931" s="16" t="n">
        <f aca="false">IF(D931="","",$B$12)</f>
        <v>0.35</v>
      </c>
      <c r="K931" s="16" t="n">
        <f aca="false">IF(J931="","",J931*$B$15)</f>
        <v>0.9072</v>
      </c>
      <c r="L931" s="16" t="n">
        <f aca="false">IF(D931="","",H931+E931-K931-G931*I931)</f>
        <v>44.9568587559088</v>
      </c>
      <c r="M931" s="16" t="n">
        <f aca="false" t="array" ref="M931: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>6.74404171540914</v>
      </c>
      <c r="N931" s="16" t="n">
        <f aca="false">IF(D931="","",(I931+M931)/2)</f>
        <v>6.85702085770457</v>
      </c>
      <c r="O931" s="16" t="n">
        <f aca="false">IF(D931="","",G931*N931)</f>
        <v>1.84248150446522</v>
      </c>
      <c r="P931" s="16" t="n">
        <f aca="false">IF(D931="","",H931+E931-K931-O931)</f>
        <v>44.9872162514436</v>
      </c>
      <c r="Q931" s="16" t="n">
        <f aca="false">IF(D931="","",IF(P931&gt;=0,K931,MAX(0,K931+P931)))</f>
        <v>0.9072</v>
      </c>
      <c r="R931" s="16" t="n">
        <f aca="false">IF(D931="","",Q931/$B$15)</f>
        <v>0.35</v>
      </c>
      <c r="S931" s="16" t="n">
        <f aca="false">IF(D931="","",MAX(0,J931-R931))</f>
        <v>0</v>
      </c>
      <c r="T931" s="16" t="n">
        <f aca="false">IF(D931="","",MAX(0,Z931-$B$8))</f>
        <v>0</v>
      </c>
      <c r="U931" s="16" t="n">
        <f aca="false">IF(D931="","",MAX(0,MIN($B$8,Z931)))</f>
        <v>44.9872162514436</v>
      </c>
      <c r="V931" s="16" t="str">
        <f aca="false">IF(D931="","",IF(S931&gt;0.0000001,"Sim","Não"))</f>
        <v>Não</v>
      </c>
      <c r="W931" s="16" t="n">
        <f aca="false">IF(D931="","",U931-(H931+E931-Q931-O931-T931))</f>
        <v>0</v>
      </c>
      <c r="X931" s="16" t="n">
        <f aca="false">IF(W931="","",ABS(W931))</f>
        <v>0</v>
      </c>
      <c r="Y931" s="16" t="n">
        <f aca="false">IF(U931="","",IF($B$8=0,0,U931/$B$8*100))</f>
        <v>95.2715295456239</v>
      </c>
      <c r="Z931" s="18" t="n">
        <f aca="false">IF(D931="","",MAX(0,IF(P931&gt;=0,P931,IF(K931+P931&gt;=0,0,P931+K931))))</f>
        <v>44.9872162514436</v>
      </c>
      <c r="AA931" s="18" t="n">
        <f aca="false">IF(D931="","",IF(H931&lt;=$B$16,1,IF(H931&gt;=$B$17,$B$21,MATCH(H931,Aux_CAV!$A$2:$A$121,1))))</f>
        <v>14</v>
      </c>
      <c r="AB931" s="18" t="n">
        <f aca="false">IF(D931="","",IF(L931&lt;=$B$16,1,IF(L931&gt;=$B$17,$B$21,MATCH(L931,Aux_CAV!$A$2:$A$121,1))))</f>
        <v>13</v>
      </c>
      <c r="AC931" s="19" t="n">
        <f aca="false">IF(D931="","",COUNT($D$24:D931))</f>
        <v>896</v>
      </c>
    </row>
    <row r="932" customFormat="false" ht="12.75" hidden="false" customHeight="true" outlineLevel="0" collapsed="false">
      <c r="A932" s="14" t="n">
        <f aca="false">IF(D932="","",DATE(B932,C932,1))</f>
        <v>31291</v>
      </c>
      <c r="B932" s="15" t="n">
        <f aca="false" t="array" ref="B932:B932">IF(D932="","",IFERROR(VALUE(INDEX(Vazoes_COLAR!$A$2:$A$200,INT((ROW()-24)/12)+1)),""))</f>
        <v>1985</v>
      </c>
      <c r="C932" s="15" t="n">
        <f aca="false">IF(D932="","",MOD(ROW()-24,12)+1)</f>
        <v>9</v>
      </c>
      <c r="D932" s="16" t="n">
        <f aca="false" t="array" ref="D932: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0.0953622250388002</v>
      </c>
      <c r="E932" s="16" t="n">
        <f aca="false">IF(D932="","",D932*$B$15)</f>
        <v>0.24717888730057</v>
      </c>
      <c r="F932" s="16" t="n">
        <f aca="false" t="array" ref="F932:F932">IF(D932="","",IFERROR(INDEX(Dados_Evap!$C$2:$N$15,MATCH($B$9,Dados_Evap!$A$2:$A$15,0),C932),0))</f>
        <v>292.8</v>
      </c>
      <c r="G932" s="16" t="n">
        <f aca="false">IF(F932="","",F932/1000)</f>
        <v>0.2928</v>
      </c>
      <c r="H932" s="16" t="n">
        <f aca="false">IF(D932="","",MAX(0,MIN($B$8,IFERROR(LOOKUP(2,1/($U$24:U931&lt;&gt;""),$U$24:U931),$B$11))))</f>
        <v>44.9872162514436</v>
      </c>
      <c r="I932" s="16" t="n">
        <f aca="false" t="array" ref="I932: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>6.74707269177149</v>
      </c>
      <c r="J932" s="16" t="n">
        <f aca="false">IF(D932="","",$B$12)</f>
        <v>0.35</v>
      </c>
      <c r="K932" s="16" t="n">
        <f aca="false">IF(J932="","",J932*$B$15)</f>
        <v>0.9072</v>
      </c>
      <c r="L932" s="16" t="n">
        <f aca="false">IF(D932="","",H932+E932-K932-G932*I932)</f>
        <v>42.3516522545935</v>
      </c>
      <c r="M932" s="16" t="n">
        <f aca="false" t="array" ref="M932: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>6.48393068894133</v>
      </c>
      <c r="N932" s="16" t="n">
        <f aca="false">IF(D932="","",(I932+M932)/2)</f>
        <v>6.61550169035641</v>
      </c>
      <c r="O932" s="16" t="n">
        <f aca="false">IF(D932="","",G932*N932)</f>
        <v>1.93701889493636</v>
      </c>
      <c r="P932" s="16" t="n">
        <f aca="false">IF(D932="","",H932+E932-K932-O932)</f>
        <v>42.3901762438078</v>
      </c>
      <c r="Q932" s="16" t="n">
        <f aca="false">IF(D932="","",IF(P932&gt;=0,K932,MAX(0,K932+P932)))</f>
        <v>0.9072</v>
      </c>
      <c r="R932" s="16" t="n">
        <f aca="false">IF(D932="","",Q932/$B$15)</f>
        <v>0.35</v>
      </c>
      <c r="S932" s="16" t="n">
        <f aca="false">IF(D932="","",MAX(0,J932-R932))</f>
        <v>0</v>
      </c>
      <c r="T932" s="16" t="n">
        <f aca="false">IF(D932="","",MAX(0,Z932-$B$8))</f>
        <v>0</v>
      </c>
      <c r="U932" s="16" t="n">
        <f aca="false">IF(D932="","",MAX(0,MIN($B$8,Z932)))</f>
        <v>42.3901762438078</v>
      </c>
      <c r="V932" s="16" t="str">
        <f aca="false">IF(D932="","",IF(S932&gt;0.0000001,"Sim","Não"))</f>
        <v>Não</v>
      </c>
      <c r="W932" s="16" t="n">
        <f aca="false">IF(D932="","",U932-(H932+E932-Q932-O932-T932))</f>
        <v>0</v>
      </c>
      <c r="X932" s="16" t="n">
        <f aca="false">IF(W932="","",ABS(W932))</f>
        <v>0</v>
      </c>
      <c r="Y932" s="16" t="n">
        <f aca="false">IF(U932="","",IF($B$8=0,0,U932/$B$8*100))</f>
        <v>89.7716565942563</v>
      </c>
      <c r="Z932" s="18" t="n">
        <f aca="false">IF(D932="","",MAX(0,IF(P932&gt;=0,P932,IF(K932+P932&gt;=0,0,P932+K932))))</f>
        <v>42.3901762438078</v>
      </c>
      <c r="AA932" s="18" t="n">
        <f aca="false">IF(D932="","",IF(H932&lt;=$B$16,1,IF(H932&gt;=$B$17,$B$21,MATCH(H932,Aux_CAV!$A$2:$A$121,1))))</f>
        <v>13</v>
      </c>
      <c r="AB932" s="18" t="n">
        <f aca="false">IF(D932="","",IF(L932&lt;=$B$16,1,IF(L932&gt;=$B$17,$B$21,MATCH(L932,Aux_CAV!$A$2:$A$121,1))))</f>
        <v>13</v>
      </c>
      <c r="AC932" s="19" t="n">
        <f aca="false">IF(D932="","",COUNT($D$24:D932))</f>
        <v>897</v>
      </c>
    </row>
    <row r="933" customFormat="false" ht="12.75" hidden="false" customHeight="true" outlineLevel="0" collapsed="false">
      <c r="A933" s="14" t="n">
        <f aca="false">IF(D933="","",DATE(B933,C933,1))</f>
        <v>31321</v>
      </c>
      <c r="B933" s="15" t="n">
        <f aca="false" t="array" ref="B933:B933">IF(D933="","",IFERROR(VALUE(INDEX(Vazoes_COLAR!$A$2:$A$200,INT((ROW()-24)/12)+1)),""))</f>
        <v>1985</v>
      </c>
      <c r="C933" s="15" t="n">
        <f aca="false">IF(D933="","",MOD(ROW()-24,12)+1)</f>
        <v>10</v>
      </c>
      <c r="D933" s="16" t="n">
        <f aca="false" t="array" ref="D933: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0.0483580667349641</v>
      </c>
      <c r="E933" s="16" t="n">
        <f aca="false">IF(D933="","",D933*$B$15)</f>
        <v>0.125344108977027</v>
      </c>
      <c r="F933" s="16" t="n">
        <f aca="false" t="array" ref="F933:F933">IF(D933="","",IFERROR(INDEX(Dados_Evap!$C$2:$N$15,MATCH($B$9,Dados_Evap!$A$2:$A$15,0),C933),0))</f>
        <v>262.9</v>
      </c>
      <c r="G933" s="16" t="n">
        <f aca="false">IF(F933="","",F933/1000)</f>
        <v>0.2629</v>
      </c>
      <c r="H933" s="16" t="n">
        <f aca="false">IF(D933="","",MAX(0,MIN($B$8,IFERROR(LOOKUP(2,1/($U$24:U932&lt;&gt;""),$U$24:U932),$B$11))))</f>
        <v>42.3901762438078</v>
      </c>
      <c r="I933" s="16" t="n">
        <f aca="false" t="array" ref="I933: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>6.48777703063176</v>
      </c>
      <c r="J933" s="16" t="n">
        <f aca="false">IF(D933="","",$B$12)</f>
        <v>0.35</v>
      </c>
      <c r="K933" s="16" t="n">
        <f aca="false">IF(J933="","",J933*$B$15)</f>
        <v>0.9072</v>
      </c>
      <c r="L933" s="16" t="n">
        <f aca="false">IF(D933="","",H933+E933-K933-G933*I933)</f>
        <v>39.9026837714318</v>
      </c>
      <c r="M933" s="16" t="n">
        <f aca="false" t="array" ref="M933: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>6.23941889856276</v>
      </c>
      <c r="N933" s="16" t="n">
        <f aca="false">IF(D933="","",(I933+M933)/2)</f>
        <v>6.36359796459726</v>
      </c>
      <c r="O933" s="16" t="n">
        <f aca="false">IF(D933="","",G933*N933)</f>
        <v>1.67298990489262</v>
      </c>
      <c r="P933" s="16" t="n">
        <f aca="false">IF(D933="","",H933+E933-K933-O933)</f>
        <v>39.9353304478922</v>
      </c>
      <c r="Q933" s="16" t="n">
        <f aca="false">IF(D933="","",IF(P933&gt;=0,K933,MAX(0,K933+P933)))</f>
        <v>0.9072</v>
      </c>
      <c r="R933" s="16" t="n">
        <f aca="false">IF(D933="","",Q933/$B$15)</f>
        <v>0.35</v>
      </c>
      <c r="S933" s="16" t="n">
        <f aca="false">IF(D933="","",MAX(0,J933-R933))</f>
        <v>0</v>
      </c>
      <c r="T933" s="16" t="n">
        <f aca="false">IF(D933="","",MAX(0,Z933-$B$8))</f>
        <v>0</v>
      </c>
      <c r="U933" s="16" t="n">
        <f aca="false">IF(D933="","",MAX(0,MIN($B$8,Z933)))</f>
        <v>39.9353304478922</v>
      </c>
      <c r="V933" s="16" t="str">
        <f aca="false">IF(D933="","",IF(S933&gt;0.0000001,"Sim","Não"))</f>
        <v>Não</v>
      </c>
      <c r="W933" s="16" t="n">
        <f aca="false">IF(D933="","",U933-(H933+E933-Q933-O933-T933))</f>
        <v>0</v>
      </c>
      <c r="X933" s="16" t="n">
        <f aca="false">IF(W933="","",ABS(W933))</f>
        <v>0</v>
      </c>
      <c r="Y933" s="16" t="n">
        <f aca="false">IF(U933="","",IF($B$8=0,0,U933/$B$8*100))</f>
        <v>84.5729149680056</v>
      </c>
      <c r="Z933" s="18" t="n">
        <f aca="false">IF(D933="","",MAX(0,IF(P933&gt;=0,P933,IF(K933+P933&gt;=0,0,P933+K933))))</f>
        <v>39.9353304478922</v>
      </c>
      <c r="AA933" s="18" t="n">
        <f aca="false">IF(D933="","",IF(H933&lt;=$B$16,1,IF(H933&gt;=$B$17,$B$21,MATCH(H933,Aux_CAV!$A$2:$A$121,1))))</f>
        <v>13</v>
      </c>
      <c r="AB933" s="18" t="n">
        <f aca="false">IF(D933="","",IF(L933&lt;=$B$16,1,IF(L933&gt;=$B$17,$B$21,MATCH(L933,Aux_CAV!$A$2:$A$121,1))))</f>
        <v>13</v>
      </c>
      <c r="AC933" s="19" t="n">
        <f aca="false">IF(D933="","",COUNT($D$24:D933))</f>
        <v>898</v>
      </c>
    </row>
    <row r="934" customFormat="false" ht="12.75" hidden="false" customHeight="true" outlineLevel="0" collapsed="false">
      <c r="A934" s="14" t="n">
        <f aca="false">IF(D934="","",DATE(B934,C934,1))</f>
        <v>31352</v>
      </c>
      <c r="B934" s="15" t="n">
        <f aca="false" t="array" ref="B934:B934">IF(D934="","",IFERROR(VALUE(INDEX(Vazoes_COLAR!$A$2:$A$200,INT((ROW()-24)/12)+1)),""))</f>
        <v>1985</v>
      </c>
      <c r="C934" s="15" t="n">
        <f aca="false">IF(D934="","",MOD(ROW()-24,12)+1)</f>
        <v>11</v>
      </c>
      <c r="D934" s="16" t="n">
        <f aca="false" t="array" ref="D934: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0.102626933969321</v>
      </c>
      <c r="E934" s="16" t="n">
        <f aca="false">IF(D934="","",D934*$B$15)</f>
        <v>0.26600901284848</v>
      </c>
      <c r="F934" s="16" t="n">
        <f aca="false" t="array" ref="F934:F934">IF(D934="","",IFERROR(INDEX(Dados_Evap!$C$2:$N$15,MATCH($B$9,Dados_Evap!$A$2:$A$15,0),C934),0))</f>
        <v>223.7</v>
      </c>
      <c r="G934" s="16" t="n">
        <f aca="false">IF(F934="","",F934/1000)</f>
        <v>0.2237</v>
      </c>
      <c r="H934" s="16" t="n">
        <f aca="false">IF(D934="","",MAX(0,MIN($B$8,IFERROR(LOOKUP(2,1/($U$24:U933&lt;&gt;""),$U$24:U933),$B$11))))</f>
        <v>39.9353304478922</v>
      </c>
      <c r="I934" s="16" t="n">
        <f aca="false" t="array" ref="I934: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>6.24267843308358</v>
      </c>
      <c r="J934" s="16" t="n">
        <f aca="false">IF(D934="","",$B$12)</f>
        <v>0.35</v>
      </c>
      <c r="K934" s="16" t="n">
        <f aca="false">IF(J934="","",J934*$B$15)</f>
        <v>0.9072</v>
      </c>
      <c r="L934" s="16" t="n">
        <f aca="false">IF(D934="","",H934+E934-K934-G934*I934)</f>
        <v>37.8976522952599</v>
      </c>
      <c r="M934" s="16" t="n">
        <f aca="false" t="array" ref="M934: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>6.03923100746699</v>
      </c>
      <c r="N934" s="16" t="n">
        <f aca="false">IF(D934="","",(I934+M934)/2)</f>
        <v>6.14095472027528</v>
      </c>
      <c r="O934" s="16" t="n">
        <f aca="false">IF(D934="","",G934*N934)</f>
        <v>1.37373157092558</v>
      </c>
      <c r="P934" s="16" t="n">
        <f aca="false">IF(D934="","",H934+E934-K934-O934)</f>
        <v>37.9204078898151</v>
      </c>
      <c r="Q934" s="16" t="n">
        <f aca="false">IF(D934="","",IF(P934&gt;=0,K934,MAX(0,K934+P934)))</f>
        <v>0.9072</v>
      </c>
      <c r="R934" s="16" t="n">
        <f aca="false">IF(D934="","",Q934/$B$15)</f>
        <v>0.35</v>
      </c>
      <c r="S934" s="16" t="n">
        <f aca="false">IF(D934="","",MAX(0,J934-R934))</f>
        <v>0</v>
      </c>
      <c r="T934" s="16" t="n">
        <f aca="false">IF(D934="","",MAX(0,Z934-$B$8))</f>
        <v>0</v>
      </c>
      <c r="U934" s="16" t="n">
        <f aca="false">IF(D934="","",MAX(0,MIN($B$8,Z934)))</f>
        <v>37.9204078898151</v>
      </c>
      <c r="V934" s="16" t="str">
        <f aca="false">IF(D934="","",IF(S934&gt;0.0000001,"Sim","Não"))</f>
        <v>Não</v>
      </c>
      <c r="W934" s="16" t="n">
        <f aca="false">IF(D934="","",U934-(H934+E934-Q934-O934-T934))</f>
        <v>0</v>
      </c>
      <c r="X934" s="16" t="n">
        <f aca="false">IF(W934="","",ABS(W934))</f>
        <v>0</v>
      </c>
      <c r="Y934" s="16" t="n">
        <f aca="false">IF(U934="","",IF($B$8=0,0,U934/$B$8*100))</f>
        <v>80.305819334636</v>
      </c>
      <c r="Z934" s="18" t="n">
        <f aca="false">IF(D934="","",MAX(0,IF(P934&gt;=0,P934,IF(K934+P934&gt;=0,0,P934+K934))))</f>
        <v>37.9204078898151</v>
      </c>
      <c r="AA934" s="18" t="n">
        <f aca="false">IF(D934="","",IF(H934&lt;=$B$16,1,IF(H934&gt;=$B$17,$B$21,MATCH(H934,Aux_CAV!$A$2:$A$121,1))))</f>
        <v>13</v>
      </c>
      <c r="AB934" s="18" t="n">
        <f aca="false">IF(D934="","",IF(L934&lt;=$B$16,1,IF(L934&gt;=$B$17,$B$21,MATCH(L934,Aux_CAV!$A$2:$A$121,1))))</f>
        <v>13</v>
      </c>
      <c r="AC934" s="19" t="n">
        <f aca="false">IF(D934="","",COUNT($D$24:D934))</f>
        <v>899</v>
      </c>
    </row>
    <row r="935" customFormat="false" ht="12.75" hidden="false" customHeight="true" outlineLevel="0" collapsed="false">
      <c r="A935" s="14" t="n">
        <f aca="false">IF(D935="","",DATE(B935,C935,1))</f>
        <v>31382</v>
      </c>
      <c r="B935" s="15" t="n">
        <f aca="false" t="array" ref="B935:B935">IF(D935="","",IFERROR(VALUE(INDEX(Vazoes_COLAR!$A$2:$A$200,INT((ROW()-24)/12)+1)),""))</f>
        <v>1985</v>
      </c>
      <c r="C935" s="15" t="n">
        <f aca="false">IF(D935="","",MOD(ROW()-24,12)+1)</f>
        <v>12</v>
      </c>
      <c r="D935" s="16" t="n">
        <f aca="false" t="array" ref="D935: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0.656554549715168</v>
      </c>
      <c r="E935" s="16" t="n">
        <f aca="false">IF(D935="","",D935*$B$15)</f>
        <v>1.70178939286172</v>
      </c>
      <c r="F935" s="16" t="n">
        <f aca="false" t="array" ref="F935:F935">IF(D935="","",IFERROR(INDEX(Dados_Evap!$C$2:$N$15,MATCH($B$9,Dados_Evap!$A$2:$A$15,0),C935),0))</f>
        <v>216.1</v>
      </c>
      <c r="G935" s="16" t="n">
        <f aca="false">IF(F935="","",F935/1000)</f>
        <v>0.2161</v>
      </c>
      <c r="H935" s="16" t="n">
        <f aca="false">IF(D935="","",MAX(0,MIN($B$8,IFERROR(LOOKUP(2,1/($U$24:U934&lt;&gt;""),$U$24:U934),$B$11))))</f>
        <v>37.9204078898151</v>
      </c>
      <c r="I935" s="16" t="n">
        <f aca="false" t="array" ref="I935: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>6.04150298899884</v>
      </c>
      <c r="J935" s="16" t="n">
        <f aca="false">IF(D935="","",$B$12)</f>
        <v>0.35</v>
      </c>
      <c r="K935" s="16" t="n">
        <f aca="false">IF(J935="","",J935*$B$15)</f>
        <v>0.9072</v>
      </c>
      <c r="L935" s="16" t="n">
        <f aca="false">IF(D935="","",H935+E935-K935-G935*I935)</f>
        <v>37.4094284867542</v>
      </c>
      <c r="M935" s="16" t="n">
        <f aca="false" t="array" ref="M935: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>5.99048539136618</v>
      </c>
      <c r="N935" s="16" t="n">
        <f aca="false">IF(D935="","",(I935+M935)/2)</f>
        <v>6.01599419018251</v>
      </c>
      <c r="O935" s="16" t="n">
        <f aca="false">IF(D935="","",G935*N935)</f>
        <v>1.30005634449844</v>
      </c>
      <c r="P935" s="16" t="n">
        <f aca="false">IF(D935="","",H935+E935-K935-O935)</f>
        <v>37.4149409381784</v>
      </c>
      <c r="Q935" s="16" t="n">
        <f aca="false">IF(D935="","",IF(P935&gt;=0,K935,MAX(0,K935+P935)))</f>
        <v>0.9072</v>
      </c>
      <c r="R935" s="16" t="n">
        <f aca="false">IF(D935="","",Q935/$B$15)</f>
        <v>0.35</v>
      </c>
      <c r="S935" s="16" t="n">
        <f aca="false">IF(D935="","",MAX(0,J935-R935))</f>
        <v>0</v>
      </c>
      <c r="T935" s="16" t="n">
        <f aca="false">IF(D935="","",MAX(0,Z935-$B$8))</f>
        <v>0</v>
      </c>
      <c r="U935" s="16" t="n">
        <f aca="false">IF(D935="","",MAX(0,MIN($B$8,Z935)))</f>
        <v>37.4149409381784</v>
      </c>
      <c r="V935" s="16" t="str">
        <f aca="false">IF(D935="","",IF(S935&gt;0.0000001,"Sim","Não"))</f>
        <v>Não</v>
      </c>
      <c r="W935" s="16" t="n">
        <f aca="false">IF(D935="","",U935-(H935+E935-Q935-O935-T935))</f>
        <v>0</v>
      </c>
      <c r="X935" s="16" t="n">
        <f aca="false">IF(W935="","",ABS(W935))</f>
        <v>0</v>
      </c>
      <c r="Y935" s="16" t="n">
        <f aca="false">IF(U935="","",IF($B$8=0,0,U935/$B$8*100))</f>
        <v>79.2353683570064</v>
      </c>
      <c r="Z935" s="18" t="n">
        <f aca="false">IF(D935="","",MAX(0,IF(P935&gt;=0,P935,IF(K935+P935&gt;=0,0,P935+K935))))</f>
        <v>37.4149409381784</v>
      </c>
      <c r="AA935" s="18" t="n">
        <f aca="false">IF(D935="","",IF(H935&lt;=$B$16,1,IF(H935&gt;=$B$17,$B$21,MATCH(H935,Aux_CAV!$A$2:$A$121,1))))</f>
        <v>13</v>
      </c>
      <c r="AB935" s="18" t="n">
        <f aca="false">IF(D935="","",IF(L935&lt;=$B$16,1,IF(L935&gt;=$B$17,$B$21,MATCH(L935,Aux_CAV!$A$2:$A$121,1))))</f>
        <v>13</v>
      </c>
      <c r="AC935" s="19" t="n">
        <f aca="false">IF(D935="","",COUNT($D$24:D935))</f>
        <v>900</v>
      </c>
    </row>
    <row r="936" customFormat="false" ht="12.75" hidden="false" customHeight="true" outlineLevel="0" collapsed="false">
      <c r="A936" s="14" t="n">
        <f aca="false">IF(D936="","",DATE(B936,C936,1))</f>
        <v>31413</v>
      </c>
      <c r="B936" s="15" t="n">
        <f aca="false" t="array" ref="B936:B936">IF(D936="","",IFERROR(VALUE(INDEX(Vazoes_COLAR!$A$2:$A$200,INT((ROW()-24)/12)+1)),""))</f>
        <v>1986</v>
      </c>
      <c r="C936" s="15" t="n">
        <f aca="false">IF(D936="","",MOD(ROW()-24,12)+1)</f>
        <v>1</v>
      </c>
      <c r="D936" s="16" t="n">
        <f aca="false" t="array" ref="D936: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0.435359274621229</v>
      </c>
      <c r="E936" s="16" t="n">
        <f aca="false">IF(D936="","",D936*$B$15)</f>
        <v>1.12845123981823</v>
      </c>
      <c r="F936" s="16" t="n">
        <f aca="false" t="array" ref="F936:F936">IF(D936="","",IFERROR(INDEX(Dados_Evap!$C$2:$N$15,MATCH($B$9,Dados_Evap!$A$2:$A$15,0),C936),0))</f>
        <v>160</v>
      </c>
      <c r="G936" s="16" t="n">
        <f aca="false">IF(F936="","",F936/1000)</f>
        <v>0.16</v>
      </c>
      <c r="H936" s="16" t="n">
        <f aca="false">IF(D936="","",MAX(0,MIN($B$8,IFERROR(LOOKUP(2,1/($U$24:U935&lt;&gt;""),$U$24:U935),$B$11))))</f>
        <v>37.4149409381784</v>
      </c>
      <c r="I936" s="16" t="n">
        <f aca="false" t="array" ref="I936: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>5.99103576977096</v>
      </c>
      <c r="J936" s="16" t="n">
        <f aca="false">IF(D936="","",$B$12)</f>
        <v>0.35</v>
      </c>
      <c r="K936" s="16" t="n">
        <f aca="false">IF(J936="","",J936*$B$15)</f>
        <v>0.9072</v>
      </c>
      <c r="L936" s="16" t="n">
        <f aca="false">IF(D936="","",H936+E936-K936-G936*I936)</f>
        <v>36.6776264548333</v>
      </c>
      <c r="M936" s="16" t="n">
        <f aca="false" t="array" ref="M936: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>5.91742025138665</v>
      </c>
      <c r="N936" s="16" t="n">
        <f aca="false">IF(D936="","",(I936+M936)/2)</f>
        <v>5.95422801057881</v>
      </c>
      <c r="O936" s="16" t="n">
        <f aca="false">IF(D936="","",G936*N936)</f>
        <v>0.952676481692609</v>
      </c>
      <c r="P936" s="16" t="n">
        <f aca="false">IF(D936="","",H936+E936-K936-O936)</f>
        <v>36.683515696304</v>
      </c>
      <c r="Q936" s="16" t="n">
        <f aca="false">IF(D936="","",IF(P936&gt;=0,K936,MAX(0,K936+P936)))</f>
        <v>0.9072</v>
      </c>
      <c r="R936" s="16" t="n">
        <f aca="false">IF(D936="","",Q936/$B$15)</f>
        <v>0.35</v>
      </c>
      <c r="S936" s="16" t="n">
        <f aca="false">IF(D936="","",MAX(0,J936-R936))</f>
        <v>0</v>
      </c>
      <c r="T936" s="16" t="n">
        <f aca="false">IF(D936="","",MAX(0,Z936-$B$8))</f>
        <v>0</v>
      </c>
      <c r="U936" s="16" t="n">
        <f aca="false">IF(D936="","",MAX(0,MIN($B$8,Z936)))</f>
        <v>36.683515696304</v>
      </c>
      <c r="V936" s="16" t="str">
        <f aca="false">IF(D936="","",IF(S936&gt;0.0000001,"Sim","Não"))</f>
        <v>Não</v>
      </c>
      <c r="W936" s="16" t="n">
        <f aca="false">IF(D936="","",U936-(H936+E936-Q936-O936-T936))</f>
        <v>0</v>
      </c>
      <c r="X936" s="16" t="n">
        <f aca="false">IF(W936="","",ABS(W936))</f>
        <v>0</v>
      </c>
      <c r="Y936" s="16" t="n">
        <f aca="false">IF(U936="","",IF($B$8=0,0,U936/$B$8*100))</f>
        <v>77.6863949519357</v>
      </c>
      <c r="Z936" s="18" t="n">
        <f aca="false">IF(D936="","",MAX(0,IF(P936&gt;=0,P936,IF(K936+P936&gt;=0,0,P936+K936))))</f>
        <v>36.683515696304</v>
      </c>
      <c r="AA936" s="18" t="n">
        <f aca="false">IF(D936="","",IF(H936&lt;=$B$16,1,IF(H936&gt;=$B$17,$B$21,MATCH(H936,Aux_CAV!$A$2:$A$121,1))))</f>
        <v>13</v>
      </c>
      <c r="AB936" s="18" t="n">
        <f aca="false">IF(D936="","",IF(L936&lt;=$B$16,1,IF(L936&gt;=$B$17,$B$21,MATCH(L936,Aux_CAV!$A$2:$A$121,1))))</f>
        <v>13</v>
      </c>
      <c r="AC936" s="19" t="n">
        <f aca="false">IF(D936="","",COUNT($D$24:D936))</f>
        <v>901</v>
      </c>
    </row>
    <row r="937" customFormat="false" ht="12.75" hidden="false" customHeight="true" outlineLevel="0" collapsed="false">
      <c r="A937" s="14" t="n">
        <f aca="false">IF(D937="","",DATE(B937,C937,1))</f>
        <v>31444</v>
      </c>
      <c r="B937" s="15" t="n">
        <f aca="false" t="array" ref="B937:B937">IF(D937="","",IFERROR(VALUE(INDEX(Vazoes_COLAR!$A$2:$A$200,INT((ROW()-24)/12)+1)),""))</f>
        <v>1986</v>
      </c>
      <c r="C937" s="15" t="n">
        <f aca="false">IF(D937="","",MOD(ROW()-24,12)+1)</f>
        <v>2</v>
      </c>
      <c r="D937" s="16" t="n">
        <f aca="false" t="array" ref="D937: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1.46994038784925</v>
      </c>
      <c r="E937" s="16" t="n">
        <f aca="false">IF(D937="","",D937*$B$15)</f>
        <v>3.81008548530526</v>
      </c>
      <c r="F937" s="16" t="n">
        <f aca="false" t="array" ref="F937:F937">IF(D937="","",IFERROR(INDEX(Dados_Evap!$C$2:$N$15,MATCH($B$9,Dados_Evap!$A$2:$A$15,0),C937),0))</f>
        <v>124.3</v>
      </c>
      <c r="G937" s="16" t="n">
        <f aca="false">IF(F937="","",F937/1000)</f>
        <v>0.1243</v>
      </c>
      <c r="H937" s="16" t="n">
        <f aca="false">IF(D937="","",MAX(0,MIN($B$8,IFERROR(LOOKUP(2,1/($U$24:U936&lt;&gt;""),$U$24:U936),$B$11))))</f>
        <v>36.683515696304</v>
      </c>
      <c r="I937" s="16" t="n">
        <f aca="false" t="array" ref="I937: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>5.91800824955237</v>
      </c>
      <c r="J937" s="16" t="n">
        <f aca="false">IF(D937="","",$B$12)</f>
        <v>0.35</v>
      </c>
      <c r="K937" s="16" t="n">
        <f aca="false">IF(J937="","",J937*$B$15)</f>
        <v>0.9072</v>
      </c>
      <c r="L937" s="16" t="n">
        <f aca="false">IF(D937="","",H937+E937-K937-G937*I937)</f>
        <v>38.8507927561899</v>
      </c>
      <c r="M937" s="16" t="n">
        <f aca="false" t="array" ref="M937: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>6.13439518870764</v>
      </c>
      <c r="N937" s="16" t="n">
        <f aca="false">IF(D937="","",(I937+M937)/2)</f>
        <v>6.02620171913</v>
      </c>
      <c r="O937" s="16" t="n">
        <f aca="false">IF(D937="","",G937*N937)</f>
        <v>0.749056873687859</v>
      </c>
      <c r="P937" s="16" t="n">
        <f aca="false">IF(D937="","",H937+E937-K937-O937)</f>
        <v>38.8373443079214</v>
      </c>
      <c r="Q937" s="16" t="n">
        <f aca="false">IF(D937="","",IF(P937&gt;=0,K937,MAX(0,K937+P937)))</f>
        <v>0.9072</v>
      </c>
      <c r="R937" s="16" t="n">
        <f aca="false">IF(D937="","",Q937/$B$15)</f>
        <v>0.35</v>
      </c>
      <c r="S937" s="16" t="n">
        <f aca="false">IF(D937="","",MAX(0,J937-R937))</f>
        <v>0</v>
      </c>
      <c r="T937" s="16" t="n">
        <f aca="false">IF(D937="","",MAX(0,Z937-$B$8))</f>
        <v>0</v>
      </c>
      <c r="U937" s="16" t="n">
        <f aca="false">IF(D937="","",MAX(0,MIN($B$8,Z937)))</f>
        <v>38.8373443079214</v>
      </c>
      <c r="V937" s="16" t="str">
        <f aca="false">IF(D937="","",IF(S937&gt;0.0000001,"Sim","Não"))</f>
        <v>Não</v>
      </c>
      <c r="W937" s="16" t="n">
        <f aca="false">IF(D937="","",U937-(H937+E937-Q937-O937-T937))</f>
        <v>0</v>
      </c>
      <c r="X937" s="16" t="n">
        <f aca="false">IF(W937="","",ABS(W937))</f>
        <v>0</v>
      </c>
      <c r="Y937" s="16" t="n">
        <f aca="false">IF(U937="","",IF($B$8=0,0,U937/$B$8*100))</f>
        <v>82.24765842423</v>
      </c>
      <c r="Z937" s="18" t="n">
        <f aca="false">IF(D937="","",MAX(0,IF(P937&gt;=0,P937,IF(K937+P937&gt;=0,0,P937+K937))))</f>
        <v>38.8373443079214</v>
      </c>
      <c r="AA937" s="18" t="n">
        <f aca="false">IF(D937="","",IF(H937&lt;=$B$16,1,IF(H937&gt;=$B$17,$B$21,MATCH(H937,Aux_CAV!$A$2:$A$121,1))))</f>
        <v>13</v>
      </c>
      <c r="AB937" s="18" t="n">
        <f aca="false">IF(D937="","",IF(L937&lt;=$B$16,1,IF(L937&gt;=$B$17,$B$21,MATCH(L937,Aux_CAV!$A$2:$A$121,1))))</f>
        <v>13</v>
      </c>
      <c r="AC937" s="19" t="n">
        <f aca="false">IF(D937="","",COUNT($D$24:D937))</f>
        <v>902</v>
      </c>
    </row>
    <row r="938" customFormat="false" ht="12.75" hidden="false" customHeight="true" outlineLevel="0" collapsed="false">
      <c r="A938" s="14" t="n">
        <f aca="false">IF(D938="","",DATE(B938,C938,1))</f>
        <v>31472</v>
      </c>
      <c r="B938" s="15" t="n">
        <f aca="false" t="array" ref="B938:B938">IF(D938="","",IFERROR(VALUE(INDEX(Vazoes_COLAR!$A$2:$A$200,INT((ROW()-24)/12)+1)),""))</f>
        <v>1986</v>
      </c>
      <c r="C938" s="15" t="n">
        <f aca="false">IF(D938="","",MOD(ROW()-24,12)+1)</f>
        <v>3</v>
      </c>
      <c r="D938" s="16" t="n">
        <f aca="false" t="array" ref="D938: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9.49003900089599</v>
      </c>
      <c r="E938" s="16" t="n">
        <f aca="false">IF(D938="","",D938*$B$15)</f>
        <v>24.5981810903224</v>
      </c>
      <c r="F938" s="16" t="n">
        <f aca="false" t="array" ref="F938:F938">IF(D938="","",IFERROR(INDEX(Dados_Evap!$C$2:$N$15,MATCH($B$9,Dados_Evap!$A$2:$A$15,0),C938),0))</f>
        <v>107.7</v>
      </c>
      <c r="G938" s="16" t="n">
        <f aca="false">IF(F938="","",F938/1000)</f>
        <v>0.1077</v>
      </c>
      <c r="H938" s="16" t="n">
        <f aca="false">IF(D938="","",MAX(0,MIN($B$8,IFERROR(LOOKUP(2,1/($U$24:U937&lt;&gt;""),$U$24:U937),$B$11))))</f>
        <v>38.8373443079214</v>
      </c>
      <c r="I938" s="16" t="n">
        <f aca="false" t="array" ref="I938: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>6.13305245841668</v>
      </c>
      <c r="J938" s="16" t="n">
        <f aca="false">IF(D938="","",$B$12)</f>
        <v>0.35</v>
      </c>
      <c r="K938" s="16" t="n">
        <f aca="false">IF(J938="","",J938*$B$15)</f>
        <v>0.9072</v>
      </c>
      <c r="L938" s="16" t="n">
        <f aca="false">IF(D938="","",H938+E938-K938-G938*I938)</f>
        <v>61.8677956484723</v>
      </c>
      <c r="M938" s="16" t="n">
        <f aca="false" t="array" ref="M938: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>8.73982231838229</v>
      </c>
      <c r="N938" s="16" t="n">
        <f aca="false">IF(D938="","",(I938+M938)/2)</f>
        <v>7.43643738839949</v>
      </c>
      <c r="O938" s="16" t="n">
        <f aca="false">IF(D938="","",G938*N938)</f>
        <v>0.800904306730625</v>
      </c>
      <c r="P938" s="16" t="n">
        <f aca="false">IF(D938="","",H938+E938-K938-O938)</f>
        <v>61.7274210915132</v>
      </c>
      <c r="Q938" s="16" t="n">
        <f aca="false">IF(D938="","",IF(P938&gt;=0,K938,MAX(0,K938+P938)))</f>
        <v>0.9072</v>
      </c>
      <c r="R938" s="16" t="n">
        <f aca="false">IF(D938="","",Q938/$B$15)</f>
        <v>0.35</v>
      </c>
      <c r="S938" s="16" t="n">
        <f aca="false">IF(D938="","",MAX(0,J938-R938))</f>
        <v>0</v>
      </c>
      <c r="T938" s="16" t="n">
        <f aca="false">IF(D938="","",MAX(0,Z938-$B$8))</f>
        <v>14.5074210915132</v>
      </c>
      <c r="U938" s="16" t="n">
        <f aca="false">IF(D938="","",MAX(0,MIN($B$8,Z938)))</f>
        <v>47.22</v>
      </c>
      <c r="V938" s="16" t="str">
        <f aca="false">IF(D938="","",IF(S938&gt;0.0000001,"Sim","Não"))</f>
        <v>Não</v>
      </c>
      <c r="W938" s="16" t="n">
        <f aca="false">IF(D938="","",U938-(H938+E938-Q938-O938-T938))</f>
        <v>0</v>
      </c>
      <c r="X938" s="16" t="n">
        <f aca="false">IF(W938="","",ABS(W938))</f>
        <v>0</v>
      </c>
      <c r="Y938" s="16" t="n">
        <f aca="false">IF(U938="","",IF($B$8=0,0,U938/$B$8*100))</f>
        <v>100</v>
      </c>
      <c r="Z938" s="18" t="n">
        <f aca="false">IF(D938="","",MAX(0,IF(P938&gt;=0,P938,IF(K938+P938&gt;=0,0,P938+K938))))</f>
        <v>61.7274210915132</v>
      </c>
      <c r="AA938" s="18" t="n">
        <f aca="false">IF(D938="","",IF(H938&lt;=$B$16,1,IF(H938&gt;=$B$17,$B$21,MATCH(H938,Aux_CAV!$A$2:$A$121,1))))</f>
        <v>13</v>
      </c>
      <c r="AB938" s="18" t="n">
        <f aca="false">IF(D938="","",IF(L938&lt;=$B$16,1,IF(L938&gt;=$B$17,$B$21,MATCH(L938,Aux_CAV!$A$2:$A$121,1))))</f>
        <v>15</v>
      </c>
      <c r="AC938" s="19" t="n">
        <f aca="false">IF(D938="","",COUNT($D$24:D938))</f>
        <v>903</v>
      </c>
    </row>
    <row r="939" customFormat="false" ht="12.75" hidden="false" customHeight="true" outlineLevel="0" collapsed="false">
      <c r="A939" s="14" t="n">
        <f aca="false">IF(D939="","",DATE(B939,C939,1))</f>
        <v>31503</v>
      </c>
      <c r="B939" s="15" t="n">
        <f aca="false" t="array" ref="B939:B939">IF(D939="","",IFERROR(VALUE(INDEX(Vazoes_COLAR!$A$2:$A$200,INT((ROW()-24)/12)+1)),""))</f>
        <v>1986</v>
      </c>
      <c r="C939" s="15" t="n">
        <f aca="false">IF(D939="","",MOD(ROW()-24,12)+1)</f>
        <v>4</v>
      </c>
      <c r="D939" s="16" t="n">
        <f aca="false" t="array" ref="D939: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13.7680233977435</v>
      </c>
      <c r="E939" s="16" t="n">
        <f aca="false">IF(D939="","",D939*$B$15)</f>
        <v>35.6867166469512</v>
      </c>
      <c r="F939" s="16" t="n">
        <f aca="false" t="array" ref="F939:F939">IF(D939="","",IFERROR(INDEX(Dados_Evap!$C$2:$N$15,MATCH($B$9,Dados_Evap!$A$2:$A$15,0),C939),0))</f>
        <v>100.5</v>
      </c>
      <c r="G939" s="16" t="n">
        <f aca="false">IF(F939="","",F939/1000)</f>
        <v>0.1005</v>
      </c>
      <c r="H939" s="16" t="n">
        <f aca="false">IF(D939="","",MAX(0,MIN($B$8,IFERROR(LOOKUP(2,1/($U$24:U938&lt;&gt;""),$U$24:U938),$B$11))))</f>
        <v>47.22</v>
      </c>
      <c r="I939" s="16" t="n">
        <f aca="false" t="array" ref="I939: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>6.97</v>
      </c>
      <c r="J939" s="16" t="n">
        <f aca="false">IF(D939="","",$B$12)</f>
        <v>0.35</v>
      </c>
      <c r="K939" s="16" t="n">
        <f aca="false">IF(J939="","",J939*$B$15)</f>
        <v>0.9072</v>
      </c>
      <c r="L939" s="16" t="n">
        <f aca="false">IF(D939="","",H939+E939-K939-G939*I939)</f>
        <v>81.2990316469512</v>
      </c>
      <c r="M939" s="16" t="n">
        <f aca="false" t="array" ref="M939: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>10.8101912584289</v>
      </c>
      <c r="N939" s="16" t="n">
        <f aca="false">IF(D939="","",(I939+M939)/2)</f>
        <v>8.89009562921445</v>
      </c>
      <c r="O939" s="16" t="n">
        <f aca="false">IF(D939="","",G939*N939)</f>
        <v>0.893454610736053</v>
      </c>
      <c r="P939" s="16" t="n">
        <f aca="false">IF(D939="","",H939+E939-K939-O939)</f>
        <v>81.1060620362151</v>
      </c>
      <c r="Q939" s="16" t="n">
        <f aca="false">IF(D939="","",IF(P939&gt;=0,K939,MAX(0,K939+P939)))</f>
        <v>0.9072</v>
      </c>
      <c r="R939" s="16" t="n">
        <f aca="false">IF(D939="","",Q939/$B$15)</f>
        <v>0.35</v>
      </c>
      <c r="S939" s="16" t="n">
        <f aca="false">IF(D939="","",MAX(0,J939-R939))</f>
        <v>0</v>
      </c>
      <c r="T939" s="16" t="n">
        <f aca="false">IF(D939="","",MAX(0,Z939-$B$8))</f>
        <v>33.8860620362151</v>
      </c>
      <c r="U939" s="16" t="n">
        <f aca="false">IF(D939="","",MAX(0,MIN($B$8,Z939)))</f>
        <v>47.22</v>
      </c>
      <c r="V939" s="16" t="str">
        <f aca="false">IF(D939="","",IF(S939&gt;0.0000001,"Sim","Não"))</f>
        <v>Não</v>
      </c>
      <c r="W939" s="16" t="n">
        <f aca="false">IF(D939="","",U939-(H939+E939-Q939-O939-T939))</f>
        <v>0</v>
      </c>
      <c r="X939" s="16" t="n">
        <f aca="false">IF(W939="","",ABS(W939))</f>
        <v>0</v>
      </c>
      <c r="Y939" s="16" t="n">
        <f aca="false">IF(U939="","",IF($B$8=0,0,U939/$B$8*100))</f>
        <v>100</v>
      </c>
      <c r="Z939" s="18" t="n">
        <f aca="false">IF(D939="","",MAX(0,IF(P939&gt;=0,P939,IF(K939+P939&gt;=0,0,P939+K939))))</f>
        <v>81.1060620362151</v>
      </c>
      <c r="AA939" s="18" t="n">
        <f aca="false">IF(D939="","",IF(H939&lt;=$B$16,1,IF(H939&gt;=$B$17,$B$21,MATCH(H939,Aux_CAV!$A$2:$A$121,1))))</f>
        <v>14</v>
      </c>
      <c r="AB939" s="18" t="n">
        <f aca="false">IF(D939="","",IF(L939&lt;=$B$16,1,IF(L939&gt;=$B$17,$B$21,MATCH(L939,Aux_CAV!$A$2:$A$121,1))))</f>
        <v>17</v>
      </c>
      <c r="AC939" s="19" t="n">
        <f aca="false">IF(D939="","",COUNT($D$24:D939))</f>
        <v>904</v>
      </c>
    </row>
    <row r="940" customFormat="false" ht="12.75" hidden="false" customHeight="true" outlineLevel="0" collapsed="false">
      <c r="A940" s="14" t="n">
        <f aca="false">IF(D940="","",DATE(B940,C940,1))</f>
        <v>31533</v>
      </c>
      <c r="B940" s="15" t="n">
        <f aca="false" t="array" ref="B940:B940">IF(D940="","",IFERROR(VALUE(INDEX(Vazoes_COLAR!$A$2:$A$200,INT((ROW()-24)/12)+1)),""))</f>
        <v>1986</v>
      </c>
      <c r="C940" s="15" t="n">
        <f aca="false">IF(D940="","",MOD(ROW()-24,12)+1)</f>
        <v>5</v>
      </c>
      <c r="D940" s="16" t="n">
        <f aca="false" t="array" ref="D940: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3.26785282642373</v>
      </c>
      <c r="E940" s="16" t="n">
        <f aca="false">IF(D940="","",D940*$B$15)</f>
        <v>8.47027452609031</v>
      </c>
      <c r="F940" s="16" t="n">
        <f aca="false" t="array" ref="F940:F940">IF(D940="","",IFERROR(INDEX(Dados_Evap!$C$2:$N$15,MATCH($B$9,Dados_Evap!$A$2:$A$15,0),C940),0))</f>
        <v>145.8</v>
      </c>
      <c r="G940" s="16" t="n">
        <f aca="false">IF(F940="","",F940/1000)</f>
        <v>0.1458</v>
      </c>
      <c r="H940" s="16" t="n">
        <f aca="false">IF(D940="","",MAX(0,MIN($B$8,IFERROR(LOOKUP(2,1/($U$24:U939&lt;&gt;""),$U$24:U939),$B$11))))</f>
        <v>47.22</v>
      </c>
      <c r="I940" s="16" t="n">
        <f aca="false" t="array" ref="I940: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>6.97</v>
      </c>
      <c r="J940" s="16" t="n">
        <f aca="false">IF(D940="","",$B$12)</f>
        <v>0.35</v>
      </c>
      <c r="K940" s="16" t="n">
        <f aca="false">IF(J940="","",J940*$B$15)</f>
        <v>0.9072</v>
      </c>
      <c r="L940" s="16" t="n">
        <f aca="false">IF(D940="","",H940+E940-K940-G940*I940)</f>
        <v>53.7668485260903</v>
      </c>
      <c r="M940" s="16" t="n">
        <f aca="false" t="array" ref="M940: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>7.74178295632772</v>
      </c>
      <c r="N940" s="16" t="n">
        <f aca="false">IF(D940="","",(I940+M940)/2)</f>
        <v>7.35589147816386</v>
      </c>
      <c r="O940" s="16" t="n">
        <f aca="false">IF(D940="","",G940*N940)</f>
        <v>1.07248897751629</v>
      </c>
      <c r="P940" s="16" t="n">
        <f aca="false">IF(D940="","",H940+E940-K940-O940)</f>
        <v>53.710585548574</v>
      </c>
      <c r="Q940" s="16" t="n">
        <f aca="false">IF(D940="","",IF(P940&gt;=0,K940,MAX(0,K940+P940)))</f>
        <v>0.9072</v>
      </c>
      <c r="R940" s="16" t="n">
        <f aca="false">IF(D940="","",Q940/$B$15)</f>
        <v>0.35</v>
      </c>
      <c r="S940" s="16" t="n">
        <f aca="false">IF(D940="","",MAX(0,J940-R940))</f>
        <v>0</v>
      </c>
      <c r="T940" s="16" t="n">
        <f aca="false">IF(D940="","",MAX(0,Z940-$B$8))</f>
        <v>6.49058554857401</v>
      </c>
      <c r="U940" s="16" t="n">
        <f aca="false">IF(D940="","",MAX(0,MIN($B$8,Z940)))</f>
        <v>47.22</v>
      </c>
      <c r="V940" s="16" t="str">
        <f aca="false">IF(D940="","",IF(S940&gt;0.0000001,"Sim","Não"))</f>
        <v>Não</v>
      </c>
      <c r="W940" s="16" t="n">
        <f aca="false">IF(D940="","",U940-(H940+E940-Q940-O940-T940))</f>
        <v>0</v>
      </c>
      <c r="X940" s="16" t="n">
        <f aca="false">IF(W940="","",ABS(W940))</f>
        <v>0</v>
      </c>
      <c r="Y940" s="16" t="n">
        <f aca="false">IF(U940="","",IF($B$8=0,0,U940/$B$8*100))</f>
        <v>100</v>
      </c>
      <c r="Z940" s="18" t="n">
        <f aca="false">IF(D940="","",MAX(0,IF(P940&gt;=0,P940,IF(K940+P940&gt;=0,0,P940+K940))))</f>
        <v>53.710585548574</v>
      </c>
      <c r="AA940" s="18" t="n">
        <f aca="false">IF(D940="","",IF(H940&lt;=$B$16,1,IF(H940&gt;=$B$17,$B$21,MATCH(H940,Aux_CAV!$A$2:$A$121,1))))</f>
        <v>14</v>
      </c>
      <c r="AB940" s="18" t="n">
        <f aca="false">IF(D940="","",IF(L940&lt;=$B$16,1,IF(L940&gt;=$B$17,$B$21,MATCH(L940,Aux_CAV!$A$2:$A$121,1))))</f>
        <v>14</v>
      </c>
      <c r="AC940" s="19" t="n">
        <f aca="false">IF(D940="","",COUNT($D$24:D940))</f>
        <v>905</v>
      </c>
    </row>
    <row r="941" customFormat="false" ht="12.75" hidden="false" customHeight="true" outlineLevel="0" collapsed="false">
      <c r="A941" s="14" t="n">
        <f aca="false">IF(D941="","",DATE(B941,C941,1))</f>
        <v>31564</v>
      </c>
      <c r="B941" s="15" t="n">
        <f aca="false" t="array" ref="B941:B941">IF(D941="","",IFERROR(VALUE(INDEX(Vazoes_COLAR!$A$2:$A$200,INT((ROW()-24)/12)+1)),""))</f>
        <v>1986</v>
      </c>
      <c r="C941" s="15" t="n">
        <f aca="false">IF(D941="","",MOD(ROW()-24,12)+1)</f>
        <v>6</v>
      </c>
      <c r="D941" s="16" t="n">
        <f aca="false" t="array" ref="D941: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2.34494676003845</v>
      </c>
      <c r="E941" s="16" t="n">
        <f aca="false">IF(D941="","",D941*$B$15)</f>
        <v>6.07810200201966</v>
      </c>
      <c r="F941" s="16" t="n">
        <f aca="false" t="array" ref="F941:F941">IF(D941="","",IFERROR(INDEX(Dados_Evap!$C$2:$N$15,MATCH($B$9,Dados_Evap!$A$2:$A$15,0),C941),0))</f>
        <v>161.3</v>
      </c>
      <c r="G941" s="16" t="n">
        <f aca="false">IF(F941="","",F941/1000)</f>
        <v>0.1613</v>
      </c>
      <c r="H941" s="16" t="n">
        <f aca="false">IF(D941="","",MAX(0,MIN($B$8,IFERROR(LOOKUP(2,1/($U$24:U940&lt;&gt;""),$U$24:U940),$B$11))))</f>
        <v>47.22</v>
      </c>
      <c r="I941" s="16" t="n">
        <f aca="false" t="array" ref="I941: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>6.97</v>
      </c>
      <c r="J941" s="16" t="n">
        <f aca="false">IF(D941="","",$B$12)</f>
        <v>0.35</v>
      </c>
      <c r="K941" s="16" t="n">
        <f aca="false">IF(J941="","",J941*$B$15)</f>
        <v>0.9072</v>
      </c>
      <c r="L941" s="16" t="n">
        <f aca="false">IF(D941="","",H941+E941-K941-G941*I941)</f>
        <v>51.2666410020197</v>
      </c>
      <c r="M941" s="16" t="n">
        <f aca="false" t="array" ref="M941: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>7.44704304495354</v>
      </c>
      <c r="N941" s="16" t="n">
        <f aca="false">IF(D941="","",(I941+M941)/2)</f>
        <v>7.20852152247677</v>
      </c>
      <c r="O941" s="16" t="n">
        <f aca="false">IF(D941="","",G941*N941)</f>
        <v>1.1627345215755</v>
      </c>
      <c r="P941" s="16" t="n">
        <f aca="false">IF(D941="","",H941+E941-K941-O941)</f>
        <v>51.2281674804442</v>
      </c>
      <c r="Q941" s="16" t="n">
        <f aca="false">IF(D941="","",IF(P941&gt;=0,K941,MAX(0,K941+P941)))</f>
        <v>0.9072</v>
      </c>
      <c r="R941" s="16" t="n">
        <f aca="false">IF(D941="","",Q941/$B$15)</f>
        <v>0.35</v>
      </c>
      <c r="S941" s="16" t="n">
        <f aca="false">IF(D941="","",MAX(0,J941-R941))</f>
        <v>0</v>
      </c>
      <c r="T941" s="16" t="n">
        <f aca="false">IF(D941="","",MAX(0,Z941-$B$8))</f>
        <v>4.00816748044416</v>
      </c>
      <c r="U941" s="16" t="n">
        <f aca="false">IF(D941="","",MAX(0,MIN($B$8,Z941)))</f>
        <v>47.22</v>
      </c>
      <c r="V941" s="16" t="str">
        <f aca="false">IF(D941="","",IF(S941&gt;0.0000001,"Sim","Não"))</f>
        <v>Não</v>
      </c>
      <c r="W941" s="16" t="n">
        <f aca="false">IF(D941="","",U941-(H941+E941-Q941-O941-T941))</f>
        <v>0</v>
      </c>
      <c r="X941" s="16" t="n">
        <f aca="false">IF(W941="","",ABS(W941))</f>
        <v>0</v>
      </c>
      <c r="Y941" s="16" t="n">
        <f aca="false">IF(U941="","",IF($B$8=0,0,U941/$B$8*100))</f>
        <v>100</v>
      </c>
      <c r="Z941" s="18" t="n">
        <f aca="false">IF(D941="","",MAX(0,IF(P941&gt;=0,P941,IF(K941+P941&gt;=0,0,P941+K941))))</f>
        <v>51.2281674804442</v>
      </c>
      <c r="AA941" s="18" t="n">
        <f aca="false">IF(D941="","",IF(H941&lt;=$B$16,1,IF(H941&gt;=$B$17,$B$21,MATCH(H941,Aux_CAV!$A$2:$A$121,1))))</f>
        <v>14</v>
      </c>
      <c r="AB941" s="18" t="n">
        <f aca="false">IF(D941="","",IF(L941&lt;=$B$16,1,IF(L941&gt;=$B$17,$B$21,MATCH(L941,Aux_CAV!$A$2:$A$121,1))))</f>
        <v>14</v>
      </c>
      <c r="AC941" s="19" t="n">
        <f aca="false">IF(D941="","",COUNT($D$24:D941))</f>
        <v>906</v>
      </c>
    </row>
    <row r="942" customFormat="false" ht="12.75" hidden="false" customHeight="true" outlineLevel="0" collapsed="false">
      <c r="A942" s="14" t="n">
        <f aca="false">IF(D942="","",DATE(B942,C942,1))</f>
        <v>31594</v>
      </c>
      <c r="B942" s="15" t="n">
        <f aca="false" t="array" ref="B942:B942">IF(D942="","",IFERROR(VALUE(INDEX(Vazoes_COLAR!$A$2:$A$200,INT((ROW()-24)/12)+1)),""))</f>
        <v>1986</v>
      </c>
      <c r="C942" s="15" t="n">
        <f aca="false">IF(D942="","",MOD(ROW()-24,12)+1)</f>
        <v>7</v>
      </c>
      <c r="D942" s="16" t="n">
        <f aca="false" t="array" ref="D942: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0.584743695644623</v>
      </c>
      <c r="E942" s="16" t="n">
        <f aca="false">IF(D942="","",D942*$B$15)</f>
        <v>1.51565565911086</v>
      </c>
      <c r="F942" s="16" t="n">
        <f aca="false" t="array" ref="F942:F942">IF(D942="","",IFERROR(INDEX(Dados_Evap!$C$2:$N$15,MATCH($B$9,Dados_Evap!$A$2:$A$15,0),C942),0))</f>
        <v>224.8</v>
      </c>
      <c r="G942" s="16" t="n">
        <f aca="false">IF(F942="","",F942/1000)</f>
        <v>0.2248</v>
      </c>
      <c r="H942" s="16" t="n">
        <f aca="false">IF(D942="","",MAX(0,MIN($B$8,IFERROR(LOOKUP(2,1/($U$24:U941&lt;&gt;""),$U$24:U941),$B$11))))</f>
        <v>47.22</v>
      </c>
      <c r="I942" s="16" t="n">
        <f aca="false" t="array" ref="I942: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>6.97</v>
      </c>
      <c r="J942" s="16" t="n">
        <f aca="false">IF(D942="","",$B$12)</f>
        <v>0.35</v>
      </c>
      <c r="K942" s="16" t="n">
        <f aca="false">IF(J942="","",J942*$B$15)</f>
        <v>0.9072</v>
      </c>
      <c r="L942" s="16" t="n">
        <f aca="false">IF(D942="","",H942+E942-K942-G942*I942)</f>
        <v>46.2615996591109</v>
      </c>
      <c r="M942" s="16" t="n">
        <f aca="false" t="array" ref="M942: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>6.87431065778858</v>
      </c>
      <c r="N942" s="16" t="n">
        <f aca="false">IF(D942="","",(I942+M942)/2)</f>
        <v>6.92215532889429</v>
      </c>
      <c r="O942" s="16" t="n">
        <f aca="false">IF(D942="","",G942*N942)</f>
        <v>1.55610051793544</v>
      </c>
      <c r="P942" s="16" t="n">
        <f aca="false">IF(D942="","",H942+E942-K942-O942)</f>
        <v>46.2723551411754</v>
      </c>
      <c r="Q942" s="16" t="n">
        <f aca="false">IF(D942="","",IF(P942&gt;=0,K942,MAX(0,K942+P942)))</f>
        <v>0.9072</v>
      </c>
      <c r="R942" s="16" t="n">
        <f aca="false">IF(D942="","",Q942/$B$15)</f>
        <v>0.35</v>
      </c>
      <c r="S942" s="16" t="n">
        <f aca="false">IF(D942="","",MAX(0,J942-R942))</f>
        <v>0</v>
      </c>
      <c r="T942" s="16" t="n">
        <f aca="false">IF(D942="","",MAX(0,Z942-$B$8))</f>
        <v>0</v>
      </c>
      <c r="U942" s="16" t="n">
        <f aca="false">IF(D942="","",MAX(0,MIN($B$8,Z942)))</f>
        <v>46.2723551411754</v>
      </c>
      <c r="V942" s="16" t="str">
        <f aca="false">IF(D942="","",IF(S942&gt;0.0000001,"Sim","Não"))</f>
        <v>Não</v>
      </c>
      <c r="W942" s="16" t="n">
        <f aca="false">IF(D942="","",U942-(H942+E942-Q942-O942-T942))</f>
        <v>0</v>
      </c>
      <c r="X942" s="16" t="n">
        <f aca="false">IF(W942="","",ABS(W942))</f>
        <v>0</v>
      </c>
      <c r="Y942" s="16" t="n">
        <f aca="false">IF(U942="","",IF($B$8=0,0,U942/$B$8*100))</f>
        <v>97.9931282108755</v>
      </c>
      <c r="Z942" s="18" t="n">
        <f aca="false">IF(D942="","",MAX(0,IF(P942&gt;=0,P942,IF(K942+P942&gt;=0,0,P942+K942))))</f>
        <v>46.2723551411754</v>
      </c>
      <c r="AA942" s="18" t="n">
        <f aca="false">IF(D942="","",IF(H942&lt;=$B$16,1,IF(H942&gt;=$B$17,$B$21,MATCH(H942,Aux_CAV!$A$2:$A$121,1))))</f>
        <v>14</v>
      </c>
      <c r="AB942" s="18" t="n">
        <f aca="false">IF(D942="","",IF(L942&lt;=$B$16,1,IF(L942&gt;=$B$17,$B$21,MATCH(L942,Aux_CAV!$A$2:$A$121,1))))</f>
        <v>13</v>
      </c>
      <c r="AC942" s="19" t="n">
        <f aca="false">IF(D942="","",COUNT($D$24:D942))</f>
        <v>907</v>
      </c>
    </row>
    <row r="943" customFormat="false" ht="12.75" hidden="false" customHeight="true" outlineLevel="0" collapsed="false">
      <c r="A943" s="14" t="n">
        <f aca="false">IF(D943="","",DATE(B943,C943,1))</f>
        <v>31625</v>
      </c>
      <c r="B943" s="15" t="n">
        <f aca="false" t="array" ref="B943:B943">IF(D943="","",IFERROR(VALUE(INDEX(Vazoes_COLAR!$A$2:$A$200,INT((ROW()-24)/12)+1)),""))</f>
        <v>1986</v>
      </c>
      <c r="C943" s="15" t="n">
        <f aca="false">IF(D943="","",MOD(ROW()-24,12)+1)</f>
        <v>8</v>
      </c>
      <c r="D943" s="16" t="n">
        <f aca="false" t="array" ref="D943: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0.263954381398766</v>
      </c>
      <c r="E943" s="16" t="n">
        <f aca="false">IF(D943="","",D943*$B$15)</f>
        <v>0.684169756585601</v>
      </c>
      <c r="F943" s="16" t="n">
        <f aca="false" t="array" ref="F943:F943">IF(D943="","",IFERROR(INDEX(Dados_Evap!$C$2:$N$15,MATCH($B$9,Dados_Evap!$A$2:$A$15,0),C943),0))</f>
        <v>268.7</v>
      </c>
      <c r="G943" s="16" t="n">
        <f aca="false">IF(F943="","",F943/1000)</f>
        <v>0.2687</v>
      </c>
      <c r="H943" s="16" t="n">
        <f aca="false">IF(D943="","",MAX(0,MIN($B$8,IFERROR(LOOKUP(2,1/($U$24:U942&lt;&gt;""),$U$24:U942),$B$11))))</f>
        <v>46.2723551411754</v>
      </c>
      <c r="I943" s="16" t="n">
        <f aca="false" t="array" ref="I943: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>6.87538451488151</v>
      </c>
      <c r="J943" s="16" t="n">
        <f aca="false">IF(D943="","",$B$12)</f>
        <v>0.35</v>
      </c>
      <c r="K943" s="16" t="n">
        <f aca="false">IF(J943="","",J943*$B$15)</f>
        <v>0.9072</v>
      </c>
      <c r="L943" s="16" t="n">
        <f aca="false">IF(D943="","",H943+E943-K943-G943*I943)</f>
        <v>44.2019090786124</v>
      </c>
      <c r="M943" s="16" t="n">
        <f aca="false" t="array" ref="M943: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>6.66866545045894</v>
      </c>
      <c r="N943" s="16" t="n">
        <f aca="false">IF(D943="","",(I943+M943)/2)</f>
        <v>6.77202498267022</v>
      </c>
      <c r="O943" s="16" t="n">
        <f aca="false">IF(D943="","",G943*N943)</f>
        <v>1.81964311284349</v>
      </c>
      <c r="P943" s="16" t="n">
        <f aca="false">IF(D943="","",H943+E943-K943-O943)</f>
        <v>44.2296817849175</v>
      </c>
      <c r="Q943" s="16" t="n">
        <f aca="false">IF(D943="","",IF(P943&gt;=0,K943,MAX(0,K943+P943)))</f>
        <v>0.9072</v>
      </c>
      <c r="R943" s="16" t="n">
        <f aca="false">IF(D943="","",Q943/$B$15)</f>
        <v>0.35</v>
      </c>
      <c r="S943" s="16" t="n">
        <f aca="false">IF(D943="","",MAX(0,J943-R943))</f>
        <v>0</v>
      </c>
      <c r="T943" s="16" t="n">
        <f aca="false">IF(D943="","",MAX(0,Z943-$B$8))</f>
        <v>0</v>
      </c>
      <c r="U943" s="16" t="n">
        <f aca="false">IF(D943="","",MAX(0,MIN($B$8,Z943)))</f>
        <v>44.2296817849175</v>
      </c>
      <c r="V943" s="16" t="str">
        <f aca="false">IF(D943="","",IF(S943&gt;0.0000001,"Sim","Não"))</f>
        <v>Não</v>
      </c>
      <c r="W943" s="16" t="n">
        <f aca="false">IF(D943="","",U943-(H943+E943-Q943-O943-T943))</f>
        <v>0</v>
      </c>
      <c r="X943" s="16" t="n">
        <f aca="false">IF(W943="","",ABS(W943))</f>
        <v>0</v>
      </c>
      <c r="Y943" s="16" t="n">
        <f aca="false">IF(U943="","",IF($B$8=0,0,U943/$B$8*100))</f>
        <v>93.6672634157508</v>
      </c>
      <c r="Z943" s="18" t="n">
        <f aca="false">IF(D943="","",MAX(0,IF(P943&gt;=0,P943,IF(K943+P943&gt;=0,0,P943+K943))))</f>
        <v>44.2296817849175</v>
      </c>
      <c r="AA943" s="18" t="n">
        <f aca="false">IF(D943="","",IF(H943&lt;=$B$16,1,IF(H943&gt;=$B$17,$B$21,MATCH(H943,Aux_CAV!$A$2:$A$121,1))))</f>
        <v>13</v>
      </c>
      <c r="AB943" s="18" t="n">
        <f aca="false">IF(D943="","",IF(L943&lt;=$B$16,1,IF(L943&gt;=$B$17,$B$21,MATCH(L943,Aux_CAV!$A$2:$A$121,1))))</f>
        <v>13</v>
      </c>
      <c r="AC943" s="19" t="n">
        <f aca="false">IF(D943="","",COUNT($D$24:D943))</f>
        <v>908</v>
      </c>
    </row>
    <row r="944" customFormat="false" ht="12.75" hidden="false" customHeight="true" outlineLevel="0" collapsed="false">
      <c r="A944" s="14" t="n">
        <f aca="false">IF(D944="","",DATE(B944,C944,1))</f>
        <v>31656</v>
      </c>
      <c r="B944" s="15" t="n">
        <f aca="false" t="array" ref="B944:B944">IF(D944="","",IFERROR(VALUE(INDEX(Vazoes_COLAR!$A$2:$A$200,INT((ROW()-24)/12)+1)),""))</f>
        <v>1986</v>
      </c>
      <c r="C944" s="15" t="n">
        <f aca="false">IF(D944="","",MOD(ROW()-24,12)+1)</f>
        <v>9</v>
      </c>
      <c r="D944" s="16" t="n">
        <f aca="false" t="array" ref="D944: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0.109957000398111</v>
      </c>
      <c r="E944" s="16" t="n">
        <f aca="false">IF(D944="","",D944*$B$15)</f>
        <v>0.285008545031904</v>
      </c>
      <c r="F944" s="16" t="n">
        <f aca="false" t="array" ref="F944:F944">IF(D944="","",IFERROR(INDEX(Dados_Evap!$C$2:$N$15,MATCH($B$9,Dados_Evap!$A$2:$A$15,0),C944),0))</f>
        <v>292.8</v>
      </c>
      <c r="G944" s="16" t="n">
        <f aca="false">IF(F944="","",F944/1000)</f>
        <v>0.2928</v>
      </c>
      <c r="H944" s="16" t="n">
        <f aca="false">IF(D944="","",MAX(0,MIN($B$8,IFERROR(LOOKUP(2,1/($U$24:U943&lt;&gt;""),$U$24:U943),$B$11))))</f>
        <v>44.2296817849175</v>
      </c>
      <c r="I944" s="16" t="n">
        <f aca="false" t="array" ref="I944: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>6.67143835431174</v>
      </c>
      <c r="J944" s="16" t="n">
        <f aca="false">IF(D944="","",$B$12)</f>
        <v>0.35</v>
      </c>
      <c r="K944" s="16" t="n">
        <f aca="false">IF(J944="","",J944*$B$15)</f>
        <v>0.9072</v>
      </c>
      <c r="L944" s="16" t="n">
        <f aca="false">IF(D944="","",H944+E944-K944-G944*I944)</f>
        <v>41.654093179807</v>
      </c>
      <c r="M944" s="16" t="n">
        <f aca="false" t="array" ref="M944: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>6.41428446056249</v>
      </c>
      <c r="N944" s="16" t="n">
        <f aca="false">IF(D944="","",(I944+M944)/2)</f>
        <v>6.54286140743711</v>
      </c>
      <c r="O944" s="16" t="n">
        <f aca="false">IF(D944="","",G944*N944)</f>
        <v>1.91574982009759</v>
      </c>
      <c r="P944" s="16" t="n">
        <f aca="false">IF(D944="","",H944+E944-K944-O944)</f>
        <v>41.6917405098519</v>
      </c>
      <c r="Q944" s="16" t="n">
        <f aca="false">IF(D944="","",IF(P944&gt;=0,K944,MAX(0,K944+P944)))</f>
        <v>0.9072</v>
      </c>
      <c r="R944" s="16" t="n">
        <f aca="false">IF(D944="","",Q944/$B$15)</f>
        <v>0.35</v>
      </c>
      <c r="S944" s="16" t="n">
        <f aca="false">IF(D944="","",MAX(0,J944-R944))</f>
        <v>0</v>
      </c>
      <c r="T944" s="16" t="n">
        <f aca="false">IF(D944="","",MAX(0,Z944-$B$8))</f>
        <v>0</v>
      </c>
      <c r="U944" s="16" t="n">
        <f aca="false">IF(D944="","",MAX(0,MIN($B$8,Z944)))</f>
        <v>41.6917405098519</v>
      </c>
      <c r="V944" s="16" t="str">
        <f aca="false">IF(D944="","",IF(S944&gt;0.0000001,"Sim","Não"))</f>
        <v>Não</v>
      </c>
      <c r="W944" s="16" t="n">
        <f aca="false">IF(D944="","",U944-(H944+E944-Q944-O944-T944))</f>
        <v>0</v>
      </c>
      <c r="X944" s="16" t="n">
        <f aca="false">IF(W944="","",ABS(W944))</f>
        <v>0</v>
      </c>
      <c r="Y944" s="16" t="n">
        <f aca="false">IF(U944="","",IF($B$8=0,0,U944/$B$8*100))</f>
        <v>88.2925466112915</v>
      </c>
      <c r="Z944" s="18" t="n">
        <f aca="false">IF(D944="","",MAX(0,IF(P944&gt;=0,P944,IF(K944+P944&gt;=0,0,P944+K944))))</f>
        <v>41.6917405098519</v>
      </c>
      <c r="AA944" s="18" t="n">
        <f aca="false">IF(D944="","",IF(H944&lt;=$B$16,1,IF(H944&gt;=$B$17,$B$21,MATCH(H944,Aux_CAV!$A$2:$A$121,1))))</f>
        <v>13</v>
      </c>
      <c r="AB944" s="18" t="n">
        <f aca="false">IF(D944="","",IF(L944&lt;=$B$16,1,IF(L944&gt;=$B$17,$B$21,MATCH(L944,Aux_CAV!$A$2:$A$121,1))))</f>
        <v>13</v>
      </c>
      <c r="AC944" s="19" t="n">
        <f aca="false">IF(D944="","",COUNT($D$24:D944))</f>
        <v>909</v>
      </c>
    </row>
    <row r="945" customFormat="false" ht="12.75" hidden="false" customHeight="true" outlineLevel="0" collapsed="false">
      <c r="A945" s="14" t="n">
        <f aca="false">IF(D945="","",DATE(B945,C945,1))</f>
        <v>31686</v>
      </c>
      <c r="B945" s="15" t="n">
        <f aca="false" t="array" ref="B945:B945">IF(D945="","",IFERROR(VALUE(INDEX(Vazoes_COLAR!$A$2:$A$200,INT((ROW()-24)/12)+1)),""))</f>
        <v>1986</v>
      </c>
      <c r="C945" s="15" t="n">
        <f aca="false">IF(D945="","",MOD(ROW()-24,12)+1)</f>
        <v>10</v>
      </c>
      <c r="D945" s="16" t="n">
        <f aca="false" t="array" ref="D945: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0.176280815129828</v>
      </c>
      <c r="E945" s="16" t="n">
        <f aca="false">IF(D945="","",D945*$B$15)</f>
        <v>0.456919872816514</v>
      </c>
      <c r="F945" s="16" t="n">
        <f aca="false" t="array" ref="F945:F945">IF(D945="","",IFERROR(INDEX(Dados_Evap!$C$2:$N$15,MATCH($B$9,Dados_Evap!$A$2:$A$15,0),C945),0))</f>
        <v>262.9</v>
      </c>
      <c r="G945" s="16" t="n">
        <f aca="false">IF(F945="","",F945/1000)</f>
        <v>0.2629</v>
      </c>
      <c r="H945" s="16" t="n">
        <f aca="false">IF(D945="","",MAX(0,MIN($B$8,IFERROR(LOOKUP(2,1/($U$24:U944&lt;&gt;""),$U$24:U944),$B$11))))</f>
        <v>41.6917405098519</v>
      </c>
      <c r="I945" s="16" t="n">
        <f aca="false" t="array" ref="I945: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>6.41804327417546</v>
      </c>
      <c r="J945" s="16" t="n">
        <f aca="false">IF(D945="","",$B$12)</f>
        <v>0.35</v>
      </c>
      <c r="K945" s="16" t="n">
        <f aca="false">IF(J945="","",J945*$B$15)</f>
        <v>0.9072</v>
      </c>
      <c r="L945" s="16" t="n">
        <f aca="false">IF(D945="","",H945+E945-K945-G945*I945)</f>
        <v>39.5541568058876</v>
      </c>
      <c r="M945" s="16" t="n">
        <f aca="false" t="array" ref="M945: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>6.2046210018457</v>
      </c>
      <c r="N945" s="16" t="n">
        <f aca="false">IF(D945="","",(I945+M945)/2)</f>
        <v>6.31133213801058</v>
      </c>
      <c r="O945" s="16" t="n">
        <f aca="false">IF(D945="","",G945*N945)</f>
        <v>1.65924921908298</v>
      </c>
      <c r="P945" s="16" t="n">
        <f aca="false">IF(D945="","",H945+E945-K945-O945)</f>
        <v>39.5822111635854</v>
      </c>
      <c r="Q945" s="16" t="n">
        <f aca="false">IF(D945="","",IF(P945&gt;=0,K945,MAX(0,K945+P945)))</f>
        <v>0.9072</v>
      </c>
      <c r="R945" s="16" t="n">
        <f aca="false">IF(D945="","",Q945/$B$15)</f>
        <v>0.35</v>
      </c>
      <c r="S945" s="16" t="n">
        <f aca="false">IF(D945="","",MAX(0,J945-R945))</f>
        <v>0</v>
      </c>
      <c r="T945" s="16" t="n">
        <f aca="false">IF(D945="","",MAX(0,Z945-$B$8))</f>
        <v>0</v>
      </c>
      <c r="U945" s="16" t="n">
        <f aca="false">IF(D945="","",MAX(0,MIN($B$8,Z945)))</f>
        <v>39.5822111635854</v>
      </c>
      <c r="V945" s="16" t="str">
        <f aca="false">IF(D945="","",IF(S945&gt;0.0000001,"Sim","Não"))</f>
        <v>Não</v>
      </c>
      <c r="W945" s="16" t="n">
        <f aca="false">IF(D945="","",U945-(H945+E945-Q945-O945-T945))</f>
        <v>0</v>
      </c>
      <c r="X945" s="16" t="n">
        <f aca="false">IF(W945="","",ABS(W945))</f>
        <v>0</v>
      </c>
      <c r="Y945" s="16" t="n">
        <f aca="false">IF(U945="","",IF($B$8=0,0,U945/$B$8*100))</f>
        <v>83.8250977627814</v>
      </c>
      <c r="Z945" s="18" t="n">
        <f aca="false">IF(D945="","",MAX(0,IF(P945&gt;=0,P945,IF(K945+P945&gt;=0,0,P945+K945))))</f>
        <v>39.5822111635854</v>
      </c>
      <c r="AA945" s="18" t="n">
        <f aca="false">IF(D945="","",IF(H945&lt;=$B$16,1,IF(H945&gt;=$B$17,$B$21,MATCH(H945,Aux_CAV!$A$2:$A$121,1))))</f>
        <v>13</v>
      </c>
      <c r="AB945" s="18" t="n">
        <f aca="false">IF(D945="","",IF(L945&lt;=$B$16,1,IF(L945&gt;=$B$17,$B$21,MATCH(L945,Aux_CAV!$A$2:$A$121,1))))</f>
        <v>13</v>
      </c>
      <c r="AC945" s="19" t="n">
        <f aca="false">IF(D945="","",COUNT($D$24:D945))</f>
        <v>910</v>
      </c>
    </row>
    <row r="946" customFormat="false" ht="12.75" hidden="false" customHeight="true" outlineLevel="0" collapsed="false">
      <c r="A946" s="14" t="n">
        <f aca="false">IF(D946="","",DATE(B946,C946,1))</f>
        <v>31717</v>
      </c>
      <c r="B946" s="15" t="n">
        <f aca="false" t="array" ref="B946:B946">IF(D946="","",IFERROR(VALUE(INDEX(Vazoes_COLAR!$A$2:$A$200,INT((ROW()-24)/12)+1)),""))</f>
        <v>1986</v>
      </c>
      <c r="C946" s="15" t="n">
        <f aca="false">IF(D946="","",MOD(ROW()-24,12)+1)</f>
        <v>11</v>
      </c>
      <c r="D946" s="16" t="n">
        <f aca="false" t="array" ref="D946: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0.330582172365891</v>
      </c>
      <c r="E946" s="16" t="n">
        <f aca="false">IF(D946="","",D946*$B$15)</f>
        <v>0.856868990772389</v>
      </c>
      <c r="F946" s="16" t="n">
        <f aca="false" t="array" ref="F946:F946">IF(D946="","",IFERROR(INDEX(Dados_Evap!$C$2:$N$15,MATCH($B$9,Dados_Evap!$A$2:$A$15,0),C946),0))</f>
        <v>223.7</v>
      </c>
      <c r="G946" s="16" t="n">
        <f aca="false">IF(F946="","",F946/1000)</f>
        <v>0.2237</v>
      </c>
      <c r="H946" s="16" t="n">
        <f aca="false">IF(D946="","",MAX(0,MIN($B$8,IFERROR(LOOKUP(2,1/($U$24:U945&lt;&gt;""),$U$24:U945),$B$11))))</f>
        <v>39.5822111635854</v>
      </c>
      <c r="I946" s="16" t="n">
        <f aca="false" t="array" ref="I946: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>6.20742202655294</v>
      </c>
      <c r="J946" s="16" t="n">
        <f aca="false">IF(D946="","",$B$12)</f>
        <v>0.35</v>
      </c>
      <c r="K946" s="16" t="n">
        <f aca="false">IF(J946="","",J946*$B$15)</f>
        <v>0.9072</v>
      </c>
      <c r="L946" s="16" t="n">
        <f aca="false">IF(D946="","",H946+E946-K946-G946*I946)</f>
        <v>38.1432798470179</v>
      </c>
      <c r="M946" s="16" t="n">
        <f aca="false" t="array" ref="M946: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>6.06375514195855</v>
      </c>
      <c r="N946" s="16" t="n">
        <f aca="false">IF(D946="","",(I946+M946)/2)</f>
        <v>6.13558858425574</v>
      </c>
      <c r="O946" s="16" t="n">
        <f aca="false">IF(D946="","",G946*N946)</f>
        <v>1.37253116629801</v>
      </c>
      <c r="P946" s="16" t="n">
        <f aca="false">IF(D946="","",H946+E946-K946-O946)</f>
        <v>38.1593489880598</v>
      </c>
      <c r="Q946" s="16" t="n">
        <f aca="false">IF(D946="","",IF(P946&gt;=0,K946,MAX(0,K946+P946)))</f>
        <v>0.9072</v>
      </c>
      <c r="R946" s="16" t="n">
        <f aca="false">IF(D946="","",Q946/$B$15)</f>
        <v>0.35</v>
      </c>
      <c r="S946" s="16" t="n">
        <f aca="false">IF(D946="","",MAX(0,J946-R946))</f>
        <v>0</v>
      </c>
      <c r="T946" s="16" t="n">
        <f aca="false">IF(D946="","",MAX(0,Z946-$B$8))</f>
        <v>0</v>
      </c>
      <c r="U946" s="16" t="n">
        <f aca="false">IF(D946="","",MAX(0,MIN($B$8,Z946)))</f>
        <v>38.1593489880598</v>
      </c>
      <c r="V946" s="16" t="str">
        <f aca="false">IF(D946="","",IF(S946&gt;0.0000001,"Sim","Não"))</f>
        <v>Não</v>
      </c>
      <c r="W946" s="16" t="n">
        <f aca="false">IF(D946="","",U946-(H946+E946-Q946-O946-T946))</f>
        <v>0</v>
      </c>
      <c r="X946" s="16" t="n">
        <f aca="false">IF(W946="","",ABS(W946))</f>
        <v>0</v>
      </c>
      <c r="Y946" s="16" t="n">
        <f aca="false">IF(U946="","",IF($B$8=0,0,U946/$B$8*100))</f>
        <v>80.8118360611177</v>
      </c>
      <c r="Z946" s="18" t="n">
        <f aca="false">IF(D946="","",MAX(0,IF(P946&gt;=0,P946,IF(K946+P946&gt;=0,0,P946+K946))))</f>
        <v>38.1593489880598</v>
      </c>
      <c r="AA946" s="18" t="n">
        <f aca="false">IF(D946="","",IF(H946&lt;=$B$16,1,IF(H946&gt;=$B$17,$B$21,MATCH(H946,Aux_CAV!$A$2:$A$121,1))))</f>
        <v>13</v>
      </c>
      <c r="AB946" s="18" t="n">
        <f aca="false">IF(D946="","",IF(L946&lt;=$B$16,1,IF(L946&gt;=$B$17,$B$21,MATCH(L946,Aux_CAV!$A$2:$A$121,1))))</f>
        <v>13</v>
      </c>
      <c r="AC946" s="19" t="n">
        <f aca="false">IF(D946="","",COUNT($D$24:D946))</f>
        <v>911</v>
      </c>
    </row>
    <row r="947" customFormat="false" ht="12.75" hidden="false" customHeight="true" outlineLevel="0" collapsed="false">
      <c r="A947" s="14" t="n">
        <f aca="false">IF(D947="","",DATE(B947,C947,1))</f>
        <v>31747</v>
      </c>
      <c r="B947" s="15" t="n">
        <f aca="false" t="array" ref="B947:B947">IF(D947="","",IFERROR(VALUE(INDEX(Vazoes_COLAR!$A$2:$A$200,INT((ROW()-24)/12)+1)),""))</f>
        <v>1986</v>
      </c>
      <c r="C947" s="15" t="n">
        <f aca="false">IF(D947="","",MOD(ROW()-24,12)+1)</f>
        <v>12</v>
      </c>
      <c r="D947" s="16" t="n">
        <f aca="false" t="array" ref="D947: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0.112786579023807</v>
      </c>
      <c r="E947" s="16" t="n">
        <f aca="false">IF(D947="","",D947*$B$15)</f>
        <v>0.292342812829708</v>
      </c>
      <c r="F947" s="16" t="n">
        <f aca="false" t="array" ref="F947:F947">IF(D947="","",IFERROR(INDEX(Dados_Evap!$C$2:$N$15,MATCH($B$9,Dados_Evap!$A$2:$A$15,0),C947),0))</f>
        <v>216.1</v>
      </c>
      <c r="G947" s="16" t="n">
        <f aca="false">IF(F947="","",F947/1000)</f>
        <v>0.2161</v>
      </c>
      <c r="H947" s="16" t="n">
        <f aca="false">IF(D947="","",MAX(0,MIN($B$8,IFERROR(LOOKUP(2,1/($U$24:U946&lt;&gt;""),$U$24:U946),$B$11))))</f>
        <v>38.1593489880598</v>
      </c>
      <c r="I947" s="16" t="n">
        <f aca="false" t="array" ref="I947: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>6.06535952946823</v>
      </c>
      <c r="J947" s="16" t="n">
        <f aca="false">IF(D947="","",$B$12)</f>
        <v>0.35</v>
      </c>
      <c r="K947" s="16" t="n">
        <f aca="false">IF(J947="","",J947*$B$15)</f>
        <v>0.9072</v>
      </c>
      <c r="L947" s="16" t="n">
        <f aca="false">IF(D947="","",H947+E947-K947-G947*I947)</f>
        <v>36.2337676065714</v>
      </c>
      <c r="M947" s="16" t="n">
        <f aca="false" t="array" ref="M947: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>5.87310415568755</v>
      </c>
      <c r="N947" s="16" t="n">
        <f aca="false">IF(D947="","",(I947+M947)/2)</f>
        <v>5.96923184257789</v>
      </c>
      <c r="O947" s="16" t="n">
        <f aca="false">IF(D947="","",G947*N947)</f>
        <v>1.28995100118108</v>
      </c>
      <c r="P947" s="16" t="n">
        <f aca="false">IF(D947="","",H947+E947-K947-O947)</f>
        <v>36.2545407997084</v>
      </c>
      <c r="Q947" s="16" t="n">
        <f aca="false">IF(D947="","",IF(P947&gt;=0,K947,MAX(0,K947+P947)))</f>
        <v>0.9072</v>
      </c>
      <c r="R947" s="16" t="n">
        <f aca="false">IF(D947="","",Q947/$B$15)</f>
        <v>0.35</v>
      </c>
      <c r="S947" s="16" t="n">
        <f aca="false">IF(D947="","",MAX(0,J947-R947))</f>
        <v>0</v>
      </c>
      <c r="T947" s="16" t="n">
        <f aca="false">IF(D947="","",MAX(0,Z947-$B$8))</f>
        <v>0</v>
      </c>
      <c r="U947" s="16" t="n">
        <f aca="false">IF(D947="","",MAX(0,MIN($B$8,Z947)))</f>
        <v>36.2545407997084</v>
      </c>
      <c r="V947" s="16" t="str">
        <f aca="false">IF(D947="","",IF(S947&gt;0.0000001,"Sim","Não"))</f>
        <v>Não</v>
      </c>
      <c r="W947" s="16" t="n">
        <f aca="false">IF(D947="","",U947-(H947+E947-Q947-O947-T947))</f>
        <v>0</v>
      </c>
      <c r="X947" s="16" t="n">
        <f aca="false">IF(W947="","",ABS(W947))</f>
        <v>0</v>
      </c>
      <c r="Y947" s="16" t="n">
        <f aca="false">IF(U947="","",IF($B$8=0,0,U947/$B$8*100))</f>
        <v>76.7779347727835</v>
      </c>
      <c r="Z947" s="18" t="n">
        <f aca="false">IF(D947="","",MAX(0,IF(P947&gt;=0,P947,IF(K947+P947&gt;=0,0,P947+K947))))</f>
        <v>36.2545407997084</v>
      </c>
      <c r="AA947" s="18" t="n">
        <f aca="false">IF(D947="","",IF(H947&lt;=$B$16,1,IF(H947&gt;=$B$17,$B$21,MATCH(H947,Aux_CAV!$A$2:$A$121,1))))</f>
        <v>13</v>
      </c>
      <c r="AB947" s="18" t="n">
        <f aca="false">IF(D947="","",IF(L947&lt;=$B$16,1,IF(L947&gt;=$B$17,$B$21,MATCH(L947,Aux_CAV!$A$2:$A$121,1))))</f>
        <v>13</v>
      </c>
      <c r="AC947" s="19" t="n">
        <f aca="false">IF(D947="","",COUNT($D$24:D947))</f>
        <v>912</v>
      </c>
    </row>
    <row r="948" customFormat="false" ht="12.75" hidden="false" customHeight="true" outlineLevel="0" collapsed="false">
      <c r="A948" s="14" t="n">
        <f aca="false">IF(D948="","",DATE(B948,C948,1))</f>
        <v>31778</v>
      </c>
      <c r="B948" s="15" t="n">
        <f aca="false" t="array" ref="B948:B948">IF(D948="","",IFERROR(VALUE(INDEX(Vazoes_COLAR!$A$2:$A$200,INT((ROW()-24)/12)+1)),""))</f>
        <v>1987</v>
      </c>
      <c r="C948" s="15" t="n">
        <f aca="false">IF(D948="","",MOD(ROW()-24,12)+1)</f>
        <v>1</v>
      </c>
      <c r="D948" s="16" t="n">
        <f aca="false" t="array" ref="D948: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0.238307400978317</v>
      </c>
      <c r="E948" s="16" t="n">
        <f aca="false">IF(D948="","",D948*$B$15)</f>
        <v>0.617692783335798</v>
      </c>
      <c r="F948" s="16" t="n">
        <f aca="false" t="array" ref="F948:F948">IF(D948="","",IFERROR(INDEX(Dados_Evap!$C$2:$N$15,MATCH($B$9,Dados_Evap!$A$2:$A$15,0),C948),0))</f>
        <v>160</v>
      </c>
      <c r="G948" s="16" t="n">
        <f aca="false">IF(F948="","",F948/1000)</f>
        <v>0.16</v>
      </c>
      <c r="H948" s="16" t="n">
        <f aca="false">IF(D948="","",MAX(0,MIN($B$8,IFERROR(LOOKUP(2,1/($U$24:U947&lt;&gt;""),$U$24:U947),$B$11))))</f>
        <v>36.2545407997084</v>
      </c>
      <c r="I948" s="16" t="n">
        <f aca="false" t="array" ref="I948: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>5.87517820877592</v>
      </c>
      <c r="J948" s="16" t="n">
        <f aca="false">IF(D948="","",$B$12)</f>
        <v>0.35</v>
      </c>
      <c r="K948" s="16" t="n">
        <f aca="false">IF(J948="","",J948*$B$15)</f>
        <v>0.9072</v>
      </c>
      <c r="L948" s="16" t="n">
        <f aca="false">IF(D948="","",H948+E948-K948-G948*I948)</f>
        <v>35.02500506964</v>
      </c>
      <c r="M948" s="16" t="n">
        <f aca="false" t="array" ref="M948: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>5.75241795899708</v>
      </c>
      <c r="N948" s="16" t="n">
        <f aca="false">IF(D948="","",(I948+M948)/2)</f>
        <v>5.8137980838865</v>
      </c>
      <c r="O948" s="16" t="n">
        <f aca="false">IF(D948="","",G948*N948)</f>
        <v>0.93020769342184</v>
      </c>
      <c r="P948" s="16" t="n">
        <f aca="false">IF(D948="","",H948+E948-K948-O948)</f>
        <v>35.0348258896223</v>
      </c>
      <c r="Q948" s="16" t="n">
        <f aca="false">IF(D948="","",IF(P948&gt;=0,K948,MAX(0,K948+P948)))</f>
        <v>0.9072</v>
      </c>
      <c r="R948" s="16" t="n">
        <f aca="false">IF(D948="","",Q948/$B$15)</f>
        <v>0.35</v>
      </c>
      <c r="S948" s="16" t="n">
        <f aca="false">IF(D948="","",MAX(0,J948-R948))</f>
        <v>0</v>
      </c>
      <c r="T948" s="16" t="n">
        <f aca="false">IF(D948="","",MAX(0,Z948-$B$8))</f>
        <v>0</v>
      </c>
      <c r="U948" s="16" t="n">
        <f aca="false">IF(D948="","",MAX(0,MIN($B$8,Z948)))</f>
        <v>35.0348258896223</v>
      </c>
      <c r="V948" s="16" t="str">
        <f aca="false">IF(D948="","",IF(S948&gt;0.0000001,"Sim","Não"))</f>
        <v>Não</v>
      </c>
      <c r="W948" s="16" t="n">
        <f aca="false">IF(D948="","",U948-(H948+E948-Q948-O948-T948))</f>
        <v>0</v>
      </c>
      <c r="X948" s="16" t="n">
        <f aca="false">IF(W948="","",ABS(W948))</f>
        <v>0</v>
      </c>
      <c r="Y948" s="16" t="n">
        <f aca="false">IF(U948="","",IF($B$8=0,0,U948/$B$8*100))</f>
        <v>74.194887525672</v>
      </c>
      <c r="Z948" s="18" t="n">
        <f aca="false">IF(D948="","",MAX(0,IF(P948&gt;=0,P948,IF(K948+P948&gt;=0,0,P948+K948))))</f>
        <v>35.0348258896223</v>
      </c>
      <c r="AA948" s="18" t="n">
        <f aca="false">IF(D948="","",IF(H948&lt;=$B$16,1,IF(H948&gt;=$B$17,$B$21,MATCH(H948,Aux_CAV!$A$2:$A$121,1))))</f>
        <v>13</v>
      </c>
      <c r="AB948" s="18" t="n">
        <f aca="false">IF(D948="","",IF(L948&lt;=$B$16,1,IF(L948&gt;=$B$17,$B$21,MATCH(L948,Aux_CAV!$A$2:$A$121,1))))</f>
        <v>13</v>
      </c>
      <c r="AC948" s="19" t="n">
        <f aca="false">IF(D948="","",COUNT($D$24:D948))</f>
        <v>913</v>
      </c>
    </row>
    <row r="949" customFormat="false" ht="12.75" hidden="false" customHeight="true" outlineLevel="0" collapsed="false">
      <c r="A949" s="14" t="n">
        <f aca="false">IF(D949="","",DATE(B949,C949,1))</f>
        <v>31809</v>
      </c>
      <c r="B949" s="15" t="n">
        <f aca="false" t="array" ref="B949:B949">IF(D949="","",IFERROR(VALUE(INDEX(Vazoes_COLAR!$A$2:$A$200,INT((ROW()-24)/12)+1)),""))</f>
        <v>1987</v>
      </c>
      <c r="C949" s="15" t="n">
        <f aca="false">IF(D949="","",MOD(ROW()-24,12)+1)</f>
        <v>2</v>
      </c>
      <c r="D949" s="16" t="n">
        <f aca="false" t="array" ref="D949: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0.586423377600571</v>
      </c>
      <c r="E949" s="16" t="n">
        <f aca="false">IF(D949="","",D949*$B$15)</f>
        <v>1.52000939474068</v>
      </c>
      <c r="F949" s="16" t="n">
        <f aca="false" t="array" ref="F949:F949">IF(D949="","",IFERROR(INDEX(Dados_Evap!$C$2:$N$15,MATCH($B$9,Dados_Evap!$A$2:$A$15,0),C949),0))</f>
        <v>124.3</v>
      </c>
      <c r="G949" s="16" t="n">
        <f aca="false">IF(F949="","",F949/1000)</f>
        <v>0.1243</v>
      </c>
      <c r="H949" s="16" t="n">
        <f aca="false">IF(D949="","",MAX(0,MIN($B$8,IFERROR(LOOKUP(2,1/($U$24:U948&lt;&gt;""),$U$24:U948),$B$11))))</f>
        <v>35.0348258896223</v>
      </c>
      <c r="I949" s="16" t="n">
        <f aca="false" t="array" ref="I949: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>5.75339849684122</v>
      </c>
      <c r="J949" s="16" t="n">
        <f aca="false">IF(D949="","",$B$12)</f>
        <v>0.35</v>
      </c>
      <c r="K949" s="16" t="n">
        <f aca="false">IF(J949="","",J949*$B$15)</f>
        <v>0.9072</v>
      </c>
      <c r="L949" s="16" t="n">
        <f aca="false">IF(D949="","",H949+E949-K949-G949*I949)</f>
        <v>34.9324878512057</v>
      </c>
      <c r="M949" s="16" t="n">
        <f aca="false" t="array" ref="M949: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>5.7431807838861</v>
      </c>
      <c r="N949" s="16" t="n">
        <f aca="false">IF(D949="","",(I949+M949)/2)</f>
        <v>5.74828964036366</v>
      </c>
      <c r="O949" s="16" t="n">
        <f aca="false">IF(D949="","",G949*N949)</f>
        <v>0.714512402297203</v>
      </c>
      <c r="P949" s="16" t="n">
        <f aca="false">IF(D949="","",H949+E949-K949-O949)</f>
        <v>34.9331228820658</v>
      </c>
      <c r="Q949" s="16" t="n">
        <f aca="false">IF(D949="","",IF(P949&gt;=0,K949,MAX(0,K949+P949)))</f>
        <v>0.9072</v>
      </c>
      <c r="R949" s="16" t="n">
        <f aca="false">IF(D949="","",Q949/$B$15)</f>
        <v>0.35</v>
      </c>
      <c r="S949" s="16" t="n">
        <f aca="false">IF(D949="","",MAX(0,J949-R949))</f>
        <v>0</v>
      </c>
      <c r="T949" s="16" t="n">
        <f aca="false">IF(D949="","",MAX(0,Z949-$B$8))</f>
        <v>0</v>
      </c>
      <c r="U949" s="16" t="n">
        <f aca="false">IF(D949="","",MAX(0,MIN($B$8,Z949)))</f>
        <v>34.9331228820658</v>
      </c>
      <c r="V949" s="16" t="str">
        <f aca="false">IF(D949="","",IF(S949&gt;0.0000001,"Sim","Não"))</f>
        <v>Não</v>
      </c>
      <c r="W949" s="16" t="n">
        <f aca="false">IF(D949="","",U949-(H949+E949-Q949-O949-T949))</f>
        <v>0</v>
      </c>
      <c r="X949" s="16" t="n">
        <f aca="false">IF(W949="","",ABS(W949))</f>
        <v>0</v>
      </c>
      <c r="Y949" s="16" t="n">
        <f aca="false">IF(U949="","",IF($B$8=0,0,U949/$B$8*100))</f>
        <v>73.9795063152601</v>
      </c>
      <c r="Z949" s="18" t="n">
        <f aca="false">IF(D949="","",MAX(0,IF(P949&gt;=0,P949,IF(K949+P949&gt;=0,0,P949+K949))))</f>
        <v>34.9331228820658</v>
      </c>
      <c r="AA949" s="18" t="n">
        <f aca="false">IF(D949="","",IF(H949&lt;=$B$16,1,IF(H949&gt;=$B$17,$B$21,MATCH(H949,Aux_CAV!$A$2:$A$121,1))))</f>
        <v>13</v>
      </c>
      <c r="AB949" s="18" t="n">
        <f aca="false">IF(D949="","",IF(L949&lt;=$B$16,1,IF(L949&gt;=$B$17,$B$21,MATCH(L949,Aux_CAV!$A$2:$A$121,1))))</f>
        <v>13</v>
      </c>
      <c r="AC949" s="19" t="n">
        <f aca="false">IF(D949="","",COUNT($D$24:D949))</f>
        <v>914</v>
      </c>
    </row>
    <row r="950" customFormat="false" ht="12.75" hidden="false" customHeight="true" outlineLevel="0" collapsed="false">
      <c r="A950" s="14" t="n">
        <f aca="false">IF(D950="","",DATE(B950,C950,1))</f>
        <v>31837</v>
      </c>
      <c r="B950" s="15" t="n">
        <f aca="false" t="array" ref="B950:B950">IF(D950="","",IFERROR(VALUE(INDEX(Vazoes_COLAR!$A$2:$A$200,INT((ROW()-24)/12)+1)),""))</f>
        <v>1987</v>
      </c>
      <c r="C950" s="15" t="n">
        <f aca="false">IF(D950="","",MOD(ROW()-24,12)+1)</f>
        <v>3</v>
      </c>
      <c r="D950" s="16" t="n">
        <f aca="false" t="array" ref="D950: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4.73659523829351</v>
      </c>
      <c r="E950" s="16" t="n">
        <f aca="false">IF(D950="","",D950*$B$15)</f>
        <v>12.2772548576568</v>
      </c>
      <c r="F950" s="16" t="n">
        <f aca="false" t="array" ref="F950:F950">IF(D950="","",IFERROR(INDEX(Dados_Evap!$C$2:$N$15,MATCH($B$9,Dados_Evap!$A$2:$A$15,0),C950),0))</f>
        <v>107.7</v>
      </c>
      <c r="G950" s="16" t="n">
        <f aca="false">IF(F950="","",F950/1000)</f>
        <v>0.1077</v>
      </c>
      <c r="H950" s="16" t="n">
        <f aca="false">IF(D950="","",MAX(0,MIN($B$8,IFERROR(LOOKUP(2,1/($U$24:U949&lt;&gt;""),$U$24:U949),$B$11))))</f>
        <v>34.9331228820658</v>
      </c>
      <c r="I950" s="16" t="n">
        <f aca="false" t="array" ref="I950: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>5.7432441871245</v>
      </c>
      <c r="J950" s="16" t="n">
        <f aca="false">IF(D950="","",$B$12)</f>
        <v>0.35</v>
      </c>
      <c r="K950" s="16" t="n">
        <f aca="false">IF(J950="","",J950*$B$15)</f>
        <v>0.9072</v>
      </c>
      <c r="L950" s="16" t="n">
        <f aca="false">IF(D950="","",H950+E950-K950-G950*I950)</f>
        <v>45.6846303407693</v>
      </c>
      <c r="M950" s="16" t="n">
        <f aca="false" t="array" ref="M950: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>6.81670444440071</v>
      </c>
      <c r="N950" s="16" t="n">
        <f aca="false">IF(D950="","",(I950+M950)/2)</f>
        <v>6.2799743157626</v>
      </c>
      <c r="O950" s="16" t="n">
        <f aca="false">IF(D950="","",G950*N950)</f>
        <v>0.676353233807632</v>
      </c>
      <c r="P950" s="16" t="n">
        <f aca="false">IF(D950="","",H950+E950-K950-O950)</f>
        <v>45.626824505915</v>
      </c>
      <c r="Q950" s="16" t="n">
        <f aca="false">IF(D950="","",IF(P950&gt;=0,K950,MAX(0,K950+P950)))</f>
        <v>0.9072</v>
      </c>
      <c r="R950" s="16" t="n">
        <f aca="false">IF(D950="","",Q950/$B$15)</f>
        <v>0.35</v>
      </c>
      <c r="S950" s="16" t="n">
        <f aca="false">IF(D950="","",MAX(0,J950-R950))</f>
        <v>0</v>
      </c>
      <c r="T950" s="16" t="n">
        <f aca="false">IF(D950="","",MAX(0,Z950-$B$8))</f>
        <v>0</v>
      </c>
      <c r="U950" s="16" t="n">
        <f aca="false">IF(D950="","",MAX(0,MIN($B$8,Z950)))</f>
        <v>45.626824505915</v>
      </c>
      <c r="V950" s="16" t="str">
        <f aca="false">IF(D950="","",IF(S950&gt;0.0000001,"Sim","Não"))</f>
        <v>Não</v>
      </c>
      <c r="W950" s="16" t="n">
        <f aca="false">IF(D950="","",U950-(H950+E950-Q950-O950-T950))</f>
        <v>0</v>
      </c>
      <c r="X950" s="16" t="n">
        <f aca="false">IF(W950="","",ABS(W950))</f>
        <v>0</v>
      </c>
      <c r="Y950" s="16" t="n">
        <f aca="false">IF(U950="","",IF($B$8=0,0,U950/$B$8*100))</f>
        <v>96.6260578270118</v>
      </c>
      <c r="Z950" s="18" t="n">
        <f aca="false">IF(D950="","",MAX(0,IF(P950&gt;=0,P950,IF(K950+P950&gt;=0,0,P950+K950))))</f>
        <v>45.626824505915</v>
      </c>
      <c r="AA950" s="18" t="n">
        <f aca="false">IF(D950="","",IF(H950&lt;=$B$16,1,IF(H950&gt;=$B$17,$B$21,MATCH(H950,Aux_CAV!$A$2:$A$121,1))))</f>
        <v>13</v>
      </c>
      <c r="AB950" s="18" t="n">
        <f aca="false">IF(D950="","",IF(L950&lt;=$B$16,1,IF(L950&gt;=$B$17,$B$21,MATCH(L950,Aux_CAV!$A$2:$A$121,1))))</f>
        <v>13</v>
      </c>
      <c r="AC950" s="19" t="n">
        <f aca="false">IF(D950="","",COUNT($D$24:D950))</f>
        <v>915</v>
      </c>
    </row>
    <row r="951" customFormat="false" ht="12.75" hidden="false" customHeight="true" outlineLevel="0" collapsed="false">
      <c r="A951" s="14" t="n">
        <f aca="false">IF(D951="","",DATE(B951,C951,1))</f>
        <v>31868</v>
      </c>
      <c r="B951" s="15" t="n">
        <f aca="false" t="array" ref="B951:B951">IF(D951="","",IFERROR(VALUE(INDEX(Vazoes_COLAR!$A$2:$A$200,INT((ROW()-24)/12)+1)),""))</f>
        <v>1987</v>
      </c>
      <c r="C951" s="15" t="n">
        <f aca="false">IF(D951="","",MOD(ROW()-24,12)+1)</f>
        <v>4</v>
      </c>
      <c r="D951" s="16" t="n">
        <f aca="false" t="array" ref="D951: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3.38668405263779</v>
      </c>
      <c r="E951" s="16" t="n">
        <f aca="false">IF(D951="","",D951*$B$15)</f>
        <v>8.77828506443715</v>
      </c>
      <c r="F951" s="16" t="n">
        <f aca="false" t="array" ref="F951:F951">IF(D951="","",IFERROR(INDEX(Dados_Evap!$C$2:$N$15,MATCH($B$9,Dados_Evap!$A$2:$A$15,0),C951),0))</f>
        <v>100.5</v>
      </c>
      <c r="G951" s="16" t="n">
        <f aca="false">IF(F951="","",F951/1000)</f>
        <v>0.1005</v>
      </c>
      <c r="H951" s="16" t="n">
        <f aca="false">IF(D951="","",MAX(0,MIN($B$8,IFERROR(LOOKUP(2,1/($U$24:U950&lt;&gt;""),$U$24:U950),$B$11))))</f>
        <v>45.626824505915</v>
      </c>
      <c r="I951" s="16" t="n">
        <f aca="false" t="array" ref="I951: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>6.81093294988302</v>
      </c>
      <c r="J951" s="16" t="n">
        <f aca="false">IF(D951="","",$B$12)</f>
        <v>0.35</v>
      </c>
      <c r="K951" s="16" t="n">
        <f aca="false">IF(J951="","",J951*$B$15)</f>
        <v>0.9072</v>
      </c>
      <c r="L951" s="16" t="n">
        <f aca="false">IF(D951="","",H951+E951-K951-G951*I951)</f>
        <v>52.8134108088889</v>
      </c>
      <c r="M951" s="16" t="n">
        <f aca="false" t="array" ref="M951: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>7.62938582706413</v>
      </c>
      <c r="N951" s="16" t="n">
        <f aca="false">IF(D951="","",(I951+M951)/2)</f>
        <v>7.22015938847358</v>
      </c>
      <c r="O951" s="16" t="n">
        <f aca="false">IF(D951="","",G951*N951)</f>
        <v>0.725626018541594</v>
      </c>
      <c r="P951" s="16" t="n">
        <f aca="false">IF(D951="","",H951+E951-K951-O951)</f>
        <v>52.7722835518105</v>
      </c>
      <c r="Q951" s="16" t="n">
        <f aca="false">IF(D951="","",IF(P951&gt;=0,K951,MAX(0,K951+P951)))</f>
        <v>0.9072</v>
      </c>
      <c r="R951" s="16" t="n">
        <f aca="false">IF(D951="","",Q951/$B$15)</f>
        <v>0.35</v>
      </c>
      <c r="S951" s="16" t="n">
        <f aca="false">IF(D951="","",MAX(0,J951-R951))</f>
        <v>0</v>
      </c>
      <c r="T951" s="16" t="n">
        <f aca="false">IF(D951="","",MAX(0,Z951-$B$8))</f>
        <v>5.55228355181051</v>
      </c>
      <c r="U951" s="16" t="n">
        <f aca="false">IF(D951="","",MAX(0,MIN($B$8,Z951)))</f>
        <v>47.22</v>
      </c>
      <c r="V951" s="16" t="str">
        <f aca="false">IF(D951="","",IF(S951&gt;0.0000001,"Sim","Não"))</f>
        <v>Não</v>
      </c>
      <c r="W951" s="16" t="n">
        <f aca="false">IF(D951="","",U951-(H951+E951-Q951-O951-T951))</f>
        <v>0</v>
      </c>
      <c r="X951" s="16" t="n">
        <f aca="false">IF(W951="","",ABS(W951))</f>
        <v>0</v>
      </c>
      <c r="Y951" s="16" t="n">
        <f aca="false">IF(U951="","",IF($B$8=0,0,U951/$B$8*100))</f>
        <v>100</v>
      </c>
      <c r="Z951" s="18" t="n">
        <f aca="false">IF(D951="","",MAX(0,IF(P951&gt;=0,P951,IF(K951+P951&gt;=0,0,P951+K951))))</f>
        <v>52.7722835518105</v>
      </c>
      <c r="AA951" s="18" t="n">
        <f aca="false">IF(D951="","",IF(H951&lt;=$B$16,1,IF(H951&gt;=$B$17,$B$21,MATCH(H951,Aux_CAV!$A$2:$A$121,1))))</f>
        <v>13</v>
      </c>
      <c r="AB951" s="18" t="n">
        <f aca="false">IF(D951="","",IF(L951&lt;=$B$16,1,IF(L951&gt;=$B$17,$B$21,MATCH(L951,Aux_CAV!$A$2:$A$121,1))))</f>
        <v>14</v>
      </c>
      <c r="AC951" s="19" t="n">
        <f aca="false">IF(D951="","",COUNT($D$24:D951))</f>
        <v>916</v>
      </c>
    </row>
    <row r="952" customFormat="false" ht="12.75" hidden="false" customHeight="true" outlineLevel="0" collapsed="false">
      <c r="A952" s="14" t="n">
        <f aca="false">IF(D952="","",DATE(B952,C952,1))</f>
        <v>31898</v>
      </c>
      <c r="B952" s="15" t="n">
        <f aca="false" t="array" ref="B952:B952">IF(D952="","",IFERROR(VALUE(INDEX(Vazoes_COLAR!$A$2:$A$200,INT((ROW()-24)/12)+1)),""))</f>
        <v>1987</v>
      </c>
      <c r="C952" s="15" t="n">
        <f aca="false">IF(D952="","",MOD(ROW()-24,12)+1)</f>
        <v>5</v>
      </c>
      <c r="D952" s="16" t="n">
        <f aca="false" t="array" ref="D952: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1.14911684080735</v>
      </c>
      <c r="E952" s="16" t="n">
        <f aca="false">IF(D952="","",D952*$B$15)</f>
        <v>2.97851085137265</v>
      </c>
      <c r="F952" s="16" t="n">
        <f aca="false" t="array" ref="F952:F952">IF(D952="","",IFERROR(INDEX(Dados_Evap!$C$2:$N$15,MATCH($B$9,Dados_Evap!$A$2:$A$15,0),C952),0))</f>
        <v>145.8</v>
      </c>
      <c r="G952" s="16" t="n">
        <f aca="false">IF(F952="","",F952/1000)</f>
        <v>0.1458</v>
      </c>
      <c r="H952" s="16" t="n">
        <f aca="false">IF(D952="","",MAX(0,MIN($B$8,IFERROR(LOOKUP(2,1/($U$24:U951&lt;&gt;""),$U$24:U951),$B$11))))</f>
        <v>47.22</v>
      </c>
      <c r="I952" s="16" t="n">
        <f aca="false" t="array" ref="I952: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>6.97</v>
      </c>
      <c r="J952" s="16" t="n">
        <f aca="false">IF(D952="","",$B$12)</f>
        <v>0.35</v>
      </c>
      <c r="K952" s="16" t="n">
        <f aca="false">IF(J952="","",J952*$B$15)</f>
        <v>0.9072</v>
      </c>
      <c r="L952" s="16" t="n">
        <f aca="false">IF(D952="","",H952+E952-K952-G952*I952)</f>
        <v>48.2750848513727</v>
      </c>
      <c r="M952" s="16" t="n">
        <f aca="false" t="array" ref="M952: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>7.09437992150328</v>
      </c>
      <c r="N952" s="16" t="n">
        <f aca="false">IF(D952="","",(I952+M952)/2)</f>
        <v>7.03218996075164</v>
      </c>
      <c r="O952" s="16" t="n">
        <f aca="false">IF(D952="","",G952*N952)</f>
        <v>1.02529329627759</v>
      </c>
      <c r="P952" s="16" t="n">
        <f aca="false">IF(D952="","",H952+E952-K952-O952)</f>
        <v>48.2660175550951</v>
      </c>
      <c r="Q952" s="16" t="n">
        <f aca="false">IF(D952="","",IF(P952&gt;=0,K952,MAX(0,K952+P952)))</f>
        <v>0.9072</v>
      </c>
      <c r="R952" s="16" t="n">
        <f aca="false">IF(D952="","",Q952/$B$15)</f>
        <v>0.35</v>
      </c>
      <c r="S952" s="16" t="n">
        <f aca="false">IF(D952="","",MAX(0,J952-R952))</f>
        <v>0</v>
      </c>
      <c r="T952" s="16" t="n">
        <f aca="false">IF(D952="","",MAX(0,Z952-$B$8))</f>
        <v>1.04601755509506</v>
      </c>
      <c r="U952" s="16" t="n">
        <f aca="false">IF(D952="","",MAX(0,MIN($B$8,Z952)))</f>
        <v>47.22</v>
      </c>
      <c r="V952" s="16" t="str">
        <f aca="false">IF(D952="","",IF(S952&gt;0.0000001,"Sim","Não"))</f>
        <v>Não</v>
      </c>
      <c r="W952" s="16" t="n">
        <f aca="false">IF(D952="","",U952-(H952+E952-Q952-O952-T952))</f>
        <v>0</v>
      </c>
      <c r="X952" s="16" t="n">
        <f aca="false">IF(W952="","",ABS(W952))</f>
        <v>0</v>
      </c>
      <c r="Y952" s="16" t="n">
        <f aca="false">IF(U952="","",IF($B$8=0,0,U952/$B$8*100))</f>
        <v>100</v>
      </c>
      <c r="Z952" s="18" t="n">
        <f aca="false">IF(D952="","",MAX(0,IF(P952&gt;=0,P952,IF(K952+P952&gt;=0,0,P952+K952))))</f>
        <v>48.2660175550951</v>
      </c>
      <c r="AA952" s="18" t="n">
        <f aca="false">IF(D952="","",IF(H952&lt;=$B$16,1,IF(H952&gt;=$B$17,$B$21,MATCH(H952,Aux_CAV!$A$2:$A$121,1))))</f>
        <v>14</v>
      </c>
      <c r="AB952" s="18" t="n">
        <f aca="false">IF(D952="","",IF(L952&lt;=$B$16,1,IF(L952&gt;=$B$17,$B$21,MATCH(L952,Aux_CAV!$A$2:$A$121,1))))</f>
        <v>14</v>
      </c>
      <c r="AC952" s="19" t="n">
        <f aca="false">IF(D952="","",COUNT($D$24:D952))</f>
        <v>917</v>
      </c>
    </row>
    <row r="953" customFormat="false" ht="12.75" hidden="false" customHeight="true" outlineLevel="0" collapsed="false">
      <c r="A953" s="14" t="n">
        <f aca="false">IF(D953="","",DATE(B953,C953,1))</f>
        <v>31929</v>
      </c>
      <c r="B953" s="15" t="n">
        <f aca="false" t="array" ref="B953:B953">IF(D953="","",IFERROR(VALUE(INDEX(Vazoes_COLAR!$A$2:$A$200,INT((ROW()-24)/12)+1)),""))</f>
        <v>1987</v>
      </c>
      <c r="C953" s="15" t="n">
        <f aca="false">IF(D953="","",MOD(ROW()-24,12)+1)</f>
        <v>6</v>
      </c>
      <c r="D953" s="16" t="n">
        <f aca="false" t="array" ref="D953: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1.41680381804132</v>
      </c>
      <c r="E953" s="16" t="n">
        <f aca="false">IF(D953="","",D953*$B$15)</f>
        <v>3.6723554963631</v>
      </c>
      <c r="F953" s="16" t="n">
        <f aca="false" t="array" ref="F953:F953">IF(D953="","",IFERROR(INDEX(Dados_Evap!$C$2:$N$15,MATCH($B$9,Dados_Evap!$A$2:$A$15,0),C953),0))</f>
        <v>161.3</v>
      </c>
      <c r="G953" s="16" t="n">
        <f aca="false">IF(F953="","",F953/1000)</f>
        <v>0.1613</v>
      </c>
      <c r="H953" s="16" t="n">
        <f aca="false">IF(D953="","",MAX(0,MIN($B$8,IFERROR(LOOKUP(2,1/($U$24:U952&lt;&gt;""),$U$24:U952),$B$11))))</f>
        <v>47.22</v>
      </c>
      <c r="I953" s="16" t="n">
        <f aca="false" t="array" ref="I953: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>6.97</v>
      </c>
      <c r="J953" s="16" t="n">
        <f aca="false">IF(D953="","",$B$12)</f>
        <v>0.35</v>
      </c>
      <c r="K953" s="16" t="n">
        <f aca="false">IF(J953="","",J953*$B$15)</f>
        <v>0.9072</v>
      </c>
      <c r="L953" s="16" t="n">
        <f aca="false">IF(D953="","",H953+E953-K953-G953*I953)</f>
        <v>48.8608944963631</v>
      </c>
      <c r="M953" s="16" t="n">
        <f aca="false" t="array" ref="M953: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>7.16343878209159</v>
      </c>
      <c r="N953" s="16" t="n">
        <f aca="false">IF(D953="","",(I953+M953)/2)</f>
        <v>7.06671939104579</v>
      </c>
      <c r="O953" s="16" t="n">
        <f aca="false">IF(D953="","",G953*N953)</f>
        <v>1.13986183777569</v>
      </c>
      <c r="P953" s="16" t="n">
        <f aca="false">IF(D953="","",H953+E953-K953-O953)</f>
        <v>48.8452936585874</v>
      </c>
      <c r="Q953" s="16" t="n">
        <f aca="false">IF(D953="","",IF(P953&gt;=0,K953,MAX(0,K953+P953)))</f>
        <v>0.9072</v>
      </c>
      <c r="R953" s="16" t="n">
        <f aca="false">IF(D953="","",Q953/$B$15)</f>
        <v>0.35</v>
      </c>
      <c r="S953" s="16" t="n">
        <f aca="false">IF(D953="","",MAX(0,J953-R953))</f>
        <v>0</v>
      </c>
      <c r="T953" s="16" t="n">
        <f aca="false">IF(D953="","",MAX(0,Z953-$B$8))</f>
        <v>1.62529365858742</v>
      </c>
      <c r="U953" s="16" t="n">
        <f aca="false">IF(D953="","",MAX(0,MIN($B$8,Z953)))</f>
        <v>47.22</v>
      </c>
      <c r="V953" s="16" t="str">
        <f aca="false">IF(D953="","",IF(S953&gt;0.0000001,"Sim","Não"))</f>
        <v>Não</v>
      </c>
      <c r="W953" s="16" t="n">
        <f aca="false">IF(D953="","",U953-(H953+E953-Q953-O953-T953))</f>
        <v>0</v>
      </c>
      <c r="X953" s="16" t="n">
        <f aca="false">IF(W953="","",ABS(W953))</f>
        <v>0</v>
      </c>
      <c r="Y953" s="16" t="n">
        <f aca="false">IF(U953="","",IF($B$8=0,0,U953/$B$8*100))</f>
        <v>100</v>
      </c>
      <c r="Z953" s="18" t="n">
        <f aca="false">IF(D953="","",MAX(0,IF(P953&gt;=0,P953,IF(K953+P953&gt;=0,0,P953+K953))))</f>
        <v>48.8452936585874</v>
      </c>
      <c r="AA953" s="18" t="n">
        <f aca="false">IF(D953="","",IF(H953&lt;=$B$16,1,IF(H953&gt;=$B$17,$B$21,MATCH(H953,Aux_CAV!$A$2:$A$121,1))))</f>
        <v>14</v>
      </c>
      <c r="AB953" s="18" t="n">
        <f aca="false">IF(D953="","",IF(L953&lt;=$B$16,1,IF(L953&gt;=$B$17,$B$21,MATCH(L953,Aux_CAV!$A$2:$A$121,1))))</f>
        <v>14</v>
      </c>
      <c r="AC953" s="19" t="n">
        <f aca="false">IF(D953="","",COUNT($D$24:D953))</f>
        <v>918</v>
      </c>
    </row>
    <row r="954" customFormat="false" ht="12.75" hidden="false" customHeight="true" outlineLevel="0" collapsed="false">
      <c r="A954" s="14" t="n">
        <f aca="false">IF(D954="","",DATE(B954,C954,1))</f>
        <v>31959</v>
      </c>
      <c r="B954" s="15" t="n">
        <f aca="false" t="array" ref="B954:B954">IF(D954="","",IFERROR(VALUE(INDEX(Vazoes_COLAR!$A$2:$A$200,INT((ROW()-24)/12)+1)),""))</f>
        <v>1987</v>
      </c>
      <c r="C954" s="15" t="n">
        <f aca="false">IF(D954="","",MOD(ROW()-24,12)+1)</f>
        <v>7</v>
      </c>
      <c r="D954" s="16" t="n">
        <f aca="false" t="array" ref="D954: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0.150474399300252</v>
      </c>
      <c r="E954" s="16" t="n">
        <f aca="false">IF(D954="","",D954*$B$15)</f>
        <v>0.390029642986253</v>
      </c>
      <c r="F954" s="16" t="n">
        <f aca="false" t="array" ref="F954:F954">IF(D954="","",IFERROR(INDEX(Dados_Evap!$C$2:$N$15,MATCH($B$9,Dados_Evap!$A$2:$A$15,0),C954),0))</f>
        <v>224.8</v>
      </c>
      <c r="G954" s="16" t="n">
        <f aca="false">IF(F954="","",F954/1000)</f>
        <v>0.2248</v>
      </c>
      <c r="H954" s="16" t="n">
        <f aca="false">IF(D954="","",MAX(0,MIN($B$8,IFERROR(LOOKUP(2,1/($U$24:U953&lt;&gt;""),$U$24:U953),$B$11))))</f>
        <v>47.22</v>
      </c>
      <c r="I954" s="16" t="n">
        <f aca="false" t="array" ref="I954: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>6.97</v>
      </c>
      <c r="J954" s="16" t="n">
        <f aca="false">IF(D954="","",$B$12)</f>
        <v>0.35</v>
      </c>
      <c r="K954" s="16" t="n">
        <f aca="false">IF(J954="","",J954*$B$15)</f>
        <v>0.9072</v>
      </c>
      <c r="L954" s="16" t="n">
        <f aca="false">IF(D954="","",H954+E954-K954-G954*I954)</f>
        <v>45.1359736429863</v>
      </c>
      <c r="M954" s="16" t="n">
        <f aca="false" t="array" ref="M954: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>6.76192504139879</v>
      </c>
      <c r="N954" s="16" t="n">
        <f aca="false">IF(D954="","",(I954+M954)/2)</f>
        <v>6.86596252069939</v>
      </c>
      <c r="O954" s="16" t="n">
        <f aca="false">IF(D954="","",G954*N954)</f>
        <v>1.54346837465322</v>
      </c>
      <c r="P954" s="16" t="n">
        <f aca="false">IF(D954="","",H954+E954-K954-O954)</f>
        <v>45.159361268333</v>
      </c>
      <c r="Q954" s="16" t="n">
        <f aca="false">IF(D954="","",IF(P954&gt;=0,K954,MAX(0,K954+P954)))</f>
        <v>0.9072</v>
      </c>
      <c r="R954" s="16" t="n">
        <f aca="false">IF(D954="","",Q954/$B$15)</f>
        <v>0.35</v>
      </c>
      <c r="S954" s="16" t="n">
        <f aca="false">IF(D954="","",MAX(0,J954-R954))</f>
        <v>0</v>
      </c>
      <c r="T954" s="16" t="n">
        <f aca="false">IF(D954="","",MAX(0,Z954-$B$8))</f>
        <v>0</v>
      </c>
      <c r="U954" s="16" t="n">
        <f aca="false">IF(D954="","",MAX(0,MIN($B$8,Z954)))</f>
        <v>45.159361268333</v>
      </c>
      <c r="V954" s="16" t="str">
        <f aca="false">IF(D954="","",IF(S954&gt;0.0000001,"Sim","Não"))</f>
        <v>Não</v>
      </c>
      <c r="W954" s="16" t="n">
        <f aca="false">IF(D954="","",U954-(H954+E954-Q954-O954-T954))</f>
        <v>0</v>
      </c>
      <c r="X954" s="16" t="n">
        <f aca="false">IF(W954="","",ABS(W954))</f>
        <v>0</v>
      </c>
      <c r="Y954" s="16" t="n">
        <f aca="false">IF(U954="","",IF($B$8=0,0,U954/$B$8*100))</f>
        <v>95.6360890900742</v>
      </c>
      <c r="Z954" s="18" t="n">
        <f aca="false">IF(D954="","",MAX(0,IF(P954&gt;=0,P954,IF(K954+P954&gt;=0,0,P954+K954))))</f>
        <v>45.159361268333</v>
      </c>
      <c r="AA954" s="18" t="n">
        <f aca="false">IF(D954="","",IF(H954&lt;=$B$16,1,IF(H954&gt;=$B$17,$B$21,MATCH(H954,Aux_CAV!$A$2:$A$121,1))))</f>
        <v>14</v>
      </c>
      <c r="AB954" s="18" t="n">
        <f aca="false">IF(D954="","",IF(L954&lt;=$B$16,1,IF(L954&gt;=$B$17,$B$21,MATCH(L954,Aux_CAV!$A$2:$A$121,1))))</f>
        <v>13</v>
      </c>
      <c r="AC954" s="19" t="n">
        <f aca="false">IF(D954="","",COUNT($D$24:D954))</f>
        <v>919</v>
      </c>
    </row>
    <row r="955" customFormat="false" ht="12.75" hidden="false" customHeight="true" outlineLevel="0" collapsed="false">
      <c r="A955" s="14" t="n">
        <f aca="false">IF(D955="","",DATE(B955,C955,1))</f>
        <v>31990</v>
      </c>
      <c r="B955" s="15" t="n">
        <f aca="false" t="array" ref="B955:B955">IF(D955="","",IFERROR(VALUE(INDEX(Vazoes_COLAR!$A$2:$A$200,INT((ROW()-24)/12)+1)),""))</f>
        <v>1987</v>
      </c>
      <c r="C955" s="15" t="n">
        <f aca="false">IF(D955="","",MOD(ROW()-24,12)+1)</f>
        <v>8</v>
      </c>
      <c r="D955" s="16" t="n">
        <f aca="false" t="array" ref="D955: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0.0581025816385702</v>
      </c>
      <c r="E955" s="16" t="n">
        <f aca="false">IF(D955="","",D955*$B$15)</f>
        <v>0.150601891607174</v>
      </c>
      <c r="F955" s="16" t="n">
        <f aca="false" t="array" ref="F955:F955">IF(D955="","",IFERROR(INDEX(Dados_Evap!$C$2:$N$15,MATCH($B$9,Dados_Evap!$A$2:$A$15,0),C955),0))</f>
        <v>268.7</v>
      </c>
      <c r="G955" s="16" t="n">
        <f aca="false">IF(F955="","",F955/1000)</f>
        <v>0.2687</v>
      </c>
      <c r="H955" s="16" t="n">
        <f aca="false">IF(D955="","",MAX(0,MIN($B$8,IFERROR(LOOKUP(2,1/($U$24:U954&lt;&gt;""),$U$24:U954),$B$11))))</f>
        <v>45.159361268333</v>
      </c>
      <c r="I955" s="16" t="n">
        <f aca="false" t="array" ref="I955: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>6.76426012663388</v>
      </c>
      <c r="J955" s="16" t="n">
        <f aca="false">IF(D955="","",$B$12)</f>
        <v>0.35</v>
      </c>
      <c r="K955" s="16" t="n">
        <f aca="false">IF(J955="","",J955*$B$15)</f>
        <v>0.9072</v>
      </c>
      <c r="L955" s="16" t="n">
        <f aca="false">IF(D955="","",H955+E955-K955-G955*I955)</f>
        <v>42.5852064639137</v>
      </c>
      <c r="M955" s="16" t="n">
        <f aca="false" t="array" ref="M955: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>6.50724938751339</v>
      </c>
      <c r="N955" s="16" t="n">
        <f aca="false">IF(D955="","",(I955+M955)/2)</f>
        <v>6.63575475707364</v>
      </c>
      <c r="O955" s="16" t="n">
        <f aca="false">IF(D955="","",G955*N955)</f>
        <v>1.78302730322569</v>
      </c>
      <c r="P955" s="16" t="n">
        <f aca="false">IF(D955="","",H955+E955-K955-O955)</f>
        <v>42.6197358567145</v>
      </c>
      <c r="Q955" s="16" t="n">
        <f aca="false">IF(D955="","",IF(P955&gt;=0,K955,MAX(0,K955+P955)))</f>
        <v>0.9072</v>
      </c>
      <c r="R955" s="16" t="n">
        <f aca="false">IF(D955="","",Q955/$B$15)</f>
        <v>0.35</v>
      </c>
      <c r="S955" s="16" t="n">
        <f aca="false">IF(D955="","",MAX(0,J955-R955))</f>
        <v>0</v>
      </c>
      <c r="T955" s="16" t="n">
        <f aca="false">IF(D955="","",MAX(0,Z955-$B$8))</f>
        <v>0</v>
      </c>
      <c r="U955" s="16" t="n">
        <f aca="false">IF(D955="","",MAX(0,MIN($B$8,Z955)))</f>
        <v>42.6197358567145</v>
      </c>
      <c r="V955" s="16" t="str">
        <f aca="false">IF(D955="","",IF(S955&gt;0.0000001,"Sim","Não"))</f>
        <v>Não</v>
      </c>
      <c r="W955" s="16" t="n">
        <f aca="false">IF(D955="","",U955-(H955+E955-Q955-O955-T955))</f>
        <v>0</v>
      </c>
      <c r="X955" s="16" t="n">
        <f aca="false">IF(W955="","",ABS(W955))</f>
        <v>0</v>
      </c>
      <c r="Y955" s="16" t="n">
        <f aca="false">IF(U955="","",IF($B$8=0,0,U955/$B$8*100))</f>
        <v>90.2578057109583</v>
      </c>
      <c r="Z955" s="18" t="n">
        <f aca="false">IF(D955="","",MAX(0,IF(P955&gt;=0,P955,IF(K955+P955&gt;=0,0,P955+K955))))</f>
        <v>42.6197358567145</v>
      </c>
      <c r="AA955" s="18" t="n">
        <f aca="false">IF(D955="","",IF(H955&lt;=$B$16,1,IF(H955&gt;=$B$17,$B$21,MATCH(H955,Aux_CAV!$A$2:$A$121,1))))</f>
        <v>13</v>
      </c>
      <c r="AB955" s="18" t="n">
        <f aca="false">IF(D955="","",IF(L955&lt;=$B$16,1,IF(L955&gt;=$B$17,$B$21,MATCH(L955,Aux_CAV!$A$2:$A$121,1))))</f>
        <v>13</v>
      </c>
      <c r="AC955" s="19" t="n">
        <f aca="false">IF(D955="","",COUNT($D$24:D955))</f>
        <v>920</v>
      </c>
    </row>
    <row r="956" customFormat="false" ht="12.75" hidden="false" customHeight="true" outlineLevel="0" collapsed="false">
      <c r="A956" s="14" t="n">
        <f aca="false">IF(D956="","",DATE(B956,C956,1))</f>
        <v>32021</v>
      </c>
      <c r="B956" s="15" t="n">
        <f aca="false" t="array" ref="B956:B956">IF(D956="","",IFERROR(VALUE(INDEX(Vazoes_COLAR!$A$2:$A$200,INT((ROW()-24)/12)+1)),""))</f>
        <v>1987</v>
      </c>
      <c r="C956" s="15" t="n">
        <f aca="false">IF(D956="","",MOD(ROW()-24,12)+1)</f>
        <v>9</v>
      </c>
      <c r="D956" s="16" t="n">
        <f aca="false" t="array" ref="D956: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0.0371152476378473</v>
      </c>
      <c r="E956" s="16" t="n">
        <f aca="false">IF(D956="","",D956*$B$15)</f>
        <v>0.0962027218773002</v>
      </c>
      <c r="F956" s="16" t="n">
        <f aca="false" t="array" ref="F956:F956">IF(D956="","",IFERROR(INDEX(Dados_Evap!$C$2:$N$15,MATCH($B$9,Dados_Evap!$A$2:$A$15,0),C956),0))</f>
        <v>292.8</v>
      </c>
      <c r="G956" s="16" t="n">
        <f aca="false">IF(F956="","",F956/1000)</f>
        <v>0.2928</v>
      </c>
      <c r="H956" s="16" t="n">
        <f aca="false">IF(D956="","",MAX(0,MIN($B$8,IFERROR(LOOKUP(2,1/($U$24:U955&lt;&gt;""),$U$24:U955),$B$11))))</f>
        <v>42.6197358567145</v>
      </c>
      <c r="I956" s="16" t="n">
        <f aca="false" t="array" ref="I956: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>6.51069689764367</v>
      </c>
      <c r="J956" s="16" t="n">
        <f aca="false">IF(D956="","",$B$12)</f>
        <v>0.35</v>
      </c>
      <c r="K956" s="16" t="n">
        <f aca="false">IF(J956="","",J956*$B$15)</f>
        <v>0.9072</v>
      </c>
      <c r="L956" s="16" t="n">
        <f aca="false">IF(D956="","",H956+E956-K956-G956*I956)</f>
        <v>39.9024065269617</v>
      </c>
      <c r="M956" s="16" t="n">
        <f aca="false" t="array" ref="M956: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>6.23939121770766</v>
      </c>
      <c r="N956" s="16" t="n">
        <f aca="false">IF(D956="","",(I956+M956)/2)</f>
        <v>6.37504405767566</v>
      </c>
      <c r="O956" s="16" t="n">
        <f aca="false">IF(D956="","",G956*N956)</f>
        <v>1.86661290008743</v>
      </c>
      <c r="P956" s="16" t="n">
        <f aca="false">IF(D956="","",H956+E956-K956-O956)</f>
        <v>39.9421256785044</v>
      </c>
      <c r="Q956" s="16" t="n">
        <f aca="false">IF(D956="","",IF(P956&gt;=0,K956,MAX(0,K956+P956)))</f>
        <v>0.9072</v>
      </c>
      <c r="R956" s="16" t="n">
        <f aca="false">IF(D956="","",Q956/$B$15)</f>
        <v>0.35</v>
      </c>
      <c r="S956" s="16" t="n">
        <f aca="false">IF(D956="","",MAX(0,J956-R956))</f>
        <v>0</v>
      </c>
      <c r="T956" s="16" t="n">
        <f aca="false">IF(D956="","",MAX(0,Z956-$B$8))</f>
        <v>0</v>
      </c>
      <c r="U956" s="16" t="n">
        <f aca="false">IF(D956="","",MAX(0,MIN($B$8,Z956)))</f>
        <v>39.9421256785044</v>
      </c>
      <c r="V956" s="16" t="str">
        <f aca="false">IF(D956="","",IF(S956&gt;0.0000001,"Sim","Não"))</f>
        <v>Não</v>
      </c>
      <c r="W956" s="16" t="n">
        <f aca="false">IF(D956="","",U956-(H956+E956-Q956-O956-T956))</f>
        <v>0</v>
      </c>
      <c r="X956" s="16" t="n">
        <f aca="false">IF(W956="","",ABS(W956))</f>
        <v>0</v>
      </c>
      <c r="Y956" s="16" t="n">
        <f aca="false">IF(U956="","",IF($B$8=0,0,U956/$B$8*100))</f>
        <v>84.587305545329</v>
      </c>
      <c r="Z956" s="18" t="n">
        <f aca="false">IF(D956="","",MAX(0,IF(P956&gt;=0,P956,IF(K956+P956&gt;=0,0,P956+K956))))</f>
        <v>39.9421256785044</v>
      </c>
      <c r="AA956" s="18" t="n">
        <f aca="false">IF(D956="","",IF(H956&lt;=$B$16,1,IF(H956&gt;=$B$17,$B$21,MATCH(H956,Aux_CAV!$A$2:$A$121,1))))</f>
        <v>13</v>
      </c>
      <c r="AB956" s="18" t="n">
        <f aca="false">IF(D956="","",IF(L956&lt;=$B$16,1,IF(L956&gt;=$B$17,$B$21,MATCH(L956,Aux_CAV!$A$2:$A$121,1))))</f>
        <v>13</v>
      </c>
      <c r="AC956" s="19" t="n">
        <f aca="false">IF(D956="","",COUNT($D$24:D956))</f>
        <v>921</v>
      </c>
    </row>
    <row r="957" customFormat="false" ht="12.75" hidden="false" customHeight="true" outlineLevel="0" collapsed="false">
      <c r="A957" s="14" t="n">
        <f aca="false">IF(D957="","",DATE(B957,C957,1))</f>
        <v>32051</v>
      </c>
      <c r="B957" s="15" t="n">
        <f aca="false" t="array" ref="B957:B957">IF(D957="","",IFERROR(VALUE(INDEX(Vazoes_COLAR!$A$2:$A$200,INT((ROW()-24)/12)+1)),""))</f>
        <v>1987</v>
      </c>
      <c r="C957" s="15" t="n">
        <f aca="false">IF(D957="","",MOD(ROW()-24,12)+1)</f>
        <v>10</v>
      </c>
      <c r="D957" s="16" t="n">
        <f aca="false" t="array" ref="D957: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0.0447972144026794</v>
      </c>
      <c r="E957" s="16" t="n">
        <f aca="false">IF(D957="","",D957*$B$15)</f>
        <v>0.116114379731745</v>
      </c>
      <c r="F957" s="16" t="n">
        <f aca="false" t="array" ref="F957:F957">IF(D957="","",IFERROR(INDEX(Dados_Evap!$C$2:$N$15,MATCH($B$9,Dados_Evap!$A$2:$A$15,0),C957),0))</f>
        <v>262.9</v>
      </c>
      <c r="G957" s="16" t="n">
        <f aca="false">IF(F957="","",F957/1000)</f>
        <v>0.2629</v>
      </c>
      <c r="H957" s="16" t="n">
        <f aca="false">IF(D957="","",MAX(0,MIN($B$8,IFERROR(LOOKUP(2,1/($U$24:U956&lt;&gt;""),$U$24:U956),$B$11))))</f>
        <v>39.9421256785044</v>
      </c>
      <c r="I957" s="16" t="n">
        <f aca="false" t="array" ref="I957: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>6.24335688771231</v>
      </c>
      <c r="J957" s="16" t="n">
        <f aca="false">IF(D957="","",$B$12)</f>
        <v>0.35</v>
      </c>
      <c r="K957" s="16" t="n">
        <f aca="false">IF(J957="","",J957*$B$15)</f>
        <v>0.9072</v>
      </c>
      <c r="L957" s="16" t="n">
        <f aca="false">IF(D957="","",H957+E957-K957-G957*I957)</f>
        <v>37.5096615324566</v>
      </c>
      <c r="M957" s="16" t="n">
        <f aca="false" t="array" ref="M957: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>6.00049293602357</v>
      </c>
      <c r="N957" s="16" t="n">
        <f aca="false">IF(D957="","",(I957+M957)/2)</f>
        <v>6.12192491186794</v>
      </c>
      <c r="O957" s="16" t="n">
        <f aca="false">IF(D957="","",G957*N957)</f>
        <v>1.60945405933008</v>
      </c>
      <c r="P957" s="16" t="n">
        <f aca="false">IF(D957="","",H957+E957-K957-O957)</f>
        <v>37.541585998906</v>
      </c>
      <c r="Q957" s="16" t="n">
        <f aca="false">IF(D957="","",IF(P957&gt;=0,K957,MAX(0,K957+P957)))</f>
        <v>0.9072</v>
      </c>
      <c r="R957" s="16" t="n">
        <f aca="false">IF(D957="","",Q957/$B$15)</f>
        <v>0.35</v>
      </c>
      <c r="S957" s="16" t="n">
        <f aca="false">IF(D957="","",MAX(0,J957-R957))</f>
        <v>0</v>
      </c>
      <c r="T957" s="16" t="n">
        <f aca="false">IF(D957="","",MAX(0,Z957-$B$8))</f>
        <v>0</v>
      </c>
      <c r="U957" s="16" t="n">
        <f aca="false">IF(D957="","",MAX(0,MIN($B$8,Z957)))</f>
        <v>37.541585998906</v>
      </c>
      <c r="V957" s="16" t="str">
        <f aca="false">IF(D957="","",IF(S957&gt;0.0000001,"Sim","Não"))</f>
        <v>Não</v>
      </c>
      <c r="W957" s="16" t="n">
        <f aca="false">IF(D957="","",U957-(H957+E957-Q957-O957-T957))</f>
        <v>0</v>
      </c>
      <c r="X957" s="16" t="n">
        <f aca="false">IF(W957="","",ABS(W957))</f>
        <v>0</v>
      </c>
      <c r="Y957" s="16" t="n">
        <f aca="false">IF(U957="","",IF($B$8=0,0,U957/$B$8*100))</f>
        <v>79.503570518649</v>
      </c>
      <c r="Z957" s="18" t="n">
        <f aca="false">IF(D957="","",MAX(0,IF(P957&gt;=0,P957,IF(K957+P957&gt;=0,0,P957+K957))))</f>
        <v>37.541585998906</v>
      </c>
      <c r="AA957" s="18" t="n">
        <f aca="false">IF(D957="","",IF(H957&lt;=$B$16,1,IF(H957&gt;=$B$17,$B$21,MATCH(H957,Aux_CAV!$A$2:$A$121,1))))</f>
        <v>13</v>
      </c>
      <c r="AB957" s="18" t="n">
        <f aca="false">IF(D957="","",IF(L957&lt;=$B$16,1,IF(L957&gt;=$B$17,$B$21,MATCH(L957,Aux_CAV!$A$2:$A$121,1))))</f>
        <v>13</v>
      </c>
      <c r="AC957" s="19" t="n">
        <f aca="false">IF(D957="","",COUNT($D$24:D957))</f>
        <v>922</v>
      </c>
    </row>
    <row r="958" customFormat="false" ht="12.75" hidden="false" customHeight="true" outlineLevel="0" collapsed="false">
      <c r="A958" s="14" t="n">
        <f aca="false">IF(D958="","",DATE(B958,C958,1))</f>
        <v>32082</v>
      </c>
      <c r="B958" s="15" t="n">
        <f aca="false" t="array" ref="B958:B958">IF(D958="","",IFERROR(VALUE(INDEX(Vazoes_COLAR!$A$2:$A$200,INT((ROW()-24)/12)+1)),""))</f>
        <v>1987</v>
      </c>
      <c r="C958" s="15" t="n">
        <f aca="false">IF(D958="","",MOD(ROW()-24,12)+1)</f>
        <v>11</v>
      </c>
      <c r="D958" s="16" t="n">
        <f aca="false" t="array" ref="D958: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0.0234843932147733</v>
      </c>
      <c r="E958" s="16" t="n">
        <f aca="false">IF(D958="","",D958*$B$15)</f>
        <v>0.0608715472126924</v>
      </c>
      <c r="F958" s="16" t="n">
        <f aca="false" t="array" ref="F958:F958">IF(D958="","",IFERROR(INDEX(Dados_Evap!$C$2:$N$15,MATCH($B$9,Dados_Evap!$A$2:$A$15,0),C958),0))</f>
        <v>223.7</v>
      </c>
      <c r="G958" s="16" t="n">
        <f aca="false">IF(F958="","",F958/1000)</f>
        <v>0.2237</v>
      </c>
      <c r="H958" s="16" t="n">
        <f aca="false">IF(D958="","",MAX(0,MIN($B$8,IFERROR(LOOKUP(2,1/($U$24:U957&lt;&gt;""),$U$24:U957),$B$11))))</f>
        <v>37.541585998906</v>
      </c>
      <c r="I958" s="16" t="n">
        <f aca="false" t="array" ref="I958: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>6.00368036309832</v>
      </c>
      <c r="J958" s="16" t="n">
        <f aca="false">IF(D958="","",$B$12)</f>
        <v>0.35</v>
      </c>
      <c r="K958" s="16" t="n">
        <f aca="false">IF(J958="","",J958*$B$15)</f>
        <v>0.9072</v>
      </c>
      <c r="L958" s="16" t="n">
        <f aca="false">IF(D958="","",H958+E958-K958-G958*I958)</f>
        <v>35.3522342488936</v>
      </c>
      <c r="M958" s="16" t="n">
        <f aca="false" t="array" ref="M958: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>5.78508942579363</v>
      </c>
      <c r="N958" s="16" t="n">
        <f aca="false">IF(D958="","",(I958+M958)/2)</f>
        <v>5.89438489444597</v>
      </c>
      <c r="O958" s="16" t="n">
        <f aca="false">IF(D958="","",G958*N958)</f>
        <v>1.31857390088756</v>
      </c>
      <c r="P958" s="16" t="n">
        <f aca="false">IF(D958="","",H958+E958-K958-O958)</f>
        <v>35.3766836452312</v>
      </c>
      <c r="Q958" s="16" t="n">
        <f aca="false">IF(D958="","",IF(P958&gt;=0,K958,MAX(0,K958+P958)))</f>
        <v>0.9072</v>
      </c>
      <c r="R958" s="16" t="n">
        <f aca="false">IF(D958="","",Q958/$B$15)</f>
        <v>0.35</v>
      </c>
      <c r="S958" s="16" t="n">
        <f aca="false">IF(D958="","",MAX(0,J958-R958))</f>
        <v>0</v>
      </c>
      <c r="T958" s="16" t="n">
        <f aca="false">IF(D958="","",MAX(0,Z958-$B$8))</f>
        <v>0</v>
      </c>
      <c r="U958" s="16" t="n">
        <f aca="false">IF(D958="","",MAX(0,MIN($B$8,Z958)))</f>
        <v>35.3766836452312</v>
      </c>
      <c r="V958" s="16" t="str">
        <f aca="false">IF(D958="","",IF(S958&gt;0.0000001,"Sim","Não"))</f>
        <v>Não</v>
      </c>
      <c r="W958" s="16" t="n">
        <f aca="false">IF(D958="","",U958-(H958+E958-Q958-O958-T958))</f>
        <v>0</v>
      </c>
      <c r="X958" s="16" t="n">
        <f aca="false">IF(W958="","",ABS(W958))</f>
        <v>0</v>
      </c>
      <c r="Y958" s="16" t="n">
        <f aca="false">IF(U958="","",IF($B$8=0,0,U958/$B$8*100))</f>
        <v>74.918855665462</v>
      </c>
      <c r="Z958" s="18" t="n">
        <f aca="false">IF(D958="","",MAX(0,IF(P958&gt;=0,P958,IF(K958+P958&gt;=0,0,P958+K958))))</f>
        <v>35.3766836452312</v>
      </c>
      <c r="AA958" s="18" t="n">
        <f aca="false">IF(D958="","",IF(H958&lt;=$B$16,1,IF(H958&gt;=$B$17,$B$21,MATCH(H958,Aux_CAV!$A$2:$A$121,1))))</f>
        <v>13</v>
      </c>
      <c r="AB958" s="18" t="n">
        <f aca="false">IF(D958="","",IF(L958&lt;=$B$16,1,IF(L958&gt;=$B$17,$B$21,MATCH(L958,Aux_CAV!$A$2:$A$121,1))))</f>
        <v>13</v>
      </c>
      <c r="AC958" s="19" t="n">
        <f aca="false">IF(D958="","",COUNT($D$24:D958))</f>
        <v>923</v>
      </c>
    </row>
    <row r="959" customFormat="false" ht="12.75" hidden="false" customHeight="true" outlineLevel="0" collapsed="false">
      <c r="A959" s="14" t="n">
        <f aca="false">IF(D959="","",DATE(B959,C959,1))</f>
        <v>32112</v>
      </c>
      <c r="B959" s="15" t="n">
        <f aca="false" t="array" ref="B959:B959">IF(D959="","",IFERROR(VALUE(INDEX(Vazoes_COLAR!$A$2:$A$200,INT((ROW()-24)/12)+1)),""))</f>
        <v>1987</v>
      </c>
      <c r="C959" s="15" t="n">
        <f aca="false">IF(D959="","",MOD(ROW()-24,12)+1)</f>
        <v>12</v>
      </c>
      <c r="D959" s="16" t="n">
        <f aca="false" t="array" ref="D959: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0.0127989294595714</v>
      </c>
      <c r="E959" s="16" t="n">
        <f aca="false">IF(D959="","",D959*$B$15)</f>
        <v>0.0331748251592091</v>
      </c>
      <c r="F959" s="16" t="n">
        <f aca="false" t="array" ref="F959:F959">IF(D959="","",IFERROR(INDEX(Dados_Evap!$C$2:$N$15,MATCH($B$9,Dados_Evap!$A$2:$A$15,0),C959),0))</f>
        <v>216.1</v>
      </c>
      <c r="G959" s="16" t="n">
        <f aca="false">IF(F959="","",F959/1000)</f>
        <v>0.2161</v>
      </c>
      <c r="H959" s="16" t="n">
        <f aca="false">IF(D959="","",MAX(0,MIN($B$8,IFERROR(LOOKUP(2,1/($U$24:U958&lt;&gt;""),$U$24:U958),$B$11))))</f>
        <v>35.3766836452312</v>
      </c>
      <c r="I959" s="16" t="n">
        <f aca="false" t="array" ref="I959: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>5.78753052118267</v>
      </c>
      <c r="J959" s="16" t="n">
        <f aca="false">IF(D959="","",$B$12)</f>
        <v>0.35</v>
      </c>
      <c r="K959" s="16" t="n">
        <f aca="false">IF(J959="","",J959*$B$15)</f>
        <v>0.9072</v>
      </c>
      <c r="L959" s="16" t="n">
        <f aca="false">IF(D959="","",H959+E959-K959-G959*I959)</f>
        <v>33.2519731247628</v>
      </c>
      <c r="M959" s="16" t="n">
        <f aca="false" t="array" ref="M959: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>5.57035060616468</v>
      </c>
      <c r="N959" s="16" t="n">
        <f aca="false">IF(D959="","",(I959+M959)/2)</f>
        <v>5.67894056367368</v>
      </c>
      <c r="O959" s="16" t="n">
        <f aca="false">IF(D959="","",G959*N959)</f>
        <v>1.22721905580988</v>
      </c>
      <c r="P959" s="16" t="n">
        <f aca="false">IF(D959="","",H959+E959-K959-O959)</f>
        <v>33.2754394145805</v>
      </c>
      <c r="Q959" s="16" t="n">
        <f aca="false">IF(D959="","",IF(P959&gt;=0,K959,MAX(0,K959+P959)))</f>
        <v>0.9072</v>
      </c>
      <c r="R959" s="16" t="n">
        <f aca="false">IF(D959="","",Q959/$B$15)</f>
        <v>0.35</v>
      </c>
      <c r="S959" s="16" t="n">
        <f aca="false">IF(D959="","",MAX(0,J959-R959))</f>
        <v>0</v>
      </c>
      <c r="T959" s="16" t="n">
        <f aca="false">IF(D959="","",MAX(0,Z959-$B$8))</f>
        <v>0</v>
      </c>
      <c r="U959" s="16" t="n">
        <f aca="false">IF(D959="","",MAX(0,MIN($B$8,Z959)))</f>
        <v>33.2754394145805</v>
      </c>
      <c r="V959" s="16" t="str">
        <f aca="false">IF(D959="","",IF(S959&gt;0.0000001,"Sim","Não"))</f>
        <v>Não</v>
      </c>
      <c r="W959" s="16" t="n">
        <f aca="false">IF(D959="","",U959-(H959+E959-Q959-O959-T959))</f>
        <v>0</v>
      </c>
      <c r="X959" s="16" t="n">
        <f aca="false">IF(W959="","",ABS(W959))</f>
        <v>0</v>
      </c>
      <c r="Y959" s="16" t="n">
        <f aca="false">IF(U959="","",IF($B$8=0,0,U959/$B$8*100))</f>
        <v>70.4689525933513</v>
      </c>
      <c r="Z959" s="18" t="n">
        <f aca="false">IF(D959="","",MAX(0,IF(P959&gt;=0,P959,IF(K959+P959&gt;=0,0,P959+K959))))</f>
        <v>33.2754394145805</v>
      </c>
      <c r="AA959" s="18" t="n">
        <f aca="false">IF(D959="","",IF(H959&lt;=$B$16,1,IF(H959&gt;=$B$17,$B$21,MATCH(H959,Aux_CAV!$A$2:$A$121,1))))</f>
        <v>13</v>
      </c>
      <c r="AB959" s="18" t="n">
        <f aca="false">IF(D959="","",IF(L959&lt;=$B$16,1,IF(L959&gt;=$B$17,$B$21,MATCH(L959,Aux_CAV!$A$2:$A$121,1))))</f>
        <v>12</v>
      </c>
      <c r="AC959" s="19" t="n">
        <f aca="false">IF(D959="","",COUNT($D$24:D959))</f>
        <v>924</v>
      </c>
    </row>
    <row r="960" customFormat="false" ht="12.75" hidden="false" customHeight="true" outlineLevel="0" collapsed="false">
      <c r="A960" s="14" t="n">
        <f aca="false">IF(D960="","",DATE(B960,C960,1))</f>
        <v>32143</v>
      </c>
      <c r="B960" s="15" t="n">
        <f aca="false" t="array" ref="B960:B960">IF(D960="","",IFERROR(VALUE(INDEX(Vazoes_COLAR!$A$2:$A$200,INT((ROW()-24)/12)+1)),""))</f>
        <v>1988</v>
      </c>
      <c r="C960" s="15" t="n">
        <f aca="false">IF(D960="","",MOD(ROW()-24,12)+1)</f>
        <v>1</v>
      </c>
      <c r="D960" s="16" t="n">
        <f aca="false" t="array" ref="D960: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0.118093586395042</v>
      </c>
      <c r="E960" s="16" t="n">
        <f aca="false">IF(D960="","",D960*$B$15)</f>
        <v>0.306098575935949</v>
      </c>
      <c r="F960" s="16" t="n">
        <f aca="false" t="array" ref="F960:F960">IF(D960="","",IFERROR(INDEX(Dados_Evap!$C$2:$N$15,MATCH($B$9,Dados_Evap!$A$2:$A$15,0),C960),0))</f>
        <v>160</v>
      </c>
      <c r="G960" s="16" t="n">
        <f aca="false">IF(F960="","",F960/1000)</f>
        <v>0.16</v>
      </c>
      <c r="H960" s="16" t="n">
        <f aca="false">IF(D960="","",MAX(0,MIN($B$8,IFERROR(LOOKUP(2,1/($U$24:U959&lt;&gt;""),$U$24:U959),$B$11))))</f>
        <v>33.2754394145805</v>
      </c>
      <c r="I960" s="16" t="n">
        <f aca="false" t="array" ref="I960: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>5.57278836636904</v>
      </c>
      <c r="J960" s="16" t="n">
        <f aca="false">IF(D960="","",$B$12)</f>
        <v>0.35</v>
      </c>
      <c r="K960" s="16" t="n">
        <f aca="false">IF(J960="","",J960*$B$15)</f>
        <v>0.9072</v>
      </c>
      <c r="L960" s="16" t="n">
        <f aca="false">IF(D960="","",H960+E960-K960-G960*I960)</f>
        <v>31.7826918518974</v>
      </c>
      <c r="M960" s="16" t="n">
        <f aca="false" t="array" ref="M960: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>5.4177165321874</v>
      </c>
      <c r="N960" s="16" t="n">
        <f aca="false">IF(D960="","",(I960+M960)/2)</f>
        <v>5.49525244927822</v>
      </c>
      <c r="O960" s="16" t="n">
        <f aca="false">IF(D960="","",G960*N960)</f>
        <v>0.879240391884515</v>
      </c>
      <c r="P960" s="16" t="n">
        <f aca="false">IF(D960="","",H960+E960-K960-O960)</f>
        <v>31.7950975986319</v>
      </c>
      <c r="Q960" s="16" t="n">
        <f aca="false">IF(D960="","",IF(P960&gt;=0,K960,MAX(0,K960+P960)))</f>
        <v>0.9072</v>
      </c>
      <c r="R960" s="16" t="n">
        <f aca="false">IF(D960="","",Q960/$B$15)</f>
        <v>0.35</v>
      </c>
      <c r="S960" s="16" t="n">
        <f aca="false">IF(D960="","",MAX(0,J960-R960))</f>
        <v>0</v>
      </c>
      <c r="T960" s="16" t="n">
        <f aca="false">IF(D960="","",MAX(0,Z960-$B$8))</f>
        <v>0</v>
      </c>
      <c r="U960" s="16" t="n">
        <f aca="false">IF(D960="","",MAX(0,MIN($B$8,Z960)))</f>
        <v>31.7950975986319</v>
      </c>
      <c r="V960" s="16" t="str">
        <f aca="false">IF(D960="","",IF(S960&gt;0.0000001,"Sim","Não"))</f>
        <v>Não</v>
      </c>
      <c r="W960" s="16" t="n">
        <f aca="false">IF(D960="","",U960-(H960+E960-Q960-O960-T960))</f>
        <v>0</v>
      </c>
      <c r="X960" s="16" t="n">
        <f aca="false">IF(W960="","",ABS(W960))</f>
        <v>0</v>
      </c>
      <c r="Y960" s="16" t="n">
        <f aca="false">IF(U960="","",IF($B$8=0,0,U960/$B$8*100))</f>
        <v>67.3339635718592</v>
      </c>
      <c r="Z960" s="18" t="n">
        <f aca="false">IF(D960="","",MAX(0,IF(P960&gt;=0,P960,IF(K960+P960&gt;=0,0,P960+K960))))</f>
        <v>31.7950975986319</v>
      </c>
      <c r="AA960" s="18" t="n">
        <f aca="false">IF(D960="","",IF(H960&lt;=$B$16,1,IF(H960&gt;=$B$17,$B$21,MATCH(H960,Aux_CAV!$A$2:$A$121,1))))</f>
        <v>12</v>
      </c>
      <c r="AB960" s="18" t="n">
        <f aca="false">IF(D960="","",IF(L960&lt;=$B$16,1,IF(L960&gt;=$B$17,$B$21,MATCH(L960,Aux_CAV!$A$2:$A$121,1))))</f>
        <v>12</v>
      </c>
      <c r="AC960" s="19" t="n">
        <f aca="false">IF(D960="","",COUNT($D$24:D960))</f>
        <v>925</v>
      </c>
    </row>
    <row r="961" customFormat="false" ht="12.75" hidden="false" customHeight="true" outlineLevel="0" collapsed="false">
      <c r="A961" s="14" t="n">
        <f aca="false">IF(D961="","",DATE(B961,C961,1))</f>
        <v>32174</v>
      </c>
      <c r="B961" s="15" t="n">
        <f aca="false" t="array" ref="B961:B961">IF(D961="","",IFERROR(VALUE(INDEX(Vazoes_COLAR!$A$2:$A$200,INT((ROW()-24)/12)+1)),""))</f>
        <v>1988</v>
      </c>
      <c r="C961" s="15" t="n">
        <f aca="false">IF(D961="","",MOD(ROW()-24,12)+1)</f>
        <v>2</v>
      </c>
      <c r="D961" s="16" t="n">
        <f aca="false" t="array" ref="D961: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0.333161979839527</v>
      </c>
      <c r="E961" s="16" t="n">
        <f aca="false">IF(D961="","",D961*$B$15)</f>
        <v>0.863555851744054</v>
      </c>
      <c r="F961" s="16" t="n">
        <f aca="false" t="array" ref="F961:F961">IF(D961="","",IFERROR(INDEX(Dados_Evap!$C$2:$N$15,MATCH($B$9,Dados_Evap!$A$2:$A$15,0),C961),0))</f>
        <v>124.3</v>
      </c>
      <c r="G961" s="16" t="n">
        <f aca="false">IF(F961="","",F961/1000)</f>
        <v>0.1243</v>
      </c>
      <c r="H961" s="16" t="n">
        <f aca="false">IF(D961="","",MAX(0,MIN($B$8,IFERROR(LOOKUP(2,1/($U$24:U960&lt;&gt;""),$U$24:U960),$B$11))))</f>
        <v>31.7950975986319</v>
      </c>
      <c r="I961" s="16" t="n">
        <f aca="false" t="array" ref="I961: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>5.41900528451807</v>
      </c>
      <c r="J961" s="16" t="n">
        <f aca="false">IF(D961="","",$B$12)</f>
        <v>0.35</v>
      </c>
      <c r="K961" s="16" t="n">
        <f aca="false">IF(J961="","",J961*$B$15)</f>
        <v>0.9072</v>
      </c>
      <c r="L961" s="16" t="n">
        <f aca="false">IF(D961="","",H961+E961-K961-G961*I961)</f>
        <v>31.0778710935104</v>
      </c>
      <c r="M961" s="16" t="n">
        <f aca="false" t="array" ref="M961: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>5.34449728835496</v>
      </c>
      <c r="N961" s="16" t="n">
        <f aca="false">IF(D961="","",(I961+M961)/2)</f>
        <v>5.38175128643652</v>
      </c>
      <c r="O961" s="16" t="n">
        <f aca="false">IF(D961="","",G961*N961)</f>
        <v>0.668951684904059</v>
      </c>
      <c r="P961" s="16" t="n">
        <f aca="false">IF(D961="","",H961+E961-K961-O961)</f>
        <v>31.0825017654719</v>
      </c>
      <c r="Q961" s="16" t="n">
        <f aca="false">IF(D961="","",IF(P961&gt;=0,K961,MAX(0,K961+P961)))</f>
        <v>0.9072</v>
      </c>
      <c r="R961" s="16" t="n">
        <f aca="false">IF(D961="","",Q961/$B$15)</f>
        <v>0.35</v>
      </c>
      <c r="S961" s="16" t="n">
        <f aca="false">IF(D961="","",MAX(0,J961-R961))</f>
        <v>0</v>
      </c>
      <c r="T961" s="16" t="n">
        <f aca="false">IF(D961="","",MAX(0,Z961-$B$8))</f>
        <v>0</v>
      </c>
      <c r="U961" s="16" t="n">
        <f aca="false">IF(D961="","",MAX(0,MIN($B$8,Z961)))</f>
        <v>31.0825017654719</v>
      </c>
      <c r="V961" s="16" t="str">
        <f aca="false">IF(D961="","",IF(S961&gt;0.0000001,"Sim","Não"))</f>
        <v>Não</v>
      </c>
      <c r="W961" s="16" t="n">
        <f aca="false">IF(D961="","",U961-(H961+E961-Q961-O961-T961))</f>
        <v>0</v>
      </c>
      <c r="X961" s="16" t="n">
        <f aca="false">IF(W961="","",ABS(W961))</f>
        <v>0</v>
      </c>
      <c r="Y961" s="16" t="n">
        <f aca="false">IF(U961="","",IF($B$8=0,0,U961/$B$8*100))</f>
        <v>65.8248660852857</v>
      </c>
      <c r="Z961" s="18" t="n">
        <f aca="false">IF(D961="","",MAX(0,IF(P961&gt;=0,P961,IF(K961+P961&gt;=0,0,P961+K961))))</f>
        <v>31.0825017654719</v>
      </c>
      <c r="AA961" s="18" t="n">
        <f aca="false">IF(D961="","",IF(H961&lt;=$B$16,1,IF(H961&gt;=$B$17,$B$21,MATCH(H961,Aux_CAV!$A$2:$A$121,1))))</f>
        <v>12</v>
      </c>
      <c r="AB961" s="18" t="n">
        <f aca="false">IF(D961="","",IF(L961&lt;=$B$16,1,IF(L961&gt;=$B$17,$B$21,MATCH(L961,Aux_CAV!$A$2:$A$121,1))))</f>
        <v>12</v>
      </c>
      <c r="AC961" s="19" t="n">
        <f aca="false">IF(D961="","",COUNT($D$24:D961))</f>
        <v>926</v>
      </c>
    </row>
    <row r="962" customFormat="false" ht="12.75" hidden="false" customHeight="true" outlineLevel="0" collapsed="false">
      <c r="A962" s="14" t="n">
        <f aca="false">IF(D962="","",DATE(B962,C962,1))</f>
        <v>32203</v>
      </c>
      <c r="B962" s="15" t="n">
        <f aca="false" t="array" ref="B962:B962">IF(D962="","",IFERROR(VALUE(INDEX(Vazoes_COLAR!$A$2:$A$200,INT((ROW()-24)/12)+1)),""))</f>
        <v>1988</v>
      </c>
      <c r="C962" s="15" t="n">
        <f aca="false">IF(D962="","",MOD(ROW()-24,12)+1)</f>
        <v>3</v>
      </c>
      <c r="D962" s="16" t="n">
        <f aca="false" t="array" ref="D962: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1.7690110701147</v>
      </c>
      <c r="E962" s="16" t="n">
        <f aca="false">IF(D962="","",D962*$B$15)</f>
        <v>4.5852766937373</v>
      </c>
      <c r="F962" s="16" t="n">
        <f aca="false" t="array" ref="F962:F962">IF(D962="","",IFERROR(INDEX(Dados_Evap!$C$2:$N$15,MATCH($B$9,Dados_Evap!$A$2:$A$15,0),C962),0))</f>
        <v>107.7</v>
      </c>
      <c r="G962" s="16" t="n">
        <f aca="false">IF(F962="","",F962/1000)</f>
        <v>0.1077</v>
      </c>
      <c r="H962" s="16" t="n">
        <f aca="false">IF(D962="","",MAX(0,MIN($B$8,IFERROR(LOOKUP(2,1/($U$24:U961&lt;&gt;""),$U$24:U961),$B$11))))</f>
        <v>31.0825017654719</v>
      </c>
      <c r="I962" s="16" t="n">
        <f aca="false" t="array" ref="I962: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>5.3449783387432</v>
      </c>
      <c r="J962" s="16" t="n">
        <f aca="false">IF(D962="","",$B$12)</f>
        <v>0.35</v>
      </c>
      <c r="K962" s="16" t="n">
        <f aca="false">IF(J962="","",J962*$B$15)</f>
        <v>0.9072</v>
      </c>
      <c r="L962" s="16" t="n">
        <f aca="false">IF(D962="","",H962+E962-K962-G962*I962)</f>
        <v>34.1849242921266</v>
      </c>
      <c r="M962" s="16" t="n">
        <f aca="false" t="array" ref="M962: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>5.66726883423062</v>
      </c>
      <c r="N962" s="16" t="n">
        <f aca="false">IF(D962="","",(I962+M962)/2)</f>
        <v>5.50612358648691</v>
      </c>
      <c r="O962" s="16" t="n">
        <f aca="false">IF(D962="","",G962*N962)</f>
        <v>0.59300951026464</v>
      </c>
      <c r="P962" s="16" t="n">
        <f aca="false">IF(D962="","",H962+E962-K962-O962)</f>
        <v>34.1675689489446</v>
      </c>
      <c r="Q962" s="16" t="n">
        <f aca="false">IF(D962="","",IF(P962&gt;=0,K962,MAX(0,K962+P962)))</f>
        <v>0.9072</v>
      </c>
      <c r="R962" s="16" t="n">
        <f aca="false">IF(D962="","",Q962/$B$15)</f>
        <v>0.35</v>
      </c>
      <c r="S962" s="16" t="n">
        <f aca="false">IF(D962="","",MAX(0,J962-R962))</f>
        <v>0</v>
      </c>
      <c r="T962" s="16" t="n">
        <f aca="false">IF(D962="","",MAX(0,Z962-$B$8))</f>
        <v>0</v>
      </c>
      <c r="U962" s="16" t="n">
        <f aca="false">IF(D962="","",MAX(0,MIN($B$8,Z962)))</f>
        <v>34.1675689489446</v>
      </c>
      <c r="V962" s="16" t="str">
        <f aca="false">IF(D962="","",IF(S962&gt;0.0000001,"Sim","Não"))</f>
        <v>Não</v>
      </c>
      <c r="W962" s="16" t="n">
        <f aca="false">IF(D962="","",U962-(H962+E962-Q962-O962-T962))</f>
        <v>0</v>
      </c>
      <c r="X962" s="16" t="n">
        <f aca="false">IF(W962="","",ABS(W962))</f>
        <v>0</v>
      </c>
      <c r="Y962" s="16" t="n">
        <f aca="false">IF(U962="","",IF($B$8=0,0,U962/$B$8*100))</f>
        <v>72.358256986329</v>
      </c>
      <c r="Z962" s="18" t="n">
        <f aca="false">IF(D962="","",MAX(0,IF(P962&gt;=0,P962,IF(K962+P962&gt;=0,0,P962+K962))))</f>
        <v>34.1675689489446</v>
      </c>
      <c r="AA962" s="18" t="n">
        <f aca="false">IF(D962="","",IF(H962&lt;=$B$16,1,IF(H962&gt;=$B$17,$B$21,MATCH(H962,Aux_CAV!$A$2:$A$121,1))))</f>
        <v>12</v>
      </c>
      <c r="AB962" s="18" t="n">
        <f aca="false">IF(D962="","",IF(L962&lt;=$B$16,1,IF(L962&gt;=$B$17,$B$21,MATCH(L962,Aux_CAV!$A$2:$A$121,1))))</f>
        <v>12</v>
      </c>
      <c r="AC962" s="19" t="n">
        <f aca="false">IF(D962="","",COUNT($D$24:D962))</f>
        <v>927</v>
      </c>
    </row>
    <row r="963" customFormat="false" ht="12.75" hidden="false" customHeight="true" outlineLevel="0" collapsed="false">
      <c r="A963" s="14" t="n">
        <f aca="false">IF(D963="","",DATE(B963,C963,1))</f>
        <v>32234</v>
      </c>
      <c r="B963" s="15" t="n">
        <f aca="false" t="array" ref="B963:B963">IF(D963="","",IFERROR(VALUE(INDEX(Vazoes_COLAR!$A$2:$A$200,INT((ROW()-24)/12)+1)),""))</f>
        <v>1988</v>
      </c>
      <c r="C963" s="15" t="n">
        <f aca="false">IF(D963="","",MOD(ROW()-24,12)+1)</f>
        <v>4</v>
      </c>
      <c r="D963" s="16" t="n">
        <f aca="false" t="array" ref="D963: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7.78656709202643</v>
      </c>
      <c r="E963" s="16" t="n">
        <f aca="false">IF(D963="","",D963*$B$15)</f>
        <v>20.1827819025325</v>
      </c>
      <c r="F963" s="16" t="n">
        <f aca="false" t="array" ref="F963:F963">IF(D963="","",IFERROR(INDEX(Dados_Evap!$C$2:$N$15,MATCH($B$9,Dados_Evap!$A$2:$A$15,0),C963),0))</f>
        <v>100.5</v>
      </c>
      <c r="G963" s="16" t="n">
        <f aca="false">IF(F963="","",F963/1000)</f>
        <v>0.1005</v>
      </c>
      <c r="H963" s="16" t="n">
        <f aca="false">IF(D963="","",MAX(0,MIN($B$8,IFERROR(LOOKUP(2,1/($U$24:U962&lt;&gt;""),$U$24:U962),$B$11))))</f>
        <v>34.1675689489446</v>
      </c>
      <c r="I963" s="16" t="n">
        <f aca="false" t="array" ref="I963: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>5.66546590052143</v>
      </c>
      <c r="J963" s="16" t="n">
        <f aca="false">IF(D963="","",$B$12)</f>
        <v>0.35</v>
      </c>
      <c r="K963" s="16" t="n">
        <f aca="false">IF(J963="","",J963*$B$15)</f>
        <v>0.9072</v>
      </c>
      <c r="L963" s="16" t="n">
        <f aca="false">IF(D963="","",H963+E963-K963-G963*I963)</f>
        <v>52.8737715284747</v>
      </c>
      <c r="M963" s="16" t="n">
        <f aca="false" t="array" ref="M963: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>7.63650152164945</v>
      </c>
      <c r="N963" s="16" t="n">
        <f aca="false">IF(D963="","",(I963+M963)/2)</f>
        <v>6.65098371108544</v>
      </c>
      <c r="O963" s="16" t="n">
        <f aca="false">IF(D963="","",G963*N963)</f>
        <v>0.668423862964087</v>
      </c>
      <c r="P963" s="16" t="n">
        <f aca="false">IF(D963="","",H963+E963-K963-O963)</f>
        <v>52.774726988513</v>
      </c>
      <c r="Q963" s="16" t="n">
        <f aca="false">IF(D963="","",IF(P963&gt;=0,K963,MAX(0,K963+P963)))</f>
        <v>0.9072</v>
      </c>
      <c r="R963" s="16" t="n">
        <f aca="false">IF(D963="","",Q963/$B$15)</f>
        <v>0.35</v>
      </c>
      <c r="S963" s="16" t="n">
        <f aca="false">IF(D963="","",MAX(0,J963-R963))</f>
        <v>0</v>
      </c>
      <c r="T963" s="16" t="n">
        <f aca="false">IF(D963="","",MAX(0,Z963-$B$8))</f>
        <v>5.55472698851298</v>
      </c>
      <c r="U963" s="16" t="n">
        <f aca="false">IF(D963="","",MAX(0,MIN($B$8,Z963)))</f>
        <v>47.22</v>
      </c>
      <c r="V963" s="16" t="str">
        <f aca="false">IF(D963="","",IF(S963&gt;0.0000001,"Sim","Não"))</f>
        <v>Não</v>
      </c>
      <c r="W963" s="16" t="n">
        <f aca="false">IF(D963="","",U963-(H963+E963-Q963-O963-T963))</f>
        <v>0</v>
      </c>
      <c r="X963" s="16" t="n">
        <f aca="false">IF(W963="","",ABS(W963))</f>
        <v>0</v>
      </c>
      <c r="Y963" s="16" t="n">
        <f aca="false">IF(U963="","",IF($B$8=0,0,U963/$B$8*100))</f>
        <v>100</v>
      </c>
      <c r="Z963" s="18" t="n">
        <f aca="false">IF(D963="","",MAX(0,IF(P963&gt;=0,P963,IF(K963+P963&gt;=0,0,P963+K963))))</f>
        <v>52.774726988513</v>
      </c>
      <c r="AA963" s="18" t="n">
        <f aca="false">IF(D963="","",IF(H963&lt;=$B$16,1,IF(H963&gt;=$B$17,$B$21,MATCH(H963,Aux_CAV!$A$2:$A$121,1))))</f>
        <v>12</v>
      </c>
      <c r="AB963" s="18" t="n">
        <f aca="false">IF(D963="","",IF(L963&lt;=$B$16,1,IF(L963&gt;=$B$17,$B$21,MATCH(L963,Aux_CAV!$A$2:$A$121,1))))</f>
        <v>14</v>
      </c>
      <c r="AC963" s="19" t="n">
        <f aca="false">IF(D963="","",COUNT($D$24:D963))</f>
        <v>928</v>
      </c>
    </row>
    <row r="964" customFormat="false" ht="12.75" hidden="false" customHeight="true" outlineLevel="0" collapsed="false">
      <c r="A964" s="14" t="n">
        <f aca="false">IF(D964="","",DATE(B964,C964,1))</f>
        <v>32264</v>
      </c>
      <c r="B964" s="15" t="n">
        <f aca="false" t="array" ref="B964:B964">IF(D964="","",IFERROR(VALUE(INDEX(Vazoes_COLAR!$A$2:$A$200,INT((ROW()-24)/12)+1)),""))</f>
        <v>1988</v>
      </c>
      <c r="C964" s="15" t="n">
        <f aca="false">IF(D964="","",MOD(ROW()-24,12)+1)</f>
        <v>5</v>
      </c>
      <c r="D964" s="16" t="n">
        <f aca="false" t="array" ref="D964: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2.10233133906318</v>
      </c>
      <c r="E964" s="16" t="n">
        <f aca="false">IF(D964="","",D964*$B$15)</f>
        <v>5.44924283085176</v>
      </c>
      <c r="F964" s="16" t="n">
        <f aca="false" t="array" ref="F964:F964">IF(D964="","",IFERROR(INDEX(Dados_Evap!$C$2:$N$15,MATCH($B$9,Dados_Evap!$A$2:$A$15,0),C964),0))</f>
        <v>145.8</v>
      </c>
      <c r="G964" s="16" t="n">
        <f aca="false">IF(F964="","",F964/1000)</f>
        <v>0.1458</v>
      </c>
      <c r="H964" s="16" t="n">
        <f aca="false">IF(D964="","",MAX(0,MIN($B$8,IFERROR(LOOKUP(2,1/($U$24:U963&lt;&gt;""),$U$24:U963),$B$11))))</f>
        <v>47.22</v>
      </c>
      <c r="I964" s="16" t="n">
        <f aca="false" t="array" ref="I964: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>6.97</v>
      </c>
      <c r="J964" s="16" t="n">
        <f aca="false">IF(D964="","",$B$12)</f>
        <v>0.35</v>
      </c>
      <c r="K964" s="16" t="n">
        <f aca="false">IF(J964="","",J964*$B$15)</f>
        <v>0.9072</v>
      </c>
      <c r="L964" s="16" t="n">
        <f aca="false">IF(D964="","",H964+E964-K964-G964*I964)</f>
        <v>50.7458168308518</v>
      </c>
      <c r="M964" s="16" t="n">
        <f aca="false" t="array" ref="M964: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>7.3856450735557</v>
      </c>
      <c r="N964" s="16" t="n">
        <f aca="false">IF(D964="","",(I964+M964)/2)</f>
        <v>7.17782253677785</v>
      </c>
      <c r="O964" s="16" t="n">
        <f aca="false">IF(D964="","",G964*N964)</f>
        <v>1.04652652586221</v>
      </c>
      <c r="P964" s="16" t="n">
        <f aca="false">IF(D964="","",H964+E964-K964-O964)</f>
        <v>50.7155163049896</v>
      </c>
      <c r="Q964" s="16" t="n">
        <f aca="false">IF(D964="","",IF(P964&gt;=0,K964,MAX(0,K964+P964)))</f>
        <v>0.9072</v>
      </c>
      <c r="R964" s="16" t="n">
        <f aca="false">IF(D964="","",Q964/$B$15)</f>
        <v>0.35</v>
      </c>
      <c r="S964" s="16" t="n">
        <f aca="false">IF(D964="","",MAX(0,J964-R964))</f>
        <v>0</v>
      </c>
      <c r="T964" s="16" t="n">
        <f aca="false">IF(D964="","",MAX(0,Z964-$B$8))</f>
        <v>3.49551630498955</v>
      </c>
      <c r="U964" s="16" t="n">
        <f aca="false">IF(D964="","",MAX(0,MIN($B$8,Z964)))</f>
        <v>47.22</v>
      </c>
      <c r="V964" s="16" t="str">
        <f aca="false">IF(D964="","",IF(S964&gt;0.0000001,"Sim","Não"))</f>
        <v>Não</v>
      </c>
      <c r="W964" s="16" t="n">
        <f aca="false">IF(D964="","",U964-(H964+E964-Q964-O964-T964))</f>
        <v>0</v>
      </c>
      <c r="X964" s="16" t="n">
        <f aca="false">IF(W964="","",ABS(W964))</f>
        <v>0</v>
      </c>
      <c r="Y964" s="16" t="n">
        <f aca="false">IF(U964="","",IF($B$8=0,0,U964/$B$8*100))</f>
        <v>100</v>
      </c>
      <c r="Z964" s="18" t="n">
        <f aca="false">IF(D964="","",MAX(0,IF(P964&gt;=0,P964,IF(K964+P964&gt;=0,0,P964+K964))))</f>
        <v>50.7155163049896</v>
      </c>
      <c r="AA964" s="18" t="n">
        <f aca="false">IF(D964="","",IF(H964&lt;=$B$16,1,IF(H964&gt;=$B$17,$B$21,MATCH(H964,Aux_CAV!$A$2:$A$121,1))))</f>
        <v>14</v>
      </c>
      <c r="AB964" s="18" t="n">
        <f aca="false">IF(D964="","",IF(L964&lt;=$B$16,1,IF(L964&gt;=$B$17,$B$21,MATCH(L964,Aux_CAV!$A$2:$A$121,1))))</f>
        <v>14</v>
      </c>
      <c r="AC964" s="19" t="n">
        <f aca="false">IF(D964="","",COUNT($D$24:D964))</f>
        <v>929</v>
      </c>
    </row>
    <row r="965" customFormat="false" ht="12.75" hidden="false" customHeight="true" outlineLevel="0" collapsed="false">
      <c r="A965" s="14" t="n">
        <f aca="false">IF(D965="","",DATE(B965,C965,1))</f>
        <v>32295</v>
      </c>
      <c r="B965" s="15" t="n">
        <f aca="false" t="array" ref="B965:B965">IF(D965="","",IFERROR(VALUE(INDEX(Vazoes_COLAR!$A$2:$A$200,INT((ROW()-24)/12)+1)),""))</f>
        <v>1988</v>
      </c>
      <c r="C965" s="15" t="n">
        <f aca="false">IF(D965="","",MOD(ROW()-24,12)+1)</f>
        <v>6</v>
      </c>
      <c r="D965" s="16" t="n">
        <f aca="false" t="array" ref="D965: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0.334429772184204</v>
      </c>
      <c r="E965" s="16" t="n">
        <f aca="false">IF(D965="","",D965*$B$15)</f>
        <v>0.866841969501457</v>
      </c>
      <c r="F965" s="16" t="n">
        <f aca="false" t="array" ref="F965:F965">IF(D965="","",IFERROR(INDEX(Dados_Evap!$C$2:$N$15,MATCH($B$9,Dados_Evap!$A$2:$A$15,0),C965),0))</f>
        <v>161.3</v>
      </c>
      <c r="G965" s="16" t="n">
        <f aca="false">IF(F965="","",F965/1000)</f>
        <v>0.1613</v>
      </c>
      <c r="H965" s="16" t="n">
        <f aca="false">IF(D965="","",MAX(0,MIN($B$8,IFERROR(LOOKUP(2,1/($U$24:U964&lt;&gt;""),$U$24:U964),$B$11))))</f>
        <v>47.22</v>
      </c>
      <c r="I965" s="16" t="n">
        <f aca="false" t="array" ref="I965: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>6.97</v>
      </c>
      <c r="J965" s="16" t="n">
        <f aca="false">IF(D965="","",$B$12)</f>
        <v>0.35</v>
      </c>
      <c r="K965" s="16" t="n">
        <f aca="false">IF(J965="","",J965*$B$15)</f>
        <v>0.9072</v>
      </c>
      <c r="L965" s="16" t="n">
        <f aca="false">IF(D965="","",H965+E965-K965-G965*I965)</f>
        <v>46.0553809695015</v>
      </c>
      <c r="M965" s="16" t="n">
        <f aca="false" t="array" ref="M965: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>6.85372121314991</v>
      </c>
      <c r="N965" s="16" t="n">
        <f aca="false">IF(D965="","",(I965+M965)/2)</f>
        <v>6.91186060657496</v>
      </c>
      <c r="O965" s="16" t="n">
        <f aca="false">IF(D965="","",G965*N965)</f>
        <v>1.11488311584054</v>
      </c>
      <c r="P965" s="16" t="n">
        <f aca="false">IF(D965="","",H965+E965-K965-O965)</f>
        <v>46.0647588536609</v>
      </c>
      <c r="Q965" s="16" t="n">
        <f aca="false">IF(D965="","",IF(P965&gt;=0,K965,MAX(0,K965+P965)))</f>
        <v>0.9072</v>
      </c>
      <c r="R965" s="16" t="n">
        <f aca="false">IF(D965="","",Q965/$B$15)</f>
        <v>0.35</v>
      </c>
      <c r="S965" s="16" t="n">
        <f aca="false">IF(D965="","",MAX(0,J965-R965))</f>
        <v>0</v>
      </c>
      <c r="T965" s="16" t="n">
        <f aca="false">IF(D965="","",MAX(0,Z965-$B$8))</f>
        <v>0</v>
      </c>
      <c r="U965" s="16" t="n">
        <f aca="false">IF(D965="","",MAX(0,MIN($B$8,Z965)))</f>
        <v>46.0647588536609</v>
      </c>
      <c r="V965" s="16" t="str">
        <f aca="false">IF(D965="","",IF(S965&gt;0.0000001,"Sim","Não"))</f>
        <v>Não</v>
      </c>
      <c r="W965" s="16" t="n">
        <f aca="false">IF(D965="","",U965-(H965+E965-Q965-O965-T965))</f>
        <v>0</v>
      </c>
      <c r="X965" s="16" t="n">
        <f aca="false">IF(W965="","",ABS(W965))</f>
        <v>0</v>
      </c>
      <c r="Y965" s="16" t="n">
        <f aca="false">IF(U965="","",IF($B$8=0,0,U965/$B$8*100))</f>
        <v>97.553491854428</v>
      </c>
      <c r="Z965" s="18" t="n">
        <f aca="false">IF(D965="","",MAX(0,IF(P965&gt;=0,P965,IF(K965+P965&gt;=0,0,P965+K965))))</f>
        <v>46.0647588536609</v>
      </c>
      <c r="AA965" s="18" t="n">
        <f aca="false">IF(D965="","",IF(H965&lt;=$B$16,1,IF(H965&gt;=$B$17,$B$21,MATCH(H965,Aux_CAV!$A$2:$A$121,1))))</f>
        <v>14</v>
      </c>
      <c r="AB965" s="18" t="n">
        <f aca="false">IF(D965="","",IF(L965&lt;=$B$16,1,IF(L965&gt;=$B$17,$B$21,MATCH(L965,Aux_CAV!$A$2:$A$121,1))))</f>
        <v>13</v>
      </c>
      <c r="AC965" s="19" t="n">
        <f aca="false">IF(D965="","",COUNT($D$24:D965))</f>
        <v>930</v>
      </c>
    </row>
    <row r="966" customFormat="false" ht="12.75" hidden="false" customHeight="true" outlineLevel="0" collapsed="false">
      <c r="A966" s="14" t="n">
        <f aca="false">IF(D966="","",DATE(B966,C966,1))</f>
        <v>32325</v>
      </c>
      <c r="B966" s="15" t="n">
        <f aca="false" t="array" ref="B966:B966">IF(D966="","",IFERROR(VALUE(INDEX(Vazoes_COLAR!$A$2:$A$200,INT((ROW()-24)/12)+1)),""))</f>
        <v>1988</v>
      </c>
      <c r="C966" s="15" t="n">
        <f aca="false">IF(D966="","",MOD(ROW()-24,12)+1)</f>
        <v>7</v>
      </c>
      <c r="D966" s="16" t="n">
        <f aca="false" t="array" ref="D966: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0.0847265042877857</v>
      </c>
      <c r="E966" s="16" t="n">
        <f aca="false">IF(D966="","",D966*$B$15)</f>
        <v>0.219611099113941</v>
      </c>
      <c r="F966" s="16" t="n">
        <f aca="false" t="array" ref="F966:F966">IF(D966="","",IFERROR(INDEX(Dados_Evap!$C$2:$N$15,MATCH($B$9,Dados_Evap!$A$2:$A$15,0),C966),0))</f>
        <v>224.8</v>
      </c>
      <c r="G966" s="16" t="n">
        <f aca="false">IF(F966="","",F966/1000)</f>
        <v>0.2248</v>
      </c>
      <c r="H966" s="16" t="n">
        <f aca="false">IF(D966="","",MAX(0,MIN($B$8,IFERROR(LOOKUP(2,1/($U$24:U965&lt;&gt;""),$U$24:U965),$B$11))))</f>
        <v>46.0647588536609</v>
      </c>
      <c r="I966" s="16" t="n">
        <f aca="false" t="array" ref="I966: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>6.85465752705577</v>
      </c>
      <c r="J966" s="16" t="n">
        <f aca="false">IF(D966="","",$B$12)</f>
        <v>0.35</v>
      </c>
      <c r="K966" s="16" t="n">
        <f aca="false">IF(J966="","",J966*$B$15)</f>
        <v>0.9072</v>
      </c>
      <c r="L966" s="16" t="n">
        <f aca="false">IF(D966="","",H966+E966-K966-G966*I966)</f>
        <v>43.8362429406927</v>
      </c>
      <c r="M966" s="16" t="n">
        <f aca="false" t="array" ref="M966: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>6.63215633134275</v>
      </c>
      <c r="N966" s="16" t="n">
        <f aca="false">IF(D966="","",(I966+M966)/2)</f>
        <v>6.74340692919926</v>
      </c>
      <c r="O966" s="16" t="n">
        <f aca="false">IF(D966="","",G966*N966)</f>
        <v>1.51591787768399</v>
      </c>
      <c r="P966" s="16" t="n">
        <f aca="false">IF(D966="","",H966+E966-K966-O966)</f>
        <v>43.8612520750909</v>
      </c>
      <c r="Q966" s="16" t="n">
        <f aca="false">IF(D966="","",IF(P966&gt;=0,K966,MAX(0,K966+P966)))</f>
        <v>0.9072</v>
      </c>
      <c r="R966" s="16" t="n">
        <f aca="false">IF(D966="","",Q966/$B$15)</f>
        <v>0.35</v>
      </c>
      <c r="S966" s="16" t="n">
        <f aca="false">IF(D966="","",MAX(0,J966-R966))</f>
        <v>0</v>
      </c>
      <c r="T966" s="16" t="n">
        <f aca="false">IF(D966="","",MAX(0,Z966-$B$8))</f>
        <v>0</v>
      </c>
      <c r="U966" s="16" t="n">
        <f aca="false">IF(D966="","",MAX(0,MIN($B$8,Z966)))</f>
        <v>43.8612520750909</v>
      </c>
      <c r="V966" s="16" t="str">
        <f aca="false">IF(D966="","",IF(S966&gt;0.0000001,"Sim","Não"))</f>
        <v>Não</v>
      </c>
      <c r="W966" s="16" t="n">
        <f aca="false">IF(D966="","",U966-(H966+E966-Q966-O966-T966))</f>
        <v>0</v>
      </c>
      <c r="X966" s="16" t="n">
        <f aca="false">IF(W966="","",ABS(W966))</f>
        <v>0</v>
      </c>
      <c r="Y966" s="16" t="n">
        <f aca="false">IF(U966="","",IF($B$8=0,0,U966/$B$8*100))</f>
        <v>92.8870226071386</v>
      </c>
      <c r="Z966" s="18" t="n">
        <f aca="false">IF(D966="","",MAX(0,IF(P966&gt;=0,P966,IF(K966+P966&gt;=0,0,P966+K966))))</f>
        <v>43.8612520750909</v>
      </c>
      <c r="AA966" s="18" t="n">
        <f aca="false">IF(D966="","",IF(H966&lt;=$B$16,1,IF(H966&gt;=$B$17,$B$21,MATCH(H966,Aux_CAV!$A$2:$A$121,1))))</f>
        <v>13</v>
      </c>
      <c r="AB966" s="18" t="n">
        <f aca="false">IF(D966="","",IF(L966&lt;=$B$16,1,IF(L966&gt;=$B$17,$B$21,MATCH(L966,Aux_CAV!$A$2:$A$121,1))))</f>
        <v>13</v>
      </c>
      <c r="AC966" s="19" t="n">
        <f aca="false">IF(D966="","",COUNT($D$24:D966))</f>
        <v>931</v>
      </c>
    </row>
    <row r="967" customFormat="false" ht="12.75" hidden="false" customHeight="true" outlineLevel="0" collapsed="false">
      <c r="A967" s="14" t="n">
        <f aca="false">IF(D967="","",DATE(B967,C967,1))</f>
        <v>32356</v>
      </c>
      <c r="B967" s="15" t="n">
        <f aca="false" t="array" ref="B967:B967">IF(D967="","",IFERROR(VALUE(INDEX(Vazoes_COLAR!$A$2:$A$200,INT((ROW()-24)/12)+1)),""))</f>
        <v>1988</v>
      </c>
      <c r="C967" s="15" t="n">
        <f aca="false">IF(D967="","",MOD(ROW()-24,12)+1)</f>
        <v>8</v>
      </c>
      <c r="D967" s="16" t="n">
        <f aca="false" t="array" ref="D967: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0.0253376910526778</v>
      </c>
      <c r="E967" s="16" t="n">
        <f aca="false">IF(D967="","",D967*$B$15)</f>
        <v>0.0656752952085409</v>
      </c>
      <c r="F967" s="16" t="n">
        <f aca="false" t="array" ref="F967:F967">IF(D967="","",IFERROR(INDEX(Dados_Evap!$C$2:$N$15,MATCH($B$9,Dados_Evap!$A$2:$A$15,0),C967),0))</f>
        <v>268.7</v>
      </c>
      <c r="G967" s="16" t="n">
        <f aca="false">IF(F967="","",F967/1000)</f>
        <v>0.2687</v>
      </c>
      <c r="H967" s="16" t="n">
        <f aca="false">IF(D967="","",MAX(0,MIN($B$8,IFERROR(LOOKUP(2,1/($U$24:U966&lt;&gt;""),$U$24:U966),$B$11))))</f>
        <v>43.8612520750909</v>
      </c>
      <c r="I967" s="16" t="n">
        <f aca="false" t="array" ref="I967: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>6.63465331252873</v>
      </c>
      <c r="J967" s="16" t="n">
        <f aca="false">IF(D967="","",$B$12)</f>
        <v>0.35</v>
      </c>
      <c r="K967" s="16" t="n">
        <f aca="false">IF(J967="","",J967*$B$15)</f>
        <v>0.9072</v>
      </c>
      <c r="L967" s="16" t="n">
        <f aca="false">IF(D967="","",H967+E967-K967-G967*I967)</f>
        <v>41.2369960252229</v>
      </c>
      <c r="M967" s="16" t="n">
        <f aca="false" t="array" ref="M967: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>6.3726403264177</v>
      </c>
      <c r="N967" s="16" t="n">
        <f aca="false">IF(D967="","",(I967+M967)/2)</f>
        <v>6.50364681947321</v>
      </c>
      <c r="O967" s="16" t="n">
        <f aca="false">IF(D967="","",G967*N967)</f>
        <v>1.74752990039245</v>
      </c>
      <c r="P967" s="16" t="n">
        <f aca="false">IF(D967="","",H967+E967-K967-O967)</f>
        <v>41.272197469907</v>
      </c>
      <c r="Q967" s="16" t="n">
        <f aca="false">IF(D967="","",IF(P967&gt;=0,K967,MAX(0,K967+P967)))</f>
        <v>0.9072</v>
      </c>
      <c r="R967" s="16" t="n">
        <f aca="false">IF(D967="","",Q967/$B$15)</f>
        <v>0.35</v>
      </c>
      <c r="S967" s="16" t="n">
        <f aca="false">IF(D967="","",MAX(0,J967-R967))</f>
        <v>0</v>
      </c>
      <c r="T967" s="16" t="n">
        <f aca="false">IF(D967="","",MAX(0,Z967-$B$8))</f>
        <v>0</v>
      </c>
      <c r="U967" s="16" t="n">
        <f aca="false">IF(D967="","",MAX(0,MIN($B$8,Z967)))</f>
        <v>41.272197469907</v>
      </c>
      <c r="V967" s="16" t="str">
        <f aca="false">IF(D967="","",IF(S967&gt;0.0000001,"Sim","Não"))</f>
        <v>Não</v>
      </c>
      <c r="W967" s="16" t="n">
        <f aca="false">IF(D967="","",U967-(H967+E967-Q967-O967-T967))</f>
        <v>0</v>
      </c>
      <c r="X967" s="16" t="n">
        <f aca="false">IF(W967="","",ABS(W967))</f>
        <v>0</v>
      </c>
      <c r="Y967" s="16" t="n">
        <f aca="false">IF(U967="","",IF($B$8=0,0,U967/$B$8*100))</f>
        <v>87.4040607156013</v>
      </c>
      <c r="Z967" s="18" t="n">
        <f aca="false">IF(D967="","",MAX(0,IF(P967&gt;=0,P967,IF(K967+P967&gt;=0,0,P967+K967))))</f>
        <v>41.272197469907</v>
      </c>
      <c r="AA967" s="18" t="n">
        <f aca="false">IF(D967="","",IF(H967&lt;=$B$16,1,IF(H967&gt;=$B$17,$B$21,MATCH(H967,Aux_CAV!$A$2:$A$121,1))))</f>
        <v>13</v>
      </c>
      <c r="AB967" s="18" t="n">
        <f aca="false">IF(D967="","",IF(L967&lt;=$B$16,1,IF(L967&gt;=$B$17,$B$21,MATCH(L967,Aux_CAV!$A$2:$A$121,1))))</f>
        <v>13</v>
      </c>
      <c r="AC967" s="19" t="n">
        <f aca="false">IF(D967="","",COUNT($D$24:D967))</f>
        <v>932</v>
      </c>
    </row>
    <row r="968" customFormat="false" ht="12.75" hidden="false" customHeight="true" outlineLevel="0" collapsed="false">
      <c r="A968" s="14" t="n">
        <f aca="false">IF(D968="","",DATE(B968,C968,1))</f>
        <v>32387</v>
      </c>
      <c r="B968" s="15" t="n">
        <f aca="false" t="array" ref="B968:B968">IF(D968="","",IFERROR(VALUE(INDEX(Vazoes_COLAR!$A$2:$A$200,INT((ROW()-24)/12)+1)),""))</f>
        <v>1988</v>
      </c>
      <c r="C968" s="15" t="n">
        <f aca="false">IF(D968="","",MOD(ROW()-24,12)+1)</f>
        <v>9</v>
      </c>
      <c r="D968" s="16" t="n">
        <f aca="false" t="array" ref="D968: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0.0369589459354287</v>
      </c>
      <c r="E968" s="16" t="n">
        <f aca="false">IF(D968="","",D968*$B$15)</f>
        <v>0.0957975878646312</v>
      </c>
      <c r="F968" s="16" t="n">
        <f aca="false" t="array" ref="F968:F968">IF(D968="","",IFERROR(INDEX(Dados_Evap!$C$2:$N$15,MATCH($B$9,Dados_Evap!$A$2:$A$15,0),C968),0))</f>
        <v>292.8</v>
      </c>
      <c r="G968" s="16" t="n">
        <f aca="false">IF(F968="","",F968/1000)</f>
        <v>0.2928</v>
      </c>
      <c r="H968" s="16" t="n">
        <f aca="false">IF(D968="","",MAX(0,MIN($B$8,IFERROR(LOOKUP(2,1/($U$24:U967&lt;&gt;""),$U$24:U967),$B$11))))</f>
        <v>41.272197469907</v>
      </c>
      <c r="I968" s="16" t="n">
        <f aca="false" t="array" ref="I968: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>6.37615493606775</v>
      </c>
      <c r="J968" s="16" t="n">
        <f aca="false">IF(D968="","",$B$12)</f>
        <v>0.35</v>
      </c>
      <c r="K968" s="16" t="n">
        <f aca="false">IF(J968="","",J968*$B$15)</f>
        <v>0.9072</v>
      </c>
      <c r="L968" s="16" t="n">
        <f aca="false">IF(D968="","",H968+E968-K968-G968*I968)</f>
        <v>38.5938568924909</v>
      </c>
      <c r="M968" s="16" t="n">
        <f aca="false" t="array" ref="M968: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>6.10874200105845</v>
      </c>
      <c r="N968" s="16" t="n">
        <f aca="false">IF(D968="","",(I968+M968)/2)</f>
        <v>6.2424484685631</v>
      </c>
      <c r="O968" s="16" t="n">
        <f aca="false">IF(D968="","",G968*N968)</f>
        <v>1.82778891159528</v>
      </c>
      <c r="P968" s="16" t="n">
        <f aca="false">IF(D968="","",H968+E968-K968-O968)</f>
        <v>38.6330061461763</v>
      </c>
      <c r="Q968" s="16" t="n">
        <f aca="false">IF(D968="","",IF(P968&gt;=0,K968,MAX(0,K968+P968)))</f>
        <v>0.9072</v>
      </c>
      <c r="R968" s="16" t="n">
        <f aca="false">IF(D968="","",Q968/$B$15)</f>
        <v>0.35</v>
      </c>
      <c r="S968" s="16" t="n">
        <f aca="false">IF(D968="","",MAX(0,J968-R968))</f>
        <v>0</v>
      </c>
      <c r="T968" s="16" t="n">
        <f aca="false">IF(D968="","",MAX(0,Z968-$B$8))</f>
        <v>0</v>
      </c>
      <c r="U968" s="16" t="n">
        <f aca="false">IF(D968="","",MAX(0,MIN($B$8,Z968)))</f>
        <v>38.6330061461763</v>
      </c>
      <c r="V968" s="16" t="str">
        <f aca="false">IF(D968="","",IF(S968&gt;0.0000001,"Sim","Não"))</f>
        <v>Não</v>
      </c>
      <c r="W968" s="16" t="n">
        <f aca="false">IF(D968="","",U968-(H968+E968-Q968-O968-T968))</f>
        <v>0</v>
      </c>
      <c r="X968" s="16" t="n">
        <f aca="false">IF(W968="","",ABS(W968))</f>
        <v>0</v>
      </c>
      <c r="Y968" s="16" t="n">
        <f aca="false">IF(U968="","",IF($B$8=0,0,U968/$B$8*100))</f>
        <v>81.8149219529358</v>
      </c>
      <c r="Z968" s="18" t="n">
        <f aca="false">IF(D968="","",MAX(0,IF(P968&gt;=0,P968,IF(K968+P968&gt;=0,0,P968+K968))))</f>
        <v>38.6330061461763</v>
      </c>
      <c r="AA968" s="18" t="n">
        <f aca="false">IF(D968="","",IF(H968&lt;=$B$16,1,IF(H968&gt;=$B$17,$B$21,MATCH(H968,Aux_CAV!$A$2:$A$121,1))))</f>
        <v>13</v>
      </c>
      <c r="AB968" s="18" t="n">
        <f aca="false">IF(D968="","",IF(L968&lt;=$B$16,1,IF(L968&gt;=$B$17,$B$21,MATCH(L968,Aux_CAV!$A$2:$A$121,1))))</f>
        <v>13</v>
      </c>
      <c r="AC968" s="19" t="n">
        <f aca="false">IF(D968="","",COUNT($D$24:D968))</f>
        <v>933</v>
      </c>
    </row>
    <row r="969" customFormat="false" ht="12.75" hidden="false" customHeight="true" outlineLevel="0" collapsed="false">
      <c r="A969" s="14" t="n">
        <f aca="false">IF(D969="","",DATE(B969,C969,1))</f>
        <v>32417</v>
      </c>
      <c r="B969" s="15" t="n">
        <f aca="false" t="array" ref="B969:B969">IF(D969="","",IFERROR(VALUE(INDEX(Vazoes_COLAR!$A$2:$A$200,INT((ROW()-24)/12)+1)),""))</f>
        <v>1988</v>
      </c>
      <c r="C969" s="15" t="n">
        <f aca="false">IF(D969="","",MOD(ROW()-24,12)+1)</f>
        <v>10</v>
      </c>
      <c r="D969" s="16" t="n">
        <f aca="false" t="array" ref="D969: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0.0477046040234448</v>
      </c>
      <c r="E969" s="16" t="n">
        <f aca="false">IF(D969="","",D969*$B$15)</f>
        <v>0.123650333628769</v>
      </c>
      <c r="F969" s="16" t="n">
        <f aca="false" t="array" ref="F969:F969">IF(D969="","",IFERROR(INDEX(Dados_Evap!$C$2:$N$15,MATCH($B$9,Dados_Evap!$A$2:$A$15,0),C969),0))</f>
        <v>262.9</v>
      </c>
      <c r="G969" s="16" t="n">
        <f aca="false">IF(F969="","",F969/1000)</f>
        <v>0.2629</v>
      </c>
      <c r="H969" s="16" t="n">
        <f aca="false">IF(D969="","",MAX(0,MIN($B$8,IFERROR(LOOKUP(2,1/($U$24:U968&lt;&gt;""),$U$24:U968),$B$11))))</f>
        <v>38.6330061461763</v>
      </c>
      <c r="I969" s="16" t="n">
        <f aca="false" t="array" ref="I969: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>6.11265077088395</v>
      </c>
      <c r="J969" s="16" t="n">
        <f aca="false">IF(D969="","",$B$12)</f>
        <v>0.35</v>
      </c>
      <c r="K969" s="16" t="n">
        <f aca="false">IF(J969="","",J969*$B$15)</f>
        <v>0.9072</v>
      </c>
      <c r="L969" s="16" t="n">
        <f aca="false">IF(D969="","",H969+E969-K969-G969*I969)</f>
        <v>36.2424405921397</v>
      </c>
      <c r="M969" s="16" t="n">
        <f aca="false" t="array" ref="M969: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>5.8739700905674</v>
      </c>
      <c r="N969" s="16" t="n">
        <f aca="false">IF(D969="","",(I969+M969)/2)</f>
        <v>5.99331043072568</v>
      </c>
      <c r="O969" s="16" t="n">
        <f aca="false">IF(D969="","",G969*N969)</f>
        <v>1.57564131223778</v>
      </c>
      <c r="P969" s="16" t="n">
        <f aca="false">IF(D969="","",H969+E969-K969-O969)</f>
        <v>36.2738151675673</v>
      </c>
      <c r="Q969" s="16" t="n">
        <f aca="false">IF(D969="","",IF(P969&gt;=0,K969,MAX(0,K969+P969)))</f>
        <v>0.9072</v>
      </c>
      <c r="R969" s="16" t="n">
        <f aca="false">IF(D969="","",Q969/$B$15)</f>
        <v>0.35</v>
      </c>
      <c r="S969" s="16" t="n">
        <f aca="false">IF(D969="","",MAX(0,J969-R969))</f>
        <v>0</v>
      </c>
      <c r="T969" s="16" t="n">
        <f aca="false">IF(D969="","",MAX(0,Z969-$B$8))</f>
        <v>0</v>
      </c>
      <c r="U969" s="16" t="n">
        <f aca="false">IF(D969="","",MAX(0,MIN($B$8,Z969)))</f>
        <v>36.2738151675673</v>
      </c>
      <c r="V969" s="16" t="str">
        <f aca="false">IF(D969="","",IF(S969&gt;0.0000001,"Sim","Não"))</f>
        <v>Não</v>
      </c>
      <c r="W969" s="16" t="n">
        <f aca="false">IF(D969="","",U969-(H969+E969-Q969-O969-T969))</f>
        <v>0</v>
      </c>
      <c r="X969" s="16" t="n">
        <f aca="false">IF(W969="","",ABS(W969))</f>
        <v>0</v>
      </c>
      <c r="Y969" s="16" t="n">
        <f aca="false">IF(U969="","",IF($B$8=0,0,U969/$B$8*100))</f>
        <v>76.8187530020485</v>
      </c>
      <c r="Z969" s="18" t="n">
        <f aca="false">IF(D969="","",MAX(0,IF(P969&gt;=0,P969,IF(K969+P969&gt;=0,0,P969+K969))))</f>
        <v>36.2738151675673</v>
      </c>
      <c r="AA969" s="18" t="n">
        <f aca="false">IF(D969="","",IF(H969&lt;=$B$16,1,IF(H969&gt;=$B$17,$B$21,MATCH(H969,Aux_CAV!$A$2:$A$121,1))))</f>
        <v>13</v>
      </c>
      <c r="AB969" s="18" t="n">
        <f aca="false">IF(D969="","",IF(L969&lt;=$B$16,1,IF(L969&gt;=$B$17,$B$21,MATCH(L969,Aux_CAV!$A$2:$A$121,1))))</f>
        <v>13</v>
      </c>
      <c r="AC969" s="19" t="n">
        <f aca="false">IF(D969="","",COUNT($D$24:D969))</f>
        <v>934</v>
      </c>
    </row>
    <row r="970" customFormat="false" ht="12.75" hidden="false" customHeight="true" outlineLevel="0" collapsed="false">
      <c r="A970" s="14" t="n">
        <f aca="false">IF(D970="","",DATE(B970,C970,1))</f>
        <v>32448</v>
      </c>
      <c r="B970" s="15" t="n">
        <f aca="false" t="array" ref="B970:B970">IF(D970="","",IFERROR(VALUE(INDEX(Vazoes_COLAR!$A$2:$A$200,INT((ROW()-24)/12)+1)),""))</f>
        <v>1988</v>
      </c>
      <c r="C970" s="15" t="n">
        <f aca="false">IF(D970="","",MOD(ROW()-24,12)+1)</f>
        <v>11</v>
      </c>
      <c r="D970" s="16" t="n">
        <f aca="false" t="array" ref="D970: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0.0253571636004474</v>
      </c>
      <c r="E970" s="16" t="n">
        <f aca="false">IF(D970="","",D970*$B$15)</f>
        <v>0.0657257680523597</v>
      </c>
      <c r="F970" s="16" t="n">
        <f aca="false" t="array" ref="F970:F970">IF(D970="","",IFERROR(INDEX(Dados_Evap!$C$2:$N$15,MATCH($B$9,Dados_Evap!$A$2:$A$15,0),C970),0))</f>
        <v>223.7</v>
      </c>
      <c r="G970" s="16" t="n">
        <f aca="false">IF(F970="","",F970/1000)</f>
        <v>0.2237</v>
      </c>
      <c r="H970" s="16" t="n">
        <f aca="false">IF(D970="","",MAX(0,MIN($B$8,IFERROR(LOOKUP(2,1/($U$24:U969&lt;&gt;""),$U$24:U969),$B$11))))</f>
        <v>36.2738151675673</v>
      </c>
      <c r="I970" s="16" t="n">
        <f aca="false" t="array" ref="I970: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>5.87710261500082</v>
      </c>
      <c r="J970" s="16" t="n">
        <f aca="false">IF(D970="","",$B$12)</f>
        <v>0.35</v>
      </c>
      <c r="K970" s="16" t="n">
        <f aca="false">IF(J970="","",J970*$B$15)</f>
        <v>0.9072</v>
      </c>
      <c r="L970" s="16" t="n">
        <f aca="false">IF(D970="","",H970+E970-K970-G970*I970)</f>
        <v>34.117633080644</v>
      </c>
      <c r="M970" s="16" t="n">
        <f aca="false" t="array" ref="M970: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>5.66027838798923</v>
      </c>
      <c r="N970" s="16" t="n">
        <f aca="false">IF(D970="","",(I970+M970)/2)</f>
        <v>5.76869050149502</v>
      </c>
      <c r="O970" s="16" t="n">
        <f aca="false">IF(D970="","",G970*N970)</f>
        <v>1.29045606518444</v>
      </c>
      <c r="P970" s="16" t="n">
        <f aca="false">IF(D970="","",H970+E970-K970-O970)</f>
        <v>34.1418848704352</v>
      </c>
      <c r="Q970" s="16" t="n">
        <f aca="false">IF(D970="","",IF(P970&gt;=0,K970,MAX(0,K970+P970)))</f>
        <v>0.9072</v>
      </c>
      <c r="R970" s="16" t="n">
        <f aca="false">IF(D970="","",Q970/$B$15)</f>
        <v>0.35</v>
      </c>
      <c r="S970" s="16" t="n">
        <f aca="false">IF(D970="","",MAX(0,J970-R970))</f>
        <v>0</v>
      </c>
      <c r="T970" s="16" t="n">
        <f aca="false">IF(D970="","",MAX(0,Z970-$B$8))</f>
        <v>0</v>
      </c>
      <c r="U970" s="16" t="n">
        <f aca="false">IF(D970="","",MAX(0,MIN($B$8,Z970)))</f>
        <v>34.1418848704352</v>
      </c>
      <c r="V970" s="16" t="str">
        <f aca="false">IF(D970="","",IF(S970&gt;0.0000001,"Sim","Não"))</f>
        <v>Não</v>
      </c>
      <c r="W970" s="16" t="n">
        <f aca="false">IF(D970="","",U970-(H970+E970-Q970-O970-T970))</f>
        <v>0</v>
      </c>
      <c r="X970" s="16" t="n">
        <f aca="false">IF(W970="","",ABS(W970))</f>
        <v>0</v>
      </c>
      <c r="Y970" s="16" t="n">
        <f aca="false">IF(U970="","",IF($B$8=0,0,U970/$B$8*100))</f>
        <v>72.303864613374</v>
      </c>
      <c r="Z970" s="18" t="n">
        <f aca="false">IF(D970="","",MAX(0,IF(P970&gt;=0,P970,IF(K970+P970&gt;=0,0,P970+K970))))</f>
        <v>34.1418848704352</v>
      </c>
      <c r="AA970" s="18" t="n">
        <f aca="false">IF(D970="","",IF(H970&lt;=$B$16,1,IF(H970&gt;=$B$17,$B$21,MATCH(H970,Aux_CAV!$A$2:$A$121,1))))</f>
        <v>13</v>
      </c>
      <c r="AB970" s="18" t="n">
        <f aca="false">IF(D970="","",IF(L970&lt;=$B$16,1,IF(L970&gt;=$B$17,$B$21,MATCH(L970,Aux_CAV!$A$2:$A$121,1))))</f>
        <v>12</v>
      </c>
      <c r="AC970" s="19" t="n">
        <f aca="false">IF(D970="","",COUNT($D$24:D970))</f>
        <v>935</v>
      </c>
    </row>
    <row r="971" customFormat="false" ht="12.75" hidden="false" customHeight="true" outlineLevel="0" collapsed="false">
      <c r="A971" s="14" t="n">
        <f aca="false">IF(D971="","",DATE(B971,C971,1))</f>
        <v>32478</v>
      </c>
      <c r="B971" s="15" t="n">
        <f aca="false" t="array" ref="B971:B971">IF(D971="","",IFERROR(VALUE(INDEX(Vazoes_COLAR!$A$2:$A$200,INT((ROW()-24)/12)+1)),""))</f>
        <v>1988</v>
      </c>
      <c r="C971" s="15" t="n">
        <f aca="false">IF(D971="","",MOD(ROW()-24,12)+1)</f>
        <v>12</v>
      </c>
      <c r="D971" s="16" t="n">
        <f aca="false" t="array" ref="D971: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0.301181612670105</v>
      </c>
      <c r="E971" s="16" t="n">
        <f aca="false">IF(D971="","",D971*$B$15)</f>
        <v>0.780662740040912</v>
      </c>
      <c r="F971" s="16" t="n">
        <f aca="false" t="array" ref="F971:F971">IF(D971="","",IFERROR(INDEX(Dados_Evap!$C$2:$N$15,MATCH($B$9,Dados_Evap!$A$2:$A$15,0),C971),0))</f>
        <v>216.1</v>
      </c>
      <c r="G971" s="16" t="n">
        <f aca="false">IF(F971="","",F971/1000)</f>
        <v>0.2161</v>
      </c>
      <c r="H971" s="16" t="n">
        <f aca="false">IF(D971="","",MAX(0,MIN($B$8,IFERROR(LOOKUP(2,1/($U$24:U970&lt;&gt;""),$U$24:U970),$B$11))))</f>
        <v>34.1418848704352</v>
      </c>
      <c r="I971" s="16" t="n">
        <f aca="false" t="array" ref="I971: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>5.66279774867628</v>
      </c>
      <c r="J971" s="16" t="n">
        <f aca="false">IF(D971="","",$B$12)</f>
        <v>0.35</v>
      </c>
      <c r="K971" s="16" t="n">
        <f aca="false">IF(J971="","",J971*$B$15)</f>
        <v>0.9072</v>
      </c>
      <c r="L971" s="16" t="n">
        <f aca="false">IF(D971="","",H971+E971-K971-G971*I971)</f>
        <v>32.7916170169872</v>
      </c>
      <c r="M971" s="16" t="n">
        <f aca="false" t="array" ref="M971: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>5.52252720467731</v>
      </c>
      <c r="N971" s="16" t="n">
        <f aca="false">IF(D971="","",(I971+M971)/2)</f>
        <v>5.59266247667679</v>
      </c>
      <c r="O971" s="16" t="n">
        <f aca="false">IF(D971="","",G971*N971)</f>
        <v>1.20857436120986</v>
      </c>
      <c r="P971" s="16" t="n">
        <f aca="false">IF(D971="","",H971+E971-K971-O971)</f>
        <v>32.8067732492663</v>
      </c>
      <c r="Q971" s="16" t="n">
        <f aca="false">IF(D971="","",IF(P971&gt;=0,K971,MAX(0,K971+P971)))</f>
        <v>0.9072</v>
      </c>
      <c r="R971" s="16" t="n">
        <f aca="false">IF(D971="","",Q971/$B$15)</f>
        <v>0.35</v>
      </c>
      <c r="S971" s="16" t="n">
        <f aca="false">IF(D971="","",MAX(0,J971-R971))</f>
        <v>0</v>
      </c>
      <c r="T971" s="16" t="n">
        <f aca="false">IF(D971="","",MAX(0,Z971-$B$8))</f>
        <v>0</v>
      </c>
      <c r="U971" s="16" t="n">
        <f aca="false">IF(D971="","",MAX(0,MIN($B$8,Z971)))</f>
        <v>32.8067732492663</v>
      </c>
      <c r="V971" s="16" t="str">
        <f aca="false">IF(D971="","",IF(S971&gt;0.0000001,"Sim","Não"))</f>
        <v>Não</v>
      </c>
      <c r="W971" s="16" t="n">
        <f aca="false">IF(D971="","",U971-(H971+E971-Q971-O971-T971))</f>
        <v>0</v>
      </c>
      <c r="X971" s="16" t="n">
        <f aca="false">IF(W971="","",ABS(W971))</f>
        <v>0</v>
      </c>
      <c r="Y971" s="16" t="n">
        <f aca="false">IF(U971="","",IF($B$8=0,0,U971/$B$8*100))</f>
        <v>69.4764363601573</v>
      </c>
      <c r="Z971" s="18" t="n">
        <f aca="false">IF(D971="","",MAX(0,IF(P971&gt;=0,P971,IF(K971+P971&gt;=0,0,P971+K971))))</f>
        <v>32.8067732492663</v>
      </c>
      <c r="AA971" s="18" t="n">
        <f aca="false">IF(D971="","",IF(H971&lt;=$B$16,1,IF(H971&gt;=$B$17,$B$21,MATCH(H971,Aux_CAV!$A$2:$A$121,1))))</f>
        <v>12</v>
      </c>
      <c r="AB971" s="18" t="n">
        <f aca="false">IF(D971="","",IF(L971&lt;=$B$16,1,IF(L971&gt;=$B$17,$B$21,MATCH(L971,Aux_CAV!$A$2:$A$121,1))))</f>
        <v>12</v>
      </c>
      <c r="AC971" s="19" t="n">
        <f aca="false">IF(D971="","",COUNT($D$24:D971))</f>
        <v>936</v>
      </c>
    </row>
    <row r="972" customFormat="false" ht="12.75" hidden="false" customHeight="true" outlineLevel="0" collapsed="false">
      <c r="A972" s="14" t="n">
        <f aca="false">IF(D972="","",DATE(B972,C972,1))</f>
        <v>32509</v>
      </c>
      <c r="B972" s="15" t="n">
        <f aca="false" t="array" ref="B972:B972">IF(D972="","",IFERROR(VALUE(INDEX(Vazoes_COLAR!$A$2:$A$200,INT((ROW()-24)/12)+1)),""))</f>
        <v>1989</v>
      </c>
      <c r="C972" s="15" t="n">
        <f aca="false">IF(D972="","",MOD(ROW()-24,12)+1)</f>
        <v>1</v>
      </c>
      <c r="D972" s="16" t="n">
        <f aca="false" t="array" ref="D972: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0.672589842270859</v>
      </c>
      <c r="E972" s="16" t="n">
        <f aca="false">IF(D972="","",D972*$B$15)</f>
        <v>1.74335287116607</v>
      </c>
      <c r="F972" s="16" t="n">
        <f aca="false" t="array" ref="F972:F972">IF(D972="","",IFERROR(INDEX(Dados_Evap!$C$2:$N$15,MATCH($B$9,Dados_Evap!$A$2:$A$15,0),C972),0))</f>
        <v>160</v>
      </c>
      <c r="G972" s="16" t="n">
        <f aca="false">IF(F972="","",F972/1000)</f>
        <v>0.16</v>
      </c>
      <c r="H972" s="16" t="n">
        <f aca="false">IF(D972="","",MAX(0,MIN($B$8,IFERROR(LOOKUP(2,1/($U$24:U971&lt;&gt;""),$U$24:U971),$B$11))))</f>
        <v>32.8067732492663</v>
      </c>
      <c r="I972" s="16" t="n">
        <f aca="false" t="array" ref="I972: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>5.5241016870597</v>
      </c>
      <c r="J972" s="16" t="n">
        <f aca="false">IF(D972="","",$B$12)</f>
        <v>0.35</v>
      </c>
      <c r="K972" s="16" t="n">
        <f aca="false">IF(J972="","",J972*$B$15)</f>
        <v>0.9072</v>
      </c>
      <c r="L972" s="16" t="n">
        <f aca="false">IF(D972="","",H972+E972-K972-G972*I972)</f>
        <v>32.7590698505028</v>
      </c>
      <c r="M972" s="16" t="n">
        <f aca="false" t="array" ref="M972: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>5.51914609126582</v>
      </c>
      <c r="N972" s="16" t="n">
        <f aca="false">IF(D972="","",(I972+M972)/2)</f>
        <v>5.52162388916276</v>
      </c>
      <c r="O972" s="16" t="n">
        <f aca="false">IF(D972="","",G972*N972)</f>
        <v>0.883459822266042</v>
      </c>
      <c r="P972" s="16" t="n">
        <f aca="false">IF(D972="","",H972+E972-K972-O972)</f>
        <v>32.7594662981663</v>
      </c>
      <c r="Q972" s="16" t="n">
        <f aca="false">IF(D972="","",IF(P972&gt;=0,K972,MAX(0,K972+P972)))</f>
        <v>0.9072</v>
      </c>
      <c r="R972" s="16" t="n">
        <f aca="false">IF(D972="","",Q972/$B$15)</f>
        <v>0.35</v>
      </c>
      <c r="S972" s="16" t="n">
        <f aca="false">IF(D972="","",MAX(0,J972-R972))</f>
        <v>0</v>
      </c>
      <c r="T972" s="16" t="n">
        <f aca="false">IF(D972="","",MAX(0,Z972-$B$8))</f>
        <v>0</v>
      </c>
      <c r="U972" s="16" t="n">
        <f aca="false">IF(D972="","",MAX(0,MIN($B$8,Z972)))</f>
        <v>32.7594662981663</v>
      </c>
      <c r="V972" s="16" t="str">
        <f aca="false">IF(D972="","",IF(S972&gt;0.0000001,"Sim","Não"))</f>
        <v>Não</v>
      </c>
      <c r="W972" s="16" t="n">
        <f aca="false">IF(D972="","",U972-(H972+E972-Q972-O972-T972))</f>
        <v>0</v>
      </c>
      <c r="X972" s="16" t="n">
        <f aca="false">IF(W972="","",ABS(W972))</f>
        <v>0</v>
      </c>
      <c r="Y972" s="16" t="n">
        <f aca="false">IF(U972="","",IF($B$8=0,0,U972/$B$8*100))</f>
        <v>69.3762522197507</v>
      </c>
      <c r="Z972" s="18" t="n">
        <f aca="false">IF(D972="","",MAX(0,IF(P972&gt;=0,P972,IF(K972+P972&gt;=0,0,P972+K972))))</f>
        <v>32.7594662981663</v>
      </c>
      <c r="AA972" s="18" t="n">
        <f aca="false">IF(D972="","",IF(H972&lt;=$B$16,1,IF(H972&gt;=$B$17,$B$21,MATCH(H972,Aux_CAV!$A$2:$A$121,1))))</f>
        <v>12</v>
      </c>
      <c r="AB972" s="18" t="n">
        <f aca="false">IF(D972="","",IF(L972&lt;=$B$16,1,IF(L972&gt;=$B$17,$B$21,MATCH(L972,Aux_CAV!$A$2:$A$121,1))))</f>
        <v>12</v>
      </c>
      <c r="AC972" s="19" t="n">
        <f aca="false">IF(D972="","",COUNT($D$24:D972))</f>
        <v>937</v>
      </c>
    </row>
    <row r="973" customFormat="false" ht="12.75" hidden="false" customHeight="true" outlineLevel="0" collapsed="false">
      <c r="A973" s="14" t="n">
        <f aca="false">IF(D973="","",DATE(B973,C973,1))</f>
        <v>32540</v>
      </c>
      <c r="B973" s="15" t="n">
        <f aca="false" t="array" ref="B973:B973">IF(D973="","",IFERROR(VALUE(INDEX(Vazoes_COLAR!$A$2:$A$200,INT((ROW()-24)/12)+1)),""))</f>
        <v>1989</v>
      </c>
      <c r="C973" s="15" t="n">
        <f aca="false">IF(D973="","",MOD(ROW()-24,12)+1)</f>
        <v>2</v>
      </c>
      <c r="D973" s="16" t="n">
        <f aca="false" t="array" ref="D973: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0.279484493101653</v>
      </c>
      <c r="E973" s="16" t="n">
        <f aca="false">IF(D973="","",D973*$B$15)</f>
        <v>0.724423806119485</v>
      </c>
      <c r="F973" s="16" t="n">
        <f aca="false" t="array" ref="F973:F973">IF(D973="","",IFERROR(INDEX(Dados_Evap!$C$2:$N$15,MATCH($B$9,Dados_Evap!$A$2:$A$15,0),C973),0))</f>
        <v>124.3</v>
      </c>
      <c r="G973" s="16" t="n">
        <f aca="false">IF(F973="","",F973/1000)</f>
        <v>0.1243</v>
      </c>
      <c r="H973" s="16" t="n">
        <f aca="false">IF(D973="","",MAX(0,MIN($B$8,IFERROR(LOOKUP(2,1/($U$24:U972&lt;&gt;""),$U$24:U972),$B$11))))</f>
        <v>32.7594662981663</v>
      </c>
      <c r="I973" s="16" t="n">
        <f aca="false" t="array" ref="I973: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>5.51918727563475</v>
      </c>
      <c r="J973" s="16" t="n">
        <f aca="false">IF(D973="","",$B$12)</f>
        <v>0.35</v>
      </c>
      <c r="K973" s="16" t="n">
        <f aca="false">IF(J973="","",J973*$B$15)</f>
        <v>0.9072</v>
      </c>
      <c r="L973" s="16" t="n">
        <f aca="false">IF(D973="","",H973+E973-K973-G973*I973)</f>
        <v>31.8906551259244</v>
      </c>
      <c r="M973" s="16" t="n">
        <f aca="false" t="array" ref="M973: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>5.42893213444069</v>
      </c>
      <c r="N973" s="16" t="n">
        <f aca="false">IF(D973="","",(I973+M973)/2)</f>
        <v>5.47405970503772</v>
      </c>
      <c r="O973" s="16" t="n">
        <f aca="false">IF(D973="","",G973*N973)</f>
        <v>0.680425621336188</v>
      </c>
      <c r="P973" s="16" t="n">
        <f aca="false">IF(D973="","",H973+E973-K973-O973)</f>
        <v>31.8962644829496</v>
      </c>
      <c r="Q973" s="16" t="n">
        <f aca="false">IF(D973="","",IF(P973&gt;=0,K973,MAX(0,K973+P973)))</f>
        <v>0.9072</v>
      </c>
      <c r="R973" s="16" t="n">
        <f aca="false">IF(D973="","",Q973/$B$15)</f>
        <v>0.35</v>
      </c>
      <c r="S973" s="16" t="n">
        <f aca="false">IF(D973="","",MAX(0,J973-R973))</f>
        <v>0</v>
      </c>
      <c r="T973" s="16" t="n">
        <f aca="false">IF(D973="","",MAX(0,Z973-$B$8))</f>
        <v>0</v>
      </c>
      <c r="U973" s="16" t="n">
        <f aca="false">IF(D973="","",MAX(0,MIN($B$8,Z973)))</f>
        <v>31.8962644829496</v>
      </c>
      <c r="V973" s="16" t="str">
        <f aca="false">IF(D973="","",IF(S973&gt;0.0000001,"Sim","Não"))</f>
        <v>Não</v>
      </c>
      <c r="W973" s="16" t="n">
        <f aca="false">IF(D973="","",U973-(H973+E973-Q973-O973-T973))</f>
        <v>0</v>
      </c>
      <c r="X973" s="16" t="n">
        <f aca="false">IF(W973="","",ABS(W973))</f>
        <v>0</v>
      </c>
      <c r="Y973" s="16" t="n">
        <f aca="false">IF(U973="","",IF($B$8=0,0,U973/$B$8*100))</f>
        <v>67.5482094090419</v>
      </c>
      <c r="Z973" s="18" t="n">
        <f aca="false">IF(D973="","",MAX(0,IF(P973&gt;=0,P973,IF(K973+P973&gt;=0,0,P973+K973))))</f>
        <v>31.8962644829496</v>
      </c>
      <c r="AA973" s="18" t="n">
        <f aca="false">IF(D973="","",IF(H973&lt;=$B$16,1,IF(H973&gt;=$B$17,$B$21,MATCH(H973,Aux_CAV!$A$2:$A$121,1))))</f>
        <v>12</v>
      </c>
      <c r="AB973" s="18" t="n">
        <f aca="false">IF(D973="","",IF(L973&lt;=$B$16,1,IF(L973&gt;=$B$17,$B$21,MATCH(L973,Aux_CAV!$A$2:$A$121,1))))</f>
        <v>12</v>
      </c>
      <c r="AC973" s="19" t="n">
        <f aca="false">IF(D973="","",COUNT($D$24:D973))</f>
        <v>938</v>
      </c>
    </row>
    <row r="974" customFormat="false" ht="12.75" hidden="false" customHeight="true" outlineLevel="0" collapsed="false">
      <c r="A974" s="14" t="n">
        <f aca="false">IF(D974="","",DATE(B974,C974,1))</f>
        <v>32568</v>
      </c>
      <c r="B974" s="15" t="n">
        <f aca="false" t="array" ref="B974:B974">IF(D974="","",IFERROR(VALUE(INDEX(Vazoes_COLAR!$A$2:$A$200,INT((ROW()-24)/12)+1)),""))</f>
        <v>1989</v>
      </c>
      <c r="C974" s="15" t="n">
        <f aca="false">IF(D974="","",MOD(ROW()-24,12)+1)</f>
        <v>3</v>
      </c>
      <c r="D974" s="16" t="n">
        <f aca="false" t="array" ref="D974: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2.68783909755789</v>
      </c>
      <c r="E974" s="16" t="n">
        <f aca="false">IF(D974="","",D974*$B$15)</f>
        <v>6.96687894087005</v>
      </c>
      <c r="F974" s="16" t="n">
        <f aca="false" t="array" ref="F974:F974">IF(D974="","",IFERROR(INDEX(Dados_Evap!$C$2:$N$15,MATCH($B$9,Dados_Evap!$A$2:$A$15,0),C974),0))</f>
        <v>107.7</v>
      </c>
      <c r="G974" s="16" t="n">
        <f aca="false">IF(F974="","",F974/1000)</f>
        <v>0.1077</v>
      </c>
      <c r="H974" s="16" t="n">
        <f aca="false">IF(D974="","",MAX(0,MIN($B$8,IFERROR(LOOKUP(2,1/($U$24:U973&lt;&gt;""),$U$24:U973),$B$11))))</f>
        <v>31.8962644829496</v>
      </c>
      <c r="I974" s="16" t="n">
        <f aca="false" t="array" ref="I974: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>5.42951485405399</v>
      </c>
      <c r="J974" s="16" t="n">
        <f aca="false">IF(D974="","",$B$12)</f>
        <v>0.35</v>
      </c>
      <c r="K974" s="16" t="n">
        <f aca="false">IF(J974="","",J974*$B$15)</f>
        <v>0.9072</v>
      </c>
      <c r="L974" s="16" t="n">
        <f aca="false">IF(D974="","",H974+E974-K974-G974*I974)</f>
        <v>37.371184674038</v>
      </c>
      <c r="M974" s="16" t="n">
        <f aca="false" t="array" ref="M974: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>5.98666702327266</v>
      </c>
      <c r="N974" s="16" t="n">
        <f aca="false">IF(D974="","",(I974+M974)/2)</f>
        <v>5.70809093866332</v>
      </c>
      <c r="O974" s="16" t="n">
        <f aca="false">IF(D974="","",G974*N974)</f>
        <v>0.61476139409404</v>
      </c>
      <c r="P974" s="16" t="n">
        <f aca="false">IF(D974="","",H974+E974-K974-O974)</f>
        <v>37.3411820297256</v>
      </c>
      <c r="Q974" s="16" t="n">
        <f aca="false">IF(D974="","",IF(P974&gt;=0,K974,MAX(0,K974+P974)))</f>
        <v>0.9072</v>
      </c>
      <c r="R974" s="16" t="n">
        <f aca="false">IF(D974="","",Q974/$B$15)</f>
        <v>0.35</v>
      </c>
      <c r="S974" s="16" t="n">
        <f aca="false">IF(D974="","",MAX(0,J974-R974))</f>
        <v>0</v>
      </c>
      <c r="T974" s="16" t="n">
        <f aca="false">IF(D974="","",MAX(0,Z974-$B$8))</f>
        <v>0</v>
      </c>
      <c r="U974" s="16" t="n">
        <f aca="false">IF(D974="","",MAX(0,MIN($B$8,Z974)))</f>
        <v>37.3411820297256</v>
      </c>
      <c r="V974" s="16" t="str">
        <f aca="false">IF(D974="","",IF(S974&gt;0.0000001,"Sim","Não"))</f>
        <v>Não</v>
      </c>
      <c r="W974" s="16" t="n">
        <f aca="false">IF(D974="","",U974-(H974+E974-Q974-O974-T974))</f>
        <v>0</v>
      </c>
      <c r="X974" s="16" t="n">
        <f aca="false">IF(W974="","",ABS(W974))</f>
        <v>0</v>
      </c>
      <c r="Y974" s="16" t="n">
        <f aca="false">IF(U974="","",IF($B$8=0,0,U974/$B$8*100))</f>
        <v>79.0791656707446</v>
      </c>
      <c r="Z974" s="18" t="n">
        <f aca="false">IF(D974="","",MAX(0,IF(P974&gt;=0,P974,IF(K974+P974&gt;=0,0,P974+K974))))</f>
        <v>37.3411820297256</v>
      </c>
      <c r="AA974" s="18" t="n">
        <f aca="false">IF(D974="","",IF(H974&lt;=$B$16,1,IF(H974&gt;=$B$17,$B$21,MATCH(H974,Aux_CAV!$A$2:$A$121,1))))</f>
        <v>12</v>
      </c>
      <c r="AB974" s="18" t="n">
        <f aca="false">IF(D974="","",IF(L974&lt;=$B$16,1,IF(L974&gt;=$B$17,$B$21,MATCH(L974,Aux_CAV!$A$2:$A$121,1))))</f>
        <v>13</v>
      </c>
      <c r="AC974" s="19" t="n">
        <f aca="false">IF(D974="","",COUNT($D$24:D974))</f>
        <v>939</v>
      </c>
    </row>
    <row r="975" customFormat="false" ht="12.75" hidden="false" customHeight="true" outlineLevel="0" collapsed="false">
      <c r="A975" s="14" t="n">
        <f aca="false">IF(D975="","",DATE(B975,C975,1))</f>
        <v>32599</v>
      </c>
      <c r="B975" s="15" t="n">
        <f aca="false" t="array" ref="B975:B975">IF(D975="","",IFERROR(VALUE(INDEX(Vazoes_COLAR!$A$2:$A$200,INT((ROW()-24)/12)+1)),""))</f>
        <v>1989</v>
      </c>
      <c r="C975" s="15" t="n">
        <f aca="false">IF(D975="","",MOD(ROW()-24,12)+1)</f>
        <v>4</v>
      </c>
      <c r="D975" s="16" t="n">
        <f aca="false" t="array" ref="D975: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16.0520152804628</v>
      </c>
      <c r="E975" s="16" t="n">
        <f aca="false">IF(D975="","",D975*$B$15)</f>
        <v>41.6068236069596</v>
      </c>
      <c r="F975" s="16" t="n">
        <f aca="false" t="array" ref="F975:F975">IF(D975="","",IFERROR(INDEX(Dados_Evap!$C$2:$N$15,MATCH($B$9,Dados_Evap!$A$2:$A$15,0),C975),0))</f>
        <v>100.5</v>
      </c>
      <c r="G975" s="16" t="n">
        <f aca="false">IF(F975="","",F975/1000)</f>
        <v>0.1005</v>
      </c>
      <c r="H975" s="16" t="n">
        <f aca="false">IF(D975="","",MAX(0,MIN($B$8,IFERROR(LOOKUP(2,1/($U$24:U974&lt;&gt;""),$U$24:U974),$B$11))))</f>
        <v>37.3411820297256</v>
      </c>
      <c r="I975" s="16" t="n">
        <f aca="false" t="array" ref="I975: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>5.98367147623832</v>
      </c>
      <c r="J975" s="16" t="n">
        <f aca="false">IF(D975="","",$B$12)</f>
        <v>0.35</v>
      </c>
      <c r="K975" s="16" t="n">
        <f aca="false">IF(J975="","",J975*$B$15)</f>
        <v>0.9072</v>
      </c>
      <c r="L975" s="16" t="n">
        <f aca="false">IF(D975="","",H975+E975-K975-G975*I975)</f>
        <v>77.4394466533232</v>
      </c>
      <c r="M975" s="16" t="n">
        <f aca="false" t="array" ref="M975: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>10.4249735623278</v>
      </c>
      <c r="N975" s="16" t="n">
        <f aca="false">IF(D975="","",(I975+M975)/2)</f>
        <v>8.20432251928309</v>
      </c>
      <c r="O975" s="16" t="n">
        <f aca="false">IF(D975="","",G975*N975)</f>
        <v>0.82453441318795</v>
      </c>
      <c r="P975" s="16" t="n">
        <f aca="false">IF(D975="","",H975+E975-K975-O975)</f>
        <v>77.2162712234972</v>
      </c>
      <c r="Q975" s="16" t="n">
        <f aca="false">IF(D975="","",IF(P975&gt;=0,K975,MAX(0,K975+P975)))</f>
        <v>0.9072</v>
      </c>
      <c r="R975" s="16" t="n">
        <f aca="false">IF(D975="","",Q975/$B$15)</f>
        <v>0.35</v>
      </c>
      <c r="S975" s="16" t="n">
        <f aca="false">IF(D975="","",MAX(0,J975-R975))</f>
        <v>0</v>
      </c>
      <c r="T975" s="16" t="n">
        <f aca="false">IF(D975="","",MAX(0,Z975-$B$8))</f>
        <v>29.9962712234972</v>
      </c>
      <c r="U975" s="16" t="n">
        <f aca="false">IF(D975="","",MAX(0,MIN($B$8,Z975)))</f>
        <v>47.22</v>
      </c>
      <c r="V975" s="16" t="str">
        <f aca="false">IF(D975="","",IF(S975&gt;0.0000001,"Sim","Não"))</f>
        <v>Não</v>
      </c>
      <c r="W975" s="16" t="n">
        <f aca="false">IF(D975="","",U975-(H975+E975-Q975-O975-T975))</f>
        <v>0</v>
      </c>
      <c r="X975" s="16" t="n">
        <f aca="false">IF(W975="","",ABS(W975))</f>
        <v>0</v>
      </c>
      <c r="Y975" s="16" t="n">
        <f aca="false">IF(U975="","",IF($B$8=0,0,U975/$B$8*100))</f>
        <v>100</v>
      </c>
      <c r="Z975" s="18" t="n">
        <f aca="false">IF(D975="","",MAX(0,IF(P975&gt;=0,P975,IF(K975+P975&gt;=0,0,P975+K975))))</f>
        <v>77.2162712234972</v>
      </c>
      <c r="AA975" s="18" t="n">
        <f aca="false">IF(D975="","",IF(H975&lt;=$B$16,1,IF(H975&gt;=$B$17,$B$21,MATCH(H975,Aux_CAV!$A$2:$A$121,1))))</f>
        <v>13</v>
      </c>
      <c r="AB975" s="18" t="n">
        <f aca="false">IF(D975="","",IF(L975&lt;=$B$16,1,IF(L975&gt;=$B$17,$B$21,MATCH(L975,Aux_CAV!$A$2:$A$121,1))))</f>
        <v>17</v>
      </c>
      <c r="AC975" s="19" t="n">
        <f aca="false">IF(D975="","",COUNT($D$24:D975))</f>
        <v>940</v>
      </c>
    </row>
    <row r="976" customFormat="false" ht="12.75" hidden="false" customHeight="true" outlineLevel="0" collapsed="false">
      <c r="A976" s="14" t="n">
        <f aca="false">IF(D976="","",DATE(B976,C976,1))</f>
        <v>32629</v>
      </c>
      <c r="B976" s="15" t="n">
        <f aca="false" t="array" ref="B976:B976">IF(D976="","",IFERROR(VALUE(INDEX(Vazoes_COLAR!$A$2:$A$200,INT((ROW()-24)/12)+1)),""))</f>
        <v>1989</v>
      </c>
      <c r="C976" s="15" t="n">
        <f aca="false">IF(D976="","",MOD(ROW()-24,12)+1)</f>
        <v>5</v>
      </c>
      <c r="D976" s="16" t="n">
        <f aca="false" t="array" ref="D976: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6.7782416037316</v>
      </c>
      <c r="E976" s="16" t="n">
        <f aca="false">IF(D976="","",D976*$B$15)</f>
        <v>17.5692022368723</v>
      </c>
      <c r="F976" s="16" t="n">
        <f aca="false" t="array" ref="F976:F976">IF(D976="","",IFERROR(INDEX(Dados_Evap!$C$2:$N$15,MATCH($B$9,Dados_Evap!$A$2:$A$15,0),C976),0))</f>
        <v>145.8</v>
      </c>
      <c r="G976" s="16" t="n">
        <f aca="false">IF(F976="","",F976/1000)</f>
        <v>0.1458</v>
      </c>
      <c r="H976" s="16" t="n">
        <f aca="false">IF(D976="","",MAX(0,MIN($B$8,IFERROR(LOOKUP(2,1/($U$24:U975&lt;&gt;""),$U$24:U975),$B$11))))</f>
        <v>47.22</v>
      </c>
      <c r="I976" s="16" t="n">
        <f aca="false" t="array" ref="I976: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>6.97</v>
      </c>
      <c r="J976" s="16" t="n">
        <f aca="false">IF(D976="","",$B$12)</f>
        <v>0.35</v>
      </c>
      <c r="K976" s="16" t="n">
        <f aca="false">IF(J976="","",J976*$B$15)</f>
        <v>0.9072</v>
      </c>
      <c r="L976" s="16" t="n">
        <f aca="false">IF(D976="","",H976+E976-K976-G976*I976)</f>
        <v>62.8657762368723</v>
      </c>
      <c r="M976" s="16" t="n">
        <f aca="false" t="array" ref="M976: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>8.86338181980324</v>
      </c>
      <c r="N976" s="16" t="n">
        <f aca="false">IF(D976="","",(I976+M976)/2)</f>
        <v>7.91669090990162</v>
      </c>
      <c r="O976" s="16" t="n">
        <f aca="false">IF(D976="","",G976*N976)</f>
        <v>1.15425353466366</v>
      </c>
      <c r="P976" s="16" t="n">
        <f aca="false">IF(D976="","",H976+E976-K976-O976)</f>
        <v>62.7277487022087</v>
      </c>
      <c r="Q976" s="16" t="n">
        <f aca="false">IF(D976="","",IF(P976&gt;=0,K976,MAX(0,K976+P976)))</f>
        <v>0.9072</v>
      </c>
      <c r="R976" s="16" t="n">
        <f aca="false">IF(D976="","",Q976/$B$15)</f>
        <v>0.35</v>
      </c>
      <c r="S976" s="16" t="n">
        <f aca="false">IF(D976="","",MAX(0,J976-R976))</f>
        <v>0</v>
      </c>
      <c r="T976" s="16" t="n">
        <f aca="false">IF(D976="","",MAX(0,Z976-$B$8))</f>
        <v>15.5077487022087</v>
      </c>
      <c r="U976" s="16" t="n">
        <f aca="false">IF(D976="","",MAX(0,MIN($B$8,Z976)))</f>
        <v>47.22</v>
      </c>
      <c r="V976" s="16" t="str">
        <f aca="false">IF(D976="","",IF(S976&gt;0.0000001,"Sim","Não"))</f>
        <v>Não</v>
      </c>
      <c r="W976" s="16" t="n">
        <f aca="false">IF(D976="","",U976-(H976+E976-Q976-O976-T976))</f>
        <v>0</v>
      </c>
      <c r="X976" s="16" t="n">
        <f aca="false">IF(W976="","",ABS(W976))</f>
        <v>0</v>
      </c>
      <c r="Y976" s="16" t="n">
        <f aca="false">IF(U976="","",IF($B$8=0,0,U976/$B$8*100))</f>
        <v>100</v>
      </c>
      <c r="Z976" s="18" t="n">
        <f aca="false">IF(D976="","",MAX(0,IF(P976&gt;=0,P976,IF(K976+P976&gt;=0,0,P976+K976))))</f>
        <v>62.7277487022087</v>
      </c>
      <c r="AA976" s="18" t="n">
        <f aca="false">IF(D976="","",IF(H976&lt;=$B$16,1,IF(H976&gt;=$B$17,$B$21,MATCH(H976,Aux_CAV!$A$2:$A$121,1))))</f>
        <v>14</v>
      </c>
      <c r="AB976" s="18" t="n">
        <f aca="false">IF(D976="","",IF(L976&lt;=$B$16,1,IF(L976&gt;=$B$17,$B$21,MATCH(L976,Aux_CAV!$A$2:$A$121,1))))</f>
        <v>15</v>
      </c>
      <c r="AC976" s="19" t="n">
        <f aca="false">IF(D976="","",COUNT($D$24:D976))</f>
        <v>941</v>
      </c>
    </row>
    <row r="977" customFormat="false" ht="12.75" hidden="false" customHeight="true" outlineLevel="0" collapsed="false">
      <c r="A977" s="14" t="n">
        <f aca="false">IF(D977="","",DATE(B977,C977,1))</f>
        <v>32660</v>
      </c>
      <c r="B977" s="15" t="n">
        <f aca="false" t="array" ref="B977:B977">IF(D977="","",IFERROR(VALUE(INDEX(Vazoes_COLAR!$A$2:$A$200,INT((ROW()-24)/12)+1)),""))</f>
        <v>1989</v>
      </c>
      <c r="C977" s="15" t="n">
        <f aca="false">IF(D977="","",MOD(ROW()-24,12)+1)</f>
        <v>6</v>
      </c>
      <c r="D977" s="16" t="n">
        <f aca="false" t="array" ref="D977: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0.636071208229275</v>
      </c>
      <c r="E977" s="16" t="n">
        <f aca="false">IF(D977="","",D977*$B$15)</f>
        <v>1.64869657173028</v>
      </c>
      <c r="F977" s="16" t="n">
        <f aca="false" t="array" ref="F977:F977">IF(D977="","",IFERROR(INDEX(Dados_Evap!$C$2:$N$15,MATCH($B$9,Dados_Evap!$A$2:$A$15,0),C977),0))</f>
        <v>161.3</v>
      </c>
      <c r="G977" s="16" t="n">
        <f aca="false">IF(F977="","",F977/1000)</f>
        <v>0.1613</v>
      </c>
      <c r="H977" s="16" t="n">
        <f aca="false">IF(D977="","",MAX(0,MIN($B$8,IFERROR(LOOKUP(2,1/($U$24:U976&lt;&gt;""),$U$24:U976),$B$11))))</f>
        <v>47.22</v>
      </c>
      <c r="I977" s="16" t="n">
        <f aca="false" t="array" ref="I977: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>6.97</v>
      </c>
      <c r="J977" s="16" t="n">
        <f aca="false">IF(D977="","",$B$12)</f>
        <v>0.35</v>
      </c>
      <c r="K977" s="16" t="n">
        <f aca="false">IF(J977="","",J977*$B$15)</f>
        <v>0.9072</v>
      </c>
      <c r="L977" s="16" t="n">
        <f aca="false">IF(D977="","",H977+E977-K977-G977*I977)</f>
        <v>46.8372355717303</v>
      </c>
      <c r="M977" s="16" t="n">
        <f aca="false" t="array" ref="M977: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>6.93178374025923</v>
      </c>
      <c r="N977" s="16" t="n">
        <f aca="false">IF(D977="","",(I977+M977)/2)</f>
        <v>6.95089187012962</v>
      </c>
      <c r="O977" s="16" t="n">
        <f aca="false">IF(D977="","",G977*N977)</f>
        <v>1.12117885865191</v>
      </c>
      <c r="P977" s="16" t="n">
        <f aca="false">IF(D977="","",H977+E977-K977-O977)</f>
        <v>46.8403177130784</v>
      </c>
      <c r="Q977" s="16" t="n">
        <f aca="false">IF(D977="","",IF(P977&gt;=0,K977,MAX(0,K977+P977)))</f>
        <v>0.9072</v>
      </c>
      <c r="R977" s="16" t="n">
        <f aca="false">IF(D977="","",Q977/$B$15)</f>
        <v>0.35</v>
      </c>
      <c r="S977" s="16" t="n">
        <f aca="false">IF(D977="","",MAX(0,J977-R977))</f>
        <v>0</v>
      </c>
      <c r="T977" s="16" t="n">
        <f aca="false">IF(D977="","",MAX(0,Z977-$B$8))</f>
        <v>0</v>
      </c>
      <c r="U977" s="16" t="n">
        <f aca="false">IF(D977="","",MAX(0,MIN($B$8,Z977)))</f>
        <v>46.8403177130784</v>
      </c>
      <c r="V977" s="16" t="str">
        <f aca="false">IF(D977="","",IF(S977&gt;0.0000001,"Sim","Não"))</f>
        <v>Não</v>
      </c>
      <c r="W977" s="16" t="n">
        <f aca="false">IF(D977="","",U977-(H977+E977-Q977-O977-T977))</f>
        <v>0</v>
      </c>
      <c r="X977" s="16" t="n">
        <f aca="false">IF(W977="","",ABS(W977))</f>
        <v>0</v>
      </c>
      <c r="Y977" s="16" t="n">
        <f aca="false">IF(U977="","",IF($B$8=0,0,U977/$B$8*100))</f>
        <v>99.1959290831816</v>
      </c>
      <c r="Z977" s="18" t="n">
        <f aca="false">IF(D977="","",MAX(0,IF(P977&gt;=0,P977,IF(K977+P977&gt;=0,0,P977+K977))))</f>
        <v>46.8403177130784</v>
      </c>
      <c r="AA977" s="18" t="n">
        <f aca="false">IF(D977="","",IF(H977&lt;=$B$16,1,IF(H977&gt;=$B$17,$B$21,MATCH(H977,Aux_CAV!$A$2:$A$121,1))))</f>
        <v>14</v>
      </c>
      <c r="AB977" s="18" t="n">
        <f aca="false">IF(D977="","",IF(L977&lt;=$B$16,1,IF(L977&gt;=$B$17,$B$21,MATCH(L977,Aux_CAV!$A$2:$A$121,1))))</f>
        <v>13</v>
      </c>
      <c r="AC977" s="19" t="n">
        <f aca="false">IF(D977="","",COUNT($D$24:D977))</f>
        <v>942</v>
      </c>
    </row>
    <row r="978" customFormat="false" ht="12.75" hidden="false" customHeight="true" outlineLevel="0" collapsed="false">
      <c r="A978" s="14" t="n">
        <f aca="false">IF(D978="","",DATE(B978,C978,1))</f>
        <v>32690</v>
      </c>
      <c r="B978" s="15" t="n">
        <f aca="false" t="array" ref="B978:B978">IF(D978="","",IFERROR(VALUE(INDEX(Vazoes_COLAR!$A$2:$A$200,INT((ROW()-24)/12)+1)),""))</f>
        <v>1989</v>
      </c>
      <c r="C978" s="15" t="n">
        <f aca="false">IF(D978="","",MOD(ROW()-24,12)+1)</f>
        <v>7</v>
      </c>
      <c r="D978" s="16" t="n">
        <f aca="false" t="array" ref="D978: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0.536295746153831</v>
      </c>
      <c r="E978" s="16" t="n">
        <f aca="false">IF(D978="","",D978*$B$15)</f>
        <v>1.39007857403073</v>
      </c>
      <c r="F978" s="16" t="n">
        <f aca="false" t="array" ref="F978:F978">IF(D978="","",IFERROR(INDEX(Dados_Evap!$C$2:$N$15,MATCH($B$9,Dados_Evap!$A$2:$A$15,0),C978),0))</f>
        <v>224.8</v>
      </c>
      <c r="G978" s="16" t="n">
        <f aca="false">IF(F978="","",F978/1000)</f>
        <v>0.2248</v>
      </c>
      <c r="H978" s="16" t="n">
        <f aca="false">IF(D978="","",MAX(0,MIN($B$8,IFERROR(LOOKUP(2,1/($U$24:U977&lt;&gt;""),$U$24:U977),$B$11))))</f>
        <v>46.8403177130784</v>
      </c>
      <c r="I978" s="16" t="n">
        <f aca="false" t="array" ref="I978: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>6.93209146978062</v>
      </c>
      <c r="J978" s="16" t="n">
        <f aca="false">IF(D978="","",$B$12)</f>
        <v>0.35</v>
      </c>
      <c r="K978" s="16" t="n">
        <f aca="false">IF(J978="","",J978*$B$15)</f>
        <v>0.9072</v>
      </c>
      <c r="L978" s="16" t="n">
        <f aca="false">IF(D978="","",H978+E978-K978-G978*I978)</f>
        <v>45.7648621247024</v>
      </c>
      <c r="M978" s="16" t="n">
        <f aca="false" t="array" ref="M978: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>6.82471500773365</v>
      </c>
      <c r="N978" s="16" t="n">
        <f aca="false">IF(D978="","",(I978+M978)/2)</f>
        <v>6.87840323875714</v>
      </c>
      <c r="O978" s="16" t="n">
        <f aca="false">IF(D978="","",G978*N978)</f>
        <v>1.5462650480726</v>
      </c>
      <c r="P978" s="16" t="n">
        <f aca="false">IF(D978="","",H978+E978-K978-O978)</f>
        <v>45.7769312390365</v>
      </c>
      <c r="Q978" s="16" t="n">
        <f aca="false">IF(D978="","",IF(P978&gt;=0,K978,MAX(0,K978+P978)))</f>
        <v>0.9072</v>
      </c>
      <c r="R978" s="16" t="n">
        <f aca="false">IF(D978="","",Q978/$B$15)</f>
        <v>0.35</v>
      </c>
      <c r="S978" s="16" t="n">
        <f aca="false">IF(D978="","",MAX(0,J978-R978))</f>
        <v>0</v>
      </c>
      <c r="T978" s="16" t="n">
        <f aca="false">IF(D978="","",MAX(0,Z978-$B$8))</f>
        <v>0</v>
      </c>
      <c r="U978" s="16" t="n">
        <f aca="false">IF(D978="","",MAX(0,MIN($B$8,Z978)))</f>
        <v>45.7769312390365</v>
      </c>
      <c r="V978" s="16" t="str">
        <f aca="false">IF(D978="","",IF(S978&gt;0.0000001,"Sim","Não"))</f>
        <v>Não</v>
      </c>
      <c r="W978" s="16" t="n">
        <f aca="false">IF(D978="","",U978-(H978+E978-Q978-O978-T978))</f>
        <v>0</v>
      </c>
      <c r="X978" s="16" t="n">
        <f aca="false">IF(W978="","",ABS(W978))</f>
        <v>0</v>
      </c>
      <c r="Y978" s="16" t="n">
        <f aca="false">IF(U978="","",IF($B$8=0,0,U978/$B$8*100))</f>
        <v>96.9439458683534</v>
      </c>
      <c r="Z978" s="18" t="n">
        <f aca="false">IF(D978="","",MAX(0,IF(P978&gt;=0,P978,IF(K978+P978&gt;=0,0,P978+K978))))</f>
        <v>45.7769312390365</v>
      </c>
      <c r="AA978" s="18" t="n">
        <f aca="false">IF(D978="","",IF(H978&lt;=$B$16,1,IF(H978&gt;=$B$17,$B$21,MATCH(H978,Aux_CAV!$A$2:$A$121,1))))</f>
        <v>13</v>
      </c>
      <c r="AB978" s="18" t="n">
        <f aca="false">IF(D978="","",IF(L978&lt;=$B$16,1,IF(L978&gt;=$B$17,$B$21,MATCH(L978,Aux_CAV!$A$2:$A$121,1))))</f>
        <v>13</v>
      </c>
      <c r="AC978" s="19" t="n">
        <f aca="false">IF(D978="","",COUNT($D$24:D978))</f>
        <v>943</v>
      </c>
    </row>
    <row r="979" customFormat="false" ht="12.75" hidden="false" customHeight="true" outlineLevel="0" collapsed="false">
      <c r="A979" s="14" t="n">
        <f aca="false">IF(D979="","",DATE(B979,C979,1))</f>
        <v>32721</v>
      </c>
      <c r="B979" s="15" t="n">
        <f aca="false" t="array" ref="B979:B979">IF(D979="","",IFERROR(VALUE(INDEX(Vazoes_COLAR!$A$2:$A$200,INT((ROW()-24)/12)+1)),""))</f>
        <v>1989</v>
      </c>
      <c r="C979" s="15" t="n">
        <f aca="false">IF(D979="","",MOD(ROW()-24,12)+1)</f>
        <v>8</v>
      </c>
      <c r="D979" s="16" t="n">
        <f aca="false" t="array" ref="D979: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0.092719101105306</v>
      </c>
      <c r="E979" s="16" t="n">
        <f aca="false">IF(D979="","",D979*$B$15)</f>
        <v>0.240327910064953</v>
      </c>
      <c r="F979" s="16" t="n">
        <f aca="false" t="array" ref="F979:F979">IF(D979="","",IFERROR(INDEX(Dados_Evap!$C$2:$N$15,MATCH($B$9,Dados_Evap!$A$2:$A$15,0),C979),0))</f>
        <v>268.7</v>
      </c>
      <c r="G979" s="16" t="n">
        <f aca="false">IF(F979="","",F979/1000)</f>
        <v>0.2687</v>
      </c>
      <c r="H979" s="16" t="n">
        <f aca="false">IF(D979="","",MAX(0,MIN($B$8,IFERROR(LOOKUP(2,1/($U$24:U978&lt;&gt;""),$U$24:U978),$B$11))))</f>
        <v>45.7769312390365</v>
      </c>
      <c r="I979" s="16" t="n">
        <f aca="false" t="array" ref="I979: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>6.82592002150757</v>
      </c>
      <c r="J979" s="16" t="n">
        <f aca="false">IF(D979="","",$B$12)</f>
        <v>0.35</v>
      </c>
      <c r="K979" s="16" t="n">
        <f aca="false">IF(J979="","",J979*$B$15)</f>
        <v>0.9072</v>
      </c>
      <c r="L979" s="16" t="n">
        <f aca="false">IF(D979="","",H979+E979-K979-G979*I979)</f>
        <v>43.2759344393224</v>
      </c>
      <c r="M979" s="16" t="n">
        <f aca="false" t="array" ref="M979: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>6.57621358002668</v>
      </c>
      <c r="N979" s="16" t="n">
        <f aca="false">IF(D979="","",(I979+M979)/2)</f>
        <v>6.70106680076713</v>
      </c>
      <c r="O979" s="16" t="n">
        <f aca="false">IF(D979="","",G979*N979)</f>
        <v>1.80057664936613</v>
      </c>
      <c r="P979" s="16" t="n">
        <f aca="false">IF(D979="","",H979+E979-K979-O979)</f>
        <v>43.3094824997353</v>
      </c>
      <c r="Q979" s="16" t="n">
        <f aca="false">IF(D979="","",IF(P979&gt;=0,K979,MAX(0,K979+P979)))</f>
        <v>0.9072</v>
      </c>
      <c r="R979" s="16" t="n">
        <f aca="false">IF(D979="","",Q979/$B$15)</f>
        <v>0.35</v>
      </c>
      <c r="S979" s="16" t="n">
        <f aca="false">IF(D979="","",MAX(0,J979-R979))</f>
        <v>0</v>
      </c>
      <c r="T979" s="16" t="n">
        <f aca="false">IF(D979="","",MAX(0,Z979-$B$8))</f>
        <v>0</v>
      </c>
      <c r="U979" s="16" t="n">
        <f aca="false">IF(D979="","",MAX(0,MIN($B$8,Z979)))</f>
        <v>43.3094824997353</v>
      </c>
      <c r="V979" s="16" t="str">
        <f aca="false">IF(D979="","",IF(S979&gt;0.0000001,"Sim","Não"))</f>
        <v>Não</v>
      </c>
      <c r="W979" s="16" t="n">
        <f aca="false">IF(D979="","",U979-(H979+E979-Q979-O979-T979))</f>
        <v>0</v>
      </c>
      <c r="X979" s="16" t="n">
        <f aca="false">IF(W979="","",ABS(W979))</f>
        <v>0</v>
      </c>
      <c r="Y979" s="16" t="n">
        <f aca="false">IF(U979="","",IF($B$8=0,0,U979/$B$8*100))</f>
        <v>91.7185144001171</v>
      </c>
      <c r="Z979" s="18" t="n">
        <f aca="false">IF(D979="","",MAX(0,IF(P979&gt;=0,P979,IF(K979+P979&gt;=0,0,P979+K979))))</f>
        <v>43.3094824997353</v>
      </c>
      <c r="AA979" s="18" t="n">
        <f aca="false">IF(D979="","",IF(H979&lt;=$B$16,1,IF(H979&gt;=$B$17,$B$21,MATCH(H979,Aux_CAV!$A$2:$A$121,1))))</f>
        <v>13</v>
      </c>
      <c r="AB979" s="18" t="n">
        <f aca="false">IF(D979="","",IF(L979&lt;=$B$16,1,IF(L979&gt;=$B$17,$B$21,MATCH(L979,Aux_CAV!$A$2:$A$121,1))))</f>
        <v>13</v>
      </c>
      <c r="AC979" s="19" t="n">
        <f aca="false">IF(D979="","",COUNT($D$24:D979))</f>
        <v>944</v>
      </c>
    </row>
    <row r="980" customFormat="false" ht="12.75" hidden="false" customHeight="true" outlineLevel="0" collapsed="false">
      <c r="A980" s="14" t="n">
        <f aca="false">IF(D980="","",DATE(B980,C980,1))</f>
        <v>32752</v>
      </c>
      <c r="B980" s="15" t="n">
        <f aca="false" t="array" ref="B980:B980">IF(D980="","",IFERROR(VALUE(INDEX(Vazoes_COLAR!$A$2:$A$200,INT((ROW()-24)/12)+1)),""))</f>
        <v>1989</v>
      </c>
      <c r="C980" s="15" t="n">
        <f aca="false">IF(D980="","",MOD(ROW()-24,12)+1)</f>
        <v>9</v>
      </c>
      <c r="D980" s="16" t="n">
        <f aca="false" t="array" ref="D980: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0.160004609329414</v>
      </c>
      <c r="E980" s="16" t="n">
        <f aca="false">IF(D980="","",D980*$B$15)</f>
        <v>0.414731947381841</v>
      </c>
      <c r="F980" s="16" t="n">
        <f aca="false" t="array" ref="F980:F980">IF(D980="","",IFERROR(INDEX(Dados_Evap!$C$2:$N$15,MATCH($B$9,Dados_Evap!$A$2:$A$15,0),C980),0))</f>
        <v>292.8</v>
      </c>
      <c r="G980" s="16" t="n">
        <f aca="false">IF(F980="","",F980/1000)</f>
        <v>0.2928</v>
      </c>
      <c r="H980" s="16" t="n">
        <f aca="false">IF(D980="","",MAX(0,MIN($B$8,IFERROR(LOOKUP(2,1/($U$24:U979&lt;&gt;""),$U$24:U979),$B$11))))</f>
        <v>43.3094824997353</v>
      </c>
      <c r="I980" s="16" t="n">
        <f aca="false" t="array" ref="I980: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>6.57956311121571</v>
      </c>
      <c r="J980" s="16" t="n">
        <f aca="false">IF(D980="","",$B$12)</f>
        <v>0.35</v>
      </c>
      <c r="K980" s="16" t="n">
        <f aca="false">IF(J980="","",J980*$B$15)</f>
        <v>0.9072</v>
      </c>
      <c r="L980" s="16" t="n">
        <f aca="false">IF(D980="","",H980+E980-K980-G980*I980)</f>
        <v>40.8905183681532</v>
      </c>
      <c r="M980" s="16" t="n">
        <f aca="false" t="array" ref="M980: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>6.33804703832976</v>
      </c>
      <c r="N980" s="16" t="n">
        <f aca="false">IF(D980="","",(I980+M980)/2)</f>
        <v>6.45880507477274</v>
      </c>
      <c r="O980" s="16" t="n">
        <f aca="false">IF(D980="","",G980*N980)</f>
        <v>1.89113812589346</v>
      </c>
      <c r="P980" s="16" t="n">
        <f aca="false">IF(D980="","",H980+E980-K980-O980)</f>
        <v>40.9258763212237</v>
      </c>
      <c r="Q980" s="16" t="n">
        <f aca="false">IF(D980="","",IF(P980&gt;=0,K980,MAX(0,K980+P980)))</f>
        <v>0.9072</v>
      </c>
      <c r="R980" s="16" t="n">
        <f aca="false">IF(D980="","",Q980/$B$15)</f>
        <v>0.35</v>
      </c>
      <c r="S980" s="16" t="n">
        <f aca="false">IF(D980="","",MAX(0,J980-R980))</f>
        <v>0</v>
      </c>
      <c r="T980" s="16" t="n">
        <f aca="false">IF(D980="","",MAX(0,Z980-$B$8))</f>
        <v>0</v>
      </c>
      <c r="U980" s="16" t="n">
        <f aca="false">IF(D980="","",MAX(0,MIN($B$8,Z980)))</f>
        <v>40.9258763212237</v>
      </c>
      <c r="V980" s="16" t="str">
        <f aca="false">IF(D980="","",IF(S980&gt;0.0000001,"Sim","Não"))</f>
        <v>Não</v>
      </c>
      <c r="W980" s="16" t="n">
        <f aca="false">IF(D980="","",U980-(H980+E980-Q980-O980-T980))</f>
        <v>0</v>
      </c>
      <c r="X980" s="16" t="n">
        <f aca="false">IF(W980="","",ABS(W980))</f>
        <v>0</v>
      </c>
      <c r="Y980" s="16" t="n">
        <f aca="false">IF(U980="","",IF($B$8=0,0,U980/$B$8*100))</f>
        <v>86.6706402397791</v>
      </c>
      <c r="Z980" s="18" t="n">
        <f aca="false">IF(D980="","",MAX(0,IF(P980&gt;=0,P980,IF(K980+P980&gt;=0,0,P980+K980))))</f>
        <v>40.9258763212237</v>
      </c>
      <c r="AA980" s="18" t="n">
        <f aca="false">IF(D980="","",IF(H980&lt;=$B$16,1,IF(H980&gt;=$B$17,$B$21,MATCH(H980,Aux_CAV!$A$2:$A$121,1))))</f>
        <v>13</v>
      </c>
      <c r="AB980" s="18" t="n">
        <f aca="false">IF(D980="","",IF(L980&lt;=$B$16,1,IF(L980&gt;=$B$17,$B$21,MATCH(L980,Aux_CAV!$A$2:$A$121,1))))</f>
        <v>13</v>
      </c>
      <c r="AC980" s="19" t="n">
        <f aca="false">IF(D980="","",COUNT($D$24:D980))</f>
        <v>945</v>
      </c>
    </row>
    <row r="981" customFormat="false" ht="12.75" hidden="false" customHeight="true" outlineLevel="0" collapsed="false">
      <c r="A981" s="14" t="n">
        <f aca="false">IF(D981="","",DATE(B981,C981,1))</f>
        <v>32782</v>
      </c>
      <c r="B981" s="15" t="n">
        <f aca="false" t="array" ref="B981:B981">IF(D981="","",IFERROR(VALUE(INDEX(Vazoes_COLAR!$A$2:$A$200,INT((ROW()-24)/12)+1)),""))</f>
        <v>1989</v>
      </c>
      <c r="C981" s="15" t="n">
        <f aca="false">IF(D981="","",MOD(ROW()-24,12)+1)</f>
        <v>10</v>
      </c>
      <c r="D981" s="16" t="n">
        <f aca="false" t="array" ref="D981: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0.128357965029797</v>
      </c>
      <c r="E981" s="16" t="n">
        <f aca="false">IF(D981="","",D981*$B$15)</f>
        <v>0.332703845357234</v>
      </c>
      <c r="F981" s="16" t="n">
        <f aca="false" t="array" ref="F981:F981">IF(D981="","",IFERROR(INDEX(Dados_Evap!$C$2:$N$15,MATCH($B$9,Dados_Evap!$A$2:$A$15,0),C981),0))</f>
        <v>262.9</v>
      </c>
      <c r="G981" s="16" t="n">
        <f aca="false">IF(F981="","",F981/1000)</f>
        <v>0.2629</v>
      </c>
      <c r="H981" s="16" t="n">
        <f aca="false">IF(D981="","",MAX(0,MIN($B$8,IFERROR(LOOKUP(2,1/($U$24:U980&lt;&gt;""),$U$24:U980),$B$11))))</f>
        <v>40.9258763212237</v>
      </c>
      <c r="I981" s="16" t="n">
        <f aca="false" t="array" ref="I981: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>6.34157727421023</v>
      </c>
      <c r="J981" s="16" t="n">
        <f aca="false">IF(D981="","",$B$12)</f>
        <v>0.35</v>
      </c>
      <c r="K981" s="16" t="n">
        <f aca="false">IF(J981="","",J981*$B$15)</f>
        <v>0.9072</v>
      </c>
      <c r="L981" s="16" t="n">
        <f aca="false">IF(D981="","",H981+E981-K981-G981*I981)</f>
        <v>38.6841795011911</v>
      </c>
      <c r="M981" s="16" t="n">
        <f aca="false" t="array" ref="M981: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>6.11776006026043</v>
      </c>
      <c r="N981" s="16" t="n">
        <f aca="false">IF(D981="","",(I981+M981)/2)</f>
        <v>6.22966866723533</v>
      </c>
      <c r="O981" s="16" t="n">
        <f aca="false">IF(D981="","",G981*N981)</f>
        <v>1.63777989261617</v>
      </c>
      <c r="P981" s="16" t="n">
        <f aca="false">IF(D981="","",H981+E981-K981-O981)</f>
        <v>38.7136002739648</v>
      </c>
      <c r="Q981" s="16" t="n">
        <f aca="false">IF(D981="","",IF(P981&gt;=0,K981,MAX(0,K981+P981)))</f>
        <v>0.9072</v>
      </c>
      <c r="R981" s="16" t="n">
        <f aca="false">IF(D981="","",Q981/$B$15)</f>
        <v>0.35</v>
      </c>
      <c r="S981" s="16" t="n">
        <f aca="false">IF(D981="","",MAX(0,J981-R981))</f>
        <v>0</v>
      </c>
      <c r="T981" s="16" t="n">
        <f aca="false">IF(D981="","",MAX(0,Z981-$B$8))</f>
        <v>0</v>
      </c>
      <c r="U981" s="16" t="n">
        <f aca="false">IF(D981="","",MAX(0,MIN($B$8,Z981)))</f>
        <v>38.7136002739648</v>
      </c>
      <c r="V981" s="16" t="str">
        <f aca="false">IF(D981="","",IF(S981&gt;0.0000001,"Sim","Não"))</f>
        <v>Não</v>
      </c>
      <c r="W981" s="16" t="n">
        <f aca="false">IF(D981="","",U981-(H981+E981-Q981-O981-T981))</f>
        <v>0</v>
      </c>
      <c r="X981" s="16" t="n">
        <f aca="false">IF(W981="","",ABS(W981))</f>
        <v>0</v>
      </c>
      <c r="Y981" s="16" t="n">
        <f aca="false">IF(U981="","",IF($B$8=0,0,U981/$B$8*100))</f>
        <v>81.985599902509</v>
      </c>
      <c r="Z981" s="18" t="n">
        <f aca="false">IF(D981="","",MAX(0,IF(P981&gt;=0,P981,IF(K981+P981&gt;=0,0,P981+K981))))</f>
        <v>38.7136002739648</v>
      </c>
      <c r="AA981" s="18" t="n">
        <f aca="false">IF(D981="","",IF(H981&lt;=$B$16,1,IF(H981&gt;=$B$17,$B$21,MATCH(H981,Aux_CAV!$A$2:$A$121,1))))</f>
        <v>13</v>
      </c>
      <c r="AB981" s="18" t="n">
        <f aca="false">IF(D981="","",IF(L981&lt;=$B$16,1,IF(L981&gt;=$B$17,$B$21,MATCH(L981,Aux_CAV!$A$2:$A$121,1))))</f>
        <v>13</v>
      </c>
      <c r="AC981" s="19" t="n">
        <f aca="false">IF(D981="","",COUNT($D$24:D981))</f>
        <v>946</v>
      </c>
    </row>
    <row r="982" customFormat="false" ht="12.75" hidden="false" customHeight="true" outlineLevel="0" collapsed="false">
      <c r="A982" s="14" t="n">
        <f aca="false">IF(D982="","",DATE(B982,C982,1))</f>
        <v>32813</v>
      </c>
      <c r="B982" s="15" t="n">
        <f aca="false" t="array" ref="B982:B982">IF(D982="","",IFERROR(VALUE(INDEX(Vazoes_COLAR!$A$2:$A$200,INT((ROW()-24)/12)+1)),""))</f>
        <v>1989</v>
      </c>
      <c r="C982" s="15" t="n">
        <f aca="false">IF(D982="","",MOD(ROW()-24,12)+1)</f>
        <v>11</v>
      </c>
      <c r="D982" s="16" t="n">
        <f aca="false" t="array" ref="D982: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0.0736793540250449</v>
      </c>
      <c r="E982" s="16" t="n">
        <f aca="false">IF(D982="","",D982*$B$15)</f>
        <v>0.190976885632916</v>
      </c>
      <c r="F982" s="16" t="n">
        <f aca="false" t="array" ref="F982:F982">IF(D982="","",IFERROR(INDEX(Dados_Evap!$C$2:$N$15,MATCH($B$9,Dados_Evap!$A$2:$A$15,0),C982),0))</f>
        <v>223.7</v>
      </c>
      <c r="G982" s="16" t="n">
        <f aca="false">IF(F982="","",F982/1000)</f>
        <v>0.2237</v>
      </c>
      <c r="H982" s="16" t="n">
        <f aca="false">IF(D982="","",MAX(0,MIN($B$8,IFERROR(LOOKUP(2,1/($U$24:U981&lt;&gt;""),$U$24:U981),$B$11))))</f>
        <v>38.7136002739648</v>
      </c>
      <c r="I982" s="16" t="n">
        <f aca="false" t="array" ref="I982: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>6.12069751163013</v>
      </c>
      <c r="J982" s="16" t="n">
        <f aca="false">IF(D982="","",$B$12)</f>
        <v>0.35</v>
      </c>
      <c r="K982" s="16" t="n">
        <f aca="false">IF(J982="","",J982*$B$15)</f>
        <v>0.9072</v>
      </c>
      <c r="L982" s="16" t="n">
        <f aca="false">IF(D982="","",H982+E982-K982-G982*I982)</f>
        <v>36.628177126246</v>
      </c>
      <c r="M982" s="16" t="n">
        <f aca="false" t="array" ref="M982: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>5.9124830935796</v>
      </c>
      <c r="N982" s="16" t="n">
        <f aca="false">IF(D982="","",(I982+M982)/2)</f>
        <v>6.01659030260486</v>
      </c>
      <c r="O982" s="16" t="n">
        <f aca="false">IF(D982="","",G982*N982)</f>
        <v>1.34591125069271</v>
      </c>
      <c r="P982" s="16" t="n">
        <f aca="false">IF(D982="","",H982+E982-K982-O982)</f>
        <v>36.651465908905</v>
      </c>
      <c r="Q982" s="16" t="n">
        <f aca="false">IF(D982="","",IF(P982&gt;=0,K982,MAX(0,K982+P982)))</f>
        <v>0.9072</v>
      </c>
      <c r="R982" s="16" t="n">
        <f aca="false">IF(D982="","",Q982/$B$15)</f>
        <v>0.35</v>
      </c>
      <c r="S982" s="16" t="n">
        <f aca="false">IF(D982="","",MAX(0,J982-R982))</f>
        <v>0</v>
      </c>
      <c r="T982" s="16" t="n">
        <f aca="false">IF(D982="","",MAX(0,Z982-$B$8))</f>
        <v>0</v>
      </c>
      <c r="U982" s="16" t="n">
        <f aca="false">IF(D982="","",MAX(0,MIN($B$8,Z982)))</f>
        <v>36.651465908905</v>
      </c>
      <c r="V982" s="16" t="str">
        <f aca="false">IF(D982="","",IF(S982&gt;0.0000001,"Sim","Não"))</f>
        <v>Não</v>
      </c>
      <c r="W982" s="16" t="n">
        <f aca="false">IF(D982="","",U982-(H982+E982-Q982-O982-T982))</f>
        <v>0</v>
      </c>
      <c r="X982" s="16" t="n">
        <f aca="false">IF(W982="","",ABS(W982))</f>
        <v>0</v>
      </c>
      <c r="Y982" s="16" t="n">
        <f aca="false">IF(U982="","",IF($B$8=0,0,U982/$B$8*100))</f>
        <v>77.618521619875</v>
      </c>
      <c r="Z982" s="18" t="n">
        <f aca="false">IF(D982="","",MAX(0,IF(P982&gt;=0,P982,IF(K982+P982&gt;=0,0,P982+K982))))</f>
        <v>36.651465908905</v>
      </c>
      <c r="AA982" s="18" t="n">
        <f aca="false">IF(D982="","",IF(H982&lt;=$B$16,1,IF(H982&gt;=$B$17,$B$21,MATCH(H982,Aux_CAV!$A$2:$A$121,1))))</f>
        <v>13</v>
      </c>
      <c r="AB982" s="18" t="n">
        <f aca="false">IF(D982="","",IF(L982&lt;=$B$16,1,IF(L982&gt;=$B$17,$B$21,MATCH(L982,Aux_CAV!$A$2:$A$121,1))))</f>
        <v>13</v>
      </c>
      <c r="AC982" s="19" t="n">
        <f aca="false">IF(D982="","",COUNT($D$24:D982))</f>
        <v>947</v>
      </c>
    </row>
    <row r="983" customFormat="false" ht="12.75" hidden="false" customHeight="true" outlineLevel="0" collapsed="false">
      <c r="A983" s="14" t="n">
        <f aca="false">IF(D983="","",DATE(B983,C983,1))</f>
        <v>32843</v>
      </c>
      <c r="B983" s="15" t="n">
        <f aca="false" t="array" ref="B983:B983">IF(D983="","",IFERROR(VALUE(INDEX(Vazoes_COLAR!$A$2:$A$200,INT((ROW()-24)/12)+1)),""))</f>
        <v>1989</v>
      </c>
      <c r="C983" s="15" t="n">
        <f aca="false">IF(D983="","",MOD(ROW()-24,12)+1)</f>
        <v>12</v>
      </c>
      <c r="D983" s="16" t="n">
        <f aca="false" t="array" ref="D983: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1.13300839282955</v>
      </c>
      <c r="E983" s="16" t="n">
        <f aca="false">IF(D983="","",D983*$B$15)</f>
        <v>2.93675775421419</v>
      </c>
      <c r="F983" s="16" t="n">
        <f aca="false" t="array" ref="F983:F983">IF(D983="","",IFERROR(INDEX(Dados_Evap!$C$2:$N$15,MATCH($B$9,Dados_Evap!$A$2:$A$15,0),C983),0))</f>
        <v>216.1</v>
      </c>
      <c r="G983" s="16" t="n">
        <f aca="false">IF(F983="","",F983/1000)</f>
        <v>0.2161</v>
      </c>
      <c r="H983" s="16" t="n">
        <f aca="false">IF(D983="","",MAX(0,MIN($B$8,IFERROR(LOOKUP(2,1/($U$24:U982&lt;&gt;""),$U$24:U982),$B$11))))</f>
        <v>36.651465908905</v>
      </c>
      <c r="I983" s="16" t="n">
        <f aca="false" t="array" ref="I983: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>5.91480831008721</v>
      </c>
      <c r="J983" s="16" t="n">
        <f aca="false">IF(D983="","",$B$12)</f>
        <v>0.35</v>
      </c>
      <c r="K983" s="16" t="n">
        <f aca="false">IF(J983="","",J983*$B$15)</f>
        <v>0.9072</v>
      </c>
      <c r="L983" s="16" t="n">
        <f aca="false">IF(D983="","",H983+E983-K983-G983*I983)</f>
        <v>37.4028335873093</v>
      </c>
      <c r="M983" s="16" t="n">
        <f aca="false" t="array" ref="M983: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>5.98982693835557</v>
      </c>
      <c r="N983" s="16" t="n">
        <f aca="false">IF(D983="","",(I983+M983)/2)</f>
        <v>5.95231762422139</v>
      </c>
      <c r="O983" s="16" t="n">
        <f aca="false">IF(D983="","",G983*N983)</f>
        <v>1.28629583859424</v>
      </c>
      <c r="P983" s="16" t="n">
        <f aca="false">IF(D983="","",H983+E983-K983-O983)</f>
        <v>37.3947278245249</v>
      </c>
      <c r="Q983" s="16" t="n">
        <f aca="false">IF(D983="","",IF(P983&gt;=0,K983,MAX(0,K983+P983)))</f>
        <v>0.9072</v>
      </c>
      <c r="R983" s="16" t="n">
        <f aca="false">IF(D983="","",Q983/$B$15)</f>
        <v>0.35</v>
      </c>
      <c r="S983" s="16" t="n">
        <f aca="false">IF(D983="","",MAX(0,J983-R983))</f>
        <v>0</v>
      </c>
      <c r="T983" s="16" t="n">
        <f aca="false">IF(D983="","",MAX(0,Z983-$B$8))</f>
        <v>0</v>
      </c>
      <c r="U983" s="16" t="n">
        <f aca="false">IF(D983="","",MAX(0,MIN($B$8,Z983)))</f>
        <v>37.3947278245249</v>
      </c>
      <c r="V983" s="16" t="str">
        <f aca="false">IF(D983="","",IF(S983&gt;0.0000001,"Sim","Não"))</f>
        <v>Não</v>
      </c>
      <c r="W983" s="16" t="n">
        <f aca="false">IF(D983="","",U983-(H983+E983-Q983-O983-T983))</f>
        <v>0</v>
      </c>
      <c r="X983" s="16" t="n">
        <f aca="false">IF(W983="","",ABS(W983))</f>
        <v>0</v>
      </c>
      <c r="Y983" s="16" t="n">
        <f aca="false">IF(U983="","",IF($B$8=0,0,U983/$B$8*100))</f>
        <v>79.1925621019164</v>
      </c>
      <c r="Z983" s="18" t="n">
        <f aca="false">IF(D983="","",MAX(0,IF(P983&gt;=0,P983,IF(K983+P983&gt;=0,0,P983+K983))))</f>
        <v>37.3947278245249</v>
      </c>
      <c r="AA983" s="18" t="n">
        <f aca="false">IF(D983="","",IF(H983&lt;=$B$16,1,IF(H983&gt;=$B$17,$B$21,MATCH(H983,Aux_CAV!$A$2:$A$121,1))))</f>
        <v>13</v>
      </c>
      <c r="AB983" s="18" t="n">
        <f aca="false">IF(D983="","",IF(L983&lt;=$B$16,1,IF(L983&gt;=$B$17,$B$21,MATCH(L983,Aux_CAV!$A$2:$A$121,1))))</f>
        <v>13</v>
      </c>
      <c r="AC983" s="19" t="n">
        <f aca="false">IF(D983="","",COUNT($D$24:D983))</f>
        <v>948</v>
      </c>
    </row>
    <row r="984" customFormat="false" ht="12.75" hidden="false" customHeight="true" outlineLevel="0" collapsed="false">
      <c r="A984" s="14" t="n">
        <f aca="false">IF(D984="","",DATE(B984,C984,1))</f>
        <v>32874</v>
      </c>
      <c r="B984" s="15" t="n">
        <f aca="false" t="array" ref="B984:B984">IF(D984="","",IFERROR(VALUE(INDEX(Vazoes_COLAR!$A$2:$A$200,INT((ROW()-24)/12)+1)),""))</f>
        <v>1990</v>
      </c>
      <c r="C984" s="15" t="n">
        <f aca="false">IF(D984="","",MOD(ROW()-24,12)+1)</f>
        <v>1</v>
      </c>
      <c r="D984" s="16" t="n">
        <f aca="false" t="array" ref="D984: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0.418038221973283</v>
      </c>
      <c r="E984" s="16" t="n">
        <f aca="false">IF(D984="","",D984*$B$15)</f>
        <v>1.08355507135475</v>
      </c>
      <c r="F984" s="16" t="n">
        <f aca="false" t="array" ref="F984:F984">IF(D984="","",IFERROR(INDEX(Dados_Evap!$C$2:$N$15,MATCH($B$9,Dados_Evap!$A$2:$A$15,0),C984),0))</f>
        <v>160</v>
      </c>
      <c r="G984" s="16" t="n">
        <f aca="false">IF(F984="","",F984/1000)</f>
        <v>0.16</v>
      </c>
      <c r="H984" s="16" t="n">
        <f aca="false">IF(D984="","",MAX(0,MIN($B$8,IFERROR(LOOKUP(2,1/($U$24:U983&lt;&gt;""),$U$24:U983),$B$11))))</f>
        <v>37.3947278245249</v>
      </c>
      <c r="I984" s="16" t="n">
        <f aca="false" t="array" ref="I984: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>5.98901763656813</v>
      </c>
      <c r="J984" s="16" t="n">
        <f aca="false">IF(D984="","",$B$12)</f>
        <v>0.35</v>
      </c>
      <c r="K984" s="16" t="n">
        <f aca="false">IF(J984="","",J984*$B$15)</f>
        <v>0.9072</v>
      </c>
      <c r="L984" s="16" t="n">
        <f aca="false">IF(D984="","",H984+E984-K984-G984*I984)</f>
        <v>36.6128400740288</v>
      </c>
      <c r="M984" s="16" t="n">
        <f aca="false" t="array" ref="M984: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>5.91095179984407</v>
      </c>
      <c r="N984" s="16" t="n">
        <f aca="false">IF(D984="","",(I984+M984)/2)</f>
        <v>5.9499847182061</v>
      </c>
      <c r="O984" s="16" t="n">
        <f aca="false">IF(D984="","",G984*N984)</f>
        <v>0.951997554912976</v>
      </c>
      <c r="P984" s="16" t="n">
        <f aca="false">IF(D984="","",H984+E984-K984-O984)</f>
        <v>36.6190853409667</v>
      </c>
      <c r="Q984" s="16" t="n">
        <f aca="false">IF(D984="","",IF(P984&gt;=0,K984,MAX(0,K984+P984)))</f>
        <v>0.9072</v>
      </c>
      <c r="R984" s="16" t="n">
        <f aca="false">IF(D984="","",Q984/$B$15)</f>
        <v>0.35</v>
      </c>
      <c r="S984" s="16" t="n">
        <f aca="false">IF(D984="","",MAX(0,J984-R984))</f>
        <v>0</v>
      </c>
      <c r="T984" s="16" t="n">
        <f aca="false">IF(D984="","",MAX(0,Z984-$B$8))</f>
        <v>0</v>
      </c>
      <c r="U984" s="16" t="n">
        <f aca="false">IF(D984="","",MAX(0,MIN($B$8,Z984)))</f>
        <v>36.6190853409667</v>
      </c>
      <c r="V984" s="16" t="str">
        <f aca="false">IF(D984="","",IF(S984&gt;0.0000001,"Sim","Não"))</f>
        <v>Não</v>
      </c>
      <c r="W984" s="16" t="n">
        <f aca="false">IF(D984="","",U984-(H984+E984-Q984-O984-T984))</f>
        <v>0</v>
      </c>
      <c r="X984" s="16" t="n">
        <f aca="false">IF(W984="","",ABS(W984))</f>
        <v>0</v>
      </c>
      <c r="Y984" s="16" t="n">
        <f aca="false">IF(U984="","",IF($B$8=0,0,U984/$B$8*100))</f>
        <v>77.5499477784131</v>
      </c>
      <c r="Z984" s="18" t="n">
        <f aca="false">IF(D984="","",MAX(0,IF(P984&gt;=0,P984,IF(K984+P984&gt;=0,0,P984+K984))))</f>
        <v>36.6190853409667</v>
      </c>
      <c r="AA984" s="18" t="n">
        <f aca="false">IF(D984="","",IF(H984&lt;=$B$16,1,IF(H984&gt;=$B$17,$B$21,MATCH(H984,Aux_CAV!$A$2:$A$121,1))))</f>
        <v>13</v>
      </c>
      <c r="AB984" s="18" t="n">
        <f aca="false">IF(D984="","",IF(L984&lt;=$B$16,1,IF(L984&gt;=$B$17,$B$21,MATCH(L984,Aux_CAV!$A$2:$A$121,1))))</f>
        <v>13</v>
      </c>
      <c r="AC984" s="19" t="n">
        <f aca="false">IF(D984="","",COUNT($D$24:D984))</f>
        <v>949</v>
      </c>
    </row>
    <row r="985" customFormat="false" ht="12.75" hidden="false" customHeight="true" outlineLevel="0" collapsed="false">
      <c r="A985" s="14" t="n">
        <f aca="false">IF(D985="","",DATE(B985,C985,1))</f>
        <v>32905</v>
      </c>
      <c r="B985" s="15" t="n">
        <f aca="false" t="array" ref="B985:B985">IF(D985="","",IFERROR(VALUE(INDEX(Vazoes_COLAR!$A$2:$A$200,INT((ROW()-24)/12)+1)),""))</f>
        <v>1990</v>
      </c>
      <c r="C985" s="15" t="n">
        <f aca="false">IF(D985="","",MOD(ROW()-24,12)+1)</f>
        <v>2</v>
      </c>
      <c r="D985" s="16" t="n">
        <f aca="false" t="array" ref="D985: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0.906597394923104</v>
      </c>
      <c r="E985" s="16" t="n">
        <f aca="false">IF(D985="","",D985*$B$15)</f>
        <v>2.34990044764069</v>
      </c>
      <c r="F985" s="16" t="n">
        <f aca="false" t="array" ref="F985:F985">IF(D985="","",IFERROR(INDEX(Dados_Evap!$C$2:$N$15,MATCH($B$9,Dados_Evap!$A$2:$A$15,0),C985),0))</f>
        <v>124.3</v>
      </c>
      <c r="G985" s="16" t="n">
        <f aca="false">IF(F985="","",F985/1000)</f>
        <v>0.1243</v>
      </c>
      <c r="H985" s="16" t="n">
        <f aca="false">IF(D985="","",MAX(0,MIN($B$8,IFERROR(LOOKUP(2,1/($U$24:U984&lt;&gt;""),$U$24:U984),$B$11))))</f>
        <v>36.6190853409667</v>
      </c>
      <c r="I985" s="16" t="n">
        <f aca="false" t="array" ref="I985: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>5.91157534457765</v>
      </c>
      <c r="J985" s="16" t="n">
        <f aca="false">IF(D985="","",$B$12)</f>
        <v>0.35</v>
      </c>
      <c r="K985" s="16" t="n">
        <f aca="false">IF(J985="","",J985*$B$15)</f>
        <v>0.9072</v>
      </c>
      <c r="L985" s="16" t="n">
        <f aca="false">IF(D985="","",H985+E985-K985-G985*I985)</f>
        <v>37.3269769732764</v>
      </c>
      <c r="M985" s="16" t="n">
        <f aca="false" t="array" ref="M985: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>5.98225320409285</v>
      </c>
      <c r="N985" s="16" t="n">
        <f aca="false">IF(D985="","",(I985+M985)/2)</f>
        <v>5.94691427433525</v>
      </c>
      <c r="O985" s="16" t="n">
        <f aca="false">IF(D985="","",G985*N985)</f>
        <v>0.739201444299871</v>
      </c>
      <c r="P985" s="16" t="n">
        <f aca="false">IF(D985="","",H985+E985-K985-O985)</f>
        <v>37.3225843443075</v>
      </c>
      <c r="Q985" s="16" t="n">
        <f aca="false">IF(D985="","",IF(P985&gt;=0,K985,MAX(0,K985+P985)))</f>
        <v>0.9072</v>
      </c>
      <c r="R985" s="16" t="n">
        <f aca="false">IF(D985="","",Q985/$B$15)</f>
        <v>0.35</v>
      </c>
      <c r="S985" s="16" t="n">
        <f aca="false">IF(D985="","",MAX(0,J985-R985))</f>
        <v>0</v>
      </c>
      <c r="T985" s="16" t="n">
        <f aca="false">IF(D985="","",MAX(0,Z985-$B$8))</f>
        <v>0</v>
      </c>
      <c r="U985" s="16" t="n">
        <f aca="false">IF(D985="","",MAX(0,MIN($B$8,Z985)))</f>
        <v>37.3225843443075</v>
      </c>
      <c r="V985" s="16" t="str">
        <f aca="false">IF(D985="","",IF(S985&gt;0.0000001,"Sim","Não"))</f>
        <v>Não</v>
      </c>
      <c r="W985" s="16" t="n">
        <f aca="false">IF(D985="","",U985-(H985+E985-Q985-O985-T985))</f>
        <v>0</v>
      </c>
      <c r="X985" s="16" t="n">
        <f aca="false">IF(W985="","",ABS(W985))</f>
        <v>0</v>
      </c>
      <c r="Y985" s="16" t="n">
        <f aca="false">IF(U985="","",IF($B$8=0,0,U985/$B$8*100))</f>
        <v>79.0397804834975</v>
      </c>
      <c r="Z985" s="18" t="n">
        <f aca="false">IF(D985="","",MAX(0,IF(P985&gt;=0,P985,IF(K985+P985&gt;=0,0,P985+K985))))</f>
        <v>37.3225843443075</v>
      </c>
      <c r="AA985" s="18" t="n">
        <f aca="false">IF(D985="","",IF(H985&lt;=$B$16,1,IF(H985&gt;=$B$17,$B$21,MATCH(H985,Aux_CAV!$A$2:$A$121,1))))</f>
        <v>13</v>
      </c>
      <c r="AB985" s="18" t="n">
        <f aca="false">IF(D985="","",IF(L985&lt;=$B$16,1,IF(L985&gt;=$B$17,$B$21,MATCH(L985,Aux_CAV!$A$2:$A$121,1))))</f>
        <v>13</v>
      </c>
      <c r="AC985" s="19" t="n">
        <f aca="false">IF(D985="","",COUNT($D$24:D985))</f>
        <v>950</v>
      </c>
    </row>
    <row r="986" customFormat="false" ht="12.75" hidden="false" customHeight="true" outlineLevel="0" collapsed="false">
      <c r="A986" s="14" t="n">
        <f aca="false">IF(D986="","",DATE(B986,C986,1))</f>
        <v>32933</v>
      </c>
      <c r="B986" s="15" t="n">
        <f aca="false" t="array" ref="B986:B986">IF(D986="","",IFERROR(VALUE(INDEX(Vazoes_COLAR!$A$2:$A$200,INT((ROW()-24)/12)+1)),""))</f>
        <v>1990</v>
      </c>
      <c r="C986" s="15" t="n">
        <f aca="false">IF(D986="","",MOD(ROW()-24,12)+1)</f>
        <v>3</v>
      </c>
      <c r="D986" s="16" t="n">
        <f aca="false" t="array" ref="D986: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1.50022164928369</v>
      </c>
      <c r="E986" s="16" t="n">
        <f aca="false">IF(D986="","",D986*$B$15)</f>
        <v>3.88857451494332</v>
      </c>
      <c r="F986" s="16" t="n">
        <f aca="false" t="array" ref="F986:F986">IF(D986="","",IFERROR(INDEX(Dados_Evap!$C$2:$N$15,MATCH($B$9,Dados_Evap!$A$2:$A$15,0),C986),0))</f>
        <v>107.7</v>
      </c>
      <c r="G986" s="16" t="n">
        <f aca="false">IF(F986="","",F986/1000)</f>
        <v>0.1077</v>
      </c>
      <c r="H986" s="16" t="n">
        <f aca="false">IF(D986="","",MAX(0,MIN($B$8,IFERROR(LOOKUP(2,1/($U$24:U985&lt;&gt;""),$U$24:U985),$B$11))))</f>
        <v>37.3225843443075</v>
      </c>
      <c r="I986" s="16" t="n">
        <f aca="false" t="array" ref="I986: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>5.98181463186089</v>
      </c>
      <c r="J986" s="16" t="n">
        <f aca="false">IF(D986="","",$B$12)</f>
        <v>0.35</v>
      </c>
      <c r="K986" s="16" t="n">
        <f aca="false">IF(J986="","",J986*$B$15)</f>
        <v>0.9072</v>
      </c>
      <c r="L986" s="16" t="n">
        <f aca="false">IF(D986="","",H986+E986-K986-G986*I986)</f>
        <v>39.6597174233994</v>
      </c>
      <c r="M986" s="16" t="n">
        <f aca="false" t="array" ref="M986: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>6.21516046601551</v>
      </c>
      <c r="N986" s="16" t="n">
        <f aca="false">IF(D986="","",(I986+M986)/2)</f>
        <v>6.0984875489382</v>
      </c>
      <c r="O986" s="16" t="n">
        <f aca="false">IF(D986="","",G986*N986)</f>
        <v>0.656807109020644</v>
      </c>
      <c r="P986" s="16" t="n">
        <f aca="false">IF(D986="","",H986+E986-K986-O986)</f>
        <v>39.6471517502302</v>
      </c>
      <c r="Q986" s="16" t="n">
        <f aca="false">IF(D986="","",IF(P986&gt;=0,K986,MAX(0,K986+P986)))</f>
        <v>0.9072</v>
      </c>
      <c r="R986" s="16" t="n">
        <f aca="false">IF(D986="","",Q986/$B$15)</f>
        <v>0.35</v>
      </c>
      <c r="S986" s="16" t="n">
        <f aca="false">IF(D986="","",MAX(0,J986-R986))</f>
        <v>0</v>
      </c>
      <c r="T986" s="16" t="n">
        <f aca="false">IF(D986="","",MAX(0,Z986-$B$8))</f>
        <v>0</v>
      </c>
      <c r="U986" s="16" t="n">
        <f aca="false">IF(D986="","",MAX(0,MIN($B$8,Z986)))</f>
        <v>39.6471517502302</v>
      </c>
      <c r="V986" s="16" t="str">
        <f aca="false">IF(D986="","",IF(S986&gt;0.0000001,"Sim","Não"))</f>
        <v>Não</v>
      </c>
      <c r="W986" s="16" t="n">
        <f aca="false">IF(D986="","",U986-(H986+E986-Q986-O986-T986))</f>
        <v>0</v>
      </c>
      <c r="X986" s="16" t="n">
        <f aca="false">IF(W986="","",ABS(W986))</f>
        <v>0</v>
      </c>
      <c r="Y986" s="16" t="n">
        <f aca="false">IF(U986="","",IF($B$8=0,0,U986/$B$8*100))</f>
        <v>83.9626254769805</v>
      </c>
      <c r="Z986" s="18" t="n">
        <f aca="false">IF(D986="","",MAX(0,IF(P986&gt;=0,P986,IF(K986+P986&gt;=0,0,P986+K986))))</f>
        <v>39.6471517502302</v>
      </c>
      <c r="AA986" s="18" t="n">
        <f aca="false">IF(D986="","",IF(H986&lt;=$B$16,1,IF(H986&gt;=$B$17,$B$21,MATCH(H986,Aux_CAV!$A$2:$A$121,1))))</f>
        <v>13</v>
      </c>
      <c r="AB986" s="18" t="n">
        <f aca="false">IF(D986="","",IF(L986&lt;=$B$16,1,IF(L986&gt;=$B$17,$B$21,MATCH(L986,Aux_CAV!$A$2:$A$121,1))))</f>
        <v>13</v>
      </c>
      <c r="AC986" s="19" t="n">
        <f aca="false">IF(D986="","",COUNT($D$24:D986))</f>
        <v>951</v>
      </c>
    </row>
    <row r="987" customFormat="false" ht="12.75" hidden="false" customHeight="true" outlineLevel="0" collapsed="false">
      <c r="A987" s="14" t="n">
        <f aca="false">IF(D987="","",DATE(B987,C987,1))</f>
        <v>32964</v>
      </c>
      <c r="B987" s="15" t="n">
        <f aca="false" t="array" ref="B987:B987">IF(D987="","",IFERROR(VALUE(INDEX(Vazoes_COLAR!$A$2:$A$200,INT((ROW()-24)/12)+1)),""))</f>
        <v>1990</v>
      </c>
      <c r="C987" s="15" t="n">
        <f aca="false">IF(D987="","",MOD(ROW()-24,12)+1)</f>
        <v>4</v>
      </c>
      <c r="D987" s="16" t="n">
        <f aca="false" t="array" ref="D987: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4.04609541308399</v>
      </c>
      <c r="E987" s="16" t="n">
        <f aca="false">IF(D987="","",D987*$B$15)</f>
        <v>10.4874793107137</v>
      </c>
      <c r="F987" s="16" t="n">
        <f aca="false" t="array" ref="F987:F987">IF(D987="","",IFERROR(INDEX(Dados_Evap!$C$2:$N$15,MATCH($B$9,Dados_Evap!$A$2:$A$15,0),C987),0))</f>
        <v>100.5</v>
      </c>
      <c r="G987" s="16" t="n">
        <f aca="false">IF(F987="","",F987/1000)</f>
        <v>0.1005</v>
      </c>
      <c r="H987" s="16" t="n">
        <f aca="false">IF(D987="","",MAX(0,MIN($B$8,IFERROR(LOOKUP(2,1/($U$24:U986&lt;&gt;""),$U$24:U986),$B$11))))</f>
        <v>39.6471517502302</v>
      </c>
      <c r="I987" s="16" t="n">
        <f aca="false" t="array" ref="I987: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>6.21390587443336</v>
      </c>
      <c r="J987" s="16" t="n">
        <f aca="false">IF(D987="","",$B$12)</f>
        <v>0.35</v>
      </c>
      <c r="K987" s="16" t="n">
        <f aca="false">IF(J987="","",J987*$B$15)</f>
        <v>0.9072</v>
      </c>
      <c r="L987" s="16" t="n">
        <f aca="false">IF(D987="","",H987+E987-K987-G987*I987)</f>
        <v>48.6029335205633</v>
      </c>
      <c r="M987" s="16" t="n">
        <f aca="false" t="array" ref="M987: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>7.13302874835909</v>
      </c>
      <c r="N987" s="16" t="n">
        <f aca="false">IF(D987="","",(I987+M987)/2)</f>
        <v>6.67346731139622</v>
      </c>
      <c r="O987" s="16" t="n">
        <f aca="false">IF(D987="","",G987*N987)</f>
        <v>0.670683464795321</v>
      </c>
      <c r="P987" s="16" t="n">
        <f aca="false">IF(D987="","",H987+E987-K987-O987)</f>
        <v>48.5567475961486</v>
      </c>
      <c r="Q987" s="16" t="n">
        <f aca="false">IF(D987="","",IF(P987&gt;=0,K987,MAX(0,K987+P987)))</f>
        <v>0.9072</v>
      </c>
      <c r="R987" s="16" t="n">
        <f aca="false">IF(D987="","",Q987/$B$15)</f>
        <v>0.35</v>
      </c>
      <c r="S987" s="16" t="n">
        <f aca="false">IF(D987="","",MAX(0,J987-R987))</f>
        <v>0</v>
      </c>
      <c r="T987" s="16" t="n">
        <f aca="false">IF(D987="","",MAX(0,Z987-$B$8))</f>
        <v>1.33674759614855</v>
      </c>
      <c r="U987" s="16" t="n">
        <f aca="false">IF(D987="","",MAX(0,MIN($B$8,Z987)))</f>
        <v>47.22</v>
      </c>
      <c r="V987" s="16" t="str">
        <f aca="false">IF(D987="","",IF(S987&gt;0.0000001,"Sim","Não"))</f>
        <v>Não</v>
      </c>
      <c r="W987" s="16" t="n">
        <f aca="false">IF(D987="","",U987-(H987+E987-Q987-O987-T987))</f>
        <v>0</v>
      </c>
      <c r="X987" s="16" t="n">
        <f aca="false">IF(W987="","",ABS(W987))</f>
        <v>0</v>
      </c>
      <c r="Y987" s="16" t="n">
        <f aca="false">IF(U987="","",IF($B$8=0,0,U987/$B$8*100))</f>
        <v>100</v>
      </c>
      <c r="Z987" s="18" t="n">
        <f aca="false">IF(D987="","",MAX(0,IF(P987&gt;=0,P987,IF(K987+P987&gt;=0,0,P987+K987))))</f>
        <v>48.5567475961486</v>
      </c>
      <c r="AA987" s="18" t="n">
        <f aca="false">IF(D987="","",IF(H987&lt;=$B$16,1,IF(H987&gt;=$B$17,$B$21,MATCH(H987,Aux_CAV!$A$2:$A$121,1))))</f>
        <v>13</v>
      </c>
      <c r="AB987" s="18" t="n">
        <f aca="false">IF(D987="","",IF(L987&lt;=$B$16,1,IF(L987&gt;=$B$17,$B$21,MATCH(L987,Aux_CAV!$A$2:$A$121,1))))</f>
        <v>14</v>
      </c>
      <c r="AC987" s="19" t="n">
        <f aca="false">IF(D987="","",COUNT($D$24:D987))</f>
        <v>952</v>
      </c>
    </row>
    <row r="988" customFormat="false" ht="12.75" hidden="false" customHeight="true" outlineLevel="0" collapsed="false">
      <c r="A988" s="14" t="n">
        <f aca="false">IF(D988="","",DATE(B988,C988,1))</f>
        <v>32994</v>
      </c>
      <c r="B988" s="15" t="n">
        <f aca="false" t="array" ref="B988:B988">IF(D988="","",IFERROR(VALUE(INDEX(Vazoes_COLAR!$A$2:$A$200,INT((ROW()-24)/12)+1)),""))</f>
        <v>1990</v>
      </c>
      <c r="C988" s="15" t="n">
        <f aca="false">IF(D988="","",MOD(ROW()-24,12)+1)</f>
        <v>5</v>
      </c>
      <c r="D988" s="16" t="n">
        <f aca="false" t="array" ref="D988: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1.29939449600737</v>
      </c>
      <c r="E988" s="16" t="n">
        <f aca="false">IF(D988="","",D988*$B$15)</f>
        <v>3.3680305336511</v>
      </c>
      <c r="F988" s="16" t="n">
        <f aca="false" t="array" ref="F988:F988">IF(D988="","",IFERROR(INDEX(Dados_Evap!$C$2:$N$15,MATCH($B$9,Dados_Evap!$A$2:$A$15,0),C988),0))</f>
        <v>145.8</v>
      </c>
      <c r="G988" s="16" t="n">
        <f aca="false">IF(F988="","",F988/1000)</f>
        <v>0.1458</v>
      </c>
      <c r="H988" s="16" t="n">
        <f aca="false">IF(D988="","",MAX(0,MIN($B$8,IFERROR(LOOKUP(2,1/($U$24:U987&lt;&gt;""),$U$24:U987),$B$11))))</f>
        <v>47.22</v>
      </c>
      <c r="I988" s="16" t="n">
        <f aca="false" t="array" ref="I988: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>6.97</v>
      </c>
      <c r="J988" s="16" t="n">
        <f aca="false">IF(D988="","",$B$12)</f>
        <v>0.35</v>
      </c>
      <c r="K988" s="16" t="n">
        <f aca="false">IF(J988="","",J988*$B$15)</f>
        <v>0.9072</v>
      </c>
      <c r="L988" s="16" t="n">
        <f aca="false">IF(D988="","",H988+E988-K988-G988*I988)</f>
        <v>48.6646045336511</v>
      </c>
      <c r="M988" s="16" t="n">
        <f aca="false" t="array" ref="M988: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>7.14029890843854</v>
      </c>
      <c r="N988" s="16" t="n">
        <f aca="false">IF(D988="","",(I988+M988)/2)</f>
        <v>7.05514945421927</v>
      </c>
      <c r="O988" s="16" t="n">
        <f aca="false">IF(D988="","",G988*N988)</f>
        <v>1.02864079042517</v>
      </c>
      <c r="P988" s="16" t="n">
        <f aca="false">IF(D988="","",H988+E988-K988-O988)</f>
        <v>48.6521897432259</v>
      </c>
      <c r="Q988" s="16" t="n">
        <f aca="false">IF(D988="","",IF(P988&gt;=0,K988,MAX(0,K988+P988)))</f>
        <v>0.9072</v>
      </c>
      <c r="R988" s="16" t="n">
        <f aca="false">IF(D988="","",Q988/$B$15)</f>
        <v>0.35</v>
      </c>
      <c r="S988" s="16" t="n">
        <f aca="false">IF(D988="","",MAX(0,J988-R988))</f>
        <v>0</v>
      </c>
      <c r="T988" s="16" t="n">
        <f aca="false">IF(D988="","",MAX(0,Z988-$B$8))</f>
        <v>1.43218974322593</v>
      </c>
      <c r="U988" s="16" t="n">
        <f aca="false">IF(D988="","",MAX(0,MIN($B$8,Z988)))</f>
        <v>47.22</v>
      </c>
      <c r="V988" s="16" t="str">
        <f aca="false">IF(D988="","",IF(S988&gt;0.0000001,"Sim","Não"))</f>
        <v>Não</v>
      </c>
      <c r="W988" s="16" t="n">
        <f aca="false">IF(D988="","",U988-(H988+E988-Q988-O988-T988))</f>
        <v>0</v>
      </c>
      <c r="X988" s="16" t="n">
        <f aca="false">IF(W988="","",ABS(W988))</f>
        <v>0</v>
      </c>
      <c r="Y988" s="16" t="n">
        <f aca="false">IF(U988="","",IF($B$8=0,0,U988/$B$8*100))</f>
        <v>100</v>
      </c>
      <c r="Z988" s="18" t="n">
        <f aca="false">IF(D988="","",MAX(0,IF(P988&gt;=0,P988,IF(K988+P988&gt;=0,0,P988+K988))))</f>
        <v>48.6521897432259</v>
      </c>
      <c r="AA988" s="18" t="n">
        <f aca="false">IF(D988="","",IF(H988&lt;=$B$16,1,IF(H988&gt;=$B$17,$B$21,MATCH(H988,Aux_CAV!$A$2:$A$121,1))))</f>
        <v>14</v>
      </c>
      <c r="AB988" s="18" t="n">
        <f aca="false">IF(D988="","",IF(L988&lt;=$B$16,1,IF(L988&gt;=$B$17,$B$21,MATCH(L988,Aux_CAV!$A$2:$A$121,1))))</f>
        <v>14</v>
      </c>
      <c r="AC988" s="19" t="n">
        <f aca="false">IF(D988="","",COUNT($D$24:D988))</f>
        <v>953</v>
      </c>
    </row>
    <row r="989" customFormat="false" ht="12.75" hidden="false" customHeight="true" outlineLevel="0" collapsed="false">
      <c r="A989" s="14" t="n">
        <f aca="false">IF(D989="","",DATE(B989,C989,1))</f>
        <v>33025</v>
      </c>
      <c r="B989" s="15" t="n">
        <f aca="false" t="array" ref="B989:B989">IF(D989="","",IFERROR(VALUE(INDEX(Vazoes_COLAR!$A$2:$A$200,INT((ROW()-24)/12)+1)),""))</f>
        <v>1990</v>
      </c>
      <c r="C989" s="15" t="n">
        <f aca="false">IF(D989="","",MOD(ROW()-24,12)+1)</f>
        <v>6</v>
      </c>
      <c r="D989" s="16" t="n">
        <f aca="false" t="array" ref="D989: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0.185739277949769</v>
      </c>
      <c r="E989" s="16" t="n">
        <f aca="false">IF(D989="","",D989*$B$15)</f>
        <v>0.481436208445801</v>
      </c>
      <c r="F989" s="16" t="n">
        <f aca="false" t="array" ref="F989:F989">IF(D989="","",IFERROR(INDEX(Dados_Evap!$C$2:$N$15,MATCH($B$9,Dados_Evap!$A$2:$A$15,0),C989),0))</f>
        <v>161.3</v>
      </c>
      <c r="G989" s="16" t="n">
        <f aca="false">IF(F989="","",F989/1000)</f>
        <v>0.1613</v>
      </c>
      <c r="H989" s="16" t="n">
        <f aca="false">IF(D989="","",MAX(0,MIN($B$8,IFERROR(LOOKUP(2,1/($U$24:U988&lt;&gt;""),$U$24:U988),$B$11))))</f>
        <v>47.22</v>
      </c>
      <c r="I989" s="16" t="n">
        <f aca="false" t="array" ref="I989: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>6.97</v>
      </c>
      <c r="J989" s="16" t="n">
        <f aca="false">IF(D989="","",$B$12)</f>
        <v>0.35</v>
      </c>
      <c r="K989" s="16" t="n">
        <f aca="false">IF(J989="","",J989*$B$15)</f>
        <v>0.9072</v>
      </c>
      <c r="L989" s="16" t="n">
        <f aca="false">IF(D989="","",H989+E989-K989-G989*I989)</f>
        <v>45.6699752084458</v>
      </c>
      <c r="M989" s="16" t="n">
        <f aca="false" t="array" ref="M989: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>6.81524123543445</v>
      </c>
      <c r="N989" s="16" t="n">
        <f aca="false">IF(D989="","",(I989+M989)/2)</f>
        <v>6.89262061771722</v>
      </c>
      <c r="O989" s="16" t="n">
        <f aca="false">IF(D989="","",G989*N989)</f>
        <v>1.11177970563779</v>
      </c>
      <c r="P989" s="16" t="n">
        <f aca="false">IF(D989="","",H989+E989-K989-O989)</f>
        <v>45.682456502808</v>
      </c>
      <c r="Q989" s="16" t="n">
        <f aca="false">IF(D989="","",IF(P989&gt;=0,K989,MAX(0,K989+P989)))</f>
        <v>0.9072</v>
      </c>
      <c r="R989" s="16" t="n">
        <f aca="false">IF(D989="","",Q989/$B$15)</f>
        <v>0.35</v>
      </c>
      <c r="S989" s="16" t="n">
        <f aca="false">IF(D989="","",MAX(0,J989-R989))</f>
        <v>0</v>
      </c>
      <c r="T989" s="16" t="n">
        <f aca="false">IF(D989="","",MAX(0,Z989-$B$8))</f>
        <v>0</v>
      </c>
      <c r="U989" s="16" t="n">
        <f aca="false">IF(D989="","",MAX(0,MIN($B$8,Z989)))</f>
        <v>45.682456502808</v>
      </c>
      <c r="V989" s="16" t="str">
        <f aca="false">IF(D989="","",IF(S989&gt;0.0000001,"Sim","Não"))</f>
        <v>Não</v>
      </c>
      <c r="W989" s="16" t="n">
        <f aca="false">IF(D989="","",U989-(H989+E989-Q989-O989-T989))</f>
        <v>0</v>
      </c>
      <c r="X989" s="16" t="n">
        <f aca="false">IF(W989="","",ABS(W989))</f>
        <v>0</v>
      </c>
      <c r="Y989" s="16" t="n">
        <f aca="false">IF(U989="","",IF($B$8=0,0,U989/$B$8*100))</f>
        <v>96.7438723058196</v>
      </c>
      <c r="Z989" s="18" t="n">
        <f aca="false">IF(D989="","",MAX(0,IF(P989&gt;=0,P989,IF(K989+P989&gt;=0,0,P989+K989))))</f>
        <v>45.682456502808</v>
      </c>
      <c r="AA989" s="18" t="n">
        <f aca="false">IF(D989="","",IF(H989&lt;=$B$16,1,IF(H989&gt;=$B$17,$B$21,MATCH(H989,Aux_CAV!$A$2:$A$121,1))))</f>
        <v>14</v>
      </c>
      <c r="AB989" s="18" t="n">
        <f aca="false">IF(D989="","",IF(L989&lt;=$B$16,1,IF(L989&gt;=$B$17,$B$21,MATCH(L989,Aux_CAV!$A$2:$A$121,1))))</f>
        <v>13</v>
      </c>
      <c r="AC989" s="19" t="n">
        <f aca="false">IF(D989="","",COUNT($D$24:D989))</f>
        <v>954</v>
      </c>
    </row>
    <row r="990" customFormat="false" ht="12.75" hidden="false" customHeight="true" outlineLevel="0" collapsed="false">
      <c r="A990" s="14" t="n">
        <f aca="false">IF(D990="","",DATE(B990,C990,1))</f>
        <v>33055</v>
      </c>
      <c r="B990" s="15" t="n">
        <f aca="false" t="array" ref="B990:B990">IF(D990="","",IFERROR(VALUE(INDEX(Vazoes_COLAR!$A$2:$A$200,INT((ROW()-24)/12)+1)),""))</f>
        <v>1990</v>
      </c>
      <c r="C990" s="15" t="n">
        <f aca="false">IF(D990="","",MOD(ROW()-24,12)+1)</f>
        <v>7</v>
      </c>
      <c r="D990" s="16" t="n">
        <f aca="false" t="array" ref="D990: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0.150138938242043</v>
      </c>
      <c r="E990" s="16" t="n">
        <f aca="false">IF(D990="","",D990*$B$15)</f>
        <v>0.389160127923375</v>
      </c>
      <c r="F990" s="16" t="n">
        <f aca="false" t="array" ref="F990:F990">IF(D990="","",IFERROR(INDEX(Dados_Evap!$C$2:$N$15,MATCH($B$9,Dados_Evap!$A$2:$A$15,0),C990),0))</f>
        <v>224.8</v>
      </c>
      <c r="G990" s="16" t="n">
        <f aca="false">IF(F990="","",F990/1000)</f>
        <v>0.2248</v>
      </c>
      <c r="H990" s="16" t="n">
        <f aca="false">IF(D990="","",MAX(0,MIN($B$8,IFERROR(LOOKUP(2,1/($U$24:U989&lt;&gt;""),$U$24:U989),$B$11))))</f>
        <v>45.682456502808</v>
      </c>
      <c r="I990" s="16" t="n">
        <f aca="false" t="array" ref="I990: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>6.816487402403</v>
      </c>
      <c r="J990" s="16" t="n">
        <f aca="false">IF(D990="","",$B$12)</f>
        <v>0.35</v>
      </c>
      <c r="K990" s="16" t="n">
        <f aca="false">IF(J990="","",J990*$B$15)</f>
        <v>0.9072</v>
      </c>
      <c r="L990" s="16" t="n">
        <f aca="false">IF(D990="","",H990+E990-K990-G990*I990)</f>
        <v>43.6320702626712</v>
      </c>
      <c r="M990" s="16" t="n">
        <f aca="false" t="array" ref="M990: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>6.61177116616293</v>
      </c>
      <c r="N990" s="16" t="n">
        <f aca="false">IF(D990="","",(I990+M990)/2)</f>
        <v>6.71412928428296</v>
      </c>
      <c r="O990" s="16" t="n">
        <f aca="false">IF(D990="","",G990*N990)</f>
        <v>1.50933626310681</v>
      </c>
      <c r="P990" s="16" t="n">
        <f aca="false">IF(D990="","",H990+E990-K990-O990)</f>
        <v>43.6550803676246</v>
      </c>
      <c r="Q990" s="16" t="n">
        <f aca="false">IF(D990="","",IF(P990&gt;=0,K990,MAX(0,K990+P990)))</f>
        <v>0.9072</v>
      </c>
      <c r="R990" s="16" t="n">
        <f aca="false">IF(D990="","",Q990/$B$15)</f>
        <v>0.35</v>
      </c>
      <c r="S990" s="16" t="n">
        <f aca="false">IF(D990="","",MAX(0,J990-R990))</f>
        <v>0</v>
      </c>
      <c r="T990" s="16" t="n">
        <f aca="false">IF(D990="","",MAX(0,Z990-$B$8))</f>
        <v>0</v>
      </c>
      <c r="U990" s="16" t="n">
        <f aca="false">IF(D990="","",MAX(0,MIN($B$8,Z990)))</f>
        <v>43.6550803676246</v>
      </c>
      <c r="V990" s="16" t="str">
        <f aca="false">IF(D990="","",IF(S990&gt;0.0000001,"Sim","Não"))</f>
        <v>Não</v>
      </c>
      <c r="W990" s="16" t="n">
        <f aca="false">IF(D990="","",U990-(H990+E990-Q990-O990-T990))</f>
        <v>0</v>
      </c>
      <c r="X990" s="16" t="n">
        <f aca="false">IF(W990="","",ABS(W990))</f>
        <v>0</v>
      </c>
      <c r="Y990" s="16" t="n">
        <f aca="false">IF(U990="","",IF($B$8=0,0,U990/$B$8*100))</f>
        <v>92.4504031504121</v>
      </c>
      <c r="Z990" s="18" t="n">
        <f aca="false">IF(D990="","",MAX(0,IF(P990&gt;=0,P990,IF(K990+P990&gt;=0,0,P990+K990))))</f>
        <v>43.6550803676246</v>
      </c>
      <c r="AA990" s="18" t="n">
        <f aca="false">IF(D990="","",IF(H990&lt;=$B$16,1,IF(H990&gt;=$B$17,$B$21,MATCH(H990,Aux_CAV!$A$2:$A$121,1))))</f>
        <v>13</v>
      </c>
      <c r="AB990" s="18" t="n">
        <f aca="false">IF(D990="","",IF(L990&lt;=$B$16,1,IF(L990&gt;=$B$17,$B$21,MATCH(L990,Aux_CAV!$A$2:$A$121,1))))</f>
        <v>13</v>
      </c>
      <c r="AC990" s="19" t="n">
        <f aca="false">IF(D990="","",COUNT($D$24:D990))</f>
        <v>955</v>
      </c>
    </row>
    <row r="991" customFormat="false" ht="12.75" hidden="false" customHeight="true" outlineLevel="0" collapsed="false">
      <c r="A991" s="14" t="n">
        <f aca="false">IF(D991="","",DATE(B991,C991,1))</f>
        <v>33086</v>
      </c>
      <c r="B991" s="15" t="n">
        <f aca="false" t="array" ref="B991:B991">IF(D991="","",IFERROR(VALUE(INDEX(Vazoes_COLAR!$A$2:$A$200,INT((ROW()-24)/12)+1)),""))</f>
        <v>1990</v>
      </c>
      <c r="C991" s="15" t="n">
        <f aca="false">IF(D991="","",MOD(ROW()-24,12)+1)</f>
        <v>8</v>
      </c>
      <c r="D991" s="16" t="n">
        <f aca="false" t="array" ref="D991: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0.208209164482231</v>
      </c>
      <c r="E991" s="16" t="n">
        <f aca="false">IF(D991="","",D991*$B$15)</f>
        <v>0.539678154337943</v>
      </c>
      <c r="F991" s="16" t="n">
        <f aca="false" t="array" ref="F991:F991">IF(D991="","",IFERROR(INDEX(Dados_Evap!$C$2:$N$15,MATCH($B$9,Dados_Evap!$A$2:$A$15,0),C991),0))</f>
        <v>268.7</v>
      </c>
      <c r="G991" s="16" t="n">
        <f aca="false">IF(F991="","",F991/1000)</f>
        <v>0.2687</v>
      </c>
      <c r="H991" s="16" t="n">
        <f aca="false">IF(D991="","",MAX(0,MIN($B$8,IFERROR(LOOKUP(2,1/($U$24:U990&lt;&gt;""),$U$24:U990),$B$11))))</f>
        <v>43.6550803676246</v>
      </c>
      <c r="I991" s="16" t="n">
        <f aca="false" t="array" ref="I991: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>6.61406855871723</v>
      </c>
      <c r="J991" s="16" t="n">
        <f aca="false">IF(D991="","",$B$12)</f>
        <v>0.35</v>
      </c>
      <c r="K991" s="16" t="n">
        <f aca="false">IF(J991="","",J991*$B$15)</f>
        <v>0.9072</v>
      </c>
      <c r="L991" s="16" t="n">
        <f aca="false">IF(D991="","",H991+E991-K991-G991*I991)</f>
        <v>41.5103583002352</v>
      </c>
      <c r="M991" s="16" t="n">
        <f aca="false" t="array" ref="M991: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>6.39993357242914</v>
      </c>
      <c r="N991" s="16" t="n">
        <f aca="false">IF(D991="","",(I991+M991)/2)</f>
        <v>6.50700106557319</v>
      </c>
      <c r="O991" s="16" t="n">
        <f aca="false">IF(D991="","",G991*N991)</f>
        <v>1.74843118631952</v>
      </c>
      <c r="P991" s="16" t="n">
        <f aca="false">IF(D991="","",H991+E991-K991-O991)</f>
        <v>41.539127335643</v>
      </c>
      <c r="Q991" s="16" t="n">
        <f aca="false">IF(D991="","",IF(P991&gt;=0,K991,MAX(0,K991+P991)))</f>
        <v>0.9072</v>
      </c>
      <c r="R991" s="16" t="n">
        <f aca="false">IF(D991="","",Q991/$B$15)</f>
        <v>0.35</v>
      </c>
      <c r="S991" s="16" t="n">
        <f aca="false">IF(D991="","",MAX(0,J991-R991))</f>
        <v>0</v>
      </c>
      <c r="T991" s="16" t="n">
        <f aca="false">IF(D991="","",MAX(0,Z991-$B$8))</f>
        <v>0</v>
      </c>
      <c r="U991" s="16" t="n">
        <f aca="false">IF(D991="","",MAX(0,MIN($B$8,Z991)))</f>
        <v>41.539127335643</v>
      </c>
      <c r="V991" s="16" t="str">
        <f aca="false">IF(D991="","",IF(S991&gt;0.0000001,"Sim","Não"))</f>
        <v>Não</v>
      </c>
      <c r="W991" s="16" t="n">
        <f aca="false">IF(D991="","",U991-(H991+E991-Q991-O991-T991))</f>
        <v>0</v>
      </c>
      <c r="X991" s="16" t="n">
        <f aca="false">IF(W991="","",ABS(W991))</f>
        <v>0</v>
      </c>
      <c r="Y991" s="16" t="n">
        <f aca="false">IF(U991="","",IF($B$8=0,0,U991/$B$8*100))</f>
        <v>87.9693505625646</v>
      </c>
      <c r="Z991" s="18" t="n">
        <f aca="false">IF(D991="","",MAX(0,IF(P991&gt;=0,P991,IF(K991+P991&gt;=0,0,P991+K991))))</f>
        <v>41.539127335643</v>
      </c>
      <c r="AA991" s="18" t="n">
        <f aca="false">IF(D991="","",IF(H991&lt;=$B$16,1,IF(H991&gt;=$B$17,$B$21,MATCH(H991,Aux_CAV!$A$2:$A$121,1))))</f>
        <v>13</v>
      </c>
      <c r="AB991" s="18" t="n">
        <f aca="false">IF(D991="","",IF(L991&lt;=$B$16,1,IF(L991&gt;=$B$17,$B$21,MATCH(L991,Aux_CAV!$A$2:$A$121,1))))</f>
        <v>13</v>
      </c>
      <c r="AC991" s="19" t="n">
        <f aca="false">IF(D991="","",COUNT($D$24:D991))</f>
        <v>956</v>
      </c>
    </row>
    <row r="992" customFormat="false" ht="12.75" hidden="false" customHeight="true" outlineLevel="0" collapsed="false">
      <c r="A992" s="14" t="n">
        <f aca="false">IF(D992="","",DATE(B992,C992,1))</f>
        <v>33117</v>
      </c>
      <c r="B992" s="15" t="n">
        <f aca="false" t="array" ref="B992:B992">IF(D992="","",IFERROR(VALUE(INDEX(Vazoes_COLAR!$A$2:$A$200,INT((ROW()-24)/12)+1)),""))</f>
        <v>1990</v>
      </c>
      <c r="C992" s="15" t="n">
        <f aca="false">IF(D992="","",MOD(ROW()-24,12)+1)</f>
        <v>9</v>
      </c>
      <c r="D992" s="16" t="n">
        <f aca="false" t="array" ref="D992: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0.104134755388293</v>
      </c>
      <c r="E992" s="16" t="n">
        <f aca="false">IF(D992="","",D992*$B$15)</f>
        <v>0.269917285966456</v>
      </c>
      <c r="F992" s="16" t="n">
        <f aca="false" t="array" ref="F992:F992">IF(D992="","",IFERROR(INDEX(Dados_Evap!$C$2:$N$15,MATCH($B$9,Dados_Evap!$A$2:$A$15,0),C992),0))</f>
        <v>292.8</v>
      </c>
      <c r="G992" s="16" t="n">
        <f aca="false">IF(F992="","",F992/1000)</f>
        <v>0.2928</v>
      </c>
      <c r="H992" s="16" t="n">
        <f aca="false">IF(D992="","",MAX(0,MIN($B$8,IFERROR(LOOKUP(2,1/($U$24:U991&lt;&gt;""),$U$24:U991),$B$11))))</f>
        <v>41.539127335643</v>
      </c>
      <c r="I992" s="16" t="n">
        <f aca="false" t="array" ref="I992: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>6.40280595253668</v>
      </c>
      <c r="J992" s="16" t="n">
        <f aca="false">IF(D992="","",$B$12)</f>
        <v>0.35</v>
      </c>
      <c r="K992" s="16" t="n">
        <f aca="false">IF(J992="","",J992*$B$15)</f>
        <v>0.9072</v>
      </c>
      <c r="L992" s="16" t="n">
        <f aca="false">IF(D992="","",H992+E992-K992-G992*I992)</f>
        <v>39.0271030387067</v>
      </c>
      <c r="M992" s="16" t="n">
        <f aca="false" t="array" ref="M992: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>6.15199849521679</v>
      </c>
      <c r="N992" s="16" t="n">
        <f aca="false">IF(D992="","",(I992+M992)/2)</f>
        <v>6.27740222387673</v>
      </c>
      <c r="O992" s="16" t="n">
        <f aca="false">IF(D992="","",G992*N992)</f>
        <v>1.83802337115111</v>
      </c>
      <c r="P992" s="16" t="n">
        <f aca="false">IF(D992="","",H992+E992-K992-O992)</f>
        <v>39.0638212504583</v>
      </c>
      <c r="Q992" s="16" t="n">
        <f aca="false">IF(D992="","",IF(P992&gt;=0,K992,MAX(0,K992+P992)))</f>
        <v>0.9072</v>
      </c>
      <c r="R992" s="16" t="n">
        <f aca="false">IF(D992="","",Q992/$B$15)</f>
        <v>0.35</v>
      </c>
      <c r="S992" s="16" t="n">
        <f aca="false">IF(D992="","",MAX(0,J992-R992))</f>
        <v>0</v>
      </c>
      <c r="T992" s="16" t="n">
        <f aca="false">IF(D992="","",MAX(0,Z992-$B$8))</f>
        <v>0</v>
      </c>
      <c r="U992" s="16" t="n">
        <f aca="false">IF(D992="","",MAX(0,MIN($B$8,Z992)))</f>
        <v>39.0638212504583</v>
      </c>
      <c r="V992" s="16" t="str">
        <f aca="false">IF(D992="","",IF(S992&gt;0.0000001,"Sim","Não"))</f>
        <v>Não</v>
      </c>
      <c r="W992" s="16" t="n">
        <f aca="false">IF(D992="","",U992-(H992+E992-Q992-O992-T992))</f>
        <v>0</v>
      </c>
      <c r="X992" s="16" t="n">
        <f aca="false">IF(W992="","",ABS(W992))</f>
        <v>0</v>
      </c>
      <c r="Y992" s="16" t="n">
        <f aca="false">IF(U992="","",IF($B$8=0,0,U992/$B$8*100))</f>
        <v>82.7272792258754</v>
      </c>
      <c r="Z992" s="18" t="n">
        <f aca="false">IF(D992="","",MAX(0,IF(P992&gt;=0,P992,IF(K992+P992&gt;=0,0,P992+K992))))</f>
        <v>39.0638212504583</v>
      </c>
      <c r="AA992" s="18" t="n">
        <f aca="false">IF(D992="","",IF(H992&lt;=$B$16,1,IF(H992&gt;=$B$17,$B$21,MATCH(H992,Aux_CAV!$A$2:$A$121,1))))</f>
        <v>13</v>
      </c>
      <c r="AB992" s="18" t="n">
        <f aca="false">IF(D992="","",IF(L992&lt;=$B$16,1,IF(L992&gt;=$B$17,$B$21,MATCH(L992,Aux_CAV!$A$2:$A$121,1))))</f>
        <v>13</v>
      </c>
      <c r="AC992" s="19" t="n">
        <f aca="false">IF(D992="","",COUNT($D$24:D992))</f>
        <v>957</v>
      </c>
    </row>
    <row r="993" customFormat="false" ht="12.75" hidden="false" customHeight="true" outlineLevel="0" collapsed="false">
      <c r="A993" s="14" t="n">
        <f aca="false">IF(D993="","",DATE(B993,C993,1))</f>
        <v>33147</v>
      </c>
      <c r="B993" s="15" t="n">
        <f aca="false" t="array" ref="B993:B993">IF(D993="","",IFERROR(VALUE(INDEX(Vazoes_COLAR!$A$2:$A$200,INT((ROW()-24)/12)+1)),""))</f>
        <v>1990</v>
      </c>
      <c r="C993" s="15" t="n">
        <f aca="false">IF(D993="","",MOD(ROW()-24,12)+1)</f>
        <v>10</v>
      </c>
      <c r="D993" s="16" t="n">
        <f aca="false" t="array" ref="D993: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0.0846973654151167</v>
      </c>
      <c r="E993" s="16" t="n">
        <f aca="false">IF(D993="","",D993*$B$15)</f>
        <v>0.219535571155983</v>
      </c>
      <c r="F993" s="16" t="n">
        <f aca="false" t="array" ref="F993:F993">IF(D993="","",IFERROR(INDEX(Dados_Evap!$C$2:$N$15,MATCH($B$9,Dados_Evap!$A$2:$A$15,0),C993),0))</f>
        <v>262.9</v>
      </c>
      <c r="G993" s="16" t="n">
        <f aca="false">IF(F993="","",F993/1000)</f>
        <v>0.2629</v>
      </c>
      <c r="H993" s="16" t="n">
        <f aca="false">IF(D993="","",MAX(0,MIN($B$8,IFERROR(LOOKUP(2,1/($U$24:U992&lt;&gt;""),$U$24:U992),$B$11))))</f>
        <v>39.0638212504583</v>
      </c>
      <c r="I993" s="16" t="n">
        <f aca="false" t="array" ref="I993: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>6.15566454308822</v>
      </c>
      <c r="J993" s="16" t="n">
        <f aca="false">IF(D993="","",$B$12)</f>
        <v>0.35</v>
      </c>
      <c r="K993" s="16" t="n">
        <f aca="false">IF(J993="","",J993*$B$15)</f>
        <v>0.9072</v>
      </c>
      <c r="L993" s="16" t="n">
        <f aca="false">IF(D993="","",H993+E993-K993-G993*I993)</f>
        <v>36.7578326132364</v>
      </c>
      <c r="M993" s="16" t="n">
        <f aca="false" t="array" ref="M993: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>5.92542825619578</v>
      </c>
      <c r="N993" s="16" t="n">
        <f aca="false">IF(D993="","",(I993+M993)/2)</f>
        <v>6.040546399642</v>
      </c>
      <c r="O993" s="16" t="n">
        <f aca="false">IF(D993="","",G993*N993)</f>
        <v>1.58805964846588</v>
      </c>
      <c r="P993" s="16" t="n">
        <f aca="false">IF(D993="","",H993+E993-K993-O993)</f>
        <v>36.7880971731484</v>
      </c>
      <c r="Q993" s="16" t="n">
        <f aca="false">IF(D993="","",IF(P993&gt;=0,K993,MAX(0,K993+P993)))</f>
        <v>0.9072</v>
      </c>
      <c r="R993" s="16" t="n">
        <f aca="false">IF(D993="","",Q993/$B$15)</f>
        <v>0.35</v>
      </c>
      <c r="S993" s="16" t="n">
        <f aca="false">IF(D993="","",MAX(0,J993-R993))</f>
        <v>0</v>
      </c>
      <c r="T993" s="16" t="n">
        <f aca="false">IF(D993="","",MAX(0,Z993-$B$8))</f>
        <v>0</v>
      </c>
      <c r="U993" s="16" t="n">
        <f aca="false">IF(D993="","",MAX(0,MIN($B$8,Z993)))</f>
        <v>36.7880971731484</v>
      </c>
      <c r="V993" s="16" t="str">
        <f aca="false">IF(D993="","",IF(S993&gt;0.0000001,"Sim","Não"))</f>
        <v>Não</v>
      </c>
      <c r="W993" s="16" t="n">
        <f aca="false">IF(D993="","",U993-(H993+E993-Q993-O993-T993))</f>
        <v>0</v>
      </c>
      <c r="X993" s="16" t="n">
        <f aca="false">IF(W993="","",ABS(W993))</f>
        <v>0</v>
      </c>
      <c r="Y993" s="16" t="n">
        <f aca="false">IF(U993="","",IF($B$8=0,0,U993/$B$8*100))</f>
        <v>77.9078720312335</v>
      </c>
      <c r="Z993" s="18" t="n">
        <f aca="false">IF(D993="","",MAX(0,IF(P993&gt;=0,P993,IF(K993+P993&gt;=0,0,P993+K993))))</f>
        <v>36.7880971731484</v>
      </c>
      <c r="AA993" s="18" t="n">
        <f aca="false">IF(D993="","",IF(H993&lt;=$B$16,1,IF(H993&gt;=$B$17,$B$21,MATCH(H993,Aux_CAV!$A$2:$A$121,1))))</f>
        <v>13</v>
      </c>
      <c r="AB993" s="18" t="n">
        <f aca="false">IF(D993="","",IF(L993&lt;=$B$16,1,IF(L993&gt;=$B$17,$B$21,MATCH(L993,Aux_CAV!$A$2:$A$121,1))))</f>
        <v>13</v>
      </c>
      <c r="AC993" s="19" t="n">
        <f aca="false">IF(D993="","",COUNT($D$24:D993))</f>
        <v>958</v>
      </c>
    </row>
    <row r="994" customFormat="false" ht="12.75" hidden="false" customHeight="true" outlineLevel="0" collapsed="false">
      <c r="A994" s="14" t="n">
        <f aca="false">IF(D994="","",DATE(B994,C994,1))</f>
        <v>33178</v>
      </c>
      <c r="B994" s="15" t="n">
        <f aca="false" t="array" ref="B994:B994">IF(D994="","",IFERROR(VALUE(INDEX(Vazoes_COLAR!$A$2:$A$200,INT((ROW()-24)/12)+1)),""))</f>
        <v>1990</v>
      </c>
      <c r="C994" s="15" t="n">
        <f aca="false">IF(D994="","",MOD(ROW()-24,12)+1)</f>
        <v>11</v>
      </c>
      <c r="D994" s="16" t="n">
        <f aca="false" t="array" ref="D994: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0.129432300727149</v>
      </c>
      <c r="E994" s="16" t="n">
        <f aca="false">IF(D994="","",D994*$B$15)</f>
        <v>0.33548852348477</v>
      </c>
      <c r="F994" s="16" t="n">
        <f aca="false" t="array" ref="F994:F994">IF(D994="","",IFERROR(INDEX(Dados_Evap!$C$2:$N$15,MATCH($B$9,Dados_Evap!$A$2:$A$15,0),C994),0))</f>
        <v>223.7</v>
      </c>
      <c r="G994" s="16" t="n">
        <f aca="false">IF(F994="","",F994/1000)</f>
        <v>0.2237</v>
      </c>
      <c r="H994" s="16" t="n">
        <f aca="false">IF(D994="","",MAX(0,MIN($B$8,IFERROR(LOOKUP(2,1/($U$24:U993&lt;&gt;""),$U$24:U993),$B$11))))</f>
        <v>36.7880971731484</v>
      </c>
      <c r="I994" s="16" t="n">
        <f aca="false" t="array" ref="I994: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>5.92844995360837</v>
      </c>
      <c r="J994" s="16" t="n">
        <f aca="false">IF(D994="","",$B$12)</f>
        <v>0.35</v>
      </c>
      <c r="K994" s="16" t="n">
        <f aca="false">IF(J994="","",J994*$B$15)</f>
        <v>0.9072</v>
      </c>
      <c r="L994" s="16" t="n">
        <f aca="false">IF(D994="","",H994+E994-K994-G994*I994)</f>
        <v>34.890191442011</v>
      </c>
      <c r="M994" s="16" t="n">
        <f aca="false" t="array" ref="M994: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>5.73895779334544</v>
      </c>
      <c r="N994" s="16" t="n">
        <f aca="false">IF(D994="","",(I994+M994)/2)</f>
        <v>5.83370387347691</v>
      </c>
      <c r="O994" s="16" t="n">
        <f aca="false">IF(D994="","",G994*N994)</f>
        <v>1.30499955649678</v>
      </c>
      <c r="P994" s="16" t="n">
        <f aca="false">IF(D994="","",H994+E994-K994-O994)</f>
        <v>34.9113861401364</v>
      </c>
      <c r="Q994" s="16" t="n">
        <f aca="false">IF(D994="","",IF(P994&gt;=0,K994,MAX(0,K994+P994)))</f>
        <v>0.9072</v>
      </c>
      <c r="R994" s="16" t="n">
        <f aca="false">IF(D994="","",Q994/$B$15)</f>
        <v>0.35</v>
      </c>
      <c r="S994" s="16" t="n">
        <f aca="false">IF(D994="","",MAX(0,J994-R994))</f>
        <v>0</v>
      </c>
      <c r="T994" s="16" t="n">
        <f aca="false">IF(D994="","",MAX(0,Z994-$B$8))</f>
        <v>0</v>
      </c>
      <c r="U994" s="16" t="n">
        <f aca="false">IF(D994="","",MAX(0,MIN($B$8,Z994)))</f>
        <v>34.9113861401364</v>
      </c>
      <c r="V994" s="16" t="str">
        <f aca="false">IF(D994="","",IF(S994&gt;0.0000001,"Sim","Não"))</f>
        <v>Não</v>
      </c>
      <c r="W994" s="16" t="n">
        <f aca="false">IF(D994="","",U994-(H994+E994-Q994-O994-T994))</f>
        <v>0</v>
      </c>
      <c r="X994" s="16" t="n">
        <f aca="false">IF(W994="","",ABS(W994))</f>
        <v>0</v>
      </c>
      <c r="Y994" s="16" t="n">
        <f aca="false">IF(U994="","",IF($B$8=0,0,U994/$B$8*100))</f>
        <v>73.9334734013901</v>
      </c>
      <c r="Z994" s="18" t="n">
        <f aca="false">IF(D994="","",MAX(0,IF(P994&gt;=0,P994,IF(K994+P994&gt;=0,0,P994+K994))))</f>
        <v>34.9113861401364</v>
      </c>
      <c r="AA994" s="18" t="n">
        <f aca="false">IF(D994="","",IF(H994&lt;=$B$16,1,IF(H994&gt;=$B$17,$B$21,MATCH(H994,Aux_CAV!$A$2:$A$121,1))))</f>
        <v>13</v>
      </c>
      <c r="AB994" s="18" t="n">
        <f aca="false">IF(D994="","",IF(L994&lt;=$B$16,1,IF(L994&gt;=$B$17,$B$21,MATCH(L994,Aux_CAV!$A$2:$A$121,1))))</f>
        <v>13</v>
      </c>
      <c r="AC994" s="19" t="n">
        <f aca="false">IF(D994="","",COUNT($D$24:D994))</f>
        <v>959</v>
      </c>
    </row>
    <row r="995" customFormat="false" ht="12.75" hidden="false" customHeight="true" outlineLevel="0" collapsed="false">
      <c r="A995" s="14" t="n">
        <f aca="false">IF(D995="","",DATE(B995,C995,1))</f>
        <v>33208</v>
      </c>
      <c r="B995" s="15" t="n">
        <f aca="false" t="array" ref="B995:B995">IF(D995="","",IFERROR(VALUE(INDEX(Vazoes_COLAR!$A$2:$A$200,INT((ROW()-24)/12)+1)),""))</f>
        <v>1990</v>
      </c>
      <c r="C995" s="15" t="n">
        <f aca="false">IF(D995="","",MOD(ROW()-24,12)+1)</f>
        <v>12</v>
      </c>
      <c r="D995" s="16" t="n">
        <f aca="false" t="array" ref="D995: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0.046501032861028</v>
      </c>
      <c r="E995" s="16" t="n">
        <f aca="false">IF(D995="","",D995*$B$15)</f>
        <v>0.120530677175785</v>
      </c>
      <c r="F995" s="16" t="n">
        <f aca="false" t="array" ref="F995:F995">IF(D995="","",IFERROR(INDEX(Dados_Evap!$C$2:$N$15,MATCH($B$9,Dados_Evap!$A$2:$A$15,0),C995),0))</f>
        <v>216.1</v>
      </c>
      <c r="G995" s="16" t="n">
        <f aca="false">IF(F995="","",F995/1000)</f>
        <v>0.2161</v>
      </c>
      <c r="H995" s="16" t="n">
        <f aca="false">IF(D995="","",MAX(0,MIN($B$8,IFERROR(LOOKUP(2,1/($U$24:U994&lt;&gt;""),$U$24:U994),$B$11))))</f>
        <v>34.9113861401364</v>
      </c>
      <c r="I995" s="16" t="n">
        <f aca="false" t="array" ref="I995: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>5.74107393065828</v>
      </c>
      <c r="J995" s="16" t="n">
        <f aca="false">IF(D995="","",$B$12)</f>
        <v>0.35</v>
      </c>
      <c r="K995" s="16" t="n">
        <f aca="false">IF(J995="","",J995*$B$15)</f>
        <v>0.9072</v>
      </c>
      <c r="L995" s="16" t="n">
        <f aca="false">IF(D995="","",H995+E995-K995-G995*I995)</f>
        <v>32.884070740897</v>
      </c>
      <c r="M995" s="16" t="n">
        <f aca="false" t="array" ref="M995: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>5.53213162065629</v>
      </c>
      <c r="N995" s="16" t="n">
        <f aca="false">IF(D995="","",(I995+M995)/2)</f>
        <v>5.63660277565728</v>
      </c>
      <c r="O995" s="16" t="n">
        <f aca="false">IF(D995="","",G995*N995)</f>
        <v>1.21806985981954</v>
      </c>
      <c r="P995" s="16" t="n">
        <f aca="false">IF(D995="","",H995+E995-K995-O995)</f>
        <v>32.9066469574927</v>
      </c>
      <c r="Q995" s="16" t="n">
        <f aca="false">IF(D995="","",IF(P995&gt;=0,K995,MAX(0,K995+P995)))</f>
        <v>0.9072</v>
      </c>
      <c r="R995" s="16" t="n">
        <f aca="false">IF(D995="","",Q995/$B$15)</f>
        <v>0.35</v>
      </c>
      <c r="S995" s="16" t="n">
        <f aca="false">IF(D995="","",MAX(0,J995-R995))</f>
        <v>0</v>
      </c>
      <c r="T995" s="16" t="n">
        <f aca="false">IF(D995="","",MAX(0,Z995-$B$8))</f>
        <v>0</v>
      </c>
      <c r="U995" s="16" t="n">
        <f aca="false">IF(D995="","",MAX(0,MIN($B$8,Z995)))</f>
        <v>32.9066469574927</v>
      </c>
      <c r="V995" s="16" t="str">
        <f aca="false">IF(D995="","",IF(S995&gt;0.0000001,"Sim","Não"))</f>
        <v>Não</v>
      </c>
      <c r="W995" s="16" t="n">
        <f aca="false">IF(D995="","",U995-(H995+E995-Q995-O995-T995))</f>
        <v>0</v>
      </c>
      <c r="X995" s="16" t="n">
        <f aca="false">IF(W995="","",ABS(W995))</f>
        <v>0</v>
      </c>
      <c r="Y995" s="16" t="n">
        <f aca="false">IF(U995="","",IF($B$8=0,0,U995/$B$8*100))</f>
        <v>69.6879435779176</v>
      </c>
      <c r="Z995" s="18" t="n">
        <f aca="false">IF(D995="","",MAX(0,IF(P995&gt;=0,P995,IF(K995+P995&gt;=0,0,P995+K995))))</f>
        <v>32.9066469574927</v>
      </c>
      <c r="AA995" s="18" t="n">
        <f aca="false">IF(D995="","",IF(H995&lt;=$B$16,1,IF(H995&gt;=$B$17,$B$21,MATCH(H995,Aux_CAV!$A$2:$A$121,1))))</f>
        <v>13</v>
      </c>
      <c r="AB995" s="18" t="n">
        <f aca="false">IF(D995="","",IF(L995&lt;=$B$16,1,IF(L995&gt;=$B$17,$B$21,MATCH(L995,Aux_CAV!$A$2:$A$121,1))))</f>
        <v>12</v>
      </c>
      <c r="AC995" s="19" t="n">
        <f aca="false">IF(D995="","",COUNT($D$24:D995))</f>
        <v>960</v>
      </c>
    </row>
    <row r="996" customFormat="false" ht="12.75" hidden="false" customHeight="true" outlineLevel="0" collapsed="false">
      <c r="A996" s="14" t="n">
        <f aca="false">IF(D996="","",DATE(B996,C996,1))</f>
        <v>33239</v>
      </c>
      <c r="B996" s="15" t="n">
        <f aca="false" t="array" ref="B996:B996">IF(D996="","",IFERROR(VALUE(INDEX(Vazoes_COLAR!$A$2:$A$200,INT((ROW()-24)/12)+1)),""))</f>
        <v>1991</v>
      </c>
      <c r="C996" s="15" t="n">
        <f aca="false">IF(D996="","",MOD(ROW()-24,12)+1)</f>
        <v>1</v>
      </c>
      <c r="D996" s="16" t="n">
        <f aca="false" t="array" ref="D996: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0.259672817531273</v>
      </c>
      <c r="E996" s="16" t="n">
        <f aca="false">IF(D996="","",D996*$B$15)</f>
        <v>0.67307194304106</v>
      </c>
      <c r="F996" s="16" t="n">
        <f aca="false" t="array" ref="F996:F996">IF(D996="","",IFERROR(INDEX(Dados_Evap!$C$2:$N$15,MATCH($B$9,Dados_Evap!$A$2:$A$15,0),C996),0))</f>
        <v>160</v>
      </c>
      <c r="G996" s="16" t="n">
        <f aca="false">IF(F996="","",F996/1000)</f>
        <v>0.16</v>
      </c>
      <c r="H996" s="16" t="n">
        <f aca="false">IF(D996="","",MAX(0,MIN($B$8,IFERROR(LOOKUP(2,1/($U$24:U995&lt;&gt;""),$U$24:U995),$B$11))))</f>
        <v>32.9066469574927</v>
      </c>
      <c r="I996" s="16" t="n">
        <f aca="false" t="array" ref="I996: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>5.53447691694341</v>
      </c>
      <c r="J996" s="16" t="n">
        <f aca="false">IF(D996="","",$B$12)</f>
        <v>0.35</v>
      </c>
      <c r="K996" s="16" t="n">
        <f aca="false">IF(J996="","",J996*$B$15)</f>
        <v>0.9072</v>
      </c>
      <c r="L996" s="16" t="n">
        <f aca="false">IF(D996="","",H996+E996-K996-G996*I996)</f>
        <v>31.7870025938228</v>
      </c>
      <c r="M996" s="16" t="n">
        <f aca="false" t="array" ref="M996: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>5.41816434712528</v>
      </c>
      <c r="N996" s="16" t="n">
        <f aca="false">IF(D996="","",(I996+M996)/2)</f>
        <v>5.47632063203435</v>
      </c>
      <c r="O996" s="16" t="n">
        <f aca="false">IF(D996="","",G996*N996)</f>
        <v>0.876211301125495</v>
      </c>
      <c r="P996" s="16" t="n">
        <f aca="false">IF(D996="","",H996+E996-K996-O996)</f>
        <v>31.7963075994082</v>
      </c>
      <c r="Q996" s="16" t="n">
        <f aca="false">IF(D996="","",IF(P996&gt;=0,K996,MAX(0,K996+P996)))</f>
        <v>0.9072</v>
      </c>
      <c r="R996" s="16" t="n">
        <f aca="false">IF(D996="","",Q996/$B$15)</f>
        <v>0.35</v>
      </c>
      <c r="S996" s="16" t="n">
        <f aca="false">IF(D996="","",MAX(0,J996-R996))</f>
        <v>0</v>
      </c>
      <c r="T996" s="16" t="n">
        <f aca="false">IF(D996="","",MAX(0,Z996-$B$8))</f>
        <v>0</v>
      </c>
      <c r="U996" s="16" t="n">
        <f aca="false">IF(D996="","",MAX(0,MIN($B$8,Z996)))</f>
        <v>31.7963075994082</v>
      </c>
      <c r="V996" s="16" t="str">
        <f aca="false">IF(D996="","",IF(S996&gt;0.0000001,"Sim","Não"))</f>
        <v>Não</v>
      </c>
      <c r="W996" s="16" t="n">
        <f aca="false">IF(D996="","",U996-(H996+E996-Q996-O996-T996))</f>
        <v>0</v>
      </c>
      <c r="X996" s="16" t="n">
        <f aca="false">IF(W996="","",ABS(W996))</f>
        <v>0</v>
      </c>
      <c r="Y996" s="16" t="n">
        <f aca="false">IF(U996="","",IF($B$8=0,0,U996/$B$8*100))</f>
        <v>67.3365260470314</v>
      </c>
      <c r="Z996" s="18" t="n">
        <f aca="false">IF(D996="","",MAX(0,IF(P996&gt;=0,P996,IF(K996+P996&gt;=0,0,P996+K996))))</f>
        <v>31.7963075994082</v>
      </c>
      <c r="AA996" s="18" t="n">
        <f aca="false">IF(D996="","",IF(H996&lt;=$B$16,1,IF(H996&gt;=$B$17,$B$21,MATCH(H996,Aux_CAV!$A$2:$A$121,1))))</f>
        <v>12</v>
      </c>
      <c r="AB996" s="18" t="n">
        <f aca="false">IF(D996="","",IF(L996&lt;=$B$16,1,IF(L996&gt;=$B$17,$B$21,MATCH(L996,Aux_CAV!$A$2:$A$121,1))))</f>
        <v>12</v>
      </c>
      <c r="AC996" s="19" t="n">
        <f aca="false">IF(D996="","",COUNT($D$24:D996))</f>
        <v>961</v>
      </c>
    </row>
    <row r="997" customFormat="false" ht="12.75" hidden="false" customHeight="true" outlineLevel="0" collapsed="false">
      <c r="A997" s="14" t="n">
        <f aca="false">IF(D997="","",DATE(B997,C997,1))</f>
        <v>33270</v>
      </c>
      <c r="B997" s="15" t="n">
        <f aca="false" t="array" ref="B997:B997">IF(D997="","",IFERROR(VALUE(INDEX(Vazoes_COLAR!$A$2:$A$200,INT((ROW()-24)/12)+1)),""))</f>
        <v>1991</v>
      </c>
      <c r="C997" s="15" t="n">
        <f aca="false">IF(D997="","",MOD(ROW()-24,12)+1)</f>
        <v>2</v>
      </c>
      <c r="D997" s="16" t="n">
        <f aca="false" t="array" ref="D997: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0.442281789016691</v>
      </c>
      <c r="E997" s="16" t="n">
        <f aca="false">IF(D997="","",D997*$B$15)</f>
        <v>1.14639439713126</v>
      </c>
      <c r="F997" s="16" t="n">
        <f aca="false" t="array" ref="F997:F997">IF(D997="","",IFERROR(INDEX(Dados_Evap!$C$2:$N$15,MATCH($B$9,Dados_Evap!$A$2:$A$15,0),C997),0))</f>
        <v>124.3</v>
      </c>
      <c r="G997" s="16" t="n">
        <f aca="false">IF(F997="","",F997/1000)</f>
        <v>0.1243</v>
      </c>
      <c r="H997" s="16" t="n">
        <f aca="false">IF(D997="","",MAX(0,MIN($B$8,IFERROR(LOOKUP(2,1/($U$24:U996&lt;&gt;""),$U$24:U996),$B$11))))</f>
        <v>31.7963075994082</v>
      </c>
      <c r="I997" s="16" t="n">
        <f aca="false" t="array" ref="I997: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>5.41913098362785</v>
      </c>
      <c r="J997" s="16" t="n">
        <f aca="false">IF(D997="","",$B$12)</f>
        <v>0.35</v>
      </c>
      <c r="K997" s="16" t="n">
        <f aca="false">IF(J997="","",J997*$B$15)</f>
        <v>0.9072</v>
      </c>
      <c r="L997" s="16" t="n">
        <f aca="false">IF(D997="","",H997+E997-K997-G997*I997)</f>
        <v>31.3619040152745</v>
      </c>
      <c r="M997" s="16" t="n">
        <f aca="false" t="array" ref="M997: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>5.37400362100425</v>
      </c>
      <c r="N997" s="16" t="n">
        <f aca="false">IF(D997="","",(I997+M997)/2)</f>
        <v>5.39656730231605</v>
      </c>
      <c r="O997" s="16" t="n">
        <f aca="false">IF(D997="","",G997*N997)</f>
        <v>0.670793315677885</v>
      </c>
      <c r="P997" s="16" t="n">
        <f aca="false">IF(D997="","",H997+E997-K997-O997)</f>
        <v>31.3647086808616</v>
      </c>
      <c r="Q997" s="16" t="n">
        <f aca="false">IF(D997="","",IF(P997&gt;=0,K997,MAX(0,K997+P997)))</f>
        <v>0.9072</v>
      </c>
      <c r="R997" s="16" t="n">
        <f aca="false">IF(D997="","",Q997/$B$15)</f>
        <v>0.35</v>
      </c>
      <c r="S997" s="16" t="n">
        <f aca="false">IF(D997="","",MAX(0,J997-R997))</f>
        <v>0</v>
      </c>
      <c r="T997" s="16" t="n">
        <f aca="false">IF(D997="","",MAX(0,Z997-$B$8))</f>
        <v>0</v>
      </c>
      <c r="U997" s="16" t="n">
        <f aca="false">IF(D997="","",MAX(0,MIN($B$8,Z997)))</f>
        <v>31.3647086808616</v>
      </c>
      <c r="V997" s="16" t="str">
        <f aca="false">IF(D997="","",IF(S997&gt;0.0000001,"Sim","Não"))</f>
        <v>Não</v>
      </c>
      <c r="W997" s="16" t="n">
        <f aca="false">IF(D997="","",U997-(H997+E997-Q997-O997-T997))</f>
        <v>0</v>
      </c>
      <c r="X997" s="16" t="n">
        <f aca="false">IF(W997="","",ABS(W997))</f>
        <v>0</v>
      </c>
      <c r="Y997" s="16" t="n">
        <f aca="false">IF(U997="","",IF($B$8=0,0,U997/$B$8*100))</f>
        <v>66.4225088540059</v>
      </c>
      <c r="Z997" s="18" t="n">
        <f aca="false">IF(D997="","",MAX(0,IF(P997&gt;=0,P997,IF(K997+P997&gt;=0,0,P997+K997))))</f>
        <v>31.3647086808616</v>
      </c>
      <c r="AA997" s="18" t="n">
        <f aca="false">IF(D997="","",IF(H997&lt;=$B$16,1,IF(H997&gt;=$B$17,$B$21,MATCH(H997,Aux_CAV!$A$2:$A$121,1))))</f>
        <v>12</v>
      </c>
      <c r="AB997" s="18" t="n">
        <f aca="false">IF(D997="","",IF(L997&lt;=$B$16,1,IF(L997&gt;=$B$17,$B$21,MATCH(L997,Aux_CAV!$A$2:$A$121,1))))</f>
        <v>12</v>
      </c>
      <c r="AC997" s="19" t="n">
        <f aca="false">IF(D997="","",COUNT($D$24:D997))</f>
        <v>962</v>
      </c>
    </row>
    <row r="998" customFormat="false" ht="12.75" hidden="false" customHeight="true" outlineLevel="0" collapsed="false">
      <c r="A998" s="14" t="n">
        <f aca="false">IF(D998="","",DATE(B998,C998,1))</f>
        <v>33298</v>
      </c>
      <c r="B998" s="15" t="n">
        <f aca="false" t="array" ref="B998:B998">IF(D998="","",IFERROR(VALUE(INDEX(Vazoes_COLAR!$A$2:$A$200,INT((ROW()-24)/12)+1)),""))</f>
        <v>1991</v>
      </c>
      <c r="C998" s="15" t="n">
        <f aca="false">IF(D998="","",MOD(ROW()-24,12)+1)</f>
        <v>3</v>
      </c>
      <c r="D998" s="16" t="n">
        <f aca="false" t="array" ref="D998: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2.08834447779682</v>
      </c>
      <c r="E998" s="16" t="n">
        <f aca="false">IF(D998="","",D998*$B$15)</f>
        <v>5.41298888644936</v>
      </c>
      <c r="F998" s="16" t="n">
        <f aca="false" t="array" ref="F998:F998">IF(D998="","",IFERROR(INDEX(Dados_Evap!$C$2:$N$15,MATCH($B$9,Dados_Evap!$A$2:$A$15,0),C998),0))</f>
        <v>107.7</v>
      </c>
      <c r="G998" s="16" t="n">
        <f aca="false">IF(F998="","",F998/1000)</f>
        <v>0.1077</v>
      </c>
      <c r="H998" s="16" t="n">
        <f aca="false">IF(D998="","",MAX(0,MIN($B$8,IFERROR(LOOKUP(2,1/($U$24:U997&lt;&gt;""),$U$24:U997),$B$11))))</f>
        <v>31.3647086808616</v>
      </c>
      <c r="I998" s="16" t="n">
        <f aca="false" t="array" ref="I998: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>5.37429497946815</v>
      </c>
      <c r="J998" s="16" t="n">
        <f aca="false">IF(D998="","",$B$12)</f>
        <v>0.35</v>
      </c>
      <c r="K998" s="16" t="n">
        <f aca="false">IF(J998="","",J998*$B$15)</f>
        <v>0.9072</v>
      </c>
      <c r="L998" s="16" t="n">
        <f aca="false">IF(D998="","",H998+E998-K998-G998*I998)</f>
        <v>35.2916859980222</v>
      </c>
      <c r="M998" s="16" t="n">
        <f aca="false" t="array" ref="M998: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>5.77904412087172</v>
      </c>
      <c r="N998" s="16" t="n">
        <f aca="false">IF(D998="","",(I998+M998)/2)</f>
        <v>5.57666955016993</v>
      </c>
      <c r="O998" s="16" t="n">
        <f aca="false">IF(D998="","",G998*N998)</f>
        <v>0.600607310553302</v>
      </c>
      <c r="P998" s="16" t="n">
        <f aca="false">IF(D998="","",H998+E998-K998-O998)</f>
        <v>35.2698902567577</v>
      </c>
      <c r="Q998" s="16" t="n">
        <f aca="false">IF(D998="","",IF(P998&gt;=0,K998,MAX(0,K998+P998)))</f>
        <v>0.9072</v>
      </c>
      <c r="R998" s="16" t="n">
        <f aca="false">IF(D998="","",Q998/$B$15)</f>
        <v>0.35</v>
      </c>
      <c r="S998" s="16" t="n">
        <f aca="false">IF(D998="","",MAX(0,J998-R998))</f>
        <v>0</v>
      </c>
      <c r="T998" s="16" t="n">
        <f aca="false">IF(D998="","",MAX(0,Z998-$B$8))</f>
        <v>0</v>
      </c>
      <c r="U998" s="16" t="n">
        <f aca="false">IF(D998="","",MAX(0,MIN($B$8,Z998)))</f>
        <v>35.2698902567577</v>
      </c>
      <c r="V998" s="16" t="str">
        <f aca="false">IF(D998="","",IF(S998&gt;0.0000001,"Sim","Não"))</f>
        <v>Não</v>
      </c>
      <c r="W998" s="16" t="n">
        <f aca="false">IF(D998="","",U998-(H998+E998-Q998-O998-T998))</f>
        <v>0</v>
      </c>
      <c r="X998" s="16" t="n">
        <f aca="false">IF(W998="","",ABS(W998))</f>
        <v>0</v>
      </c>
      <c r="Y998" s="16" t="n">
        <f aca="false">IF(U998="","",IF($B$8=0,0,U998/$B$8*100))</f>
        <v>74.6926943175723</v>
      </c>
      <c r="Z998" s="18" t="n">
        <f aca="false">IF(D998="","",MAX(0,IF(P998&gt;=0,P998,IF(K998+P998&gt;=0,0,P998+K998))))</f>
        <v>35.2698902567577</v>
      </c>
      <c r="AA998" s="18" t="n">
        <f aca="false">IF(D998="","",IF(H998&lt;=$B$16,1,IF(H998&gt;=$B$17,$B$21,MATCH(H998,Aux_CAV!$A$2:$A$121,1))))</f>
        <v>12</v>
      </c>
      <c r="AB998" s="18" t="n">
        <f aca="false">IF(D998="","",IF(L998&lt;=$B$16,1,IF(L998&gt;=$B$17,$B$21,MATCH(L998,Aux_CAV!$A$2:$A$121,1))))</f>
        <v>13</v>
      </c>
      <c r="AC998" s="19" t="n">
        <f aca="false">IF(D998="","",COUNT($D$24:D998))</f>
        <v>963</v>
      </c>
    </row>
    <row r="999" customFormat="false" ht="12.75" hidden="false" customHeight="true" outlineLevel="0" collapsed="false">
      <c r="A999" s="14" t="n">
        <f aca="false">IF(D999="","",DATE(B999,C999,1))</f>
        <v>33329</v>
      </c>
      <c r="B999" s="15" t="n">
        <f aca="false" t="array" ref="B999:B999">IF(D999="","",IFERROR(VALUE(INDEX(Vazoes_COLAR!$A$2:$A$200,INT((ROW()-24)/12)+1)),""))</f>
        <v>1991</v>
      </c>
      <c r="C999" s="15" t="n">
        <f aca="false">IF(D999="","",MOD(ROW()-24,12)+1)</f>
        <v>4</v>
      </c>
      <c r="D999" s="16" t="n">
        <f aca="false" t="array" ref="D999: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2.69469106449606</v>
      </c>
      <c r="E999" s="16" t="n">
        <f aca="false">IF(D999="","",D999*$B$15)</f>
        <v>6.98463923917379</v>
      </c>
      <c r="F999" s="16" t="n">
        <f aca="false" t="array" ref="F999:F999">IF(D999="","",IFERROR(INDEX(Dados_Evap!$C$2:$N$15,MATCH($B$9,Dados_Evap!$A$2:$A$15,0),C999),0))</f>
        <v>100.5</v>
      </c>
      <c r="G999" s="16" t="n">
        <f aca="false">IF(F999="","",F999/1000)</f>
        <v>0.1005</v>
      </c>
      <c r="H999" s="16" t="n">
        <f aca="false">IF(D999="","",MAX(0,MIN($B$8,IFERROR(LOOKUP(2,1/($U$24:U998&lt;&gt;""),$U$24:U998),$B$11))))</f>
        <v>35.2698902567577</v>
      </c>
      <c r="I999" s="16" t="n">
        <f aca="false" t="array" ref="I999: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>5.7768679737486</v>
      </c>
      <c r="J999" s="16" t="n">
        <f aca="false">IF(D999="","",$B$12)</f>
        <v>0.35</v>
      </c>
      <c r="K999" s="16" t="n">
        <f aca="false">IF(J999="","",J999*$B$15)</f>
        <v>0.9072</v>
      </c>
      <c r="L999" s="16" t="n">
        <f aca="false">IF(D999="","",H999+E999-K999-G999*I999)</f>
        <v>40.7667542645697</v>
      </c>
      <c r="M999" s="16" t="n">
        <f aca="false" t="array" ref="M999: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>6.32569008773613</v>
      </c>
      <c r="N999" s="16" t="n">
        <f aca="false">IF(D999="","",(I999+M999)/2)</f>
        <v>6.05127903074236</v>
      </c>
      <c r="O999" s="16" t="n">
        <f aca="false">IF(D999="","",G999*N999)</f>
        <v>0.608153542589608</v>
      </c>
      <c r="P999" s="16" t="n">
        <f aca="false">IF(D999="","",H999+E999-K999-O999)</f>
        <v>40.7391759533418</v>
      </c>
      <c r="Q999" s="16" t="n">
        <f aca="false">IF(D999="","",IF(P999&gt;=0,K999,MAX(0,K999+P999)))</f>
        <v>0.9072</v>
      </c>
      <c r="R999" s="16" t="n">
        <f aca="false">IF(D999="","",Q999/$B$15)</f>
        <v>0.35</v>
      </c>
      <c r="S999" s="16" t="n">
        <f aca="false">IF(D999="","",MAX(0,J999-R999))</f>
        <v>0</v>
      </c>
      <c r="T999" s="16" t="n">
        <f aca="false">IF(D999="","",MAX(0,Z999-$B$8))</f>
        <v>0</v>
      </c>
      <c r="U999" s="16" t="n">
        <f aca="false">IF(D999="","",MAX(0,MIN($B$8,Z999)))</f>
        <v>40.7391759533418</v>
      </c>
      <c r="V999" s="16" t="str">
        <f aca="false">IF(D999="","",IF(S999&gt;0.0000001,"Sim","Não"))</f>
        <v>Não</v>
      </c>
      <c r="W999" s="16" t="n">
        <f aca="false">IF(D999="","",U999-(H999+E999-Q999-O999-T999))</f>
        <v>0</v>
      </c>
      <c r="X999" s="16" t="n">
        <f aca="false">IF(W999="","",ABS(W999))</f>
        <v>0</v>
      </c>
      <c r="Y999" s="16" t="n">
        <f aca="false">IF(U999="","",IF($B$8=0,0,U999/$B$8*100))</f>
        <v>86.2752561485426</v>
      </c>
      <c r="Z999" s="18" t="n">
        <f aca="false">IF(D999="","",MAX(0,IF(P999&gt;=0,P999,IF(K999+P999&gt;=0,0,P999+K999))))</f>
        <v>40.7391759533418</v>
      </c>
      <c r="AA999" s="18" t="n">
        <f aca="false">IF(D999="","",IF(H999&lt;=$B$16,1,IF(H999&gt;=$B$17,$B$21,MATCH(H999,Aux_CAV!$A$2:$A$121,1))))</f>
        <v>13</v>
      </c>
      <c r="AB999" s="18" t="n">
        <f aca="false">IF(D999="","",IF(L999&lt;=$B$16,1,IF(L999&gt;=$B$17,$B$21,MATCH(L999,Aux_CAV!$A$2:$A$121,1))))</f>
        <v>13</v>
      </c>
      <c r="AC999" s="19" t="n">
        <f aca="false">IF(D999="","",COUNT($D$24:D999))</f>
        <v>964</v>
      </c>
    </row>
    <row r="1000" customFormat="false" ht="12.75" hidden="false" customHeight="true" outlineLevel="0" collapsed="false">
      <c r="A1000" s="14" t="n">
        <f aca="false">IF(D1000="","",DATE(B1000,C1000,1))</f>
        <v>33359</v>
      </c>
      <c r="B1000" s="15" t="n">
        <f aca="false" t="array" ref="B1000:B1000">IF(D1000="","",IFERROR(VALUE(INDEX(Vazoes_COLAR!$A$2:$A$200,INT((ROW()-24)/12)+1)),""))</f>
        <v>1991</v>
      </c>
      <c r="C1000" s="15" t="n">
        <f aca="false">IF(D1000="","",MOD(ROW()-24,12)+1)</f>
        <v>5</v>
      </c>
      <c r="D1000" s="16" t="n">
        <f aca="false" t="array" ref="D1000: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1.29029467337706</v>
      </c>
      <c r="E1000" s="16" t="n">
        <f aca="false">IF(D1000="","",D1000*$B$15)</f>
        <v>3.34444379339334</v>
      </c>
      <c r="F1000" s="16" t="n">
        <f aca="false" t="array" ref="F1000:F1000">IF(D1000="","",IFERROR(INDEX(Dados_Evap!$C$2:$N$15,MATCH($B$9,Dados_Evap!$A$2:$A$15,0),C1000),0))</f>
        <v>145.8</v>
      </c>
      <c r="G1000" s="16" t="n">
        <f aca="false">IF(F1000="","",F1000/1000)</f>
        <v>0.1458</v>
      </c>
      <c r="H1000" s="16" t="n">
        <f aca="false">IF(D1000="","",MAX(0,MIN($B$8,IFERROR(LOOKUP(2,1/($U$24:U999&lt;&gt;""),$U$24:U999),$B$11))))</f>
        <v>40.7391759533418</v>
      </c>
      <c r="I1000" s="16" t="n">
        <f aca="false" t="array" ref="I1000: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>6.3229365928258</v>
      </c>
      <c r="J1000" s="16" t="n">
        <f aca="false">IF(D1000="","",$B$12)</f>
        <v>0.35</v>
      </c>
      <c r="K1000" s="16" t="n">
        <f aca="false">IF(J1000="","",J1000*$B$15)</f>
        <v>0.9072</v>
      </c>
      <c r="L1000" s="16" t="n">
        <f aca="false">IF(D1000="","",H1000+E1000-K1000-G1000*I1000)</f>
        <v>42.2545355915012</v>
      </c>
      <c r="M1000" s="16" t="n">
        <f aca="false" t="array" ref="M1000: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>6.47423429254768</v>
      </c>
      <c r="N1000" s="16" t="n">
        <f aca="false">IF(D1000="","",(I1000+M1000)/2)</f>
        <v>6.39858544268674</v>
      </c>
      <c r="O1000" s="16" t="n">
        <f aca="false">IF(D1000="","",G1000*N1000)</f>
        <v>0.932913757543726</v>
      </c>
      <c r="P1000" s="16" t="n">
        <f aca="false">IF(D1000="","",H1000+E1000-K1000-O1000)</f>
        <v>42.2435059891915</v>
      </c>
      <c r="Q1000" s="16" t="n">
        <f aca="false">IF(D1000="","",IF(P1000&gt;=0,K1000,MAX(0,K1000+P1000)))</f>
        <v>0.9072</v>
      </c>
      <c r="R1000" s="16" t="n">
        <f aca="false">IF(D1000="","",Q1000/$B$15)</f>
        <v>0.35</v>
      </c>
      <c r="S1000" s="16" t="n">
        <f aca="false">IF(D1000="","",MAX(0,J1000-R1000))</f>
        <v>0</v>
      </c>
      <c r="T1000" s="16" t="n">
        <f aca="false">IF(D1000="","",MAX(0,Z1000-$B$8))</f>
        <v>0</v>
      </c>
      <c r="U1000" s="16" t="n">
        <f aca="false">IF(D1000="","",MAX(0,MIN($B$8,Z1000)))</f>
        <v>42.2435059891915</v>
      </c>
      <c r="V1000" s="16" t="str">
        <f aca="false">IF(D1000="","",IF(S1000&gt;0.0000001,"Sim","Não"))</f>
        <v>Não</v>
      </c>
      <c r="W1000" s="16" t="n">
        <f aca="false">IF(D1000="","",U1000-(H1000+E1000-Q1000-O1000-T1000))</f>
        <v>0</v>
      </c>
      <c r="X1000" s="16" t="n">
        <f aca="false">IF(W1000="","",ABS(W1000))</f>
        <v>0</v>
      </c>
      <c r="Y1000" s="16" t="n">
        <f aca="false">IF(U1000="","",IF($B$8=0,0,U1000/$B$8*100))</f>
        <v>89.4610461439887</v>
      </c>
      <c r="Z1000" s="18" t="n">
        <f aca="false">IF(D1000="","",MAX(0,IF(P1000&gt;=0,P1000,IF(K1000+P1000&gt;=0,0,P1000+K1000))))</f>
        <v>42.2435059891915</v>
      </c>
      <c r="AA1000" s="18" t="n">
        <f aca="false">IF(D1000="","",IF(H1000&lt;=$B$16,1,IF(H1000&gt;=$B$17,$B$21,MATCH(H1000,Aux_CAV!$A$2:$A$121,1))))</f>
        <v>13</v>
      </c>
      <c r="AB1000" s="18" t="n">
        <f aca="false">IF(D1000="","",IF(L1000&lt;=$B$16,1,IF(L1000&gt;=$B$17,$B$21,MATCH(L1000,Aux_CAV!$A$2:$A$121,1))))</f>
        <v>13</v>
      </c>
      <c r="AC1000" s="19" t="n">
        <f aca="false">IF(D1000="","",COUNT($D$24:D1000))</f>
        <v>965</v>
      </c>
    </row>
    <row r="1001" customFormat="false" ht="12.75" hidden="false" customHeight="true" outlineLevel="0" collapsed="false">
      <c r="A1001" s="14" t="n">
        <f aca="false">IF(D1001="","",DATE(B1001,C1001,1))</f>
        <v>33390</v>
      </c>
      <c r="B1001" s="15" t="n">
        <f aca="false" t="array" ref="B1001:B1001">IF(D1001="","",IFERROR(VALUE(INDEX(Vazoes_COLAR!$A$2:$A$200,INT((ROW()-24)/12)+1)),""))</f>
        <v>1991</v>
      </c>
      <c r="C1001" s="15" t="n">
        <f aca="false">IF(D1001="","",MOD(ROW()-24,12)+1)</f>
        <v>6</v>
      </c>
      <c r="D1001" s="16" t="n">
        <f aca="false" t="array" ref="D1001: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0.177962862502117</v>
      </c>
      <c r="E1001" s="16" t="n">
        <f aca="false">IF(D1001="","",D1001*$B$15)</f>
        <v>0.461279739605487</v>
      </c>
      <c r="F1001" s="16" t="n">
        <f aca="false" t="array" ref="F1001:F1001">IF(D1001="","",IFERROR(INDEX(Dados_Evap!$C$2:$N$15,MATCH($B$9,Dados_Evap!$A$2:$A$15,0),C1001),0))</f>
        <v>161.3</v>
      </c>
      <c r="G1001" s="16" t="n">
        <f aca="false">IF(F1001="","",F1001/1000)</f>
        <v>0.1613</v>
      </c>
      <c r="H1001" s="16" t="n">
        <f aca="false">IF(D1001="","",MAX(0,MIN($B$8,IFERROR(LOOKUP(2,1/($U$24:U1000&lt;&gt;""),$U$24:U1000),$B$11))))</f>
        <v>42.2435059891915</v>
      </c>
      <c r="I1001" s="16" t="n">
        <f aca="false" t="array" ref="I1001: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>6.47313306653091</v>
      </c>
      <c r="J1001" s="16" t="n">
        <f aca="false">IF(D1001="","",$B$12)</f>
        <v>0.35</v>
      </c>
      <c r="K1001" s="16" t="n">
        <f aca="false">IF(J1001="","",J1001*$B$15)</f>
        <v>0.9072</v>
      </c>
      <c r="L1001" s="16" t="n">
        <f aca="false">IF(D1001="","",H1001+E1001-K1001-G1001*I1001)</f>
        <v>40.7534693651655</v>
      </c>
      <c r="M1001" s="16" t="n">
        <f aca="false" t="array" ref="M1001: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>6.32436368661637</v>
      </c>
      <c r="N1001" s="16" t="n">
        <f aca="false">IF(D1001="","",(I1001+M1001)/2)</f>
        <v>6.39874837657364</v>
      </c>
      <c r="O1001" s="16" t="n">
        <f aca="false">IF(D1001="","",G1001*N1001)</f>
        <v>1.03211811314133</v>
      </c>
      <c r="P1001" s="16" t="n">
        <f aca="false">IF(D1001="","",H1001+E1001-K1001-O1001)</f>
        <v>40.7654676156556</v>
      </c>
      <c r="Q1001" s="16" t="n">
        <f aca="false">IF(D1001="","",IF(P1001&gt;=0,K1001,MAX(0,K1001+P1001)))</f>
        <v>0.9072</v>
      </c>
      <c r="R1001" s="16" t="n">
        <f aca="false">IF(D1001="","",Q1001/$B$15)</f>
        <v>0.35</v>
      </c>
      <c r="S1001" s="16" t="n">
        <f aca="false">IF(D1001="","",MAX(0,J1001-R1001))</f>
        <v>0</v>
      </c>
      <c r="T1001" s="16" t="n">
        <f aca="false">IF(D1001="","",MAX(0,Z1001-$B$8))</f>
        <v>0</v>
      </c>
      <c r="U1001" s="16" t="n">
        <f aca="false">IF(D1001="","",MAX(0,MIN($B$8,Z1001)))</f>
        <v>40.7654676156556</v>
      </c>
      <c r="V1001" s="16" t="str">
        <f aca="false">IF(D1001="","",IF(S1001&gt;0.0000001,"Sim","Não"))</f>
        <v>Não</v>
      </c>
      <c r="W1001" s="16" t="n">
        <f aca="false">IF(D1001="","",U1001-(H1001+E1001-Q1001-O1001-T1001))</f>
        <v>0</v>
      </c>
      <c r="X1001" s="16" t="n">
        <f aca="false">IF(W1001="","",ABS(W1001))</f>
        <v>0</v>
      </c>
      <c r="Y1001" s="16" t="n">
        <f aca="false">IF(U1001="","",IF($B$8=0,0,U1001/$B$8*100))</f>
        <v>86.330935230105</v>
      </c>
      <c r="Z1001" s="18" t="n">
        <f aca="false">IF(D1001="","",MAX(0,IF(P1001&gt;=0,P1001,IF(K1001+P1001&gt;=0,0,P1001+K1001))))</f>
        <v>40.7654676156556</v>
      </c>
      <c r="AA1001" s="18" t="n">
        <f aca="false">IF(D1001="","",IF(H1001&lt;=$B$16,1,IF(H1001&gt;=$B$17,$B$21,MATCH(H1001,Aux_CAV!$A$2:$A$121,1))))</f>
        <v>13</v>
      </c>
      <c r="AB1001" s="18" t="n">
        <f aca="false">IF(D1001="","",IF(L1001&lt;=$B$16,1,IF(L1001&gt;=$B$17,$B$21,MATCH(L1001,Aux_CAV!$A$2:$A$121,1))))</f>
        <v>13</v>
      </c>
      <c r="AC1001" s="19" t="n">
        <f aca="false">IF(D1001="","",COUNT($D$24:D1001))</f>
        <v>966</v>
      </c>
    </row>
    <row r="1002" customFormat="false" ht="12.75" hidden="false" customHeight="true" outlineLevel="0" collapsed="false">
      <c r="A1002" s="14" t="n">
        <f aca="false">IF(D1002="","",DATE(B1002,C1002,1))</f>
        <v>33420</v>
      </c>
      <c r="B1002" s="15" t="n">
        <f aca="false" t="array" ref="B1002:B1002">IF(D1002="","",IFERROR(VALUE(INDEX(Vazoes_COLAR!$A$2:$A$200,INT((ROW()-24)/12)+1)),""))</f>
        <v>1991</v>
      </c>
      <c r="C1002" s="15" t="n">
        <f aca="false">IF(D1002="","",MOD(ROW()-24,12)+1)</f>
        <v>7</v>
      </c>
      <c r="D1002" s="16" t="n">
        <f aca="false" t="array" ref="D1002: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0.0213693191911263</v>
      </c>
      <c r="E1002" s="16" t="n">
        <f aca="false">IF(D1002="","",D1002*$B$15)</f>
        <v>0.0553892753433994</v>
      </c>
      <c r="F1002" s="16" t="n">
        <f aca="false" t="array" ref="F1002:F1002">IF(D1002="","",IFERROR(INDEX(Dados_Evap!$C$2:$N$15,MATCH($B$9,Dados_Evap!$A$2:$A$15,0),C1002),0))</f>
        <v>224.8</v>
      </c>
      <c r="G1002" s="16" t="n">
        <f aca="false">IF(F1002="","",F1002/1000)</f>
        <v>0.2248</v>
      </c>
      <c r="H1002" s="16" t="n">
        <f aca="false">IF(D1002="","",MAX(0,MIN($B$8,IFERROR(LOOKUP(2,1/($U$24:U1001&lt;&gt;""),$U$24:U1001),$B$11))))</f>
        <v>40.7654676156556</v>
      </c>
      <c r="I1002" s="16" t="n">
        <f aca="false" t="array" ref="I1002: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>6.325561625148</v>
      </c>
      <c r="J1002" s="16" t="n">
        <f aca="false">IF(D1002="","",$B$12)</f>
        <v>0.35</v>
      </c>
      <c r="K1002" s="16" t="n">
        <f aca="false">IF(J1002="","",J1002*$B$15)</f>
        <v>0.9072</v>
      </c>
      <c r="L1002" s="16" t="n">
        <f aca="false">IF(D1002="","",H1002+E1002-K1002-G1002*I1002)</f>
        <v>38.4916706376657</v>
      </c>
      <c r="M1002" s="16" t="n">
        <f aca="false" t="array" ref="M1002: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>6.09853944259713</v>
      </c>
      <c r="N1002" s="16" t="n">
        <f aca="false">IF(D1002="","",(I1002+M1002)/2)</f>
        <v>6.21205053387257</v>
      </c>
      <c r="O1002" s="16" t="n">
        <f aca="false">IF(D1002="","",G1002*N1002)</f>
        <v>1.39646896001455</v>
      </c>
      <c r="P1002" s="16" t="n">
        <f aca="false">IF(D1002="","",H1002+E1002-K1002-O1002)</f>
        <v>38.5171879309845</v>
      </c>
      <c r="Q1002" s="16" t="n">
        <f aca="false">IF(D1002="","",IF(P1002&gt;=0,K1002,MAX(0,K1002+P1002)))</f>
        <v>0.9072</v>
      </c>
      <c r="R1002" s="16" t="n">
        <f aca="false">IF(D1002="","",Q1002/$B$15)</f>
        <v>0.35</v>
      </c>
      <c r="S1002" s="16" t="n">
        <f aca="false">IF(D1002="","",MAX(0,J1002-R1002))</f>
        <v>0</v>
      </c>
      <c r="T1002" s="16" t="n">
        <f aca="false">IF(D1002="","",MAX(0,Z1002-$B$8))</f>
        <v>0</v>
      </c>
      <c r="U1002" s="16" t="n">
        <f aca="false">IF(D1002="","",MAX(0,MIN($B$8,Z1002)))</f>
        <v>38.5171879309845</v>
      </c>
      <c r="V1002" s="16" t="str">
        <f aca="false">IF(D1002="","",IF(S1002&gt;0.0000001,"Sim","Não"))</f>
        <v>Não</v>
      </c>
      <c r="W1002" s="16" t="n">
        <f aca="false">IF(D1002="","",U1002-(H1002+E1002-Q1002-O1002-T1002))</f>
        <v>0</v>
      </c>
      <c r="X1002" s="16" t="n">
        <f aca="false">IF(W1002="","",ABS(W1002))</f>
        <v>0</v>
      </c>
      <c r="Y1002" s="16" t="n">
        <f aca="false">IF(U1002="","",IF($B$8=0,0,U1002/$B$8*100))</f>
        <v>81.5696483078875</v>
      </c>
      <c r="Z1002" s="18" t="n">
        <f aca="false">IF(D1002="","",MAX(0,IF(P1002&gt;=0,P1002,IF(K1002+P1002&gt;=0,0,P1002+K1002))))</f>
        <v>38.5171879309845</v>
      </c>
      <c r="AA1002" s="18" t="n">
        <f aca="false">IF(D1002="","",IF(H1002&lt;=$B$16,1,IF(H1002&gt;=$B$17,$B$21,MATCH(H1002,Aux_CAV!$A$2:$A$121,1))))</f>
        <v>13</v>
      </c>
      <c r="AB1002" s="18" t="n">
        <f aca="false">IF(D1002="","",IF(L1002&lt;=$B$16,1,IF(L1002&gt;=$B$17,$B$21,MATCH(L1002,Aux_CAV!$A$2:$A$121,1))))</f>
        <v>13</v>
      </c>
      <c r="AC1002" s="19" t="n">
        <f aca="false">IF(D1002="","",COUNT($D$24:D1002))</f>
        <v>967</v>
      </c>
    </row>
    <row r="1003" customFormat="false" ht="12.75" hidden="false" customHeight="true" outlineLevel="0" collapsed="false">
      <c r="A1003" s="14" t="n">
        <f aca="false">IF(D1003="","",DATE(B1003,C1003,1))</f>
        <v>33451</v>
      </c>
      <c r="B1003" s="15" t="n">
        <f aca="false" t="array" ref="B1003:B1003">IF(D1003="","",IFERROR(VALUE(INDEX(Vazoes_COLAR!$A$2:$A$200,INT((ROW()-24)/12)+1)),""))</f>
        <v>1991</v>
      </c>
      <c r="C1003" s="15" t="n">
        <f aca="false">IF(D1003="","",MOD(ROW()-24,12)+1)</f>
        <v>8</v>
      </c>
      <c r="D1003" s="16" t="n">
        <f aca="false" t="array" ref="D1003: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0.020398113772782</v>
      </c>
      <c r="E1003" s="16" t="n">
        <f aca="false">IF(D1003="","",D1003*$B$15)</f>
        <v>0.0528719108990509</v>
      </c>
      <c r="F1003" s="16" t="n">
        <f aca="false" t="array" ref="F1003:F1003">IF(D1003="","",IFERROR(INDEX(Dados_Evap!$C$2:$N$15,MATCH($B$9,Dados_Evap!$A$2:$A$15,0),C1003),0))</f>
        <v>268.7</v>
      </c>
      <c r="G1003" s="16" t="n">
        <f aca="false">IF(F1003="","",F1003/1000)</f>
        <v>0.2687</v>
      </c>
      <c r="H1003" s="16" t="n">
        <f aca="false">IF(D1003="","",MAX(0,MIN($B$8,IFERROR(LOOKUP(2,1/($U$24:U1002&lt;&gt;""),$U$24:U1002),$B$11))))</f>
        <v>38.5171879309845</v>
      </c>
      <c r="I1003" s="16" t="n">
        <f aca="false" t="array" ref="I1003: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>6.10108715977596</v>
      </c>
      <c r="J1003" s="16" t="n">
        <f aca="false">IF(D1003="","",$B$12)</f>
        <v>0.35</v>
      </c>
      <c r="K1003" s="16" t="n">
        <f aca="false">IF(J1003="","",J1003*$B$15)</f>
        <v>0.9072</v>
      </c>
      <c r="L1003" s="16" t="n">
        <f aca="false">IF(D1003="","",H1003+E1003-K1003-G1003*I1003)</f>
        <v>36.0234977220517</v>
      </c>
      <c r="M1003" s="16" t="n">
        <f aca="false" t="array" ref="M1003: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>5.85211022853818</v>
      </c>
      <c r="N1003" s="16" t="n">
        <f aca="false">IF(D1003="","",(I1003+M1003)/2)</f>
        <v>5.97659869415707</v>
      </c>
      <c r="O1003" s="16" t="n">
        <f aca="false">IF(D1003="","",G1003*N1003)</f>
        <v>1.60591206912001</v>
      </c>
      <c r="P1003" s="16" t="n">
        <f aca="false">IF(D1003="","",H1003+E1003-K1003-O1003)</f>
        <v>36.0569477727635</v>
      </c>
      <c r="Q1003" s="16" t="n">
        <f aca="false">IF(D1003="","",IF(P1003&gt;=0,K1003,MAX(0,K1003+P1003)))</f>
        <v>0.9072</v>
      </c>
      <c r="R1003" s="16" t="n">
        <f aca="false">IF(D1003="","",Q1003/$B$15)</f>
        <v>0.35</v>
      </c>
      <c r="S1003" s="16" t="n">
        <f aca="false">IF(D1003="","",MAX(0,J1003-R1003))</f>
        <v>0</v>
      </c>
      <c r="T1003" s="16" t="n">
        <f aca="false">IF(D1003="","",MAX(0,Z1003-$B$8))</f>
        <v>0</v>
      </c>
      <c r="U1003" s="16" t="n">
        <f aca="false">IF(D1003="","",MAX(0,MIN($B$8,Z1003)))</f>
        <v>36.0569477727635</v>
      </c>
      <c r="V1003" s="16" t="str">
        <f aca="false">IF(D1003="","",IF(S1003&gt;0.0000001,"Sim","Não"))</f>
        <v>Não</v>
      </c>
      <c r="W1003" s="16" t="n">
        <f aca="false">IF(D1003="","",U1003-(H1003+E1003-Q1003-O1003-T1003))</f>
        <v>0</v>
      </c>
      <c r="X1003" s="16" t="n">
        <f aca="false">IF(W1003="","",ABS(W1003))</f>
        <v>0</v>
      </c>
      <c r="Y1003" s="16" t="n">
        <f aca="false">IF(U1003="","",IF($B$8=0,0,U1003/$B$8*100))</f>
        <v>76.3594827885716</v>
      </c>
      <c r="Z1003" s="18" t="n">
        <f aca="false">IF(D1003="","",MAX(0,IF(P1003&gt;=0,P1003,IF(K1003+P1003&gt;=0,0,P1003+K1003))))</f>
        <v>36.0569477727635</v>
      </c>
      <c r="AA1003" s="18" t="n">
        <f aca="false">IF(D1003="","",IF(H1003&lt;=$B$16,1,IF(H1003&gt;=$B$17,$B$21,MATCH(H1003,Aux_CAV!$A$2:$A$121,1))))</f>
        <v>13</v>
      </c>
      <c r="AB1003" s="18" t="n">
        <f aca="false">IF(D1003="","",IF(L1003&lt;=$B$16,1,IF(L1003&gt;=$B$17,$B$21,MATCH(L1003,Aux_CAV!$A$2:$A$121,1))))</f>
        <v>13</v>
      </c>
      <c r="AC1003" s="19" t="n">
        <f aca="false">IF(D1003="","",COUNT($D$24:D1003))</f>
        <v>968</v>
      </c>
    </row>
    <row r="1004" customFormat="false" ht="12.75" hidden="false" customHeight="true" outlineLevel="0" collapsed="false">
      <c r="A1004" s="14" t="n">
        <f aca="false">IF(D1004="","",DATE(B1004,C1004,1))</f>
        <v>33482</v>
      </c>
      <c r="B1004" s="15" t="n">
        <f aca="false" t="array" ref="B1004:B1004">IF(D1004="","",IFERROR(VALUE(INDEX(Vazoes_COLAR!$A$2:$A$200,INT((ROW()-24)/12)+1)),""))</f>
        <v>1991</v>
      </c>
      <c r="C1004" s="15" t="n">
        <f aca="false">IF(D1004="","",MOD(ROW()-24,12)+1)</f>
        <v>9</v>
      </c>
      <c r="D1004" s="16" t="n">
        <f aca="false" t="array" ref="D1004: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0.0124042900273453</v>
      </c>
      <c r="E1004" s="16" t="n">
        <f aca="false">IF(D1004="","",D1004*$B$15)</f>
        <v>0.032151919750879</v>
      </c>
      <c r="F1004" s="16" t="n">
        <f aca="false" t="array" ref="F1004:F1004">IF(D1004="","",IFERROR(INDEX(Dados_Evap!$C$2:$N$15,MATCH($B$9,Dados_Evap!$A$2:$A$15,0),C1004),0))</f>
        <v>292.8</v>
      </c>
      <c r="G1004" s="16" t="n">
        <f aca="false">IF(F1004="","",F1004/1000)</f>
        <v>0.2928</v>
      </c>
      <c r="H1004" s="16" t="n">
        <f aca="false">IF(D1004="","",MAX(0,MIN($B$8,IFERROR(LOOKUP(2,1/($U$24:U1003&lt;&gt;""),$U$24:U1003),$B$11))))</f>
        <v>36.0569477727635</v>
      </c>
      <c r="I1004" s="16" t="n">
        <f aca="false" t="array" ref="I1004: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>5.85544997416742</v>
      </c>
      <c r="J1004" s="16" t="n">
        <f aca="false">IF(D1004="","",$B$12)</f>
        <v>0.35</v>
      </c>
      <c r="K1004" s="16" t="n">
        <f aca="false">IF(J1004="","",J1004*$B$15)</f>
        <v>0.9072</v>
      </c>
      <c r="L1004" s="16" t="n">
        <f aca="false">IF(D1004="","",H1004+E1004-K1004-G1004*I1004)</f>
        <v>33.4674239400782</v>
      </c>
      <c r="M1004" s="16" t="n">
        <f aca="false" t="array" ref="M1004: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>5.59273238989161</v>
      </c>
      <c r="N1004" s="16" t="n">
        <f aca="false">IF(D1004="","",(I1004+M1004)/2)</f>
        <v>5.72409118202952</v>
      </c>
      <c r="O1004" s="16" t="n">
        <f aca="false">IF(D1004="","",G1004*N1004)</f>
        <v>1.67601389809824</v>
      </c>
      <c r="P1004" s="16" t="n">
        <f aca="false">IF(D1004="","",H1004+E1004-K1004-O1004)</f>
        <v>33.5058857944161</v>
      </c>
      <c r="Q1004" s="16" t="n">
        <f aca="false">IF(D1004="","",IF(P1004&gt;=0,K1004,MAX(0,K1004+P1004)))</f>
        <v>0.9072</v>
      </c>
      <c r="R1004" s="16" t="n">
        <f aca="false">IF(D1004="","",Q1004/$B$15)</f>
        <v>0.35</v>
      </c>
      <c r="S1004" s="16" t="n">
        <f aca="false">IF(D1004="","",MAX(0,J1004-R1004))</f>
        <v>0</v>
      </c>
      <c r="T1004" s="16" t="n">
        <f aca="false">IF(D1004="","",MAX(0,Z1004-$B$8))</f>
        <v>0</v>
      </c>
      <c r="U1004" s="16" t="n">
        <f aca="false">IF(D1004="","",MAX(0,MIN($B$8,Z1004)))</f>
        <v>33.5058857944161</v>
      </c>
      <c r="V1004" s="16" t="str">
        <f aca="false">IF(D1004="","",IF(S1004&gt;0.0000001,"Sim","Não"))</f>
        <v>Não</v>
      </c>
      <c r="W1004" s="16" t="n">
        <f aca="false">IF(D1004="","",U1004-(H1004+E1004-Q1004-O1004-T1004))</f>
        <v>0</v>
      </c>
      <c r="X1004" s="16" t="n">
        <f aca="false">IF(W1004="","",ABS(W1004))</f>
        <v>0</v>
      </c>
      <c r="Y1004" s="16" t="n">
        <f aca="false">IF(U1004="","",IF($B$8=0,0,U1004/$B$8*100))</f>
        <v>70.9569796578063</v>
      </c>
      <c r="Z1004" s="18" t="n">
        <f aca="false">IF(D1004="","",MAX(0,IF(P1004&gt;=0,P1004,IF(K1004+P1004&gt;=0,0,P1004+K1004))))</f>
        <v>33.5058857944161</v>
      </c>
      <c r="AA1004" s="18" t="n">
        <f aca="false">IF(D1004="","",IF(H1004&lt;=$B$16,1,IF(H1004&gt;=$B$17,$B$21,MATCH(H1004,Aux_CAV!$A$2:$A$121,1))))</f>
        <v>13</v>
      </c>
      <c r="AB1004" s="18" t="n">
        <f aca="false">IF(D1004="","",IF(L1004&lt;=$B$16,1,IF(L1004&gt;=$B$17,$B$21,MATCH(L1004,Aux_CAV!$A$2:$A$121,1))))</f>
        <v>12</v>
      </c>
      <c r="AC1004" s="19" t="n">
        <f aca="false">IF(D1004="","",COUNT($D$24:D1004))</f>
        <v>969</v>
      </c>
    </row>
    <row r="1005" customFormat="false" ht="12.75" hidden="false" customHeight="true" outlineLevel="0" collapsed="false">
      <c r="A1005" s="14" t="n">
        <f aca="false">IF(D1005="","",DATE(B1005,C1005,1))</f>
        <v>33512</v>
      </c>
      <c r="B1005" s="15" t="n">
        <f aca="false" t="array" ref="B1005:B1005">IF(D1005="","",IFERROR(VALUE(INDEX(Vazoes_COLAR!$A$2:$A$200,INT((ROW()-24)/12)+1)),""))</f>
        <v>1991</v>
      </c>
      <c r="C1005" s="15" t="n">
        <f aca="false">IF(D1005="","",MOD(ROW()-24,12)+1)</f>
        <v>10</v>
      </c>
      <c r="D1005" s="16" t="n">
        <f aca="false" t="array" ref="D1005: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0.0159343442838118</v>
      </c>
      <c r="E1005" s="16" t="n">
        <f aca="false">IF(D1005="","",D1005*$B$15)</f>
        <v>0.0413018203836402</v>
      </c>
      <c r="F1005" s="16" t="n">
        <f aca="false" t="array" ref="F1005:F1005">IF(D1005="","",IFERROR(INDEX(Dados_Evap!$C$2:$N$15,MATCH($B$9,Dados_Evap!$A$2:$A$15,0),C1005),0))</f>
        <v>262.9</v>
      </c>
      <c r="G1005" s="16" t="n">
        <f aca="false">IF(F1005="","",F1005/1000)</f>
        <v>0.2629</v>
      </c>
      <c r="H1005" s="16" t="n">
        <f aca="false">IF(D1005="","",MAX(0,MIN($B$8,IFERROR(LOOKUP(2,1/($U$24:U1004&lt;&gt;""),$U$24:U1004),$B$11))))</f>
        <v>33.5058857944161</v>
      </c>
      <c r="I1005" s="16" t="n">
        <f aca="false" t="array" ref="I1005: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>5.59672794175003</v>
      </c>
      <c r="J1005" s="16" t="n">
        <f aca="false">IF(D1005="","",$B$12)</f>
        <v>0.35</v>
      </c>
      <c r="K1005" s="16" t="n">
        <f aca="false">IF(J1005="","",J1005*$B$15)</f>
        <v>0.9072</v>
      </c>
      <c r="L1005" s="16" t="n">
        <f aca="false">IF(D1005="","",H1005+E1005-K1005-G1005*I1005)</f>
        <v>31.1686078389137</v>
      </c>
      <c r="M1005" s="16" t="n">
        <f aca="false" t="array" ref="M1005: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>5.3539233386056</v>
      </c>
      <c r="N1005" s="16" t="n">
        <f aca="false">IF(D1005="","",(I1005+M1005)/2)</f>
        <v>5.47532564017781</v>
      </c>
      <c r="O1005" s="16" t="n">
        <f aca="false">IF(D1005="","",G1005*N1005)</f>
        <v>1.43946311080275</v>
      </c>
      <c r="P1005" s="16" t="n">
        <f aca="false">IF(D1005="","",H1005+E1005-K1005-O1005)</f>
        <v>31.200524503997</v>
      </c>
      <c r="Q1005" s="16" t="n">
        <f aca="false">IF(D1005="","",IF(P1005&gt;=0,K1005,MAX(0,K1005+P1005)))</f>
        <v>0.9072</v>
      </c>
      <c r="R1005" s="16" t="n">
        <f aca="false">IF(D1005="","",Q1005/$B$15)</f>
        <v>0.35</v>
      </c>
      <c r="S1005" s="16" t="n">
        <f aca="false">IF(D1005="","",MAX(0,J1005-R1005))</f>
        <v>0</v>
      </c>
      <c r="T1005" s="16" t="n">
        <f aca="false">IF(D1005="","",MAX(0,Z1005-$B$8))</f>
        <v>0</v>
      </c>
      <c r="U1005" s="16" t="n">
        <f aca="false">IF(D1005="","",MAX(0,MIN($B$8,Z1005)))</f>
        <v>31.200524503997</v>
      </c>
      <c r="V1005" s="16" t="str">
        <f aca="false">IF(D1005="","",IF(S1005&gt;0.0000001,"Sim","Não"))</f>
        <v>Não</v>
      </c>
      <c r="W1005" s="16" t="n">
        <f aca="false">IF(D1005="","",U1005-(H1005+E1005-Q1005-O1005-T1005))</f>
        <v>0</v>
      </c>
      <c r="X1005" s="16" t="n">
        <f aca="false">IF(W1005="","",ABS(W1005))</f>
        <v>0</v>
      </c>
      <c r="Y1005" s="16" t="n">
        <f aca="false">IF(U1005="","",IF($B$8=0,0,U1005/$B$8*100))</f>
        <v>66.0748083523868</v>
      </c>
      <c r="Z1005" s="18" t="n">
        <f aca="false">IF(D1005="","",MAX(0,IF(P1005&gt;=0,P1005,IF(K1005+P1005&gt;=0,0,P1005+K1005))))</f>
        <v>31.200524503997</v>
      </c>
      <c r="AA1005" s="18" t="n">
        <f aca="false">IF(D1005="","",IF(H1005&lt;=$B$16,1,IF(H1005&gt;=$B$17,$B$21,MATCH(H1005,Aux_CAV!$A$2:$A$121,1))))</f>
        <v>12</v>
      </c>
      <c r="AB1005" s="18" t="n">
        <f aca="false">IF(D1005="","",IF(L1005&lt;=$B$16,1,IF(L1005&gt;=$B$17,$B$21,MATCH(L1005,Aux_CAV!$A$2:$A$121,1))))</f>
        <v>12</v>
      </c>
      <c r="AC1005" s="19" t="n">
        <f aca="false">IF(D1005="","",COUNT($D$24:D1005))</f>
        <v>970</v>
      </c>
    </row>
    <row r="1006" customFormat="false" ht="12.75" hidden="false" customHeight="true" outlineLevel="0" collapsed="false">
      <c r="A1006" s="14" t="n">
        <f aca="false">IF(D1006="","",DATE(B1006,C1006,1))</f>
        <v>33543</v>
      </c>
      <c r="B1006" s="15" t="n">
        <f aca="false" t="array" ref="B1006:B1006">IF(D1006="","",IFERROR(VALUE(INDEX(Vazoes_COLAR!$A$2:$A$200,INT((ROW()-24)/12)+1)),""))</f>
        <v>1991</v>
      </c>
      <c r="C1006" s="15" t="n">
        <f aca="false">IF(D1006="","",MOD(ROW()-24,12)+1)</f>
        <v>11</v>
      </c>
      <c r="D1006" s="16" t="n">
        <f aca="false" t="array" ref="D1006: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0.0226091399661015</v>
      </c>
      <c r="E1006" s="16" t="n">
        <f aca="false">IF(D1006="","",D1006*$B$15)</f>
        <v>0.0586028907921351</v>
      </c>
      <c r="F1006" s="16" t="n">
        <f aca="false" t="array" ref="F1006:F1006">IF(D1006="","",IFERROR(INDEX(Dados_Evap!$C$2:$N$15,MATCH($B$9,Dados_Evap!$A$2:$A$15,0),C1006),0))</f>
        <v>223.7</v>
      </c>
      <c r="G1006" s="16" t="n">
        <f aca="false">IF(F1006="","",F1006/1000)</f>
        <v>0.2237</v>
      </c>
      <c r="H1006" s="16" t="n">
        <f aca="false">IF(D1006="","",MAX(0,MIN($B$8,IFERROR(LOOKUP(2,1/($U$24:U1005&lt;&gt;""),$U$24:U1005),$B$11))))</f>
        <v>31.200524503997</v>
      </c>
      <c r="I1006" s="16" t="n">
        <f aca="false" t="array" ref="I1006: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>5.35723895332785</v>
      </c>
      <c r="J1006" s="16" t="n">
        <f aca="false">IF(D1006="","",$B$12)</f>
        <v>0.35</v>
      </c>
      <c r="K1006" s="16" t="n">
        <f aca="false">IF(J1006="","",J1006*$B$15)</f>
        <v>0.9072</v>
      </c>
      <c r="L1006" s="16" t="n">
        <f aca="false">IF(D1006="","",H1006+E1006-K1006-G1006*I1006)</f>
        <v>29.1535130409297</v>
      </c>
      <c r="M1006" s="16" t="n">
        <f aca="false" t="array" ref="M1006: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>5.14458824794124</v>
      </c>
      <c r="N1006" s="16" t="n">
        <f aca="false">IF(D1006="","",(I1006+M1006)/2)</f>
        <v>5.25091360063454</v>
      </c>
      <c r="O1006" s="16" t="n">
        <f aca="false">IF(D1006="","",G1006*N1006)</f>
        <v>1.17462937246195</v>
      </c>
      <c r="P1006" s="16" t="n">
        <f aca="false">IF(D1006="","",H1006+E1006-K1006-O1006)</f>
        <v>29.1772980223272</v>
      </c>
      <c r="Q1006" s="16" t="n">
        <f aca="false">IF(D1006="","",IF(P1006&gt;=0,K1006,MAX(0,K1006+P1006)))</f>
        <v>0.9072</v>
      </c>
      <c r="R1006" s="16" t="n">
        <f aca="false">IF(D1006="","",Q1006/$B$15)</f>
        <v>0.35</v>
      </c>
      <c r="S1006" s="16" t="n">
        <f aca="false">IF(D1006="","",MAX(0,J1006-R1006))</f>
        <v>0</v>
      </c>
      <c r="T1006" s="16" t="n">
        <f aca="false">IF(D1006="","",MAX(0,Z1006-$B$8))</f>
        <v>0</v>
      </c>
      <c r="U1006" s="16" t="n">
        <f aca="false">IF(D1006="","",MAX(0,MIN($B$8,Z1006)))</f>
        <v>29.1772980223272</v>
      </c>
      <c r="V1006" s="16" t="str">
        <f aca="false">IF(D1006="","",IF(S1006&gt;0.0000001,"Sim","Não"))</f>
        <v>Não</v>
      </c>
      <c r="W1006" s="16" t="n">
        <f aca="false">IF(D1006="","",U1006-(H1006+E1006-Q1006-O1006-T1006))</f>
        <v>0</v>
      </c>
      <c r="X1006" s="16" t="n">
        <f aca="false">IF(W1006="","",ABS(W1006))</f>
        <v>0</v>
      </c>
      <c r="Y1006" s="16" t="n">
        <f aca="false">IF(U1006="","",IF($B$8=0,0,U1006/$B$8*100))</f>
        <v>61.7901271120864</v>
      </c>
      <c r="Z1006" s="18" t="n">
        <f aca="false">IF(D1006="","",MAX(0,IF(P1006&gt;=0,P1006,IF(K1006+P1006&gt;=0,0,P1006+K1006))))</f>
        <v>29.1772980223272</v>
      </c>
      <c r="AA1006" s="18" t="n">
        <f aca="false">IF(D1006="","",IF(H1006&lt;=$B$16,1,IF(H1006&gt;=$B$17,$B$21,MATCH(H1006,Aux_CAV!$A$2:$A$121,1))))</f>
        <v>12</v>
      </c>
      <c r="AB1006" s="18" t="n">
        <f aca="false">IF(D1006="","",IF(L1006&lt;=$B$16,1,IF(L1006&gt;=$B$17,$B$21,MATCH(L1006,Aux_CAV!$A$2:$A$121,1))))</f>
        <v>12</v>
      </c>
      <c r="AC1006" s="19" t="n">
        <f aca="false">IF(D1006="","",COUNT($D$24:D1006))</f>
        <v>971</v>
      </c>
    </row>
    <row r="1007" customFormat="false" ht="12.75" hidden="false" customHeight="true" outlineLevel="0" collapsed="false">
      <c r="A1007" s="14" t="n">
        <f aca="false">IF(D1007="","",DATE(B1007,C1007,1))</f>
        <v>33573</v>
      </c>
      <c r="B1007" s="15" t="n">
        <f aca="false" t="array" ref="B1007:B1007">IF(D1007="","",IFERROR(VALUE(INDEX(Vazoes_COLAR!$A$2:$A$200,INT((ROW()-24)/12)+1)),""))</f>
        <v>1991</v>
      </c>
      <c r="C1007" s="15" t="n">
        <f aca="false">IF(D1007="","",MOD(ROW()-24,12)+1)</f>
        <v>12</v>
      </c>
      <c r="D1007" s="16" t="n">
        <f aca="false" t="array" ref="D1007: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0.00783019655782737</v>
      </c>
      <c r="E1007" s="16" t="n">
        <f aca="false">IF(D1007="","",D1007*$B$15)</f>
        <v>0.0202958694778885</v>
      </c>
      <c r="F1007" s="16" t="n">
        <f aca="false" t="array" ref="F1007:F1007">IF(D1007="","",IFERROR(INDEX(Dados_Evap!$C$2:$N$15,MATCH($B$9,Dados_Evap!$A$2:$A$15,0),C1007),0))</f>
        <v>216.1</v>
      </c>
      <c r="G1007" s="16" t="n">
        <f aca="false">IF(F1007="","",F1007/1000)</f>
        <v>0.2161</v>
      </c>
      <c r="H1007" s="16" t="n">
        <f aca="false">IF(D1007="","",MAX(0,MIN($B$8,IFERROR(LOOKUP(2,1/($U$24:U1006&lt;&gt;""),$U$24:U1006),$B$11))))</f>
        <v>29.1772980223272</v>
      </c>
      <c r="I1007" s="16" t="n">
        <f aca="false" t="array" ref="I1007: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>5.14705911494079</v>
      </c>
      <c r="J1007" s="16" t="n">
        <f aca="false">IF(D1007="","",$B$12)</f>
        <v>0.35</v>
      </c>
      <c r="K1007" s="16" t="n">
        <f aca="false">IF(J1007="","",J1007*$B$15)</f>
        <v>0.9072</v>
      </c>
      <c r="L1007" s="16" t="n">
        <f aca="false">IF(D1007="","",H1007+E1007-K1007-G1007*I1007)</f>
        <v>27.1781144170664</v>
      </c>
      <c r="M1007" s="16" t="n">
        <f aca="false" t="array" ref="M1007: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>4.93937693458845</v>
      </c>
      <c r="N1007" s="16" t="n">
        <f aca="false">IF(D1007="","",(I1007+M1007)/2)</f>
        <v>5.04321802476462</v>
      </c>
      <c r="O1007" s="16" t="n">
        <f aca="false">IF(D1007="","",G1007*N1007)</f>
        <v>1.08983941515163</v>
      </c>
      <c r="P1007" s="16" t="n">
        <f aca="false">IF(D1007="","",H1007+E1007-K1007-O1007)</f>
        <v>27.2005544766535</v>
      </c>
      <c r="Q1007" s="16" t="n">
        <f aca="false">IF(D1007="","",IF(P1007&gt;=0,K1007,MAX(0,K1007+P1007)))</f>
        <v>0.9072</v>
      </c>
      <c r="R1007" s="16" t="n">
        <f aca="false">IF(D1007="","",Q1007/$B$15)</f>
        <v>0.35</v>
      </c>
      <c r="S1007" s="16" t="n">
        <f aca="false">IF(D1007="","",MAX(0,J1007-R1007))</f>
        <v>0</v>
      </c>
      <c r="T1007" s="16" t="n">
        <f aca="false">IF(D1007="","",MAX(0,Z1007-$B$8))</f>
        <v>0</v>
      </c>
      <c r="U1007" s="16" t="n">
        <f aca="false">IF(D1007="","",MAX(0,MIN($B$8,Z1007)))</f>
        <v>27.2005544766535</v>
      </c>
      <c r="V1007" s="16" t="str">
        <f aca="false">IF(D1007="","",IF(S1007&gt;0.0000001,"Sim","Não"))</f>
        <v>Não</v>
      </c>
      <c r="W1007" s="16" t="n">
        <f aca="false">IF(D1007="","",U1007-(H1007+E1007-Q1007-O1007-T1007))</f>
        <v>0</v>
      </c>
      <c r="X1007" s="16" t="n">
        <f aca="false">IF(W1007="","",ABS(W1007))</f>
        <v>0</v>
      </c>
      <c r="Y1007" s="16" t="n">
        <f aca="false">IF(U1007="","",IF($B$8=0,0,U1007/$B$8*100))</f>
        <v>57.6038849569112</v>
      </c>
      <c r="Z1007" s="18" t="n">
        <f aca="false">IF(D1007="","",MAX(0,IF(P1007&gt;=0,P1007,IF(K1007+P1007&gt;=0,0,P1007+K1007))))</f>
        <v>27.2005544766535</v>
      </c>
      <c r="AA1007" s="18" t="n">
        <f aca="false">IF(D1007="","",IF(H1007&lt;=$B$16,1,IF(H1007&gt;=$B$17,$B$21,MATCH(H1007,Aux_CAV!$A$2:$A$121,1))))</f>
        <v>12</v>
      </c>
      <c r="AB1007" s="18" t="n">
        <f aca="false">IF(D1007="","",IF(L1007&lt;=$B$16,1,IF(L1007&gt;=$B$17,$B$21,MATCH(L1007,Aux_CAV!$A$2:$A$121,1))))</f>
        <v>12</v>
      </c>
      <c r="AC1007" s="19" t="n">
        <f aca="false">IF(D1007="","",COUNT($D$24:D1007))</f>
        <v>972</v>
      </c>
    </row>
    <row r="1008" customFormat="false" ht="12.75" hidden="false" customHeight="true" outlineLevel="0" collapsed="false">
      <c r="A1008" s="14" t="n">
        <f aca="false">IF(D1008="","",DATE(B1008,C1008,1))</f>
        <v>33604</v>
      </c>
      <c r="B1008" s="15" t="n">
        <f aca="false" t="array" ref="B1008:B1008">IF(D1008="","",IFERROR(VALUE(INDEX(Vazoes_COLAR!$A$2:$A$200,INT((ROW()-24)/12)+1)),""))</f>
        <v>1992</v>
      </c>
      <c r="C1008" s="15" t="n">
        <f aca="false">IF(D1008="","",MOD(ROW()-24,12)+1)</f>
        <v>1</v>
      </c>
      <c r="D1008" s="16" t="n">
        <f aca="false" t="array" ref="D1008: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0.133990860131504</v>
      </c>
      <c r="E1008" s="16" t="n">
        <f aca="false">IF(D1008="","",D1008*$B$15)</f>
        <v>0.347304309460858</v>
      </c>
      <c r="F1008" s="16" t="n">
        <f aca="false" t="array" ref="F1008:F1008">IF(D1008="","",IFERROR(INDEX(Dados_Evap!$C$2:$N$15,MATCH($B$9,Dados_Evap!$A$2:$A$15,0),C1008),0))</f>
        <v>160</v>
      </c>
      <c r="G1008" s="16" t="n">
        <f aca="false">IF(F1008="","",F1008/1000)</f>
        <v>0.16</v>
      </c>
      <c r="H1008" s="16" t="n">
        <f aca="false">IF(D1008="","",MAX(0,MIN($B$8,IFERROR(LOOKUP(2,1/($U$24:U1007&lt;&gt;""),$U$24:U1007),$B$11))))</f>
        <v>27.2005544766535</v>
      </c>
      <c r="I1008" s="16" t="n">
        <f aca="false" t="array" ref="I1008: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>4.94170808640963</v>
      </c>
      <c r="J1008" s="16" t="n">
        <f aca="false">IF(D1008="","",$B$12)</f>
        <v>0.35</v>
      </c>
      <c r="K1008" s="16" t="n">
        <f aca="false">IF(J1008="","",J1008*$B$15)</f>
        <v>0.9072</v>
      </c>
      <c r="L1008" s="16" t="n">
        <f aca="false">IF(D1008="","",H1008+E1008-K1008-G1008*I1008)</f>
        <v>25.8499854922888</v>
      </c>
      <c r="M1008" s="16" t="n">
        <f aca="false" t="array" ref="M1008: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>4.80140625987854</v>
      </c>
      <c r="N1008" s="16" t="n">
        <f aca="false">IF(D1008="","",(I1008+M1008)/2)</f>
        <v>4.87155717314409</v>
      </c>
      <c r="O1008" s="16" t="n">
        <f aca="false">IF(D1008="","",G1008*N1008)</f>
        <v>0.779449147703054</v>
      </c>
      <c r="P1008" s="16" t="n">
        <f aca="false">IF(D1008="","",H1008+E1008-K1008-O1008)</f>
        <v>25.8612096384113</v>
      </c>
      <c r="Q1008" s="16" t="n">
        <f aca="false">IF(D1008="","",IF(P1008&gt;=0,K1008,MAX(0,K1008+P1008)))</f>
        <v>0.9072</v>
      </c>
      <c r="R1008" s="16" t="n">
        <f aca="false">IF(D1008="","",Q1008/$B$15)</f>
        <v>0.35</v>
      </c>
      <c r="S1008" s="16" t="n">
        <f aca="false">IF(D1008="","",MAX(0,J1008-R1008))</f>
        <v>0</v>
      </c>
      <c r="T1008" s="16" t="n">
        <f aca="false">IF(D1008="","",MAX(0,Z1008-$B$8))</f>
        <v>0</v>
      </c>
      <c r="U1008" s="16" t="n">
        <f aca="false">IF(D1008="","",MAX(0,MIN($B$8,Z1008)))</f>
        <v>25.8612096384113</v>
      </c>
      <c r="V1008" s="16" t="str">
        <f aca="false">IF(D1008="","",IF(S1008&gt;0.0000001,"Sim","Não"))</f>
        <v>Não</v>
      </c>
      <c r="W1008" s="16" t="n">
        <f aca="false">IF(D1008="","",U1008-(H1008+E1008-Q1008-O1008-T1008))</f>
        <v>0</v>
      </c>
      <c r="X1008" s="16" t="n">
        <f aca="false">IF(W1008="","",ABS(W1008))</f>
        <v>0</v>
      </c>
      <c r="Y1008" s="16" t="n">
        <f aca="false">IF(U1008="","",IF($B$8=0,0,U1008/$B$8*100))</f>
        <v>54.7674918221331</v>
      </c>
      <c r="Z1008" s="18" t="n">
        <f aca="false">IF(D1008="","",MAX(0,IF(P1008&gt;=0,P1008,IF(K1008+P1008&gt;=0,0,P1008+K1008))))</f>
        <v>25.8612096384113</v>
      </c>
      <c r="AA1008" s="18" t="n">
        <f aca="false">IF(D1008="","",IF(H1008&lt;=$B$16,1,IF(H1008&gt;=$B$17,$B$21,MATCH(H1008,Aux_CAV!$A$2:$A$121,1))))</f>
        <v>12</v>
      </c>
      <c r="AB1008" s="18" t="n">
        <f aca="false">IF(D1008="","",IF(L1008&lt;=$B$16,1,IF(L1008&gt;=$B$17,$B$21,MATCH(L1008,Aux_CAV!$A$2:$A$121,1))))</f>
        <v>12</v>
      </c>
      <c r="AC1008" s="19" t="n">
        <f aca="false">IF(D1008="","",COUNT($D$24:D1008))</f>
        <v>973</v>
      </c>
    </row>
    <row r="1009" customFormat="false" ht="12.75" hidden="false" customHeight="true" outlineLevel="0" collapsed="false">
      <c r="A1009" s="14" t="n">
        <f aca="false">IF(D1009="","",DATE(B1009,C1009,1))</f>
        <v>33635</v>
      </c>
      <c r="B1009" s="15" t="n">
        <f aca="false" t="array" ref="B1009:B1009">IF(D1009="","",IFERROR(VALUE(INDEX(Vazoes_COLAR!$A$2:$A$200,INT((ROW()-24)/12)+1)),""))</f>
        <v>1992</v>
      </c>
      <c r="C1009" s="15" t="n">
        <f aca="false">IF(D1009="","",MOD(ROW()-24,12)+1)</f>
        <v>2</v>
      </c>
      <c r="D1009" s="16" t="n">
        <f aca="false" t="array" ref="D1009: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1.24063867809133</v>
      </c>
      <c r="E1009" s="16" t="n">
        <f aca="false">IF(D1009="","",D1009*$B$15)</f>
        <v>3.21573545361273</v>
      </c>
      <c r="F1009" s="16" t="n">
        <f aca="false" t="array" ref="F1009:F1009">IF(D1009="","",IFERROR(INDEX(Dados_Evap!$C$2:$N$15,MATCH($B$9,Dados_Evap!$A$2:$A$15,0),C1009),0))</f>
        <v>124.3</v>
      </c>
      <c r="G1009" s="16" t="n">
        <f aca="false">IF(F1009="","",F1009/1000)</f>
        <v>0.1243</v>
      </c>
      <c r="H1009" s="16" t="n">
        <f aca="false">IF(D1009="","",MAX(0,MIN($B$8,IFERROR(LOOKUP(2,1/($U$24:U1008&lt;&gt;""),$U$24:U1008),$B$11))))</f>
        <v>25.8612096384113</v>
      </c>
      <c r="I1009" s="16" t="n">
        <f aca="false" t="array" ref="I1009: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>4.80257226340777</v>
      </c>
      <c r="J1009" s="16" t="n">
        <f aca="false">IF(D1009="","",$B$12)</f>
        <v>0.35</v>
      </c>
      <c r="K1009" s="16" t="n">
        <f aca="false">IF(J1009="","",J1009*$B$15)</f>
        <v>0.9072</v>
      </c>
      <c r="L1009" s="16" t="n">
        <f aca="false">IF(D1009="","",H1009+E1009-K1009-G1009*I1009)</f>
        <v>27.5727853596824</v>
      </c>
      <c r="M1009" s="16" t="n">
        <f aca="false" t="array" ref="M1009: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>4.98037673153982</v>
      </c>
      <c r="N1009" s="16" t="n">
        <f aca="false">IF(D1009="","",(I1009+M1009)/2)</f>
        <v>4.8914744974738</v>
      </c>
      <c r="O1009" s="16" t="n">
        <f aca="false">IF(D1009="","",G1009*N1009)</f>
        <v>0.608010280035993</v>
      </c>
      <c r="P1009" s="16" t="n">
        <f aca="false">IF(D1009="","",H1009+E1009-K1009-O1009)</f>
        <v>27.561734811988</v>
      </c>
      <c r="Q1009" s="16" t="n">
        <f aca="false">IF(D1009="","",IF(P1009&gt;=0,K1009,MAX(0,K1009+P1009)))</f>
        <v>0.9072</v>
      </c>
      <c r="R1009" s="16" t="n">
        <f aca="false">IF(D1009="","",Q1009/$B$15)</f>
        <v>0.35</v>
      </c>
      <c r="S1009" s="16" t="n">
        <f aca="false">IF(D1009="","",MAX(0,J1009-R1009))</f>
        <v>0</v>
      </c>
      <c r="T1009" s="16" t="n">
        <f aca="false">IF(D1009="","",MAX(0,Z1009-$B$8))</f>
        <v>0</v>
      </c>
      <c r="U1009" s="16" t="n">
        <f aca="false">IF(D1009="","",MAX(0,MIN($B$8,Z1009)))</f>
        <v>27.561734811988</v>
      </c>
      <c r="V1009" s="16" t="str">
        <f aca="false">IF(D1009="","",IF(S1009&gt;0.0000001,"Sim","Não"))</f>
        <v>Não</v>
      </c>
      <c r="W1009" s="16" t="n">
        <f aca="false">IF(D1009="","",U1009-(H1009+E1009-Q1009-O1009-T1009))</f>
        <v>0</v>
      </c>
      <c r="X1009" s="16" t="n">
        <f aca="false">IF(W1009="","",ABS(W1009))</f>
        <v>0</v>
      </c>
      <c r="Y1009" s="16" t="n">
        <f aca="false">IF(U1009="","",IF($B$8=0,0,U1009/$B$8*100))</f>
        <v>58.3687734264888</v>
      </c>
      <c r="Z1009" s="18" t="n">
        <f aca="false">IF(D1009="","",MAX(0,IF(P1009&gt;=0,P1009,IF(K1009+P1009&gt;=0,0,P1009+K1009))))</f>
        <v>27.561734811988</v>
      </c>
      <c r="AA1009" s="18" t="n">
        <f aca="false">IF(D1009="","",IF(H1009&lt;=$B$16,1,IF(H1009&gt;=$B$17,$B$21,MATCH(H1009,Aux_CAV!$A$2:$A$121,1))))</f>
        <v>12</v>
      </c>
      <c r="AB1009" s="18" t="n">
        <f aca="false">IF(D1009="","",IF(L1009&lt;=$B$16,1,IF(L1009&gt;=$B$17,$B$21,MATCH(L1009,Aux_CAV!$A$2:$A$121,1))))</f>
        <v>12</v>
      </c>
      <c r="AC1009" s="19" t="n">
        <f aca="false">IF(D1009="","",COUNT($D$24:D1009))</f>
        <v>974</v>
      </c>
    </row>
    <row r="1010" customFormat="false" ht="12.75" hidden="false" customHeight="true" outlineLevel="0" collapsed="false">
      <c r="A1010" s="14" t="n">
        <f aca="false">IF(D1010="","",DATE(B1010,C1010,1))</f>
        <v>33664</v>
      </c>
      <c r="B1010" s="15" t="n">
        <f aca="false" t="array" ref="B1010:B1010">IF(D1010="","",IFERROR(VALUE(INDEX(Vazoes_COLAR!$A$2:$A$200,INT((ROW()-24)/12)+1)),""))</f>
        <v>1992</v>
      </c>
      <c r="C1010" s="15" t="n">
        <f aca="false">IF(D1010="","",MOD(ROW()-24,12)+1)</f>
        <v>3</v>
      </c>
      <c r="D1010" s="16" t="n">
        <f aca="false" t="array" ref="D1010: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2.95042322438801</v>
      </c>
      <c r="E1010" s="16" t="n">
        <f aca="false">IF(D1010="","",D1010*$B$15)</f>
        <v>7.64749699761372</v>
      </c>
      <c r="F1010" s="16" t="n">
        <f aca="false" t="array" ref="F1010:F1010">IF(D1010="","",IFERROR(INDEX(Dados_Evap!$C$2:$N$15,MATCH($B$9,Dados_Evap!$A$2:$A$15,0),C1010),0))</f>
        <v>107.7</v>
      </c>
      <c r="G1010" s="16" t="n">
        <f aca="false">IF(F1010="","",F1010/1000)</f>
        <v>0.1077</v>
      </c>
      <c r="H1010" s="16" t="n">
        <f aca="false">IF(D1010="","",MAX(0,MIN($B$8,IFERROR(LOOKUP(2,1/($U$24:U1009&lt;&gt;""),$U$24:U1009),$B$11))))</f>
        <v>27.561734811988</v>
      </c>
      <c r="I1010" s="16" t="n">
        <f aca="false" t="array" ref="I1010: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>4.97922876202205</v>
      </c>
      <c r="J1010" s="16" t="n">
        <f aca="false">IF(D1010="","",$B$12)</f>
        <v>0.35</v>
      </c>
      <c r="K1010" s="16" t="n">
        <f aca="false">IF(J1010="","",J1010*$B$15)</f>
        <v>0.9072</v>
      </c>
      <c r="L1010" s="16" t="n">
        <f aca="false">IF(D1010="","",H1010+E1010-K1010-G1010*I1010)</f>
        <v>33.765768871932</v>
      </c>
      <c r="M1010" s="16" t="n">
        <f aca="false" t="array" ref="M1010: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>5.62372550417157</v>
      </c>
      <c r="N1010" s="16" t="n">
        <f aca="false">IF(D1010="","",(I1010+M1010)/2)</f>
        <v>5.30147713309681</v>
      </c>
      <c r="O1010" s="16" t="n">
        <f aca="false">IF(D1010="","",G1010*N1010)</f>
        <v>0.570969087234527</v>
      </c>
      <c r="P1010" s="16" t="n">
        <f aca="false">IF(D1010="","",H1010+E1010-K1010-O1010)</f>
        <v>33.7310627223672</v>
      </c>
      <c r="Q1010" s="16" t="n">
        <f aca="false">IF(D1010="","",IF(P1010&gt;=0,K1010,MAX(0,K1010+P1010)))</f>
        <v>0.9072</v>
      </c>
      <c r="R1010" s="16" t="n">
        <f aca="false">IF(D1010="","",Q1010/$B$15)</f>
        <v>0.35</v>
      </c>
      <c r="S1010" s="16" t="n">
        <f aca="false">IF(D1010="","",MAX(0,J1010-R1010))</f>
        <v>0</v>
      </c>
      <c r="T1010" s="16" t="n">
        <f aca="false">IF(D1010="","",MAX(0,Z1010-$B$8))</f>
        <v>0</v>
      </c>
      <c r="U1010" s="16" t="n">
        <f aca="false">IF(D1010="","",MAX(0,MIN($B$8,Z1010)))</f>
        <v>33.7310627223672</v>
      </c>
      <c r="V1010" s="16" t="str">
        <f aca="false">IF(D1010="","",IF(S1010&gt;0.0000001,"Sim","Não"))</f>
        <v>Não</v>
      </c>
      <c r="W1010" s="16" t="n">
        <f aca="false">IF(D1010="","",U1010-(H1010+E1010-Q1010-O1010-T1010))</f>
        <v>0</v>
      </c>
      <c r="X1010" s="16" t="n">
        <f aca="false">IF(W1010="","",ABS(W1010))</f>
        <v>0</v>
      </c>
      <c r="Y1010" s="16" t="n">
        <f aca="false">IF(U1010="","",IF($B$8=0,0,U1010/$B$8*100))</f>
        <v>71.4338473578297</v>
      </c>
      <c r="Z1010" s="18" t="n">
        <f aca="false">IF(D1010="","",MAX(0,IF(P1010&gt;=0,P1010,IF(K1010+P1010&gt;=0,0,P1010+K1010))))</f>
        <v>33.7310627223672</v>
      </c>
      <c r="AA1010" s="18" t="n">
        <f aca="false">IF(D1010="","",IF(H1010&lt;=$B$16,1,IF(H1010&gt;=$B$17,$B$21,MATCH(H1010,Aux_CAV!$A$2:$A$121,1))))</f>
        <v>12</v>
      </c>
      <c r="AB1010" s="18" t="n">
        <f aca="false">IF(D1010="","",IF(L1010&lt;=$B$16,1,IF(L1010&gt;=$B$17,$B$21,MATCH(L1010,Aux_CAV!$A$2:$A$121,1))))</f>
        <v>12</v>
      </c>
      <c r="AC1010" s="19" t="n">
        <f aca="false">IF(D1010="","",COUNT($D$24:D1010))</f>
        <v>975</v>
      </c>
    </row>
    <row r="1011" customFormat="false" ht="12.75" hidden="false" customHeight="true" outlineLevel="0" collapsed="false">
      <c r="A1011" s="14" t="n">
        <f aca="false">IF(D1011="","",DATE(B1011,C1011,1))</f>
        <v>33695</v>
      </c>
      <c r="B1011" s="15" t="n">
        <f aca="false" t="array" ref="B1011:B1011">IF(D1011="","",IFERROR(VALUE(INDEX(Vazoes_COLAR!$A$2:$A$200,INT((ROW()-24)/12)+1)),""))</f>
        <v>1992</v>
      </c>
      <c r="C1011" s="15" t="n">
        <f aca="false">IF(D1011="","",MOD(ROW()-24,12)+1)</f>
        <v>4</v>
      </c>
      <c r="D1011" s="16" t="n">
        <f aca="false" t="array" ref="D1011: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3.40705155733679</v>
      </c>
      <c r="E1011" s="16" t="n">
        <f aca="false">IF(D1011="","",D1011*$B$15)</f>
        <v>8.83107763661696</v>
      </c>
      <c r="F1011" s="16" t="n">
        <f aca="false" t="array" ref="F1011:F1011">IF(D1011="","",IFERROR(INDEX(Dados_Evap!$C$2:$N$15,MATCH($B$9,Dados_Evap!$A$2:$A$15,0),C1011),0))</f>
        <v>100.5</v>
      </c>
      <c r="G1011" s="16" t="n">
        <f aca="false">IF(F1011="","",F1011/1000)</f>
        <v>0.1005</v>
      </c>
      <c r="H1011" s="16" t="n">
        <f aca="false">IF(D1011="","",MAX(0,MIN($B$8,IFERROR(LOOKUP(2,1/($U$24:U1010&lt;&gt;""),$U$24:U1010),$B$11))))</f>
        <v>33.7310627223672</v>
      </c>
      <c r="I1011" s="16" t="n">
        <f aca="false" t="array" ref="I1011: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>5.62012010805174</v>
      </c>
      <c r="J1011" s="16" t="n">
        <f aca="false">IF(D1011="","",$B$12)</f>
        <v>0.35</v>
      </c>
      <c r="K1011" s="16" t="n">
        <f aca="false">IF(J1011="","",J1011*$B$15)</f>
        <v>0.9072</v>
      </c>
      <c r="L1011" s="16" t="n">
        <f aca="false">IF(D1011="","",H1011+E1011-K1011-G1011*I1011)</f>
        <v>41.090118288125</v>
      </c>
      <c r="M1011" s="16" t="n">
        <f aca="false" t="array" ref="M1011: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>6.35797564669172</v>
      </c>
      <c r="N1011" s="16" t="n">
        <f aca="false">IF(D1011="","",(I1011+M1011)/2)</f>
        <v>5.98904787737173</v>
      </c>
      <c r="O1011" s="16" t="n">
        <f aca="false">IF(D1011="","",G1011*N1011)</f>
        <v>0.601899311675859</v>
      </c>
      <c r="P1011" s="16" t="n">
        <f aca="false">IF(D1011="","",H1011+E1011-K1011-O1011)</f>
        <v>41.0530410473083</v>
      </c>
      <c r="Q1011" s="16" t="n">
        <f aca="false">IF(D1011="","",IF(P1011&gt;=0,K1011,MAX(0,K1011+P1011)))</f>
        <v>0.9072</v>
      </c>
      <c r="R1011" s="16" t="n">
        <f aca="false">IF(D1011="","",Q1011/$B$15)</f>
        <v>0.35</v>
      </c>
      <c r="S1011" s="16" t="n">
        <f aca="false">IF(D1011="","",MAX(0,J1011-R1011))</f>
        <v>0</v>
      </c>
      <c r="T1011" s="16" t="n">
        <f aca="false">IF(D1011="","",MAX(0,Z1011-$B$8))</f>
        <v>0</v>
      </c>
      <c r="U1011" s="16" t="n">
        <f aca="false">IF(D1011="","",MAX(0,MIN($B$8,Z1011)))</f>
        <v>41.0530410473083</v>
      </c>
      <c r="V1011" s="16" t="str">
        <f aca="false">IF(D1011="","",IF(S1011&gt;0.0000001,"Sim","Não"))</f>
        <v>Não</v>
      </c>
      <c r="W1011" s="16" t="n">
        <f aca="false">IF(D1011="","",U1011-(H1011+E1011-Q1011-O1011-T1011))</f>
        <v>0</v>
      </c>
      <c r="X1011" s="16" t="n">
        <f aca="false">IF(W1011="","",ABS(W1011))</f>
        <v>0</v>
      </c>
      <c r="Y1011" s="16" t="n">
        <f aca="false">IF(U1011="","",IF($B$8=0,0,U1011/$B$8*100))</f>
        <v>86.9399429210256</v>
      </c>
      <c r="Z1011" s="18" t="n">
        <f aca="false">IF(D1011="","",MAX(0,IF(P1011&gt;=0,P1011,IF(K1011+P1011&gt;=0,0,P1011+K1011))))</f>
        <v>41.0530410473083</v>
      </c>
      <c r="AA1011" s="18" t="n">
        <f aca="false">IF(D1011="","",IF(H1011&lt;=$B$16,1,IF(H1011&gt;=$B$17,$B$21,MATCH(H1011,Aux_CAV!$A$2:$A$121,1))))</f>
        <v>12</v>
      </c>
      <c r="AB1011" s="18" t="n">
        <f aca="false">IF(D1011="","",IF(L1011&lt;=$B$16,1,IF(L1011&gt;=$B$17,$B$21,MATCH(L1011,Aux_CAV!$A$2:$A$121,1))))</f>
        <v>13</v>
      </c>
      <c r="AC1011" s="19" t="n">
        <f aca="false">IF(D1011="","",COUNT($D$24:D1011))</f>
        <v>976</v>
      </c>
    </row>
    <row r="1012" customFormat="false" ht="12.75" hidden="false" customHeight="true" outlineLevel="0" collapsed="false">
      <c r="A1012" s="14" t="n">
        <f aca="false">IF(D1012="","",DATE(B1012,C1012,1))</f>
        <v>33725</v>
      </c>
      <c r="B1012" s="15" t="n">
        <f aca="false" t="array" ref="B1012:B1012">IF(D1012="","",IFERROR(VALUE(INDEX(Vazoes_COLAR!$A$2:$A$200,INT((ROW()-24)/12)+1)),""))</f>
        <v>1992</v>
      </c>
      <c r="C1012" s="15" t="n">
        <f aca="false">IF(D1012="","",MOD(ROW()-24,12)+1)</f>
        <v>5</v>
      </c>
      <c r="D1012" s="16" t="n">
        <f aca="false" t="array" ref="D1012: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0.0717454955825069</v>
      </c>
      <c r="E1012" s="16" t="n">
        <f aca="false">IF(D1012="","",D1012*$B$15)</f>
        <v>0.185964324549858</v>
      </c>
      <c r="F1012" s="16" t="n">
        <f aca="false" t="array" ref="F1012:F1012">IF(D1012="","",IFERROR(INDEX(Dados_Evap!$C$2:$N$15,MATCH($B$9,Dados_Evap!$A$2:$A$15,0),C1012),0))</f>
        <v>145.8</v>
      </c>
      <c r="G1012" s="16" t="n">
        <f aca="false">IF(F1012="","",F1012/1000)</f>
        <v>0.1458</v>
      </c>
      <c r="H1012" s="16" t="n">
        <f aca="false">IF(D1012="","",MAX(0,MIN($B$8,IFERROR(LOOKUP(2,1/($U$24:U1011&lt;&gt;""),$U$24:U1011),$B$11))))</f>
        <v>41.0530410473083</v>
      </c>
      <c r="I1012" s="16" t="n">
        <f aca="false" t="array" ref="I1012: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>6.3542737523649</v>
      </c>
      <c r="J1012" s="16" t="n">
        <f aca="false">IF(D1012="","",$B$12)</f>
        <v>0.35</v>
      </c>
      <c r="K1012" s="16" t="n">
        <f aca="false">IF(J1012="","",J1012*$B$15)</f>
        <v>0.9072</v>
      </c>
      <c r="L1012" s="16" t="n">
        <f aca="false">IF(D1012="","",H1012+E1012-K1012-G1012*I1012)</f>
        <v>39.4053522587634</v>
      </c>
      <c r="M1012" s="16" t="n">
        <f aca="false" t="array" ref="M1012: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>6.18976394407464</v>
      </c>
      <c r="N1012" s="16" t="n">
        <f aca="false">IF(D1012="","",(I1012+M1012)/2)</f>
        <v>6.27201884821977</v>
      </c>
      <c r="O1012" s="16" t="n">
        <f aca="false">IF(D1012="","",G1012*N1012)</f>
        <v>0.914460348070443</v>
      </c>
      <c r="P1012" s="16" t="n">
        <f aca="false">IF(D1012="","",H1012+E1012-K1012-O1012)</f>
        <v>39.4173450237877</v>
      </c>
      <c r="Q1012" s="16" t="n">
        <f aca="false">IF(D1012="","",IF(P1012&gt;=0,K1012,MAX(0,K1012+P1012)))</f>
        <v>0.9072</v>
      </c>
      <c r="R1012" s="16" t="n">
        <f aca="false">IF(D1012="","",Q1012/$B$15)</f>
        <v>0.35</v>
      </c>
      <c r="S1012" s="16" t="n">
        <f aca="false">IF(D1012="","",MAX(0,J1012-R1012))</f>
        <v>0</v>
      </c>
      <c r="T1012" s="16" t="n">
        <f aca="false">IF(D1012="","",MAX(0,Z1012-$B$8))</f>
        <v>0</v>
      </c>
      <c r="U1012" s="16" t="n">
        <f aca="false">IF(D1012="","",MAX(0,MIN($B$8,Z1012)))</f>
        <v>39.4173450237877</v>
      </c>
      <c r="V1012" s="16" t="str">
        <f aca="false">IF(D1012="","",IF(S1012&gt;0.0000001,"Sim","Não"))</f>
        <v>Não</v>
      </c>
      <c r="W1012" s="16" t="n">
        <f aca="false">IF(D1012="","",U1012-(H1012+E1012-Q1012-O1012-T1012))</f>
        <v>0</v>
      </c>
      <c r="X1012" s="16" t="n">
        <f aca="false">IF(W1012="","",ABS(W1012))</f>
        <v>0</v>
      </c>
      <c r="Y1012" s="16" t="n">
        <f aca="false">IF(U1012="","",IF($B$8=0,0,U1012/$B$8*100))</f>
        <v>83.4759530363992</v>
      </c>
      <c r="Z1012" s="18" t="n">
        <f aca="false">IF(D1012="","",MAX(0,IF(P1012&gt;=0,P1012,IF(K1012+P1012&gt;=0,0,P1012+K1012))))</f>
        <v>39.4173450237877</v>
      </c>
      <c r="AA1012" s="18" t="n">
        <f aca="false">IF(D1012="","",IF(H1012&lt;=$B$16,1,IF(H1012&gt;=$B$17,$B$21,MATCH(H1012,Aux_CAV!$A$2:$A$121,1))))</f>
        <v>13</v>
      </c>
      <c r="AB1012" s="18" t="n">
        <f aca="false">IF(D1012="","",IF(L1012&lt;=$B$16,1,IF(L1012&gt;=$B$17,$B$21,MATCH(L1012,Aux_CAV!$A$2:$A$121,1))))</f>
        <v>13</v>
      </c>
      <c r="AC1012" s="19" t="n">
        <f aca="false">IF(D1012="","",COUNT($D$24:D1012))</f>
        <v>977</v>
      </c>
    </row>
    <row r="1013" customFormat="false" ht="12.75" hidden="false" customHeight="true" outlineLevel="0" collapsed="false">
      <c r="A1013" s="14" t="n">
        <f aca="false">IF(D1013="","",DATE(B1013,C1013,1))</f>
        <v>33756</v>
      </c>
      <c r="B1013" s="15" t="n">
        <f aca="false" t="array" ref="B1013:B1013">IF(D1013="","",IFERROR(VALUE(INDEX(Vazoes_COLAR!$A$2:$A$200,INT((ROW()-24)/12)+1)),""))</f>
        <v>1992</v>
      </c>
      <c r="C1013" s="15" t="n">
        <f aca="false">IF(D1013="","",MOD(ROW()-24,12)+1)</f>
        <v>6</v>
      </c>
      <c r="D1013" s="16" t="n">
        <f aca="false" t="array" ref="D1013: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0.194622587463597</v>
      </c>
      <c r="E1013" s="16" t="n">
        <f aca="false">IF(D1013="","",D1013*$B$15)</f>
        <v>0.504461746705644</v>
      </c>
      <c r="F1013" s="16" t="n">
        <f aca="false" t="array" ref="F1013:F1013">IF(D1013="","",IFERROR(INDEX(Dados_Evap!$C$2:$N$15,MATCH($B$9,Dados_Evap!$A$2:$A$15,0),C1013),0))</f>
        <v>161.3</v>
      </c>
      <c r="G1013" s="16" t="n">
        <f aca="false">IF(F1013="","",F1013/1000)</f>
        <v>0.1613</v>
      </c>
      <c r="H1013" s="16" t="n">
        <f aca="false">IF(D1013="","",MAX(0,MIN($B$8,IFERROR(LOOKUP(2,1/($U$24:U1012&lt;&gt;""),$U$24:U1012),$B$11))))</f>
        <v>39.4173450237877</v>
      </c>
      <c r="I1013" s="16" t="n">
        <f aca="false" t="array" ref="I1013: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>6.1909613349222</v>
      </c>
      <c r="J1013" s="16" t="n">
        <f aca="false">IF(D1013="","",$B$12)</f>
        <v>0.35</v>
      </c>
      <c r="K1013" s="16" t="n">
        <f aca="false">IF(J1013="","",J1013*$B$15)</f>
        <v>0.9072</v>
      </c>
      <c r="L1013" s="16" t="n">
        <f aca="false">IF(D1013="","",H1013+E1013-K1013-G1013*I1013)</f>
        <v>38.0160047071704</v>
      </c>
      <c r="M1013" s="16" t="n">
        <f aca="false" t="array" ref="M1013: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>6.05104763978824</v>
      </c>
      <c r="N1013" s="16" t="n">
        <f aca="false">IF(D1013="","",(I1013+M1013)/2)</f>
        <v>6.12100448735522</v>
      </c>
      <c r="O1013" s="16" t="n">
        <f aca="false">IF(D1013="","",G1013*N1013)</f>
        <v>0.987318023810397</v>
      </c>
      <c r="P1013" s="16" t="n">
        <f aca="false">IF(D1013="","",H1013+E1013-K1013-O1013)</f>
        <v>38.027288746683</v>
      </c>
      <c r="Q1013" s="16" t="n">
        <f aca="false">IF(D1013="","",IF(P1013&gt;=0,K1013,MAX(0,K1013+P1013)))</f>
        <v>0.9072</v>
      </c>
      <c r="R1013" s="16" t="n">
        <f aca="false">IF(D1013="","",Q1013/$B$15)</f>
        <v>0.35</v>
      </c>
      <c r="S1013" s="16" t="n">
        <f aca="false">IF(D1013="","",MAX(0,J1013-R1013))</f>
        <v>0</v>
      </c>
      <c r="T1013" s="16" t="n">
        <f aca="false">IF(D1013="","",MAX(0,Z1013-$B$8))</f>
        <v>0</v>
      </c>
      <c r="U1013" s="16" t="n">
        <f aca="false">IF(D1013="","",MAX(0,MIN($B$8,Z1013)))</f>
        <v>38.027288746683</v>
      </c>
      <c r="V1013" s="16" t="str">
        <f aca="false">IF(D1013="","",IF(S1013&gt;0.0000001,"Sim","Não"))</f>
        <v>Não</v>
      </c>
      <c r="W1013" s="16" t="n">
        <f aca="false">IF(D1013="","",U1013-(H1013+E1013-Q1013-O1013-T1013))</f>
        <v>0</v>
      </c>
      <c r="X1013" s="16" t="n">
        <f aca="false">IF(W1013="","",ABS(W1013))</f>
        <v>0</v>
      </c>
      <c r="Y1013" s="16" t="n">
        <f aca="false">IF(U1013="","",IF($B$8=0,0,U1013/$B$8*100))</f>
        <v>80.5321659184307</v>
      </c>
      <c r="Z1013" s="18" t="n">
        <f aca="false">IF(D1013="","",MAX(0,IF(P1013&gt;=0,P1013,IF(K1013+P1013&gt;=0,0,P1013+K1013))))</f>
        <v>38.027288746683</v>
      </c>
      <c r="AA1013" s="18" t="n">
        <f aca="false">IF(D1013="","",IF(H1013&lt;=$B$16,1,IF(H1013&gt;=$B$17,$B$21,MATCH(H1013,Aux_CAV!$A$2:$A$121,1))))</f>
        <v>13</v>
      </c>
      <c r="AB1013" s="18" t="n">
        <f aca="false">IF(D1013="","",IF(L1013&lt;=$B$16,1,IF(L1013&gt;=$B$17,$B$21,MATCH(L1013,Aux_CAV!$A$2:$A$121,1))))</f>
        <v>13</v>
      </c>
      <c r="AC1013" s="19" t="n">
        <f aca="false">IF(D1013="","",COUNT($D$24:D1013))</f>
        <v>978</v>
      </c>
    </row>
    <row r="1014" customFormat="false" ht="12.75" hidden="false" customHeight="true" outlineLevel="0" collapsed="false">
      <c r="A1014" s="14" t="n">
        <f aca="false">IF(D1014="","",DATE(B1014,C1014,1))</f>
        <v>33786</v>
      </c>
      <c r="B1014" s="15" t="n">
        <f aca="false" t="array" ref="B1014:B1014">IF(D1014="","",IFERROR(VALUE(INDEX(Vazoes_COLAR!$A$2:$A$200,INT((ROW()-24)/12)+1)),""))</f>
        <v>1992</v>
      </c>
      <c r="C1014" s="15" t="n">
        <f aca="false">IF(D1014="","",MOD(ROW()-24,12)+1)</f>
        <v>7</v>
      </c>
      <c r="D1014" s="16" t="n">
        <f aca="false" t="array" ref="D1014: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0.143239558944158</v>
      </c>
      <c r="E1014" s="16" t="n">
        <f aca="false">IF(D1014="","",D1014*$B$15)</f>
        <v>0.371276936783258</v>
      </c>
      <c r="F1014" s="16" t="n">
        <f aca="false" t="array" ref="F1014:F1014">IF(D1014="","",IFERROR(INDEX(Dados_Evap!$C$2:$N$15,MATCH($B$9,Dados_Evap!$A$2:$A$15,0),C1014),0))</f>
        <v>224.8</v>
      </c>
      <c r="G1014" s="16" t="n">
        <f aca="false">IF(F1014="","",F1014/1000)</f>
        <v>0.2248</v>
      </c>
      <c r="H1014" s="16" t="n">
        <f aca="false">IF(D1014="","",MAX(0,MIN($B$8,IFERROR(LOOKUP(2,1/($U$24:U1013&lt;&gt;""),$U$24:U1013),$B$11))))</f>
        <v>38.027288746683</v>
      </c>
      <c r="I1014" s="16" t="n">
        <f aca="false" t="array" ref="I1014: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>6.05217426951945</v>
      </c>
      <c r="J1014" s="16" t="n">
        <f aca="false">IF(D1014="","",$B$12)</f>
        <v>0.35</v>
      </c>
      <c r="K1014" s="16" t="n">
        <f aca="false">IF(J1014="","",J1014*$B$15)</f>
        <v>0.9072</v>
      </c>
      <c r="L1014" s="16" t="n">
        <f aca="false">IF(D1014="","",H1014+E1014-K1014-G1014*I1014)</f>
        <v>36.1308369076782</v>
      </c>
      <c r="M1014" s="16" t="n">
        <f aca="false" t="array" ref="M1014: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>5.86282726987039</v>
      </c>
      <c r="N1014" s="16" t="n">
        <f aca="false">IF(D1014="","",(I1014+M1014)/2)</f>
        <v>5.95750076969492</v>
      </c>
      <c r="O1014" s="16" t="n">
        <f aca="false">IF(D1014="","",G1014*N1014)</f>
        <v>1.33924617302742</v>
      </c>
      <c r="P1014" s="16" t="n">
        <f aca="false">IF(D1014="","",H1014+E1014-K1014-O1014)</f>
        <v>36.1521195104388</v>
      </c>
      <c r="Q1014" s="16" t="n">
        <f aca="false">IF(D1014="","",IF(P1014&gt;=0,K1014,MAX(0,K1014+P1014)))</f>
        <v>0.9072</v>
      </c>
      <c r="R1014" s="16" t="n">
        <f aca="false">IF(D1014="","",Q1014/$B$15)</f>
        <v>0.35</v>
      </c>
      <c r="S1014" s="16" t="n">
        <f aca="false">IF(D1014="","",MAX(0,J1014-R1014))</f>
        <v>0</v>
      </c>
      <c r="T1014" s="16" t="n">
        <f aca="false">IF(D1014="","",MAX(0,Z1014-$B$8))</f>
        <v>0</v>
      </c>
      <c r="U1014" s="16" t="n">
        <f aca="false">IF(D1014="","",MAX(0,MIN($B$8,Z1014)))</f>
        <v>36.1521195104388</v>
      </c>
      <c r="V1014" s="16" t="str">
        <f aca="false">IF(D1014="","",IF(S1014&gt;0.0000001,"Sim","Não"))</f>
        <v>Não</v>
      </c>
      <c r="W1014" s="16" t="n">
        <f aca="false">IF(D1014="","",U1014-(H1014+E1014-Q1014-O1014-T1014))</f>
        <v>0</v>
      </c>
      <c r="X1014" s="16" t="n">
        <f aca="false">IF(W1014="","",ABS(W1014))</f>
        <v>0</v>
      </c>
      <c r="Y1014" s="16" t="n">
        <f aca="false">IF(U1014="","",IF($B$8=0,0,U1014/$B$8*100))</f>
        <v>76.5610324236315</v>
      </c>
      <c r="Z1014" s="18" t="n">
        <f aca="false">IF(D1014="","",MAX(0,IF(P1014&gt;=0,P1014,IF(K1014+P1014&gt;=0,0,P1014+K1014))))</f>
        <v>36.1521195104388</v>
      </c>
      <c r="AA1014" s="18" t="n">
        <f aca="false">IF(D1014="","",IF(H1014&lt;=$B$16,1,IF(H1014&gt;=$B$17,$B$21,MATCH(H1014,Aux_CAV!$A$2:$A$121,1))))</f>
        <v>13</v>
      </c>
      <c r="AB1014" s="18" t="n">
        <f aca="false">IF(D1014="","",IF(L1014&lt;=$B$16,1,IF(L1014&gt;=$B$17,$B$21,MATCH(L1014,Aux_CAV!$A$2:$A$121,1))))</f>
        <v>13</v>
      </c>
      <c r="AC1014" s="19" t="n">
        <f aca="false">IF(D1014="","",COUNT($D$24:D1014))</f>
        <v>979</v>
      </c>
    </row>
    <row r="1015" customFormat="false" ht="12.75" hidden="false" customHeight="true" outlineLevel="0" collapsed="false">
      <c r="A1015" s="14" t="n">
        <f aca="false">IF(D1015="","",DATE(B1015,C1015,1))</f>
        <v>33817</v>
      </c>
      <c r="B1015" s="15" t="n">
        <f aca="false" t="array" ref="B1015:B1015">IF(D1015="","",IFERROR(VALUE(INDEX(Vazoes_COLAR!$A$2:$A$200,INT((ROW()-24)/12)+1)),""))</f>
        <v>1992</v>
      </c>
      <c r="C1015" s="15" t="n">
        <f aca="false">IF(D1015="","",MOD(ROW()-24,12)+1)</f>
        <v>8</v>
      </c>
      <c r="D1015" s="16" t="n">
        <f aca="false" t="array" ref="D1015: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0.0140105439159085</v>
      </c>
      <c r="E1015" s="16" t="n">
        <f aca="false">IF(D1015="","",D1015*$B$15)</f>
        <v>0.0363153298300348</v>
      </c>
      <c r="F1015" s="16" t="n">
        <f aca="false" t="array" ref="F1015:F1015">IF(D1015="","",IFERROR(INDEX(Dados_Evap!$C$2:$N$15,MATCH($B$9,Dados_Evap!$A$2:$A$15,0),C1015),0))</f>
        <v>268.7</v>
      </c>
      <c r="G1015" s="16" t="n">
        <f aca="false">IF(F1015="","",F1015/1000)</f>
        <v>0.2687</v>
      </c>
      <c r="H1015" s="16" t="n">
        <f aca="false">IF(D1015="","",MAX(0,MIN($B$8,IFERROR(LOOKUP(2,1/($U$24:U1014&lt;&gt;""),$U$24:U1014),$B$11))))</f>
        <v>36.1521195104388</v>
      </c>
      <c r="I1015" s="16" t="n">
        <f aca="false" t="array" ref="I1015: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>5.86495218382526</v>
      </c>
      <c r="J1015" s="16" t="n">
        <f aca="false">IF(D1015="","",$B$12)</f>
        <v>0.35</v>
      </c>
      <c r="K1015" s="16" t="n">
        <f aca="false">IF(J1015="","",J1015*$B$15)</f>
        <v>0.9072</v>
      </c>
      <c r="L1015" s="16" t="n">
        <f aca="false">IF(D1015="","",H1015+E1015-K1015-G1015*I1015)</f>
        <v>33.705322188475</v>
      </c>
      <c r="M1015" s="16" t="n">
        <f aca="false" t="array" ref="M1015: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>5.6174460914241</v>
      </c>
      <c r="N1015" s="16" t="n">
        <f aca="false">IF(D1015="","",(I1015+M1015)/2)</f>
        <v>5.74119913762468</v>
      </c>
      <c r="O1015" s="16" t="n">
        <f aca="false">IF(D1015="","",G1015*N1015)</f>
        <v>1.54266020827975</v>
      </c>
      <c r="P1015" s="16" t="n">
        <f aca="false">IF(D1015="","",H1015+E1015-K1015-O1015)</f>
        <v>33.7385746319891</v>
      </c>
      <c r="Q1015" s="16" t="n">
        <f aca="false">IF(D1015="","",IF(P1015&gt;=0,K1015,MAX(0,K1015+P1015)))</f>
        <v>0.9072</v>
      </c>
      <c r="R1015" s="16" t="n">
        <f aca="false">IF(D1015="","",Q1015/$B$15)</f>
        <v>0.35</v>
      </c>
      <c r="S1015" s="16" t="n">
        <f aca="false">IF(D1015="","",MAX(0,J1015-R1015))</f>
        <v>0</v>
      </c>
      <c r="T1015" s="16" t="n">
        <f aca="false">IF(D1015="","",MAX(0,Z1015-$B$8))</f>
        <v>0</v>
      </c>
      <c r="U1015" s="16" t="n">
        <f aca="false">IF(D1015="","",MAX(0,MIN($B$8,Z1015)))</f>
        <v>33.7385746319891</v>
      </c>
      <c r="V1015" s="16" t="str">
        <f aca="false">IF(D1015="","",IF(S1015&gt;0.0000001,"Sim","Não"))</f>
        <v>Não</v>
      </c>
      <c r="W1015" s="16" t="n">
        <f aca="false">IF(D1015="","",U1015-(H1015+E1015-Q1015-O1015-T1015))</f>
        <v>0</v>
      </c>
      <c r="X1015" s="16" t="n">
        <f aca="false">IF(W1015="","",ABS(W1015))</f>
        <v>0</v>
      </c>
      <c r="Y1015" s="16" t="n">
        <f aca="false">IF(U1015="","",IF($B$8=0,0,U1015/$B$8*100))</f>
        <v>71.4497556797736</v>
      </c>
      <c r="Z1015" s="18" t="n">
        <f aca="false">IF(D1015="","",MAX(0,IF(P1015&gt;=0,P1015,IF(K1015+P1015&gt;=0,0,P1015+K1015))))</f>
        <v>33.7385746319891</v>
      </c>
      <c r="AA1015" s="18" t="n">
        <f aca="false">IF(D1015="","",IF(H1015&lt;=$B$16,1,IF(H1015&gt;=$B$17,$B$21,MATCH(H1015,Aux_CAV!$A$2:$A$121,1))))</f>
        <v>13</v>
      </c>
      <c r="AB1015" s="18" t="n">
        <f aca="false">IF(D1015="","",IF(L1015&lt;=$B$16,1,IF(L1015&gt;=$B$17,$B$21,MATCH(L1015,Aux_CAV!$A$2:$A$121,1))))</f>
        <v>12</v>
      </c>
      <c r="AC1015" s="19" t="n">
        <f aca="false">IF(D1015="","",COUNT($D$24:D1015))</f>
        <v>980</v>
      </c>
    </row>
    <row r="1016" customFormat="false" ht="12.75" hidden="false" customHeight="true" outlineLevel="0" collapsed="false">
      <c r="A1016" s="14" t="n">
        <f aca="false">IF(D1016="","",DATE(B1016,C1016,1))</f>
        <v>33848</v>
      </c>
      <c r="B1016" s="15" t="n">
        <f aca="false" t="array" ref="B1016:B1016">IF(D1016="","",IFERROR(VALUE(INDEX(Vazoes_COLAR!$A$2:$A$200,INT((ROW()-24)/12)+1)),""))</f>
        <v>1992</v>
      </c>
      <c r="C1016" s="15" t="n">
        <f aca="false">IF(D1016="","",MOD(ROW()-24,12)+1)</f>
        <v>9</v>
      </c>
      <c r="D1016" s="16" t="n">
        <f aca="false" t="array" ref="D1016: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0.0863092470178043</v>
      </c>
      <c r="E1016" s="16" t="n">
        <f aca="false">IF(D1016="","",D1016*$B$15)</f>
        <v>0.223713568270149</v>
      </c>
      <c r="F1016" s="16" t="n">
        <f aca="false" t="array" ref="F1016:F1016">IF(D1016="","",IFERROR(INDEX(Dados_Evap!$C$2:$N$15,MATCH($B$9,Dados_Evap!$A$2:$A$15,0),C1016),0))</f>
        <v>292.8</v>
      </c>
      <c r="G1016" s="16" t="n">
        <f aca="false">IF(F1016="","",F1016/1000)</f>
        <v>0.2928</v>
      </c>
      <c r="H1016" s="16" t="n">
        <f aca="false">IF(D1016="","",MAX(0,MIN($B$8,IFERROR(LOOKUP(2,1/($U$24:U1015&lt;&gt;""),$U$24:U1015),$B$11))))</f>
        <v>33.7385746319891</v>
      </c>
      <c r="I1016" s="16" t="n">
        <f aca="false" t="array" ref="I1016: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>5.62090047147848</v>
      </c>
      <c r="J1016" s="16" t="n">
        <f aca="false">IF(D1016="","",$B$12)</f>
        <v>0.35</v>
      </c>
      <c r="K1016" s="16" t="n">
        <f aca="false">IF(J1016="","",J1016*$B$15)</f>
        <v>0.9072</v>
      </c>
      <c r="L1016" s="16" t="n">
        <f aca="false">IF(D1016="","",H1016+E1016-K1016-G1016*I1016)</f>
        <v>31.4092885422103</v>
      </c>
      <c r="M1016" s="16" t="n">
        <f aca="false" t="array" ref="M1016: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>5.37892609127816</v>
      </c>
      <c r="N1016" s="16" t="n">
        <f aca="false">IF(D1016="","",(I1016+M1016)/2)</f>
        <v>5.49991328137832</v>
      </c>
      <c r="O1016" s="16" t="n">
        <f aca="false">IF(D1016="","",G1016*N1016)</f>
        <v>1.61037460878757</v>
      </c>
      <c r="P1016" s="16" t="n">
        <f aca="false">IF(D1016="","",H1016+E1016-K1016-O1016)</f>
        <v>31.4447135914716</v>
      </c>
      <c r="Q1016" s="16" t="n">
        <f aca="false">IF(D1016="","",IF(P1016&gt;=0,K1016,MAX(0,K1016+P1016)))</f>
        <v>0.9072</v>
      </c>
      <c r="R1016" s="16" t="n">
        <f aca="false">IF(D1016="","",Q1016/$B$15)</f>
        <v>0.35</v>
      </c>
      <c r="S1016" s="16" t="n">
        <f aca="false">IF(D1016="","",MAX(0,J1016-R1016))</f>
        <v>0</v>
      </c>
      <c r="T1016" s="16" t="n">
        <f aca="false">IF(D1016="","",MAX(0,Z1016-$B$8))</f>
        <v>0</v>
      </c>
      <c r="U1016" s="16" t="n">
        <f aca="false">IF(D1016="","",MAX(0,MIN($B$8,Z1016)))</f>
        <v>31.4447135914716</v>
      </c>
      <c r="V1016" s="16" t="str">
        <f aca="false">IF(D1016="","",IF(S1016&gt;0.0000001,"Sim","Não"))</f>
        <v>Não</v>
      </c>
      <c r="W1016" s="16" t="n">
        <f aca="false">IF(D1016="","",U1016-(H1016+E1016-Q1016-O1016-T1016))</f>
        <v>0</v>
      </c>
      <c r="X1016" s="16" t="n">
        <f aca="false">IF(W1016="","",ABS(W1016))</f>
        <v>0</v>
      </c>
      <c r="Y1016" s="16" t="n">
        <f aca="false">IF(U1016="","",IF($B$8=0,0,U1016/$B$8*100))</f>
        <v>66.5919389908336</v>
      </c>
      <c r="Z1016" s="18" t="n">
        <f aca="false">IF(D1016="","",MAX(0,IF(P1016&gt;=0,P1016,IF(K1016+P1016&gt;=0,0,P1016+K1016))))</f>
        <v>31.4447135914716</v>
      </c>
      <c r="AA1016" s="18" t="n">
        <f aca="false">IF(D1016="","",IF(H1016&lt;=$B$16,1,IF(H1016&gt;=$B$17,$B$21,MATCH(H1016,Aux_CAV!$A$2:$A$121,1))))</f>
        <v>12</v>
      </c>
      <c r="AB1016" s="18" t="n">
        <f aca="false">IF(D1016="","",IF(L1016&lt;=$B$16,1,IF(L1016&gt;=$B$17,$B$21,MATCH(L1016,Aux_CAV!$A$2:$A$121,1))))</f>
        <v>12</v>
      </c>
      <c r="AC1016" s="19" t="n">
        <f aca="false">IF(D1016="","",COUNT($D$24:D1016))</f>
        <v>981</v>
      </c>
    </row>
    <row r="1017" customFormat="false" ht="12.75" hidden="false" customHeight="true" outlineLevel="0" collapsed="false">
      <c r="A1017" s="14" t="n">
        <f aca="false">IF(D1017="","",DATE(B1017,C1017,1))</f>
        <v>33878</v>
      </c>
      <c r="B1017" s="15" t="n">
        <f aca="false" t="array" ref="B1017:B1017">IF(D1017="","",IFERROR(VALUE(INDEX(Vazoes_COLAR!$A$2:$A$200,INT((ROW()-24)/12)+1)),""))</f>
        <v>1992</v>
      </c>
      <c r="C1017" s="15" t="n">
        <f aca="false">IF(D1017="","",MOD(ROW()-24,12)+1)</f>
        <v>10</v>
      </c>
      <c r="D1017" s="16" t="n">
        <f aca="false" t="array" ref="D1017: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0.0106916390350905</v>
      </c>
      <c r="E1017" s="16" t="n">
        <f aca="false">IF(D1017="","",D1017*$B$15)</f>
        <v>0.0277127283789546</v>
      </c>
      <c r="F1017" s="16" t="n">
        <f aca="false" t="array" ref="F1017:F1017">IF(D1017="","",IFERROR(INDEX(Dados_Evap!$C$2:$N$15,MATCH($B$9,Dados_Evap!$A$2:$A$15,0),C1017),0))</f>
        <v>262.9</v>
      </c>
      <c r="G1017" s="16" t="n">
        <f aca="false">IF(F1017="","",F1017/1000)</f>
        <v>0.2629</v>
      </c>
      <c r="H1017" s="16" t="n">
        <f aca="false">IF(D1017="","",MAX(0,MIN($B$8,IFERROR(LOOKUP(2,1/($U$24:U1016&lt;&gt;""),$U$24:U1016),$B$11))))</f>
        <v>31.4447135914716</v>
      </c>
      <c r="I1017" s="16" t="n">
        <f aca="false" t="array" ref="I1017: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>5.38260616921113</v>
      </c>
      <c r="J1017" s="16" t="n">
        <f aca="false">IF(D1017="","",$B$12)</f>
        <v>0.35</v>
      </c>
      <c r="K1017" s="16" t="n">
        <f aca="false">IF(J1017="","",J1017*$B$15)</f>
        <v>0.9072</v>
      </c>
      <c r="L1017" s="16" t="n">
        <f aca="false">IF(D1017="","",H1017+E1017-K1017-G1017*I1017)</f>
        <v>29.150139157965</v>
      </c>
      <c r="M1017" s="16" t="n">
        <f aca="false" t="array" ref="M1017: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>5.14423775718666</v>
      </c>
      <c r="N1017" s="16" t="n">
        <f aca="false">IF(D1017="","",(I1017+M1017)/2)</f>
        <v>5.26342196319889</v>
      </c>
      <c r="O1017" s="16" t="n">
        <f aca="false">IF(D1017="","",G1017*N1017)</f>
        <v>1.38375363412499</v>
      </c>
      <c r="P1017" s="16" t="n">
        <f aca="false">IF(D1017="","",H1017+E1017-K1017-O1017)</f>
        <v>29.1814726857256</v>
      </c>
      <c r="Q1017" s="16" t="n">
        <f aca="false">IF(D1017="","",IF(P1017&gt;=0,K1017,MAX(0,K1017+P1017)))</f>
        <v>0.9072</v>
      </c>
      <c r="R1017" s="16" t="n">
        <f aca="false">IF(D1017="","",Q1017/$B$15)</f>
        <v>0.35</v>
      </c>
      <c r="S1017" s="16" t="n">
        <f aca="false">IF(D1017="","",MAX(0,J1017-R1017))</f>
        <v>0</v>
      </c>
      <c r="T1017" s="16" t="n">
        <f aca="false">IF(D1017="","",MAX(0,Z1017-$B$8))</f>
        <v>0</v>
      </c>
      <c r="U1017" s="16" t="n">
        <f aca="false">IF(D1017="","",MAX(0,MIN($B$8,Z1017)))</f>
        <v>29.1814726857256</v>
      </c>
      <c r="V1017" s="16" t="str">
        <f aca="false">IF(D1017="","",IF(S1017&gt;0.0000001,"Sim","Não"))</f>
        <v>Não</v>
      </c>
      <c r="W1017" s="16" t="n">
        <f aca="false">IF(D1017="","",U1017-(H1017+E1017-Q1017-O1017-T1017))</f>
        <v>0</v>
      </c>
      <c r="X1017" s="16" t="n">
        <f aca="false">IF(W1017="","",ABS(W1017))</f>
        <v>0</v>
      </c>
      <c r="Y1017" s="16" t="n">
        <f aca="false">IF(U1017="","",IF($B$8=0,0,U1017/$B$8*100))</f>
        <v>61.798967991795</v>
      </c>
      <c r="Z1017" s="18" t="n">
        <f aca="false">IF(D1017="","",MAX(0,IF(P1017&gt;=0,P1017,IF(K1017+P1017&gt;=0,0,P1017+K1017))))</f>
        <v>29.1814726857256</v>
      </c>
      <c r="AA1017" s="18" t="n">
        <f aca="false">IF(D1017="","",IF(H1017&lt;=$B$16,1,IF(H1017&gt;=$B$17,$B$21,MATCH(H1017,Aux_CAV!$A$2:$A$121,1))))</f>
        <v>12</v>
      </c>
      <c r="AB1017" s="18" t="n">
        <f aca="false">IF(D1017="","",IF(L1017&lt;=$B$16,1,IF(L1017&gt;=$B$17,$B$21,MATCH(L1017,Aux_CAV!$A$2:$A$121,1))))</f>
        <v>12</v>
      </c>
      <c r="AC1017" s="19" t="n">
        <f aca="false">IF(D1017="","",COUNT($D$24:D1017))</f>
        <v>982</v>
      </c>
    </row>
    <row r="1018" customFormat="false" ht="12.75" hidden="false" customHeight="true" outlineLevel="0" collapsed="false">
      <c r="A1018" s="14" t="n">
        <f aca="false">IF(D1018="","",DATE(B1018,C1018,1))</f>
        <v>33909</v>
      </c>
      <c r="B1018" s="15" t="n">
        <f aca="false" t="array" ref="B1018:B1018">IF(D1018="","",IFERROR(VALUE(INDEX(Vazoes_COLAR!$A$2:$A$200,INT((ROW()-24)/12)+1)),""))</f>
        <v>1992</v>
      </c>
      <c r="C1018" s="15" t="n">
        <f aca="false">IF(D1018="","",MOD(ROW()-24,12)+1)</f>
        <v>11</v>
      </c>
      <c r="D1018" s="16" t="n">
        <f aca="false" t="array" ref="D1018: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0.0175748915822919</v>
      </c>
      <c r="E1018" s="16" t="n">
        <f aca="false">IF(D1018="","",D1018*$B$15)</f>
        <v>0.0455541189813006</v>
      </c>
      <c r="F1018" s="16" t="n">
        <f aca="false" t="array" ref="F1018:F1018">IF(D1018="","",IFERROR(INDEX(Dados_Evap!$C$2:$N$15,MATCH($B$9,Dados_Evap!$A$2:$A$15,0),C1018),0))</f>
        <v>223.7</v>
      </c>
      <c r="G1018" s="16" t="n">
        <f aca="false">IF(F1018="","",F1018/1000)</f>
        <v>0.2237</v>
      </c>
      <c r="H1018" s="16" t="n">
        <f aca="false">IF(D1018="","",MAX(0,MIN($B$8,IFERROR(LOOKUP(2,1/($U$24:U1017&lt;&gt;""),$U$24:U1017),$B$11))))</f>
        <v>29.1814726857256</v>
      </c>
      <c r="I1018" s="16" t="n">
        <f aca="false" t="array" ref="I1018: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>5.14749279356567</v>
      </c>
      <c r="J1018" s="16" t="n">
        <f aca="false">IF(D1018="","",$B$12)</f>
        <v>0.35</v>
      </c>
      <c r="K1018" s="16" t="n">
        <f aca="false">IF(J1018="","",J1018*$B$15)</f>
        <v>0.9072</v>
      </c>
      <c r="L1018" s="16" t="n">
        <f aca="false">IF(D1018="","",H1018+E1018-K1018-G1018*I1018)</f>
        <v>27.1683326667863</v>
      </c>
      <c r="M1018" s="16" t="n">
        <f aca="false" t="array" ref="M1018: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>4.93836077218071</v>
      </c>
      <c r="N1018" s="16" t="n">
        <f aca="false">IF(D1018="","",(I1018+M1018)/2)</f>
        <v>5.04292678287319</v>
      </c>
      <c r="O1018" s="16" t="n">
        <f aca="false">IF(D1018="","",G1018*N1018)</f>
        <v>1.12810272132873</v>
      </c>
      <c r="P1018" s="16" t="n">
        <f aca="false">IF(D1018="","",H1018+E1018-K1018-O1018)</f>
        <v>27.1917240833782</v>
      </c>
      <c r="Q1018" s="16" t="n">
        <f aca="false">IF(D1018="","",IF(P1018&gt;=0,K1018,MAX(0,K1018+P1018)))</f>
        <v>0.9072</v>
      </c>
      <c r="R1018" s="16" t="n">
        <f aca="false">IF(D1018="","",Q1018/$B$15)</f>
        <v>0.35</v>
      </c>
      <c r="S1018" s="16" t="n">
        <f aca="false">IF(D1018="","",MAX(0,J1018-R1018))</f>
        <v>0</v>
      </c>
      <c r="T1018" s="16" t="n">
        <f aca="false">IF(D1018="","",MAX(0,Z1018-$B$8))</f>
        <v>0</v>
      </c>
      <c r="U1018" s="16" t="n">
        <f aca="false">IF(D1018="","",MAX(0,MIN($B$8,Z1018)))</f>
        <v>27.1917240833782</v>
      </c>
      <c r="V1018" s="16" t="str">
        <f aca="false">IF(D1018="","",IF(S1018&gt;0.0000001,"Sim","Não"))</f>
        <v>Não</v>
      </c>
      <c r="W1018" s="16" t="n">
        <f aca="false">IF(D1018="","",U1018-(H1018+E1018-Q1018-O1018-T1018))</f>
        <v>0</v>
      </c>
      <c r="X1018" s="16" t="n">
        <f aca="false">IF(W1018="","",ABS(W1018))</f>
        <v>0</v>
      </c>
      <c r="Y1018" s="16" t="n">
        <f aca="false">IF(U1018="","",IF($B$8=0,0,U1018/$B$8*100))</f>
        <v>57.5851844205383</v>
      </c>
      <c r="Z1018" s="18" t="n">
        <f aca="false">IF(D1018="","",MAX(0,IF(P1018&gt;=0,P1018,IF(K1018+P1018&gt;=0,0,P1018+K1018))))</f>
        <v>27.1917240833782</v>
      </c>
      <c r="AA1018" s="18" t="n">
        <f aca="false">IF(D1018="","",IF(H1018&lt;=$B$16,1,IF(H1018&gt;=$B$17,$B$21,MATCH(H1018,Aux_CAV!$A$2:$A$121,1))))</f>
        <v>12</v>
      </c>
      <c r="AB1018" s="18" t="n">
        <f aca="false">IF(D1018="","",IF(L1018&lt;=$B$16,1,IF(L1018&gt;=$B$17,$B$21,MATCH(L1018,Aux_CAV!$A$2:$A$121,1))))</f>
        <v>12</v>
      </c>
      <c r="AC1018" s="19" t="n">
        <f aca="false">IF(D1018="","",COUNT($D$24:D1018))</f>
        <v>983</v>
      </c>
    </row>
    <row r="1019" customFormat="false" ht="12.75" hidden="false" customHeight="true" outlineLevel="0" collapsed="false">
      <c r="A1019" s="14" t="n">
        <f aca="false">IF(D1019="","",DATE(B1019,C1019,1))</f>
        <v>33939</v>
      </c>
      <c r="B1019" s="15" t="n">
        <f aca="false" t="array" ref="B1019:B1019">IF(D1019="","",IFERROR(VALUE(INDEX(Vazoes_COLAR!$A$2:$A$200,INT((ROW()-24)/12)+1)),""))</f>
        <v>1992</v>
      </c>
      <c r="C1019" s="15" t="n">
        <f aca="false">IF(D1019="","",MOD(ROW()-24,12)+1)</f>
        <v>12</v>
      </c>
      <c r="D1019" s="16" t="n">
        <f aca="false" t="array" ref="D1019: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0.00931798780844433</v>
      </c>
      <c r="E1019" s="16" t="n">
        <f aca="false">IF(D1019="","",D1019*$B$15)</f>
        <v>0.0241522243994877</v>
      </c>
      <c r="F1019" s="16" t="n">
        <f aca="false" t="array" ref="F1019:F1019">IF(D1019="","",IFERROR(INDEX(Dados_Evap!$C$2:$N$15,MATCH($B$9,Dados_Evap!$A$2:$A$15,0),C1019),0))</f>
        <v>216.1</v>
      </c>
      <c r="G1019" s="16" t="n">
        <f aca="false">IF(F1019="","",F1019/1000)</f>
        <v>0.2161</v>
      </c>
      <c r="H1019" s="16" t="n">
        <f aca="false">IF(D1019="","",MAX(0,MIN($B$8,IFERROR(LOOKUP(2,1/($U$24:U1018&lt;&gt;""),$U$24:U1018),$B$11))))</f>
        <v>27.1917240833782</v>
      </c>
      <c r="I1019" s="16" t="n">
        <f aca="false" t="array" ref="I1019: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>4.94079075429269</v>
      </c>
      <c r="J1019" s="16" t="n">
        <f aca="false">IF(D1019="","",$B$12)</f>
        <v>0.35</v>
      </c>
      <c r="K1019" s="16" t="n">
        <f aca="false">IF(J1019="","",J1019*$B$15)</f>
        <v>0.9072</v>
      </c>
      <c r="L1019" s="16" t="n">
        <f aca="false">IF(D1019="","",H1019+E1019-K1019-G1019*I1019)</f>
        <v>25.240971425775</v>
      </c>
      <c r="M1019" s="16" t="n">
        <f aca="false" t="array" ref="M1019: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>4.73813975005624</v>
      </c>
      <c r="N1019" s="16" t="n">
        <f aca="false">IF(D1019="","",(I1019+M1019)/2)</f>
        <v>4.83946525217446</v>
      </c>
      <c r="O1019" s="16" t="n">
        <f aca="false">IF(D1019="","",G1019*N1019)</f>
        <v>1.0458084409949</v>
      </c>
      <c r="P1019" s="16" t="n">
        <f aca="false">IF(D1019="","",H1019+E1019-K1019-O1019)</f>
        <v>25.2628678667828</v>
      </c>
      <c r="Q1019" s="16" t="n">
        <f aca="false">IF(D1019="","",IF(P1019&gt;=0,K1019,MAX(0,K1019+P1019)))</f>
        <v>0.9072</v>
      </c>
      <c r="R1019" s="16" t="n">
        <f aca="false">IF(D1019="","",Q1019/$B$15)</f>
        <v>0.35</v>
      </c>
      <c r="S1019" s="16" t="n">
        <f aca="false">IF(D1019="","",MAX(0,J1019-R1019))</f>
        <v>0</v>
      </c>
      <c r="T1019" s="16" t="n">
        <f aca="false">IF(D1019="","",MAX(0,Z1019-$B$8))</f>
        <v>0</v>
      </c>
      <c r="U1019" s="16" t="n">
        <f aca="false">IF(D1019="","",MAX(0,MIN($B$8,Z1019)))</f>
        <v>25.2628678667828</v>
      </c>
      <c r="V1019" s="16" t="str">
        <f aca="false">IF(D1019="","",IF(S1019&gt;0.0000001,"Sim","Não"))</f>
        <v>Não</v>
      </c>
      <c r="W1019" s="16" t="n">
        <f aca="false">IF(D1019="","",U1019-(H1019+E1019-Q1019-O1019-T1019))</f>
        <v>0</v>
      </c>
      <c r="X1019" s="16" t="n">
        <f aca="false">IF(W1019="","",ABS(W1019))</f>
        <v>0</v>
      </c>
      <c r="Y1019" s="16" t="n">
        <f aca="false">IF(U1019="","",IF($B$8=0,0,U1019/$B$8*100))</f>
        <v>53.5003554993282</v>
      </c>
      <c r="Z1019" s="18" t="n">
        <f aca="false">IF(D1019="","",MAX(0,IF(P1019&gt;=0,P1019,IF(K1019+P1019&gt;=0,0,P1019+K1019))))</f>
        <v>25.2628678667828</v>
      </c>
      <c r="AA1019" s="18" t="n">
        <f aca="false">IF(D1019="","",IF(H1019&lt;=$B$16,1,IF(H1019&gt;=$B$17,$B$21,MATCH(H1019,Aux_CAV!$A$2:$A$121,1))))</f>
        <v>12</v>
      </c>
      <c r="AB1019" s="18" t="n">
        <f aca="false">IF(D1019="","",IF(L1019&lt;=$B$16,1,IF(L1019&gt;=$B$17,$B$21,MATCH(L1019,Aux_CAV!$A$2:$A$121,1))))</f>
        <v>12</v>
      </c>
      <c r="AC1019" s="19" t="n">
        <f aca="false">IF(D1019="","",COUNT($D$24:D1019))</f>
        <v>984</v>
      </c>
    </row>
    <row r="1020" customFormat="false" ht="12.75" hidden="false" customHeight="true" outlineLevel="0" collapsed="false">
      <c r="A1020" s="14" t="n">
        <f aca="false">IF(D1020="","",DATE(B1020,C1020,1))</f>
        <v>33970</v>
      </c>
      <c r="B1020" s="15" t="n">
        <f aca="false" t="array" ref="B1020:B1020">IF(D1020="","",IFERROR(VALUE(INDEX(Vazoes_COLAR!$A$2:$A$200,INT((ROW()-24)/12)+1)),""))</f>
        <v>1993</v>
      </c>
      <c r="C1020" s="15" t="n">
        <f aca="false">IF(D1020="","",MOD(ROW()-24,12)+1)</f>
        <v>1</v>
      </c>
      <c r="D1020" s="16" t="n">
        <f aca="false" t="array" ref="D1020: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0.0220899158545918</v>
      </c>
      <c r="E1020" s="16" t="n">
        <f aca="false">IF(D1020="","",D1020*$B$15)</f>
        <v>0.0572570618951019</v>
      </c>
      <c r="F1020" s="16" t="n">
        <f aca="false" t="array" ref="F1020:F1020">IF(D1020="","",IFERROR(INDEX(Dados_Evap!$C$2:$N$15,MATCH($B$9,Dados_Evap!$A$2:$A$15,0),C1020),0))</f>
        <v>160</v>
      </c>
      <c r="G1020" s="16" t="n">
        <f aca="false">IF(F1020="","",F1020/1000)</f>
        <v>0.16</v>
      </c>
      <c r="H1020" s="16" t="n">
        <f aca="false">IF(D1020="","",MAX(0,MIN($B$8,IFERROR(LOOKUP(2,1/($U$24:U1019&lt;&gt;""),$U$24:U1019),$B$11))))</f>
        <v>25.2628678667828</v>
      </c>
      <c r="I1020" s="16" t="n">
        <f aca="false" t="array" ref="I1020: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>4.74041442887938</v>
      </c>
      <c r="J1020" s="16" t="n">
        <f aca="false">IF(D1020="","",$B$12)</f>
        <v>0.35</v>
      </c>
      <c r="K1020" s="16" t="n">
        <f aca="false">IF(J1020="","",J1020*$B$15)</f>
        <v>0.9072</v>
      </c>
      <c r="L1020" s="16" t="n">
        <f aca="false">IF(D1020="","",H1020+E1020-K1020-G1020*I1020)</f>
        <v>23.6544586200572</v>
      </c>
      <c r="M1020" s="16" t="n">
        <f aca="false" t="array" ref="M1020: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>4.56480115215317</v>
      </c>
      <c r="N1020" s="16" t="n">
        <f aca="false">IF(D1020="","",(I1020+M1020)/2)</f>
        <v>4.65260779051627</v>
      </c>
      <c r="O1020" s="16" t="n">
        <f aca="false">IF(D1020="","",G1020*N1020)</f>
        <v>0.744417246482604</v>
      </c>
      <c r="P1020" s="16" t="n">
        <f aca="false">IF(D1020="","",H1020+E1020-K1020-O1020)</f>
        <v>23.6685076821953</v>
      </c>
      <c r="Q1020" s="16" t="n">
        <f aca="false">IF(D1020="","",IF(P1020&gt;=0,K1020,MAX(0,K1020+P1020)))</f>
        <v>0.9072</v>
      </c>
      <c r="R1020" s="16" t="n">
        <f aca="false">IF(D1020="","",Q1020/$B$15)</f>
        <v>0.35</v>
      </c>
      <c r="S1020" s="16" t="n">
        <f aca="false">IF(D1020="","",MAX(0,J1020-R1020))</f>
        <v>0</v>
      </c>
      <c r="T1020" s="16" t="n">
        <f aca="false">IF(D1020="","",MAX(0,Z1020-$B$8))</f>
        <v>0</v>
      </c>
      <c r="U1020" s="16" t="n">
        <f aca="false">IF(D1020="","",MAX(0,MIN($B$8,Z1020)))</f>
        <v>23.6685076821953</v>
      </c>
      <c r="V1020" s="16" t="str">
        <f aca="false">IF(D1020="","",IF(S1020&gt;0.0000001,"Sim","Não"))</f>
        <v>Não</v>
      </c>
      <c r="W1020" s="16" t="n">
        <f aca="false">IF(D1020="","",U1020-(H1020+E1020-Q1020-O1020-T1020))</f>
        <v>0</v>
      </c>
      <c r="X1020" s="16" t="n">
        <f aca="false">IF(W1020="","",ABS(W1020))</f>
        <v>0</v>
      </c>
      <c r="Y1020" s="16" t="n">
        <f aca="false">IF(U1020="","",IF($B$8=0,0,U1020/$B$8*100))</f>
        <v>50.1239044519171</v>
      </c>
      <c r="Z1020" s="18" t="n">
        <f aca="false">IF(D1020="","",MAX(0,IF(P1020&gt;=0,P1020,IF(K1020+P1020&gt;=0,0,P1020+K1020))))</f>
        <v>23.6685076821953</v>
      </c>
      <c r="AA1020" s="18" t="n">
        <f aca="false">IF(D1020="","",IF(H1020&lt;=$B$16,1,IF(H1020&gt;=$B$17,$B$21,MATCH(H1020,Aux_CAV!$A$2:$A$121,1))))</f>
        <v>12</v>
      </c>
      <c r="AB1020" s="18" t="n">
        <f aca="false">IF(D1020="","",IF(L1020&lt;=$B$16,1,IF(L1020&gt;=$B$17,$B$21,MATCH(L1020,Aux_CAV!$A$2:$A$121,1))))</f>
        <v>11</v>
      </c>
      <c r="AC1020" s="19" t="n">
        <f aca="false">IF(D1020="","",COUNT($D$24:D1020))</f>
        <v>985</v>
      </c>
    </row>
    <row r="1021" customFormat="false" ht="12.75" hidden="false" customHeight="true" outlineLevel="0" collapsed="false">
      <c r="A1021" s="14" t="n">
        <f aca="false">IF(D1021="","",DATE(B1021,C1021,1))</f>
        <v>34001</v>
      </c>
      <c r="B1021" s="15" t="n">
        <f aca="false" t="array" ref="B1021:B1021">IF(D1021="","",IFERROR(VALUE(INDEX(Vazoes_COLAR!$A$2:$A$200,INT((ROW()-24)/12)+1)),""))</f>
        <v>1993</v>
      </c>
      <c r="C1021" s="15" t="n">
        <f aca="false">IF(D1021="","",MOD(ROW()-24,12)+1)</f>
        <v>2</v>
      </c>
      <c r="D1021" s="16" t="n">
        <f aca="false" t="array" ref="D1021: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0.0947803199411408</v>
      </c>
      <c r="E1021" s="16" t="n">
        <f aca="false">IF(D1021="","",D1021*$B$15)</f>
        <v>0.245670589287437</v>
      </c>
      <c r="F1021" s="16" t="n">
        <f aca="false" t="array" ref="F1021:F1021">IF(D1021="","",IFERROR(INDEX(Dados_Evap!$C$2:$N$15,MATCH($B$9,Dados_Evap!$A$2:$A$15,0),C1021),0))</f>
        <v>124.3</v>
      </c>
      <c r="G1021" s="16" t="n">
        <f aca="false">IF(F1021="","",F1021/1000)</f>
        <v>0.1243</v>
      </c>
      <c r="H1021" s="16" t="n">
        <f aca="false">IF(D1021="","",MAX(0,MIN($B$8,IFERROR(LOOKUP(2,1/($U$24:U1020&lt;&gt;""),$U$24:U1020),$B$11))))</f>
        <v>23.6685076821953</v>
      </c>
      <c r="I1021" s="16" t="n">
        <f aca="false" t="array" ref="I1021: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>4.5664801864087</v>
      </c>
      <c r="J1021" s="16" t="n">
        <f aca="false">IF(D1021="","",$B$12)</f>
        <v>0.35</v>
      </c>
      <c r="K1021" s="16" t="n">
        <f aca="false">IF(J1021="","",J1021*$B$15)</f>
        <v>0.9072</v>
      </c>
      <c r="L1021" s="16" t="n">
        <f aca="false">IF(D1021="","",H1021+E1021-K1021-G1021*I1021)</f>
        <v>22.4393647843121</v>
      </c>
      <c r="M1021" s="16" t="n">
        <f aca="false" t="array" ref="M1021: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>4.41958262056413</v>
      </c>
      <c r="N1021" s="16" t="n">
        <f aca="false">IF(D1021="","",(I1021+M1021)/2)</f>
        <v>4.49303140348642</v>
      </c>
      <c r="O1021" s="16" t="n">
        <f aca="false">IF(D1021="","",G1021*N1021)</f>
        <v>0.558483803453362</v>
      </c>
      <c r="P1021" s="16" t="n">
        <f aca="false">IF(D1021="","",H1021+E1021-K1021-O1021)</f>
        <v>22.4484944680293</v>
      </c>
      <c r="Q1021" s="16" t="n">
        <f aca="false">IF(D1021="","",IF(P1021&gt;=0,K1021,MAX(0,K1021+P1021)))</f>
        <v>0.9072</v>
      </c>
      <c r="R1021" s="16" t="n">
        <f aca="false">IF(D1021="","",Q1021/$B$15)</f>
        <v>0.35</v>
      </c>
      <c r="S1021" s="16" t="n">
        <f aca="false">IF(D1021="","",MAX(0,J1021-R1021))</f>
        <v>0</v>
      </c>
      <c r="T1021" s="16" t="n">
        <f aca="false">IF(D1021="","",MAX(0,Z1021-$B$8))</f>
        <v>0</v>
      </c>
      <c r="U1021" s="16" t="n">
        <f aca="false">IF(D1021="","",MAX(0,MIN($B$8,Z1021)))</f>
        <v>22.4484944680293</v>
      </c>
      <c r="V1021" s="16" t="str">
        <f aca="false">IF(D1021="","",IF(S1021&gt;0.0000001,"Sim","Não"))</f>
        <v>Não</v>
      </c>
      <c r="W1021" s="16" t="n">
        <f aca="false">IF(D1021="","",U1021-(H1021+E1021-Q1021-O1021-T1021))</f>
        <v>0</v>
      </c>
      <c r="X1021" s="16" t="n">
        <f aca="false">IF(W1021="","",ABS(W1021))</f>
        <v>0</v>
      </c>
      <c r="Y1021" s="16" t="n">
        <f aca="false">IF(U1021="","",IF($B$8=0,0,U1021/$B$8*100))</f>
        <v>47.5402254723197</v>
      </c>
      <c r="Z1021" s="18" t="n">
        <f aca="false">IF(D1021="","",MAX(0,IF(P1021&gt;=0,P1021,IF(K1021+P1021&gt;=0,0,P1021+K1021))))</f>
        <v>22.4484944680293</v>
      </c>
      <c r="AA1021" s="18" t="n">
        <f aca="false">IF(D1021="","",IF(H1021&lt;=$B$16,1,IF(H1021&gt;=$B$17,$B$21,MATCH(H1021,Aux_CAV!$A$2:$A$121,1))))</f>
        <v>11</v>
      </c>
      <c r="AB1021" s="18" t="n">
        <f aca="false">IF(D1021="","",IF(L1021&lt;=$B$16,1,IF(L1021&gt;=$B$17,$B$21,MATCH(L1021,Aux_CAV!$A$2:$A$121,1))))</f>
        <v>11</v>
      </c>
      <c r="AC1021" s="19" t="n">
        <f aca="false">IF(D1021="","",COUNT($D$24:D1021))</f>
        <v>986</v>
      </c>
    </row>
    <row r="1022" customFormat="false" ht="12.75" hidden="false" customHeight="true" outlineLevel="0" collapsed="false">
      <c r="A1022" s="14" t="n">
        <f aca="false">IF(D1022="","",DATE(B1022,C1022,1))</f>
        <v>34029</v>
      </c>
      <c r="B1022" s="15" t="n">
        <f aca="false" t="array" ref="B1022:B1022">IF(D1022="","",IFERROR(VALUE(INDEX(Vazoes_COLAR!$A$2:$A$200,INT((ROW()-24)/12)+1)),""))</f>
        <v>1993</v>
      </c>
      <c r="C1022" s="15" t="n">
        <f aca="false">IF(D1022="","",MOD(ROW()-24,12)+1)</f>
        <v>3</v>
      </c>
      <c r="D1022" s="16" t="n">
        <f aca="false" t="array" ref="D1022: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0.443354616154186</v>
      </c>
      <c r="E1022" s="16" t="n">
        <f aca="false">IF(D1022="","",D1022*$B$15)</f>
        <v>1.14917516507165</v>
      </c>
      <c r="F1022" s="16" t="n">
        <f aca="false" t="array" ref="F1022:F1022">IF(D1022="","",IFERROR(INDEX(Dados_Evap!$C$2:$N$15,MATCH($B$9,Dados_Evap!$A$2:$A$15,0),C1022),0))</f>
        <v>107.7</v>
      </c>
      <c r="G1022" s="16" t="n">
        <f aca="false">IF(F1022="","",F1022/1000)</f>
        <v>0.1077</v>
      </c>
      <c r="H1022" s="16" t="n">
        <f aca="false">IF(D1022="","",MAX(0,MIN($B$8,IFERROR(LOOKUP(2,1/($U$24:U1021&lt;&gt;""),$U$24:U1021),$B$11))))</f>
        <v>22.4484944680293</v>
      </c>
      <c r="I1022" s="16" t="n">
        <f aca="false" t="array" ref="I1022: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>4.42067372910595</v>
      </c>
      <c r="J1022" s="16" t="n">
        <f aca="false">IF(D1022="","",$B$12)</f>
        <v>0.35</v>
      </c>
      <c r="K1022" s="16" t="n">
        <f aca="false">IF(J1022="","",J1022*$B$15)</f>
        <v>0.9072</v>
      </c>
      <c r="L1022" s="16" t="n">
        <f aca="false">IF(D1022="","",H1022+E1022-K1022-G1022*I1022)</f>
        <v>22.2143630724763</v>
      </c>
      <c r="M1022" s="16" t="n">
        <f aca="false" t="array" ref="M1022: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>4.39269217207643</v>
      </c>
      <c r="N1022" s="16" t="n">
        <f aca="false">IF(D1022="","",(I1022+M1022)/2)</f>
        <v>4.40668295059119</v>
      </c>
      <c r="O1022" s="16" t="n">
        <f aca="false">IF(D1022="","",G1022*N1022)</f>
        <v>0.474599753778671</v>
      </c>
      <c r="P1022" s="16" t="n">
        <f aca="false">IF(D1022="","",H1022+E1022-K1022-O1022)</f>
        <v>22.2158698793223</v>
      </c>
      <c r="Q1022" s="16" t="n">
        <f aca="false">IF(D1022="","",IF(P1022&gt;=0,K1022,MAX(0,K1022+P1022)))</f>
        <v>0.9072</v>
      </c>
      <c r="R1022" s="16" t="n">
        <f aca="false">IF(D1022="","",Q1022/$B$15)</f>
        <v>0.35</v>
      </c>
      <c r="S1022" s="16" t="n">
        <f aca="false">IF(D1022="","",MAX(0,J1022-R1022))</f>
        <v>0</v>
      </c>
      <c r="T1022" s="16" t="n">
        <f aca="false">IF(D1022="","",MAX(0,Z1022-$B$8))</f>
        <v>0</v>
      </c>
      <c r="U1022" s="16" t="n">
        <f aca="false">IF(D1022="","",MAX(0,MIN($B$8,Z1022)))</f>
        <v>22.2158698793223</v>
      </c>
      <c r="V1022" s="16" t="str">
        <f aca="false">IF(D1022="","",IF(S1022&gt;0.0000001,"Sim","Não"))</f>
        <v>Não</v>
      </c>
      <c r="W1022" s="16" t="n">
        <f aca="false">IF(D1022="","",U1022-(H1022+E1022-Q1022-O1022-T1022))</f>
        <v>0</v>
      </c>
      <c r="X1022" s="16" t="n">
        <f aca="false">IF(W1022="","",ABS(W1022))</f>
        <v>0</v>
      </c>
      <c r="Y1022" s="16" t="n">
        <f aca="false">IF(U1022="","",IF($B$8=0,0,U1022/$B$8*100))</f>
        <v>47.0475855131773</v>
      </c>
      <c r="Z1022" s="18" t="n">
        <f aca="false">IF(D1022="","",MAX(0,IF(P1022&gt;=0,P1022,IF(K1022+P1022&gt;=0,0,P1022+K1022))))</f>
        <v>22.2158698793223</v>
      </c>
      <c r="AA1022" s="18" t="n">
        <f aca="false">IF(D1022="","",IF(H1022&lt;=$B$16,1,IF(H1022&gt;=$B$17,$B$21,MATCH(H1022,Aux_CAV!$A$2:$A$121,1))))</f>
        <v>11</v>
      </c>
      <c r="AB1022" s="18" t="n">
        <f aca="false">IF(D1022="","",IF(L1022&lt;=$B$16,1,IF(L1022&gt;=$B$17,$B$21,MATCH(L1022,Aux_CAV!$A$2:$A$121,1))))</f>
        <v>11</v>
      </c>
      <c r="AC1022" s="19" t="n">
        <f aca="false">IF(D1022="","",COUNT($D$24:D1022))</f>
        <v>987</v>
      </c>
    </row>
    <row r="1023" customFormat="false" ht="12.75" hidden="false" customHeight="true" outlineLevel="0" collapsed="false">
      <c r="A1023" s="14" t="n">
        <f aca="false">IF(D1023="","",DATE(B1023,C1023,1))</f>
        <v>34060</v>
      </c>
      <c r="B1023" s="15" t="n">
        <f aca="false" t="array" ref="B1023:B1023">IF(D1023="","",IFERROR(VALUE(INDEX(Vazoes_COLAR!$A$2:$A$200,INT((ROW()-24)/12)+1)),""))</f>
        <v>1993</v>
      </c>
      <c r="C1023" s="15" t="n">
        <f aca="false">IF(D1023="","",MOD(ROW()-24,12)+1)</f>
        <v>4</v>
      </c>
      <c r="D1023" s="16" t="n">
        <f aca="false" t="array" ref="D1023: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0.480858431305518</v>
      </c>
      <c r="E1023" s="16" t="n">
        <f aca="false">IF(D1023="","",D1023*$B$15)</f>
        <v>1.2463850539439</v>
      </c>
      <c r="F1023" s="16" t="n">
        <f aca="false" t="array" ref="F1023:F1023">IF(D1023="","",IFERROR(INDEX(Dados_Evap!$C$2:$N$15,MATCH($B$9,Dados_Evap!$A$2:$A$15,0),C1023),0))</f>
        <v>100.5</v>
      </c>
      <c r="G1023" s="16" t="n">
        <f aca="false">IF(F1023="","",F1023/1000)</f>
        <v>0.1005</v>
      </c>
      <c r="H1023" s="16" t="n">
        <f aca="false">IF(D1023="","",MAX(0,MIN($B$8,IFERROR(LOOKUP(2,1/($U$24:U1022&lt;&gt;""),$U$24:U1022),$B$11))))</f>
        <v>22.2158698793223</v>
      </c>
      <c r="I1023" s="16" t="n">
        <f aca="false" t="array" ref="I1023: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>4.39287225387023</v>
      </c>
      <c r="J1023" s="16" t="n">
        <f aca="false">IF(D1023="","",$B$12)</f>
        <v>0.35</v>
      </c>
      <c r="K1023" s="16" t="n">
        <f aca="false">IF(J1023="","",J1023*$B$15)</f>
        <v>0.9072</v>
      </c>
      <c r="L1023" s="16" t="n">
        <f aca="false">IF(D1023="","",H1023+E1023-K1023-G1023*I1023)</f>
        <v>22.1135712717523</v>
      </c>
      <c r="M1023" s="16" t="n">
        <f aca="false" t="array" ref="M1023: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>4.38064632272161</v>
      </c>
      <c r="N1023" s="16" t="n">
        <f aca="false">IF(D1023="","",(I1023+M1023)/2)</f>
        <v>4.38675928829592</v>
      </c>
      <c r="O1023" s="16" t="n">
        <f aca="false">IF(D1023="","",G1023*N1023)</f>
        <v>0.44086930847374</v>
      </c>
      <c r="P1023" s="16" t="n">
        <f aca="false">IF(D1023="","",H1023+E1023-K1023-O1023)</f>
        <v>22.1141856247925</v>
      </c>
      <c r="Q1023" s="16" t="n">
        <f aca="false">IF(D1023="","",IF(P1023&gt;=0,K1023,MAX(0,K1023+P1023)))</f>
        <v>0.9072</v>
      </c>
      <c r="R1023" s="16" t="n">
        <f aca="false">IF(D1023="","",Q1023/$B$15)</f>
        <v>0.35</v>
      </c>
      <c r="S1023" s="16" t="n">
        <f aca="false">IF(D1023="","",MAX(0,J1023-R1023))</f>
        <v>0</v>
      </c>
      <c r="T1023" s="16" t="n">
        <f aca="false">IF(D1023="","",MAX(0,Z1023-$B$8))</f>
        <v>0</v>
      </c>
      <c r="U1023" s="16" t="n">
        <f aca="false">IF(D1023="","",MAX(0,MIN($B$8,Z1023)))</f>
        <v>22.1141856247925</v>
      </c>
      <c r="V1023" s="16" t="str">
        <f aca="false">IF(D1023="","",IF(S1023&gt;0.0000001,"Sim","Não"))</f>
        <v>Não</v>
      </c>
      <c r="W1023" s="16" t="n">
        <f aca="false">IF(D1023="","",U1023-(H1023+E1023-Q1023-O1023-T1023))</f>
        <v>0</v>
      </c>
      <c r="X1023" s="16" t="n">
        <f aca="false">IF(W1023="","",ABS(W1023))</f>
        <v>0</v>
      </c>
      <c r="Y1023" s="16" t="n">
        <f aca="false">IF(U1023="","",IF($B$8=0,0,U1023/$B$8*100))</f>
        <v>46.8322440169261</v>
      </c>
      <c r="Z1023" s="18" t="n">
        <f aca="false">IF(D1023="","",MAX(0,IF(P1023&gt;=0,P1023,IF(K1023+P1023&gt;=0,0,P1023+K1023))))</f>
        <v>22.1141856247925</v>
      </c>
      <c r="AA1023" s="18" t="n">
        <f aca="false">IF(D1023="","",IF(H1023&lt;=$B$16,1,IF(H1023&gt;=$B$17,$B$21,MATCH(H1023,Aux_CAV!$A$2:$A$121,1))))</f>
        <v>11</v>
      </c>
      <c r="AB1023" s="18" t="n">
        <f aca="false">IF(D1023="","",IF(L1023&lt;=$B$16,1,IF(L1023&gt;=$B$17,$B$21,MATCH(L1023,Aux_CAV!$A$2:$A$121,1))))</f>
        <v>11</v>
      </c>
      <c r="AC1023" s="19" t="n">
        <f aca="false">IF(D1023="","",COUNT($D$24:D1023))</f>
        <v>988</v>
      </c>
    </row>
    <row r="1024" customFormat="false" ht="12.75" hidden="false" customHeight="true" outlineLevel="0" collapsed="false">
      <c r="A1024" s="14" t="n">
        <f aca="false">IF(D1024="","",DATE(B1024,C1024,1))</f>
        <v>34090</v>
      </c>
      <c r="B1024" s="15" t="n">
        <f aca="false" t="array" ref="B1024:B1024">IF(D1024="","",IFERROR(VALUE(INDEX(Vazoes_COLAR!$A$2:$A$200,INT((ROW()-24)/12)+1)),""))</f>
        <v>1993</v>
      </c>
      <c r="C1024" s="15" t="n">
        <f aca="false">IF(D1024="","",MOD(ROW()-24,12)+1)</f>
        <v>5</v>
      </c>
      <c r="D1024" s="16" t="n">
        <f aca="false" t="array" ref="D1024: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0.339636506367034</v>
      </c>
      <c r="E1024" s="16" t="n">
        <f aca="false">IF(D1024="","",D1024*$B$15)</f>
        <v>0.880337824503352</v>
      </c>
      <c r="F1024" s="16" t="n">
        <f aca="false" t="array" ref="F1024:F1024">IF(D1024="","",IFERROR(INDEX(Dados_Evap!$C$2:$N$15,MATCH($B$9,Dados_Evap!$A$2:$A$15,0),C1024),0))</f>
        <v>145.8</v>
      </c>
      <c r="G1024" s="16" t="n">
        <f aca="false">IF(F1024="","",F1024/1000)</f>
        <v>0.1458</v>
      </c>
      <c r="H1024" s="16" t="n">
        <f aca="false">IF(D1024="","",MAX(0,MIN($B$8,IFERROR(LOOKUP(2,1/($U$24:U1023&lt;&gt;""),$U$24:U1023),$B$11))))</f>
        <v>22.1141856247925</v>
      </c>
      <c r="I1024" s="16" t="n">
        <f aca="false" t="array" ref="I1024: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>4.38071974540203</v>
      </c>
      <c r="J1024" s="16" t="n">
        <f aca="false">IF(D1024="","",$B$12)</f>
        <v>0.35</v>
      </c>
      <c r="K1024" s="16" t="n">
        <f aca="false">IF(J1024="","",J1024*$B$15)</f>
        <v>0.9072</v>
      </c>
      <c r="L1024" s="16" t="n">
        <f aca="false">IF(D1024="","",H1024+E1024-K1024-G1024*I1024)</f>
        <v>21.4486145104162</v>
      </c>
      <c r="M1024" s="16" t="n">
        <f aca="false" t="array" ref="M1024: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>4.30117588051316</v>
      </c>
      <c r="N1024" s="16" t="n">
        <f aca="false">IF(D1024="","",(I1024+M1024)/2)</f>
        <v>4.34094781295759</v>
      </c>
      <c r="O1024" s="16" t="n">
        <f aca="false">IF(D1024="","",G1024*N1024)</f>
        <v>0.632910191129217</v>
      </c>
      <c r="P1024" s="16" t="n">
        <f aca="false">IF(D1024="","",H1024+E1024-K1024-O1024)</f>
        <v>21.4544132581666</v>
      </c>
      <c r="Q1024" s="16" t="n">
        <f aca="false">IF(D1024="","",IF(P1024&gt;=0,K1024,MAX(0,K1024+P1024)))</f>
        <v>0.9072</v>
      </c>
      <c r="R1024" s="16" t="n">
        <f aca="false">IF(D1024="","",Q1024/$B$15)</f>
        <v>0.35</v>
      </c>
      <c r="S1024" s="16" t="n">
        <f aca="false">IF(D1024="","",MAX(0,J1024-R1024))</f>
        <v>0</v>
      </c>
      <c r="T1024" s="16" t="n">
        <f aca="false">IF(D1024="","",MAX(0,Z1024-$B$8))</f>
        <v>0</v>
      </c>
      <c r="U1024" s="16" t="n">
        <f aca="false">IF(D1024="","",MAX(0,MIN($B$8,Z1024)))</f>
        <v>21.4544132581666</v>
      </c>
      <c r="V1024" s="16" t="str">
        <f aca="false">IF(D1024="","",IF(S1024&gt;0.0000001,"Sim","Não"))</f>
        <v>Não</v>
      </c>
      <c r="W1024" s="16" t="n">
        <f aca="false">IF(D1024="","",U1024-(H1024+E1024-Q1024-O1024-T1024))</f>
        <v>0</v>
      </c>
      <c r="X1024" s="16" t="n">
        <f aca="false">IF(W1024="","",ABS(W1024))</f>
        <v>0</v>
      </c>
      <c r="Y1024" s="16" t="n">
        <f aca="false">IF(U1024="","",IF($B$8=0,0,U1024/$B$8*100))</f>
        <v>45.4350132532118</v>
      </c>
      <c r="Z1024" s="18" t="n">
        <f aca="false">IF(D1024="","",MAX(0,IF(P1024&gt;=0,P1024,IF(K1024+P1024&gt;=0,0,P1024+K1024))))</f>
        <v>21.4544132581666</v>
      </c>
      <c r="AA1024" s="18" t="n">
        <f aca="false">IF(D1024="","",IF(H1024&lt;=$B$16,1,IF(H1024&gt;=$B$17,$B$21,MATCH(H1024,Aux_CAV!$A$2:$A$121,1))))</f>
        <v>11</v>
      </c>
      <c r="AB1024" s="18" t="n">
        <f aca="false">IF(D1024="","",IF(L1024&lt;=$B$16,1,IF(L1024&gt;=$B$17,$B$21,MATCH(L1024,Aux_CAV!$A$2:$A$121,1))))</f>
        <v>11</v>
      </c>
      <c r="AC1024" s="19" t="n">
        <f aca="false">IF(D1024="","",COUNT($D$24:D1024))</f>
        <v>989</v>
      </c>
    </row>
    <row r="1025" customFormat="false" ht="12.75" hidden="false" customHeight="true" outlineLevel="0" collapsed="false">
      <c r="A1025" s="14" t="n">
        <f aca="false">IF(D1025="","",DATE(B1025,C1025,1))</f>
        <v>34121</v>
      </c>
      <c r="B1025" s="15" t="n">
        <f aca="false" t="array" ref="B1025:B1025">IF(D1025="","",IFERROR(VALUE(INDEX(Vazoes_COLAR!$A$2:$A$200,INT((ROW()-24)/12)+1)),""))</f>
        <v>1993</v>
      </c>
      <c r="C1025" s="15" t="n">
        <f aca="false">IF(D1025="","",MOD(ROW()-24,12)+1)</f>
        <v>6</v>
      </c>
      <c r="D1025" s="16" t="n">
        <f aca="false" t="array" ref="D1025: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0.0113353681765518</v>
      </c>
      <c r="E1025" s="16" t="n">
        <f aca="false">IF(D1025="","",D1025*$B$15)</f>
        <v>0.0293812743136223</v>
      </c>
      <c r="F1025" s="16" t="n">
        <f aca="false" t="array" ref="F1025:F1025">IF(D1025="","",IFERROR(INDEX(Dados_Evap!$C$2:$N$15,MATCH($B$9,Dados_Evap!$A$2:$A$15,0),C1025),0))</f>
        <v>161.3</v>
      </c>
      <c r="G1025" s="16" t="n">
        <f aca="false">IF(F1025="","",F1025/1000)</f>
        <v>0.1613</v>
      </c>
      <c r="H1025" s="16" t="n">
        <f aca="false">IF(D1025="","",MAX(0,MIN($B$8,IFERROR(LOOKUP(2,1/($U$24:U1024&lt;&gt;""),$U$24:U1024),$B$11))))</f>
        <v>21.4544132581666</v>
      </c>
      <c r="I1025" s="16" t="n">
        <f aca="false" t="array" ref="I1025: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>4.30186890158577</v>
      </c>
      <c r="J1025" s="16" t="n">
        <f aca="false">IF(D1025="","",$B$12)</f>
        <v>0.35</v>
      </c>
      <c r="K1025" s="16" t="n">
        <f aca="false">IF(J1025="","",J1025*$B$15)</f>
        <v>0.9072</v>
      </c>
      <c r="L1025" s="16" t="n">
        <f aca="false">IF(D1025="","",H1025+E1025-K1025-G1025*I1025)</f>
        <v>19.8827030786545</v>
      </c>
      <c r="M1025" s="16" t="n">
        <f aca="false" t="array" ref="M1025: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>4.11403036793675</v>
      </c>
      <c r="N1025" s="16" t="n">
        <f aca="false">IF(D1025="","",(I1025+M1025)/2)</f>
        <v>4.20794963476126</v>
      </c>
      <c r="O1025" s="16" t="n">
        <f aca="false">IF(D1025="","",G1025*N1025)</f>
        <v>0.678742276086991</v>
      </c>
      <c r="P1025" s="16" t="n">
        <f aca="false">IF(D1025="","",H1025+E1025-K1025-O1025)</f>
        <v>19.8978522563933</v>
      </c>
      <c r="Q1025" s="16" t="n">
        <f aca="false">IF(D1025="","",IF(P1025&gt;=0,K1025,MAX(0,K1025+P1025)))</f>
        <v>0.9072</v>
      </c>
      <c r="R1025" s="16" t="n">
        <f aca="false">IF(D1025="","",Q1025/$B$15)</f>
        <v>0.35</v>
      </c>
      <c r="S1025" s="16" t="n">
        <f aca="false">IF(D1025="","",MAX(0,J1025-R1025))</f>
        <v>0</v>
      </c>
      <c r="T1025" s="16" t="n">
        <f aca="false">IF(D1025="","",MAX(0,Z1025-$B$8))</f>
        <v>0</v>
      </c>
      <c r="U1025" s="16" t="n">
        <f aca="false">IF(D1025="","",MAX(0,MIN($B$8,Z1025)))</f>
        <v>19.8978522563933</v>
      </c>
      <c r="V1025" s="16" t="str">
        <f aca="false">IF(D1025="","",IF(S1025&gt;0.0000001,"Sim","Não"))</f>
        <v>Não</v>
      </c>
      <c r="W1025" s="16" t="n">
        <f aca="false">IF(D1025="","",U1025-(H1025+E1025-Q1025-O1025-T1025))</f>
        <v>0</v>
      </c>
      <c r="X1025" s="16" t="n">
        <f aca="false">IF(W1025="","",ABS(W1025))</f>
        <v>0</v>
      </c>
      <c r="Y1025" s="16" t="n">
        <f aca="false">IF(U1025="","",IF($B$8=0,0,U1025/$B$8*100))</f>
        <v>42.1386113011293</v>
      </c>
      <c r="Z1025" s="18" t="n">
        <f aca="false">IF(D1025="","",MAX(0,IF(P1025&gt;=0,P1025,IF(K1025+P1025&gt;=0,0,P1025+K1025))))</f>
        <v>19.8978522563933</v>
      </c>
      <c r="AA1025" s="18" t="n">
        <f aca="false">IF(D1025="","",IF(H1025&lt;=$B$16,1,IF(H1025&gt;=$B$17,$B$21,MATCH(H1025,Aux_CAV!$A$2:$A$121,1))))</f>
        <v>11</v>
      </c>
      <c r="AB1025" s="18" t="n">
        <f aca="false">IF(D1025="","",IF(L1025&lt;=$B$16,1,IF(L1025&gt;=$B$17,$B$21,MATCH(L1025,Aux_CAV!$A$2:$A$121,1))))</f>
        <v>11</v>
      </c>
      <c r="AC1025" s="19" t="n">
        <f aca="false">IF(D1025="","",COUNT($D$24:D1025))</f>
        <v>990</v>
      </c>
    </row>
    <row r="1026" customFormat="false" ht="12.75" hidden="false" customHeight="true" outlineLevel="0" collapsed="false">
      <c r="A1026" s="14" t="n">
        <f aca="false">IF(D1026="","",DATE(B1026,C1026,1))</f>
        <v>34151</v>
      </c>
      <c r="B1026" s="15" t="n">
        <f aca="false" t="array" ref="B1026:B1026">IF(D1026="","",IFERROR(VALUE(INDEX(Vazoes_COLAR!$A$2:$A$200,INT((ROW()-24)/12)+1)),""))</f>
        <v>1993</v>
      </c>
      <c r="C1026" s="15" t="n">
        <f aca="false">IF(D1026="","",MOD(ROW()-24,12)+1)</f>
        <v>7</v>
      </c>
      <c r="D1026" s="16" t="n">
        <f aca="false" t="array" ref="D1026: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0.0950114188751778</v>
      </c>
      <c r="E1026" s="16" t="n">
        <f aca="false">IF(D1026="","",D1026*$B$15)</f>
        <v>0.246269597724461</v>
      </c>
      <c r="F1026" s="16" t="n">
        <f aca="false" t="array" ref="F1026:F1026">IF(D1026="","",IFERROR(INDEX(Dados_Evap!$C$2:$N$15,MATCH($B$9,Dados_Evap!$A$2:$A$15,0),C1026),0))</f>
        <v>224.8</v>
      </c>
      <c r="G1026" s="16" t="n">
        <f aca="false">IF(F1026="","",F1026/1000)</f>
        <v>0.2248</v>
      </c>
      <c r="H1026" s="16" t="n">
        <f aca="false">IF(D1026="","",MAX(0,MIN($B$8,IFERROR(LOOKUP(2,1/($U$24:U1025&lt;&gt;""),$U$24:U1025),$B$11))))</f>
        <v>19.8978522563933</v>
      </c>
      <c r="I1026" s="16" t="n">
        <f aca="false" t="array" ref="I1026: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>4.11584087942261</v>
      </c>
      <c r="J1026" s="16" t="n">
        <f aca="false">IF(D1026="","",$B$12)</f>
        <v>0.35</v>
      </c>
      <c r="K1026" s="16" t="n">
        <f aca="false">IF(J1026="","",J1026*$B$15)</f>
        <v>0.9072</v>
      </c>
      <c r="L1026" s="16" t="n">
        <f aca="false">IF(D1026="","",H1026+E1026-K1026-G1026*I1026)</f>
        <v>18.3116808244235</v>
      </c>
      <c r="M1026" s="16" t="n">
        <f aca="false" t="array" ref="M1026: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>3.92627404974818</v>
      </c>
      <c r="N1026" s="16" t="n">
        <f aca="false">IF(D1026="","",(I1026+M1026)/2)</f>
        <v>4.02105746458539</v>
      </c>
      <c r="O1026" s="16" t="n">
        <f aca="false">IF(D1026="","",G1026*N1026)</f>
        <v>0.903933718038796</v>
      </c>
      <c r="P1026" s="16" t="n">
        <f aca="false">IF(D1026="","",H1026+E1026-K1026-O1026)</f>
        <v>18.3329881360789</v>
      </c>
      <c r="Q1026" s="16" t="n">
        <f aca="false">IF(D1026="","",IF(P1026&gt;=0,K1026,MAX(0,K1026+P1026)))</f>
        <v>0.9072</v>
      </c>
      <c r="R1026" s="16" t="n">
        <f aca="false">IF(D1026="","",Q1026/$B$15)</f>
        <v>0.35</v>
      </c>
      <c r="S1026" s="16" t="n">
        <f aca="false">IF(D1026="","",MAX(0,J1026-R1026))</f>
        <v>0</v>
      </c>
      <c r="T1026" s="16" t="n">
        <f aca="false">IF(D1026="","",MAX(0,Z1026-$B$8))</f>
        <v>0</v>
      </c>
      <c r="U1026" s="16" t="n">
        <f aca="false">IF(D1026="","",MAX(0,MIN($B$8,Z1026)))</f>
        <v>18.3329881360789</v>
      </c>
      <c r="V1026" s="16" t="str">
        <f aca="false">IF(D1026="","",IF(S1026&gt;0.0000001,"Sim","Não"))</f>
        <v>Não</v>
      </c>
      <c r="W1026" s="16" t="n">
        <f aca="false">IF(D1026="","",U1026-(H1026+E1026-Q1026-O1026-T1026))</f>
        <v>0</v>
      </c>
      <c r="X1026" s="16" t="n">
        <f aca="false">IF(W1026="","",ABS(W1026))</f>
        <v>0</v>
      </c>
      <c r="Y1026" s="16" t="n">
        <f aca="false">IF(U1026="","",IF($B$8=0,0,U1026/$B$8*100))</f>
        <v>38.8246254470117</v>
      </c>
      <c r="Z1026" s="18" t="n">
        <f aca="false">IF(D1026="","",MAX(0,IF(P1026&gt;=0,P1026,IF(K1026+P1026&gt;=0,0,P1026+K1026))))</f>
        <v>18.3329881360789</v>
      </c>
      <c r="AA1026" s="18" t="n">
        <f aca="false">IF(D1026="","",IF(H1026&lt;=$B$16,1,IF(H1026&gt;=$B$17,$B$21,MATCH(H1026,Aux_CAV!$A$2:$A$121,1))))</f>
        <v>11</v>
      </c>
      <c r="AB1026" s="18" t="n">
        <f aca="false">IF(D1026="","",IF(L1026&lt;=$B$16,1,IF(L1026&gt;=$B$17,$B$21,MATCH(L1026,Aux_CAV!$A$2:$A$121,1))))</f>
        <v>11</v>
      </c>
      <c r="AC1026" s="19" t="n">
        <f aca="false">IF(D1026="","",COUNT($D$24:D1026))</f>
        <v>991</v>
      </c>
    </row>
    <row r="1027" customFormat="false" ht="12.75" hidden="false" customHeight="true" outlineLevel="0" collapsed="false">
      <c r="A1027" s="14" t="n">
        <f aca="false">IF(D1027="","",DATE(B1027,C1027,1))</f>
        <v>34182</v>
      </c>
      <c r="B1027" s="15" t="n">
        <f aca="false" t="array" ref="B1027:B1027">IF(D1027="","",IFERROR(VALUE(INDEX(Vazoes_COLAR!$A$2:$A$200,INT((ROW()-24)/12)+1)),""))</f>
        <v>1993</v>
      </c>
      <c r="C1027" s="15" t="n">
        <f aca="false">IF(D1027="","",MOD(ROW()-24,12)+1)</f>
        <v>8</v>
      </c>
      <c r="D1027" s="16" t="n">
        <f aca="false" t="array" ref="D1027: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0.00823552699991332</v>
      </c>
      <c r="E1027" s="16" t="n">
        <f aca="false">IF(D1027="","",D1027*$B$15)</f>
        <v>0.0213464859837753</v>
      </c>
      <c r="F1027" s="16" t="n">
        <f aca="false" t="array" ref="F1027:F1027">IF(D1027="","",IFERROR(INDEX(Dados_Evap!$C$2:$N$15,MATCH($B$9,Dados_Evap!$A$2:$A$15,0),C1027),0))</f>
        <v>268.7</v>
      </c>
      <c r="G1027" s="16" t="n">
        <f aca="false">IF(F1027="","",F1027/1000)</f>
        <v>0.2687</v>
      </c>
      <c r="H1027" s="16" t="n">
        <f aca="false">IF(D1027="","",MAX(0,MIN($B$8,IFERROR(LOOKUP(2,1/($U$24:U1026&lt;&gt;""),$U$24:U1026),$B$11))))</f>
        <v>18.3329881360789</v>
      </c>
      <c r="I1027" s="16" t="n">
        <f aca="false" t="array" ref="I1027: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>3.92882053333626</v>
      </c>
      <c r="J1027" s="16" t="n">
        <f aca="false">IF(D1027="","",$B$12)</f>
        <v>0.35</v>
      </c>
      <c r="K1027" s="16" t="n">
        <f aca="false">IF(J1027="","",J1027*$B$15)</f>
        <v>0.9072</v>
      </c>
      <c r="L1027" s="16" t="n">
        <f aca="false">IF(D1027="","",H1027+E1027-K1027-G1027*I1027)</f>
        <v>16.3914605447552</v>
      </c>
      <c r="M1027" s="16" t="n">
        <f aca="false" t="array" ref="M1027: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>3.69678430900733</v>
      </c>
      <c r="N1027" s="16" t="n">
        <f aca="false">IF(D1027="","",(I1027+M1027)/2)</f>
        <v>3.8128024211718</v>
      </c>
      <c r="O1027" s="16" t="n">
        <f aca="false">IF(D1027="","",G1027*N1027)</f>
        <v>1.02450001056886</v>
      </c>
      <c r="P1027" s="16" t="n">
        <f aca="false">IF(D1027="","",H1027+E1027-K1027-O1027)</f>
        <v>16.4226346114938</v>
      </c>
      <c r="Q1027" s="16" t="n">
        <f aca="false">IF(D1027="","",IF(P1027&gt;=0,K1027,MAX(0,K1027+P1027)))</f>
        <v>0.9072</v>
      </c>
      <c r="R1027" s="16" t="n">
        <f aca="false">IF(D1027="","",Q1027/$B$15)</f>
        <v>0.35</v>
      </c>
      <c r="S1027" s="16" t="n">
        <f aca="false">IF(D1027="","",MAX(0,J1027-R1027))</f>
        <v>0</v>
      </c>
      <c r="T1027" s="16" t="n">
        <f aca="false">IF(D1027="","",MAX(0,Z1027-$B$8))</f>
        <v>0</v>
      </c>
      <c r="U1027" s="16" t="n">
        <f aca="false">IF(D1027="","",MAX(0,MIN($B$8,Z1027)))</f>
        <v>16.4226346114938</v>
      </c>
      <c r="V1027" s="16" t="str">
        <f aca="false">IF(D1027="","",IF(S1027&gt;0.0000001,"Sim","Não"))</f>
        <v>Não</v>
      </c>
      <c r="W1027" s="16" t="n">
        <f aca="false">IF(D1027="","",U1027-(H1027+E1027-Q1027-O1027-T1027))</f>
        <v>0</v>
      </c>
      <c r="X1027" s="16" t="n">
        <f aca="false">IF(W1027="","",ABS(W1027))</f>
        <v>0</v>
      </c>
      <c r="Y1027" s="16" t="n">
        <f aca="false">IF(U1027="","",IF($B$8=0,0,U1027/$B$8*100))</f>
        <v>34.7789805410712</v>
      </c>
      <c r="Z1027" s="18" t="n">
        <f aca="false">IF(D1027="","",MAX(0,IF(P1027&gt;=0,P1027,IF(K1027+P1027&gt;=0,0,P1027+K1027))))</f>
        <v>16.4226346114938</v>
      </c>
      <c r="AA1027" s="18" t="n">
        <f aca="false">IF(D1027="","",IF(H1027&lt;=$B$16,1,IF(H1027&gt;=$B$17,$B$21,MATCH(H1027,Aux_CAV!$A$2:$A$121,1))))</f>
        <v>11</v>
      </c>
      <c r="AB1027" s="18" t="n">
        <f aca="false">IF(D1027="","",IF(L1027&lt;=$B$16,1,IF(L1027&gt;=$B$17,$B$21,MATCH(L1027,Aux_CAV!$A$2:$A$121,1))))</f>
        <v>11</v>
      </c>
      <c r="AC1027" s="19" t="n">
        <f aca="false">IF(D1027="","",COUNT($D$24:D1027))</f>
        <v>992</v>
      </c>
    </row>
    <row r="1028" customFormat="false" ht="12.75" hidden="false" customHeight="true" outlineLevel="0" collapsed="false">
      <c r="A1028" s="14" t="n">
        <f aca="false">IF(D1028="","",DATE(B1028,C1028,1))</f>
        <v>34213</v>
      </c>
      <c r="B1028" s="15" t="n">
        <f aca="false" t="array" ref="B1028:B1028">IF(D1028="","",IFERROR(VALUE(INDEX(Vazoes_COLAR!$A$2:$A$200,INT((ROW()-24)/12)+1)),""))</f>
        <v>1993</v>
      </c>
      <c r="C1028" s="15" t="n">
        <f aca="false">IF(D1028="","",MOD(ROW()-24,12)+1)</f>
        <v>9</v>
      </c>
      <c r="D1028" s="16" t="n">
        <f aca="false" t="array" ref="D1028: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0.0124121414112203</v>
      </c>
      <c r="E1028" s="16" t="n">
        <f aca="false">IF(D1028="","",D1028*$B$15)</f>
        <v>0.032172270537883</v>
      </c>
      <c r="F1028" s="16" t="n">
        <f aca="false" t="array" ref="F1028:F1028">IF(D1028="","",IFERROR(INDEX(Dados_Evap!$C$2:$N$15,MATCH($B$9,Dados_Evap!$A$2:$A$15,0),C1028),0))</f>
        <v>292.8</v>
      </c>
      <c r="G1028" s="16" t="n">
        <f aca="false">IF(F1028="","",F1028/1000)</f>
        <v>0.2928</v>
      </c>
      <c r="H1028" s="16" t="n">
        <f aca="false">IF(D1028="","",MAX(0,MIN($B$8,IFERROR(LOOKUP(2,1/($U$24:U1027&lt;&gt;""),$U$24:U1027),$B$11))))</f>
        <v>16.4226346114938</v>
      </c>
      <c r="I1028" s="16" t="n">
        <f aca="false" t="array" ref="I1028: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>3.70050999015414</v>
      </c>
      <c r="J1028" s="16" t="n">
        <f aca="false">IF(D1028="","",$B$12)</f>
        <v>0.35</v>
      </c>
      <c r="K1028" s="16" t="n">
        <f aca="false">IF(J1028="","",J1028*$B$15)</f>
        <v>0.9072</v>
      </c>
      <c r="L1028" s="16" t="n">
        <f aca="false">IF(D1028="","",H1028+E1028-K1028-G1028*I1028)</f>
        <v>14.4640975569146</v>
      </c>
      <c r="M1028" s="16" t="n">
        <f aca="false" t="array" ref="M1028: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>3.51899655632507</v>
      </c>
      <c r="N1028" s="16" t="n">
        <f aca="false">IF(D1028="","",(I1028+M1028)/2)</f>
        <v>3.6097532732396</v>
      </c>
      <c r="O1028" s="16" t="n">
        <f aca="false">IF(D1028="","",G1028*N1028)</f>
        <v>1.05693575840456</v>
      </c>
      <c r="P1028" s="16" t="n">
        <f aca="false">IF(D1028="","",H1028+E1028-K1028-O1028)</f>
        <v>14.4906711236272</v>
      </c>
      <c r="Q1028" s="16" t="n">
        <f aca="false">IF(D1028="","",IF(P1028&gt;=0,K1028,MAX(0,K1028+P1028)))</f>
        <v>0.9072</v>
      </c>
      <c r="R1028" s="16" t="n">
        <f aca="false">IF(D1028="","",Q1028/$B$15)</f>
        <v>0.35</v>
      </c>
      <c r="S1028" s="16" t="n">
        <f aca="false">IF(D1028="","",MAX(0,J1028-R1028))</f>
        <v>0</v>
      </c>
      <c r="T1028" s="16" t="n">
        <f aca="false">IF(D1028="","",MAX(0,Z1028-$B$8))</f>
        <v>0</v>
      </c>
      <c r="U1028" s="16" t="n">
        <f aca="false">IF(D1028="","",MAX(0,MIN($B$8,Z1028)))</f>
        <v>14.4906711236272</v>
      </c>
      <c r="V1028" s="16" t="str">
        <f aca="false">IF(D1028="","",IF(S1028&gt;0.0000001,"Sim","Não"))</f>
        <v>Não</v>
      </c>
      <c r="W1028" s="16" t="n">
        <f aca="false">IF(D1028="","",U1028-(H1028+E1028-Q1028-O1028-T1028))</f>
        <v>0</v>
      </c>
      <c r="X1028" s="16" t="n">
        <f aca="false">IF(W1028="","",ABS(W1028))</f>
        <v>0</v>
      </c>
      <c r="Y1028" s="16" t="n">
        <f aca="false">IF(U1028="","",IF($B$8=0,0,U1028/$B$8*100))</f>
        <v>30.687571206326</v>
      </c>
      <c r="Z1028" s="18" t="n">
        <f aca="false">IF(D1028="","",MAX(0,IF(P1028&gt;=0,P1028,IF(K1028+P1028&gt;=0,0,P1028+K1028))))</f>
        <v>14.4906711236272</v>
      </c>
      <c r="AA1028" s="18" t="n">
        <f aca="false">IF(D1028="","",IF(H1028&lt;=$B$16,1,IF(H1028&gt;=$B$17,$B$21,MATCH(H1028,Aux_CAV!$A$2:$A$121,1))))</f>
        <v>11</v>
      </c>
      <c r="AB1028" s="18" t="n">
        <f aca="false">IF(D1028="","",IF(L1028&lt;=$B$16,1,IF(L1028&gt;=$B$17,$B$21,MATCH(L1028,Aux_CAV!$A$2:$A$121,1))))</f>
        <v>10</v>
      </c>
      <c r="AC1028" s="19" t="n">
        <f aca="false">IF(D1028="","",COUNT($D$24:D1028))</f>
        <v>993</v>
      </c>
    </row>
    <row r="1029" customFormat="false" ht="12.75" hidden="false" customHeight="true" outlineLevel="0" collapsed="false">
      <c r="A1029" s="14" t="n">
        <f aca="false">IF(D1029="","",DATE(B1029,C1029,1))</f>
        <v>34243</v>
      </c>
      <c r="B1029" s="15" t="n">
        <f aca="false" t="array" ref="B1029:B1029">IF(D1029="","",IFERROR(VALUE(INDEX(Vazoes_COLAR!$A$2:$A$200,INT((ROW()-24)/12)+1)),""))</f>
        <v>1993</v>
      </c>
      <c r="C1029" s="15" t="n">
        <f aca="false">IF(D1029="","",MOD(ROW()-24,12)+1)</f>
        <v>10</v>
      </c>
      <c r="D1029" s="16" t="n">
        <f aca="false" t="array" ref="D1029: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0.00724570316587662</v>
      </c>
      <c r="E1029" s="16" t="n">
        <f aca="false">IF(D1029="","",D1029*$B$15)</f>
        <v>0.0187808626059522</v>
      </c>
      <c r="F1029" s="16" t="n">
        <f aca="false" t="array" ref="F1029:F1029">IF(D1029="","",IFERROR(INDEX(Dados_Evap!$C$2:$N$15,MATCH($B$9,Dados_Evap!$A$2:$A$15,0),C1029),0))</f>
        <v>262.9</v>
      </c>
      <c r="G1029" s="16" t="n">
        <f aca="false">IF(F1029="","",F1029/1000)</f>
        <v>0.2629</v>
      </c>
      <c r="H1029" s="16" t="n">
        <f aca="false">IF(D1029="","",MAX(0,MIN($B$8,IFERROR(LOOKUP(2,1/($U$24:U1028&lt;&gt;""),$U$24:U1028),$B$11))))</f>
        <v>14.4906711236272</v>
      </c>
      <c r="I1029" s="16" t="n">
        <f aca="false" t="array" ref="I1029: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>3.52126312525055</v>
      </c>
      <c r="J1029" s="16" t="n">
        <f aca="false">IF(D1029="","",$B$12)</f>
        <v>0.35</v>
      </c>
      <c r="K1029" s="16" t="n">
        <f aca="false">IF(J1029="","",J1029*$B$15)</f>
        <v>0.9072</v>
      </c>
      <c r="L1029" s="16" t="n">
        <f aca="false">IF(D1029="","",H1029+E1029-K1029-G1029*I1029)</f>
        <v>12.6765119106047</v>
      </c>
      <c r="M1029" s="16" t="n">
        <f aca="false" t="array" ref="M1029: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>3.36652601590452</v>
      </c>
      <c r="N1029" s="16" t="n">
        <f aca="false">IF(D1029="","",(I1029+M1029)/2)</f>
        <v>3.44389457057754</v>
      </c>
      <c r="O1029" s="16" t="n">
        <f aca="false">IF(D1029="","",G1029*N1029)</f>
        <v>0.905399882604834</v>
      </c>
      <c r="P1029" s="16" t="n">
        <f aca="false">IF(D1029="","",H1029+E1029-K1029-O1029)</f>
        <v>12.6968521036283</v>
      </c>
      <c r="Q1029" s="16" t="n">
        <f aca="false">IF(D1029="","",IF(P1029&gt;=0,K1029,MAX(0,K1029+P1029)))</f>
        <v>0.9072</v>
      </c>
      <c r="R1029" s="16" t="n">
        <f aca="false">IF(D1029="","",Q1029/$B$15)</f>
        <v>0.35</v>
      </c>
      <c r="S1029" s="16" t="n">
        <f aca="false">IF(D1029="","",MAX(0,J1029-R1029))</f>
        <v>0</v>
      </c>
      <c r="T1029" s="16" t="n">
        <f aca="false">IF(D1029="","",MAX(0,Z1029-$B$8))</f>
        <v>0</v>
      </c>
      <c r="U1029" s="16" t="n">
        <f aca="false">IF(D1029="","",MAX(0,MIN($B$8,Z1029)))</f>
        <v>12.6968521036283</v>
      </c>
      <c r="V1029" s="16" t="str">
        <f aca="false">IF(D1029="","",IF(S1029&gt;0.0000001,"Sim","Não"))</f>
        <v>Não</v>
      </c>
      <c r="W1029" s="16" t="n">
        <f aca="false">IF(D1029="","",U1029-(H1029+E1029-Q1029-O1029-T1029))</f>
        <v>0</v>
      </c>
      <c r="X1029" s="16" t="n">
        <f aca="false">IF(W1029="","",ABS(W1029))</f>
        <v>0</v>
      </c>
      <c r="Y1029" s="16" t="n">
        <f aca="false">IF(U1029="","",IF($B$8=0,0,U1029/$B$8*100))</f>
        <v>26.8887168649476</v>
      </c>
      <c r="Z1029" s="18" t="n">
        <f aca="false">IF(D1029="","",MAX(0,IF(P1029&gt;=0,P1029,IF(K1029+P1029&gt;=0,0,P1029+K1029))))</f>
        <v>12.6968521036283</v>
      </c>
      <c r="AA1029" s="18" t="n">
        <f aca="false">IF(D1029="","",IF(H1029&lt;=$B$16,1,IF(H1029&gt;=$B$17,$B$21,MATCH(H1029,Aux_CAV!$A$2:$A$121,1))))</f>
        <v>10</v>
      </c>
      <c r="AB1029" s="18" t="n">
        <f aca="false">IF(D1029="","",IF(L1029&lt;=$B$16,1,IF(L1029&gt;=$B$17,$B$21,MATCH(L1029,Aux_CAV!$A$2:$A$121,1))))</f>
        <v>10</v>
      </c>
      <c r="AC1029" s="19" t="n">
        <f aca="false">IF(D1029="","",COUNT($D$24:D1029))</f>
        <v>994</v>
      </c>
    </row>
    <row r="1030" customFormat="false" ht="12.75" hidden="false" customHeight="true" outlineLevel="0" collapsed="false">
      <c r="A1030" s="14" t="n">
        <f aca="false">IF(D1030="","",DATE(B1030,C1030,1))</f>
        <v>34274</v>
      </c>
      <c r="B1030" s="15" t="n">
        <f aca="false" t="array" ref="B1030:B1030">IF(D1030="","",IFERROR(VALUE(INDEX(Vazoes_COLAR!$A$2:$A$200,INT((ROW()-24)/12)+1)),""))</f>
        <v>1993</v>
      </c>
      <c r="C1030" s="15" t="n">
        <f aca="false">IF(D1030="","",MOD(ROW()-24,12)+1)</f>
        <v>11</v>
      </c>
      <c r="D1030" s="16" t="n">
        <f aca="false" t="array" ref="D1030: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0.0242282683013681</v>
      </c>
      <c r="E1030" s="16" t="n">
        <f aca="false">IF(D1030="","",D1030*$B$15)</f>
        <v>0.0627996714371461</v>
      </c>
      <c r="F1030" s="16" t="n">
        <f aca="false" t="array" ref="F1030:F1030">IF(D1030="","",IFERROR(INDEX(Dados_Evap!$C$2:$N$15,MATCH($B$9,Dados_Evap!$A$2:$A$15,0),C1030),0))</f>
        <v>223.7</v>
      </c>
      <c r="G1030" s="16" t="n">
        <f aca="false">IF(F1030="","",F1030/1000)</f>
        <v>0.2237</v>
      </c>
      <c r="H1030" s="16" t="n">
        <f aca="false">IF(D1030="","",MAX(0,MIN($B$8,IFERROR(LOOKUP(2,1/($U$24:U1029&lt;&gt;""),$U$24:U1029),$B$11))))</f>
        <v>12.6968521036283</v>
      </c>
      <c r="I1030" s="16" t="n">
        <f aca="false" t="array" ref="I1030: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>3.36826091472124</v>
      </c>
      <c r="J1030" s="16" t="n">
        <f aca="false">IF(D1030="","",$B$12)</f>
        <v>0.35</v>
      </c>
      <c r="K1030" s="16" t="n">
        <f aca="false">IF(J1030="","",J1030*$B$15)</f>
        <v>0.9072</v>
      </c>
      <c r="L1030" s="16" t="n">
        <f aca="false">IF(D1030="","",H1030+E1030-K1030-G1030*I1030)</f>
        <v>11.0989718084423</v>
      </c>
      <c r="M1030" s="16" t="n">
        <f aca="false" t="array" ref="M1030: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>3.23197112483772</v>
      </c>
      <c r="N1030" s="16" t="n">
        <f aca="false">IF(D1030="","",(I1030+M1030)/2)</f>
        <v>3.30011601977948</v>
      </c>
      <c r="O1030" s="16" t="n">
        <f aca="false">IF(D1030="","",G1030*N1030)</f>
        <v>0.73823595362467</v>
      </c>
      <c r="P1030" s="16" t="n">
        <f aca="false">IF(D1030="","",H1030+E1030-K1030-O1030)</f>
        <v>11.1142158214408</v>
      </c>
      <c r="Q1030" s="16" t="n">
        <f aca="false">IF(D1030="","",IF(P1030&gt;=0,K1030,MAX(0,K1030+P1030)))</f>
        <v>0.9072</v>
      </c>
      <c r="R1030" s="16" t="n">
        <f aca="false">IF(D1030="","",Q1030/$B$15)</f>
        <v>0.35</v>
      </c>
      <c r="S1030" s="16" t="n">
        <f aca="false">IF(D1030="","",MAX(0,J1030-R1030))</f>
        <v>0</v>
      </c>
      <c r="T1030" s="16" t="n">
        <f aca="false">IF(D1030="","",MAX(0,Z1030-$B$8))</f>
        <v>0</v>
      </c>
      <c r="U1030" s="16" t="n">
        <f aca="false">IF(D1030="","",MAX(0,MIN($B$8,Z1030)))</f>
        <v>11.1142158214408</v>
      </c>
      <c r="V1030" s="16" t="str">
        <f aca="false">IF(D1030="","",IF(S1030&gt;0.0000001,"Sim","Não"))</f>
        <v>Não</v>
      </c>
      <c r="W1030" s="16" t="n">
        <f aca="false">IF(D1030="","",U1030-(H1030+E1030-Q1030-O1030-T1030))</f>
        <v>0</v>
      </c>
      <c r="X1030" s="16" t="n">
        <f aca="false">IF(W1030="","",ABS(W1030))</f>
        <v>0</v>
      </c>
      <c r="Y1030" s="16" t="n">
        <f aca="false">IF(U1030="","",IF($B$8=0,0,U1030/$B$8*100))</f>
        <v>23.5370940733603</v>
      </c>
      <c r="Z1030" s="18" t="n">
        <f aca="false">IF(D1030="","",MAX(0,IF(P1030&gt;=0,P1030,IF(K1030+P1030&gt;=0,0,P1030+K1030))))</f>
        <v>11.1142158214408</v>
      </c>
      <c r="AA1030" s="18" t="n">
        <f aca="false">IF(D1030="","",IF(H1030&lt;=$B$16,1,IF(H1030&gt;=$B$17,$B$21,MATCH(H1030,Aux_CAV!$A$2:$A$121,1))))</f>
        <v>10</v>
      </c>
      <c r="AB1030" s="18" t="n">
        <f aca="false">IF(D1030="","",IF(L1030&lt;=$B$16,1,IF(L1030&gt;=$B$17,$B$21,MATCH(L1030,Aux_CAV!$A$2:$A$121,1))))</f>
        <v>10</v>
      </c>
      <c r="AC1030" s="19" t="n">
        <f aca="false">IF(D1030="","",COUNT($D$24:D1030))</f>
        <v>995</v>
      </c>
    </row>
    <row r="1031" customFormat="false" ht="12.75" hidden="false" customHeight="true" outlineLevel="0" collapsed="false">
      <c r="A1031" s="14" t="n">
        <f aca="false">IF(D1031="","",DATE(B1031,C1031,1))</f>
        <v>34304</v>
      </c>
      <c r="B1031" s="15" t="n">
        <f aca="false" t="array" ref="B1031:B1031">IF(D1031="","",IFERROR(VALUE(INDEX(Vazoes_COLAR!$A$2:$A$200,INT((ROW()-24)/12)+1)),""))</f>
        <v>1993</v>
      </c>
      <c r="C1031" s="15" t="n">
        <f aca="false">IF(D1031="","",MOD(ROW()-24,12)+1)</f>
        <v>12</v>
      </c>
      <c r="D1031" s="16" t="n">
        <f aca="false" t="array" ref="D1031: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0.0181137021444917</v>
      </c>
      <c r="E1031" s="16" t="n">
        <f aca="false">IF(D1031="","",D1031*$B$15)</f>
        <v>0.0469507159585225</v>
      </c>
      <c r="F1031" s="16" t="n">
        <f aca="false" t="array" ref="F1031:F1031">IF(D1031="","",IFERROR(INDEX(Dados_Evap!$C$2:$N$15,MATCH($B$9,Dados_Evap!$A$2:$A$15,0),C1031),0))</f>
        <v>216.1</v>
      </c>
      <c r="G1031" s="16" t="n">
        <f aca="false">IF(F1031="","",F1031/1000)</f>
        <v>0.2161</v>
      </c>
      <c r="H1031" s="16" t="n">
        <f aca="false">IF(D1031="","",MAX(0,MIN($B$8,IFERROR(LOOKUP(2,1/($U$24:U1030&lt;&gt;""),$U$24:U1030),$B$11))))</f>
        <v>11.1142158214408</v>
      </c>
      <c r="I1031" s="16" t="n">
        <f aca="false" t="array" ref="I1031: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>3.23327134947583</v>
      </c>
      <c r="J1031" s="16" t="n">
        <f aca="false">IF(D1031="","",$B$12)</f>
        <v>0.35</v>
      </c>
      <c r="K1031" s="16" t="n">
        <f aca="false">IF(J1031="","",J1031*$B$15)</f>
        <v>0.9072</v>
      </c>
      <c r="L1031" s="16" t="n">
        <f aca="false">IF(D1031="","",H1031+E1031-K1031-G1031*I1031)</f>
        <v>9.55525659877755</v>
      </c>
      <c r="M1031" s="16" t="n">
        <f aca="false" t="array" ref="M1031: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>3.10030129813103</v>
      </c>
      <c r="N1031" s="16" t="n">
        <f aca="false">IF(D1031="","",(I1031+M1031)/2)</f>
        <v>3.16678632380343</v>
      </c>
      <c r="O1031" s="16" t="n">
        <f aca="false">IF(D1031="","",G1031*N1031)</f>
        <v>0.684342524573921</v>
      </c>
      <c r="P1031" s="16" t="n">
        <f aca="false">IF(D1031="","",H1031+E1031-K1031-O1031)</f>
        <v>9.56962401282535</v>
      </c>
      <c r="Q1031" s="16" t="n">
        <f aca="false">IF(D1031="","",IF(P1031&gt;=0,K1031,MAX(0,K1031+P1031)))</f>
        <v>0.9072</v>
      </c>
      <c r="R1031" s="16" t="n">
        <f aca="false">IF(D1031="","",Q1031/$B$15)</f>
        <v>0.35</v>
      </c>
      <c r="S1031" s="16" t="n">
        <f aca="false">IF(D1031="","",MAX(0,J1031-R1031))</f>
        <v>0</v>
      </c>
      <c r="T1031" s="16" t="n">
        <f aca="false">IF(D1031="","",MAX(0,Z1031-$B$8))</f>
        <v>0</v>
      </c>
      <c r="U1031" s="16" t="n">
        <f aca="false">IF(D1031="","",MAX(0,MIN($B$8,Z1031)))</f>
        <v>9.56962401282535</v>
      </c>
      <c r="V1031" s="16" t="str">
        <f aca="false">IF(D1031="","",IF(S1031&gt;0.0000001,"Sim","Não"))</f>
        <v>Não</v>
      </c>
      <c r="W1031" s="16" t="n">
        <f aca="false">IF(D1031="","",U1031-(H1031+E1031-Q1031-O1031-T1031))</f>
        <v>0</v>
      </c>
      <c r="X1031" s="16" t="n">
        <f aca="false">IF(W1031="","",ABS(W1031))</f>
        <v>0</v>
      </c>
      <c r="Y1031" s="16" t="n">
        <f aca="false">IF(U1031="","",IF($B$8=0,0,U1031/$B$8*100))</f>
        <v>20.2660398407991</v>
      </c>
      <c r="Z1031" s="18" t="n">
        <f aca="false">IF(D1031="","",MAX(0,IF(P1031&gt;=0,P1031,IF(K1031+P1031&gt;=0,0,P1031+K1031))))</f>
        <v>9.56962401282535</v>
      </c>
      <c r="AA1031" s="18" t="n">
        <f aca="false">IF(D1031="","",IF(H1031&lt;=$B$16,1,IF(H1031&gt;=$B$17,$B$21,MATCH(H1031,Aux_CAV!$A$2:$A$121,1))))</f>
        <v>10</v>
      </c>
      <c r="AB1031" s="18" t="n">
        <f aca="false">IF(D1031="","",IF(L1031&lt;=$B$16,1,IF(L1031&gt;=$B$17,$B$21,MATCH(L1031,Aux_CAV!$A$2:$A$121,1))))</f>
        <v>10</v>
      </c>
      <c r="AC1031" s="19" t="n">
        <f aca="false">IF(D1031="","",COUNT($D$24:D1031))</f>
        <v>996</v>
      </c>
    </row>
    <row r="1032" customFormat="false" ht="12.75" hidden="false" customHeight="true" outlineLevel="0" collapsed="false">
      <c r="A1032" s="14" t="n">
        <f aca="false">IF(D1032="","",DATE(B1032,C1032,1))</f>
        <v>34335</v>
      </c>
      <c r="B1032" s="15" t="n">
        <f aca="false" t="array" ref="B1032:B1032">IF(D1032="","",IFERROR(VALUE(INDEX(Vazoes_COLAR!$A$2:$A$200,INT((ROW()-24)/12)+1)),""))</f>
        <v>1994</v>
      </c>
      <c r="C1032" s="15" t="n">
        <f aca="false">IF(D1032="","",MOD(ROW()-24,12)+1)</f>
        <v>1</v>
      </c>
      <c r="D1032" s="16" t="n">
        <f aca="false" t="array" ref="D1032: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0.195503810427538</v>
      </c>
      <c r="E1032" s="16" t="n">
        <f aca="false">IF(D1032="","",D1032*$B$15)</f>
        <v>0.506745876628179</v>
      </c>
      <c r="F1032" s="16" t="n">
        <f aca="false" t="array" ref="F1032:F1032">IF(D1032="","",IFERROR(INDEX(Dados_Evap!$C$2:$N$15,MATCH($B$9,Dados_Evap!$A$2:$A$15,0),C1032),0))</f>
        <v>160</v>
      </c>
      <c r="G1032" s="16" t="n">
        <f aca="false">IF(F1032="","",F1032/1000)</f>
        <v>0.16</v>
      </c>
      <c r="H1032" s="16" t="n">
        <f aca="false">IF(D1032="","",MAX(0,MIN($B$8,IFERROR(LOOKUP(2,1/($U$24:U1031&lt;&gt;""),$U$24:U1031),$B$11))))</f>
        <v>9.56962401282535</v>
      </c>
      <c r="I1032" s="16" t="n">
        <f aca="false" t="array" ref="I1032: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>3.1015267540351</v>
      </c>
      <c r="J1032" s="16" t="n">
        <f aca="false">IF(D1032="","",$B$12)</f>
        <v>0.35</v>
      </c>
      <c r="K1032" s="16" t="n">
        <f aca="false">IF(J1032="","",J1032*$B$15)</f>
        <v>0.9072</v>
      </c>
      <c r="L1032" s="16" t="n">
        <f aca="false">IF(D1032="","",H1032+E1032-K1032-G1032*I1032)</f>
        <v>8.67292560880792</v>
      </c>
      <c r="M1032" s="16" t="n">
        <f aca="false" t="array" ref="M1032: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>2.90963481289262</v>
      </c>
      <c r="N1032" s="16" t="n">
        <f aca="false">IF(D1032="","",(I1032+M1032)/2)</f>
        <v>3.00558078346386</v>
      </c>
      <c r="O1032" s="16" t="n">
        <f aca="false">IF(D1032="","",G1032*N1032)</f>
        <v>0.480892925354218</v>
      </c>
      <c r="P1032" s="16" t="n">
        <f aca="false">IF(D1032="","",H1032+E1032-K1032-O1032)</f>
        <v>8.68827696409932</v>
      </c>
      <c r="Q1032" s="16" t="n">
        <f aca="false">IF(D1032="","",IF(P1032&gt;=0,K1032,MAX(0,K1032+P1032)))</f>
        <v>0.9072</v>
      </c>
      <c r="R1032" s="16" t="n">
        <f aca="false">IF(D1032="","",Q1032/$B$15)</f>
        <v>0.35</v>
      </c>
      <c r="S1032" s="16" t="n">
        <f aca="false">IF(D1032="","",MAX(0,J1032-R1032))</f>
        <v>0</v>
      </c>
      <c r="T1032" s="16" t="n">
        <f aca="false">IF(D1032="","",MAX(0,Z1032-$B$8))</f>
        <v>0</v>
      </c>
      <c r="U1032" s="16" t="n">
        <f aca="false">IF(D1032="","",MAX(0,MIN($B$8,Z1032)))</f>
        <v>8.68827696409932</v>
      </c>
      <c r="V1032" s="16" t="str">
        <f aca="false">IF(D1032="","",IF(S1032&gt;0.0000001,"Sim","Não"))</f>
        <v>Não</v>
      </c>
      <c r="W1032" s="16" t="n">
        <f aca="false">IF(D1032="","",U1032-(H1032+E1032-Q1032-O1032-T1032))</f>
        <v>0</v>
      </c>
      <c r="X1032" s="16" t="n">
        <f aca="false">IF(W1032="","",ABS(W1032))</f>
        <v>0</v>
      </c>
      <c r="Y1032" s="16" t="n">
        <f aca="false">IF(U1032="","",IF($B$8=0,0,U1032/$B$8*100))</f>
        <v>18.3995700213878</v>
      </c>
      <c r="Z1032" s="18" t="n">
        <f aca="false">IF(D1032="","",MAX(0,IF(P1032&gt;=0,P1032,IF(K1032+P1032&gt;=0,0,P1032+K1032))))</f>
        <v>8.68827696409932</v>
      </c>
      <c r="AA1032" s="18" t="n">
        <f aca="false">IF(D1032="","",IF(H1032&lt;=$B$16,1,IF(H1032&gt;=$B$17,$B$21,MATCH(H1032,Aux_CAV!$A$2:$A$121,1))))</f>
        <v>10</v>
      </c>
      <c r="AB1032" s="18" t="n">
        <f aca="false">IF(D1032="","",IF(L1032&lt;=$B$16,1,IF(L1032&gt;=$B$17,$B$21,MATCH(L1032,Aux_CAV!$A$2:$A$121,1))))</f>
        <v>9</v>
      </c>
      <c r="AC1032" s="19" t="n">
        <f aca="false">IF(D1032="","",COUNT($D$24:D1032))</f>
        <v>997</v>
      </c>
    </row>
    <row r="1033" customFormat="false" ht="12.75" hidden="false" customHeight="true" outlineLevel="0" collapsed="false">
      <c r="A1033" s="14" t="n">
        <f aca="false">IF(D1033="","",DATE(B1033,C1033,1))</f>
        <v>34366</v>
      </c>
      <c r="B1033" s="15" t="n">
        <f aca="false" t="array" ref="B1033:B1033">IF(D1033="","",IFERROR(VALUE(INDEX(Vazoes_COLAR!$A$2:$A$200,INT((ROW()-24)/12)+1)),""))</f>
        <v>1994</v>
      </c>
      <c r="C1033" s="15" t="n">
        <f aca="false">IF(D1033="","",MOD(ROW()-24,12)+1)</f>
        <v>2</v>
      </c>
      <c r="D1033" s="16" t="n">
        <f aca="false" t="array" ref="D1033: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0.507870292317706</v>
      </c>
      <c r="E1033" s="16" t="n">
        <f aca="false">IF(D1033="","",D1033*$B$15)</f>
        <v>1.31639979768749</v>
      </c>
      <c r="F1033" s="16" t="n">
        <f aca="false" t="array" ref="F1033:F1033">IF(D1033="","",IFERROR(INDEX(Dados_Evap!$C$2:$N$15,MATCH($B$9,Dados_Evap!$A$2:$A$15,0),C1033),0))</f>
        <v>124.3</v>
      </c>
      <c r="G1033" s="16" t="n">
        <f aca="false">IF(F1033="","",F1033/1000)</f>
        <v>0.1243</v>
      </c>
      <c r="H1033" s="16" t="n">
        <f aca="false">IF(D1033="","",MAX(0,MIN($B$8,IFERROR(LOOKUP(2,1/($U$24:U1032&lt;&gt;""),$U$24:U1032),$B$11))))</f>
        <v>8.68827696409932</v>
      </c>
      <c r="I1033" s="16" t="n">
        <f aca="false" t="array" ref="I1033: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>2.91430554439618</v>
      </c>
      <c r="J1033" s="16" t="n">
        <f aca="false">IF(D1033="","",$B$12)</f>
        <v>0.35</v>
      </c>
      <c r="K1033" s="16" t="n">
        <f aca="false">IF(J1033="","",J1033*$B$15)</f>
        <v>0.9072</v>
      </c>
      <c r="L1033" s="16" t="n">
        <f aca="false">IF(D1033="","",H1033+E1033-K1033-G1033*I1033)</f>
        <v>8.73522858261837</v>
      </c>
      <c r="M1033" s="16" t="n">
        <f aca="false" t="array" ref="M1033: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>2.92859082407325</v>
      </c>
      <c r="N1033" s="16" t="n">
        <f aca="false">IF(D1033="","",(I1033+M1033)/2)</f>
        <v>2.92144818423471</v>
      </c>
      <c r="O1033" s="16" t="n">
        <f aca="false">IF(D1033="","",G1033*N1033)</f>
        <v>0.363136009300375</v>
      </c>
      <c r="P1033" s="16" t="n">
        <f aca="false">IF(D1033="","",H1033+E1033-K1033-O1033)</f>
        <v>8.73434075248644</v>
      </c>
      <c r="Q1033" s="16" t="n">
        <f aca="false">IF(D1033="","",IF(P1033&gt;=0,K1033,MAX(0,K1033+P1033)))</f>
        <v>0.9072</v>
      </c>
      <c r="R1033" s="16" t="n">
        <f aca="false">IF(D1033="","",Q1033/$B$15)</f>
        <v>0.35</v>
      </c>
      <c r="S1033" s="16" t="n">
        <f aca="false">IF(D1033="","",MAX(0,J1033-R1033))</f>
        <v>0</v>
      </c>
      <c r="T1033" s="16" t="n">
        <f aca="false">IF(D1033="","",MAX(0,Z1033-$B$8))</f>
        <v>0</v>
      </c>
      <c r="U1033" s="16" t="n">
        <f aca="false">IF(D1033="","",MAX(0,MIN($B$8,Z1033)))</f>
        <v>8.73434075248644</v>
      </c>
      <c r="V1033" s="16" t="str">
        <f aca="false">IF(D1033="","",IF(S1033&gt;0.0000001,"Sim","Não"))</f>
        <v>Não</v>
      </c>
      <c r="W1033" s="16" t="n">
        <f aca="false">IF(D1033="","",U1033-(H1033+E1033-Q1033-O1033-T1033))</f>
        <v>0</v>
      </c>
      <c r="X1033" s="16" t="n">
        <f aca="false">IF(W1033="","",ABS(W1033))</f>
        <v>0</v>
      </c>
      <c r="Y1033" s="16" t="n">
        <f aca="false">IF(U1033="","",IF($B$8=0,0,U1033/$B$8*100))</f>
        <v>18.4971214580399</v>
      </c>
      <c r="Z1033" s="18" t="n">
        <f aca="false">IF(D1033="","",MAX(0,IF(P1033&gt;=0,P1033,IF(K1033+P1033&gt;=0,0,P1033+K1033))))</f>
        <v>8.73434075248644</v>
      </c>
      <c r="AA1033" s="18" t="n">
        <f aca="false">IF(D1033="","",IF(H1033&lt;=$B$16,1,IF(H1033&gt;=$B$17,$B$21,MATCH(H1033,Aux_CAV!$A$2:$A$121,1))))</f>
        <v>9</v>
      </c>
      <c r="AB1033" s="18" t="n">
        <f aca="false">IF(D1033="","",IF(L1033&lt;=$B$16,1,IF(L1033&gt;=$B$17,$B$21,MATCH(L1033,Aux_CAV!$A$2:$A$121,1))))</f>
        <v>9</v>
      </c>
      <c r="AC1033" s="19" t="n">
        <f aca="false">IF(D1033="","",COUNT($D$24:D1033))</f>
        <v>998</v>
      </c>
    </row>
    <row r="1034" customFormat="false" ht="12.75" hidden="false" customHeight="true" outlineLevel="0" collapsed="false">
      <c r="A1034" s="14" t="n">
        <f aca="false">IF(D1034="","",DATE(B1034,C1034,1))</f>
        <v>34394</v>
      </c>
      <c r="B1034" s="15" t="n">
        <f aca="false" t="array" ref="B1034:B1034">IF(D1034="","",IFERROR(VALUE(INDEX(Vazoes_COLAR!$A$2:$A$200,INT((ROW()-24)/12)+1)),""))</f>
        <v>1994</v>
      </c>
      <c r="C1034" s="15" t="n">
        <f aca="false">IF(D1034="","",MOD(ROW()-24,12)+1)</f>
        <v>3</v>
      </c>
      <c r="D1034" s="16" t="n">
        <f aca="false" t="array" ref="D1034: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1.00920827244647</v>
      </c>
      <c r="E1034" s="16" t="n">
        <f aca="false">IF(D1034="","",D1034*$B$15)</f>
        <v>2.61586784218125</v>
      </c>
      <c r="F1034" s="16" t="n">
        <f aca="false" t="array" ref="F1034:F1034">IF(D1034="","",IFERROR(INDEX(Dados_Evap!$C$2:$N$15,MATCH($B$9,Dados_Evap!$A$2:$A$15,0),C1034),0))</f>
        <v>107.7</v>
      </c>
      <c r="G1034" s="16" t="n">
        <f aca="false">IF(F1034="","",F1034/1000)</f>
        <v>0.1077</v>
      </c>
      <c r="H1034" s="16" t="n">
        <f aca="false">IF(D1034="","",MAX(0,MIN($B$8,IFERROR(LOOKUP(2,1/($U$24:U1033&lt;&gt;""),$U$24:U1033),$B$11))))</f>
        <v>8.73434075248644</v>
      </c>
      <c r="I1034" s="16" t="n">
        <f aca="false" t="array" ref="I1034: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>2.92832069703311</v>
      </c>
      <c r="J1034" s="16" t="n">
        <f aca="false">IF(D1034="","",$B$12)</f>
        <v>0.35</v>
      </c>
      <c r="K1034" s="16" t="n">
        <f aca="false">IF(J1034="","",J1034*$B$15)</f>
        <v>0.9072</v>
      </c>
      <c r="L1034" s="16" t="n">
        <f aca="false">IF(D1034="","",H1034+E1034-K1034-G1034*I1034)</f>
        <v>10.1276284555972</v>
      </c>
      <c r="M1034" s="16" t="n">
        <f aca="false" t="array" ref="M1034: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>3.14912125062447</v>
      </c>
      <c r="N1034" s="16" t="n">
        <f aca="false">IF(D1034="","",(I1034+M1034)/2)</f>
        <v>3.03872097382879</v>
      </c>
      <c r="O1034" s="16" t="n">
        <f aca="false">IF(D1034="","",G1034*N1034)</f>
        <v>0.32727024888136</v>
      </c>
      <c r="P1034" s="16" t="n">
        <f aca="false">IF(D1034="","",H1034+E1034-K1034-O1034)</f>
        <v>10.1157383457863</v>
      </c>
      <c r="Q1034" s="16" t="n">
        <f aca="false">IF(D1034="","",IF(P1034&gt;=0,K1034,MAX(0,K1034+P1034)))</f>
        <v>0.9072</v>
      </c>
      <c r="R1034" s="16" t="n">
        <f aca="false">IF(D1034="","",Q1034/$B$15)</f>
        <v>0.35</v>
      </c>
      <c r="S1034" s="16" t="n">
        <f aca="false">IF(D1034="","",MAX(0,J1034-R1034))</f>
        <v>0</v>
      </c>
      <c r="T1034" s="16" t="n">
        <f aca="false">IF(D1034="","",MAX(0,Z1034-$B$8))</f>
        <v>0</v>
      </c>
      <c r="U1034" s="16" t="n">
        <f aca="false">IF(D1034="","",MAX(0,MIN($B$8,Z1034)))</f>
        <v>10.1157383457863</v>
      </c>
      <c r="V1034" s="16" t="str">
        <f aca="false">IF(D1034="","",IF(S1034&gt;0.0000001,"Sim","Não"))</f>
        <v>Não</v>
      </c>
      <c r="W1034" s="16" t="n">
        <f aca="false">IF(D1034="","",U1034-(H1034+E1034-Q1034-O1034-T1034))</f>
        <v>0</v>
      </c>
      <c r="X1034" s="16" t="n">
        <f aca="false">IF(W1034="","",ABS(W1034))</f>
        <v>0</v>
      </c>
      <c r="Y1034" s="16" t="n">
        <f aca="false">IF(U1034="","",IF($B$8=0,0,U1034/$B$8*100))</f>
        <v>21.4225716768029</v>
      </c>
      <c r="Z1034" s="18" t="n">
        <f aca="false">IF(D1034="","",MAX(0,IF(P1034&gt;=0,P1034,IF(K1034+P1034&gt;=0,0,P1034+K1034))))</f>
        <v>10.1157383457863</v>
      </c>
      <c r="AA1034" s="18" t="n">
        <f aca="false">IF(D1034="","",IF(H1034&lt;=$B$16,1,IF(H1034&gt;=$B$17,$B$21,MATCH(H1034,Aux_CAV!$A$2:$A$121,1))))</f>
        <v>9</v>
      </c>
      <c r="AB1034" s="18" t="n">
        <f aca="false">IF(D1034="","",IF(L1034&lt;=$B$16,1,IF(L1034&gt;=$B$17,$B$21,MATCH(L1034,Aux_CAV!$A$2:$A$121,1))))</f>
        <v>10</v>
      </c>
      <c r="AC1034" s="19" t="n">
        <f aca="false">IF(D1034="","",COUNT($D$24:D1034))</f>
        <v>999</v>
      </c>
    </row>
    <row r="1035" customFormat="false" ht="12.75" hidden="false" customHeight="true" outlineLevel="0" collapsed="false">
      <c r="A1035" s="14" t="n">
        <f aca="false">IF(D1035="","",DATE(B1035,C1035,1))</f>
        <v>34425</v>
      </c>
      <c r="B1035" s="15" t="n">
        <f aca="false" t="array" ref="B1035:B1035">IF(D1035="","",IFERROR(VALUE(INDEX(Vazoes_COLAR!$A$2:$A$200,INT((ROW()-24)/12)+1)),""))</f>
        <v>1994</v>
      </c>
      <c r="C1035" s="15" t="n">
        <f aca="false">IF(D1035="","",MOD(ROW()-24,12)+1)</f>
        <v>4</v>
      </c>
      <c r="D1035" s="16" t="n">
        <f aca="false" t="array" ref="D1035: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2.52026518090393</v>
      </c>
      <c r="E1035" s="16" t="n">
        <f aca="false">IF(D1035="","",D1035*$B$15)</f>
        <v>6.53252734890299</v>
      </c>
      <c r="F1035" s="16" t="n">
        <f aca="false" t="array" ref="F1035:F1035">IF(D1035="","",IFERROR(INDEX(Dados_Evap!$C$2:$N$15,MATCH($B$9,Dados_Evap!$A$2:$A$15,0),C1035),0))</f>
        <v>100.5</v>
      </c>
      <c r="G1035" s="16" t="n">
        <f aca="false">IF(F1035="","",F1035/1000)</f>
        <v>0.1005</v>
      </c>
      <c r="H1035" s="16" t="n">
        <f aca="false">IF(D1035="","",MAX(0,MIN($B$8,IFERROR(LOOKUP(2,1/($U$24:U1034&lt;&gt;""),$U$24:U1034),$B$11))))</f>
        <v>10.1157383457863</v>
      </c>
      <c r="I1035" s="16" t="n">
        <f aca="false" t="array" ref="I1035: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>3.14810709419942</v>
      </c>
      <c r="J1035" s="16" t="n">
        <f aca="false">IF(D1035="","",$B$12)</f>
        <v>0.35</v>
      </c>
      <c r="K1035" s="16" t="n">
        <f aca="false">IF(J1035="","",J1035*$B$15)</f>
        <v>0.9072</v>
      </c>
      <c r="L1035" s="16" t="n">
        <f aca="false">IF(D1035="","",H1035+E1035-K1035-G1035*I1035)</f>
        <v>15.4246809317223</v>
      </c>
      <c r="M1035" s="16" t="n">
        <f aca="false" t="array" ref="M1035: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>3.60092866770572</v>
      </c>
      <c r="N1035" s="16" t="n">
        <f aca="false">IF(D1035="","",(I1035+M1035)/2)</f>
        <v>3.37451788095257</v>
      </c>
      <c r="O1035" s="16" t="n">
        <f aca="false">IF(D1035="","",G1035*N1035)</f>
        <v>0.339139047035734</v>
      </c>
      <c r="P1035" s="16" t="n">
        <f aca="false">IF(D1035="","",H1035+E1035-K1035-O1035)</f>
        <v>15.4019266476536</v>
      </c>
      <c r="Q1035" s="16" t="n">
        <f aca="false">IF(D1035="","",IF(P1035&gt;=0,K1035,MAX(0,K1035+P1035)))</f>
        <v>0.9072</v>
      </c>
      <c r="R1035" s="16" t="n">
        <f aca="false">IF(D1035="","",Q1035/$B$15)</f>
        <v>0.35</v>
      </c>
      <c r="S1035" s="16" t="n">
        <f aca="false">IF(D1035="","",MAX(0,J1035-R1035))</f>
        <v>0</v>
      </c>
      <c r="T1035" s="16" t="n">
        <f aca="false">IF(D1035="","",MAX(0,Z1035-$B$8))</f>
        <v>0</v>
      </c>
      <c r="U1035" s="16" t="n">
        <f aca="false">IF(D1035="","",MAX(0,MIN($B$8,Z1035)))</f>
        <v>15.4019266476536</v>
      </c>
      <c r="V1035" s="16" t="str">
        <f aca="false">IF(D1035="","",IF(S1035&gt;0.0000001,"Sim","Não"))</f>
        <v>Não</v>
      </c>
      <c r="W1035" s="16" t="n">
        <f aca="false">IF(D1035="","",U1035-(H1035+E1035-Q1035-O1035-T1035))</f>
        <v>0</v>
      </c>
      <c r="X1035" s="16" t="n">
        <f aca="false">IF(W1035="","",ABS(W1035))</f>
        <v>0</v>
      </c>
      <c r="Y1035" s="16" t="n">
        <f aca="false">IF(U1035="","",IF($B$8=0,0,U1035/$B$8*100))</f>
        <v>32.61737960113</v>
      </c>
      <c r="Z1035" s="18" t="n">
        <f aca="false">IF(D1035="","",MAX(0,IF(P1035&gt;=0,P1035,IF(K1035+P1035&gt;=0,0,P1035+K1035))))</f>
        <v>15.4019266476536</v>
      </c>
      <c r="AA1035" s="18" t="n">
        <f aca="false">IF(D1035="","",IF(H1035&lt;=$B$16,1,IF(H1035&gt;=$B$17,$B$21,MATCH(H1035,Aux_CAV!$A$2:$A$121,1))))</f>
        <v>10</v>
      </c>
      <c r="AB1035" s="18" t="n">
        <f aca="false">IF(D1035="","",IF(L1035&lt;=$B$16,1,IF(L1035&gt;=$B$17,$B$21,MATCH(L1035,Aux_CAV!$A$2:$A$121,1))))</f>
        <v>10</v>
      </c>
      <c r="AC1035" s="19" t="n">
        <f aca="false">IF(D1035="","",COUNT($D$24:D1035))</f>
        <v>1000</v>
      </c>
    </row>
    <row r="1036" customFormat="false" ht="12.75" hidden="false" customHeight="true" outlineLevel="0" collapsed="false">
      <c r="A1036" s="14" t="n">
        <f aca="false">IF(D1036="","",DATE(B1036,C1036,1))</f>
        <v>34455</v>
      </c>
      <c r="B1036" s="15" t="n">
        <f aca="false" t="array" ref="B1036:B1036">IF(D1036="","",IFERROR(VALUE(INDEX(Vazoes_COLAR!$A$2:$A$200,INT((ROW()-24)/12)+1)),""))</f>
        <v>1994</v>
      </c>
      <c r="C1036" s="15" t="n">
        <f aca="false">IF(D1036="","",MOD(ROW()-24,12)+1)</f>
        <v>5</v>
      </c>
      <c r="D1036" s="16" t="n">
        <f aca="false" t="array" ref="D1036: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1.8807304896074</v>
      </c>
      <c r="E1036" s="16" t="n">
        <f aca="false">IF(D1036="","",D1036*$B$15)</f>
        <v>4.87485342906238</v>
      </c>
      <c r="F1036" s="16" t="n">
        <f aca="false" t="array" ref="F1036:F1036">IF(D1036="","",IFERROR(INDEX(Dados_Evap!$C$2:$N$15,MATCH($B$9,Dados_Evap!$A$2:$A$15,0),C1036),0))</f>
        <v>145.8</v>
      </c>
      <c r="G1036" s="16" t="n">
        <f aca="false">IF(F1036="","",F1036/1000)</f>
        <v>0.1458</v>
      </c>
      <c r="H1036" s="16" t="n">
        <f aca="false">IF(D1036="","",MAX(0,MIN($B$8,IFERROR(LOOKUP(2,1/($U$24:U1035&lt;&gt;""),$U$24:U1035),$B$11))))</f>
        <v>15.4019266476536</v>
      </c>
      <c r="I1036" s="16" t="n">
        <f aca="false" t="array" ref="I1036: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>3.59898786112339</v>
      </c>
      <c r="J1036" s="16" t="n">
        <f aca="false">IF(D1036="","",$B$12)</f>
        <v>0.35</v>
      </c>
      <c r="K1036" s="16" t="n">
        <f aca="false">IF(J1036="","",J1036*$B$15)</f>
        <v>0.9072</v>
      </c>
      <c r="L1036" s="16" t="n">
        <f aca="false">IF(D1036="","",H1036+E1036-K1036-G1036*I1036)</f>
        <v>18.8448476465642</v>
      </c>
      <c r="M1036" s="16" t="n">
        <f aca="false" t="array" ref="M1036: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>3.9899939870284</v>
      </c>
      <c r="N1036" s="16" t="n">
        <f aca="false">IF(D1036="","",(I1036+M1036)/2)</f>
        <v>3.7944909240759</v>
      </c>
      <c r="O1036" s="16" t="n">
        <f aca="false">IF(D1036="","",G1036*N1036)</f>
        <v>0.553236776730266</v>
      </c>
      <c r="P1036" s="16" t="n">
        <f aca="false">IF(D1036="","",H1036+E1036-K1036-O1036)</f>
        <v>18.8163432999857</v>
      </c>
      <c r="Q1036" s="16" t="n">
        <f aca="false">IF(D1036="","",IF(P1036&gt;=0,K1036,MAX(0,K1036+P1036)))</f>
        <v>0.9072</v>
      </c>
      <c r="R1036" s="16" t="n">
        <f aca="false">IF(D1036="","",Q1036/$B$15)</f>
        <v>0.35</v>
      </c>
      <c r="S1036" s="16" t="n">
        <f aca="false">IF(D1036="","",MAX(0,J1036-R1036))</f>
        <v>0</v>
      </c>
      <c r="T1036" s="16" t="n">
        <f aca="false">IF(D1036="","",MAX(0,Z1036-$B$8))</f>
        <v>0</v>
      </c>
      <c r="U1036" s="16" t="n">
        <f aca="false">IF(D1036="","",MAX(0,MIN($B$8,Z1036)))</f>
        <v>18.8163432999857</v>
      </c>
      <c r="V1036" s="16" t="str">
        <f aca="false">IF(D1036="","",IF(S1036&gt;0.0000001,"Sim","Não"))</f>
        <v>Não</v>
      </c>
      <c r="W1036" s="16" t="n">
        <f aca="false">IF(D1036="","",U1036-(H1036+E1036-Q1036-O1036-T1036))</f>
        <v>0</v>
      </c>
      <c r="X1036" s="16" t="n">
        <f aca="false">IF(W1036="","",ABS(W1036))</f>
        <v>0</v>
      </c>
      <c r="Y1036" s="16" t="n">
        <f aca="false">IF(U1036="","",IF($B$8=0,0,U1036/$B$8*100))</f>
        <v>39.8482492587584</v>
      </c>
      <c r="Z1036" s="18" t="n">
        <f aca="false">IF(D1036="","",MAX(0,IF(P1036&gt;=0,P1036,IF(K1036+P1036&gt;=0,0,P1036+K1036))))</f>
        <v>18.8163432999857</v>
      </c>
      <c r="AA1036" s="18" t="n">
        <f aca="false">IF(D1036="","",IF(H1036&lt;=$B$16,1,IF(H1036&gt;=$B$17,$B$21,MATCH(H1036,Aux_CAV!$A$2:$A$121,1))))</f>
        <v>10</v>
      </c>
      <c r="AB1036" s="18" t="n">
        <f aca="false">IF(D1036="","",IF(L1036&lt;=$B$16,1,IF(L1036&gt;=$B$17,$B$21,MATCH(L1036,Aux_CAV!$A$2:$A$121,1))))</f>
        <v>11</v>
      </c>
      <c r="AC1036" s="19" t="n">
        <f aca="false">IF(D1036="","",COUNT($D$24:D1036))</f>
        <v>1001</v>
      </c>
    </row>
    <row r="1037" customFormat="false" ht="12.75" hidden="false" customHeight="true" outlineLevel="0" collapsed="false">
      <c r="A1037" s="14" t="n">
        <f aca="false">IF(D1037="","",DATE(B1037,C1037,1))</f>
        <v>34486</v>
      </c>
      <c r="B1037" s="15" t="n">
        <f aca="false" t="array" ref="B1037:B1037">IF(D1037="","",IFERROR(VALUE(INDEX(Vazoes_COLAR!$A$2:$A$200,INT((ROW()-24)/12)+1)),""))</f>
        <v>1994</v>
      </c>
      <c r="C1037" s="15" t="n">
        <f aca="false">IF(D1037="","",MOD(ROW()-24,12)+1)</f>
        <v>6</v>
      </c>
      <c r="D1037" s="16" t="n">
        <f aca="false" t="array" ref="D1037: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2.37903670568567</v>
      </c>
      <c r="E1037" s="16" t="n">
        <f aca="false">IF(D1037="","",D1037*$B$15)</f>
        <v>6.16646314113726</v>
      </c>
      <c r="F1037" s="16" t="n">
        <f aca="false" t="array" ref="F1037:F1037">IF(D1037="","",IFERROR(INDEX(Dados_Evap!$C$2:$N$15,MATCH($B$9,Dados_Evap!$A$2:$A$15,0),C1037),0))</f>
        <v>161.3</v>
      </c>
      <c r="G1037" s="16" t="n">
        <f aca="false">IF(F1037="","",F1037/1000)</f>
        <v>0.1613</v>
      </c>
      <c r="H1037" s="16" t="n">
        <f aca="false">IF(D1037="","",MAX(0,MIN($B$8,IFERROR(LOOKUP(2,1/($U$24:U1036&lt;&gt;""),$U$24:U1036),$B$11))))</f>
        <v>18.8163432999857</v>
      </c>
      <c r="I1037" s="16" t="n">
        <f aca="false" t="array" ref="I1037: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>3.98658736999829</v>
      </c>
      <c r="J1037" s="16" t="n">
        <f aca="false">IF(D1037="","",$B$12)</f>
        <v>0.35</v>
      </c>
      <c r="K1037" s="16" t="n">
        <f aca="false">IF(J1037="","",J1037*$B$15)</f>
        <v>0.9072</v>
      </c>
      <c r="L1037" s="16" t="n">
        <f aca="false">IF(D1037="","",H1037+E1037-K1037-G1037*I1037)</f>
        <v>23.4325698983422</v>
      </c>
      <c r="M1037" s="16" t="n">
        <f aca="false" t="array" ref="M1037: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>4.53828274394822</v>
      </c>
      <c r="N1037" s="16" t="n">
        <f aca="false">IF(D1037="","",(I1037+M1037)/2)</f>
        <v>4.26243505697325</v>
      </c>
      <c r="O1037" s="16" t="n">
        <f aca="false">IF(D1037="","",G1037*N1037)</f>
        <v>0.687530774689786</v>
      </c>
      <c r="P1037" s="16" t="n">
        <f aca="false">IF(D1037="","",H1037+E1037-K1037-O1037)</f>
        <v>23.3880756664332</v>
      </c>
      <c r="Q1037" s="16" t="n">
        <f aca="false">IF(D1037="","",IF(P1037&gt;=0,K1037,MAX(0,K1037+P1037)))</f>
        <v>0.9072</v>
      </c>
      <c r="R1037" s="16" t="n">
        <f aca="false">IF(D1037="","",Q1037/$B$15)</f>
        <v>0.35</v>
      </c>
      <c r="S1037" s="16" t="n">
        <f aca="false">IF(D1037="","",MAX(0,J1037-R1037))</f>
        <v>0</v>
      </c>
      <c r="T1037" s="16" t="n">
        <f aca="false">IF(D1037="","",MAX(0,Z1037-$B$8))</f>
        <v>0</v>
      </c>
      <c r="U1037" s="16" t="n">
        <f aca="false">IF(D1037="","",MAX(0,MIN($B$8,Z1037)))</f>
        <v>23.3880756664332</v>
      </c>
      <c r="V1037" s="16" t="str">
        <f aca="false">IF(D1037="","",IF(S1037&gt;0.0000001,"Sim","Não"))</f>
        <v>Não</v>
      </c>
      <c r="W1037" s="16" t="n">
        <f aca="false">IF(D1037="","",U1037-(H1037+E1037-Q1037-O1037-T1037))</f>
        <v>0</v>
      </c>
      <c r="X1037" s="16" t="n">
        <f aca="false">IF(W1037="","",ABS(W1037))</f>
        <v>0</v>
      </c>
      <c r="Y1037" s="16" t="n">
        <f aca="false">IF(U1037="","",IF($B$8=0,0,U1037/$B$8*100))</f>
        <v>49.5300204710571</v>
      </c>
      <c r="Z1037" s="18" t="n">
        <f aca="false">IF(D1037="","",MAX(0,IF(P1037&gt;=0,P1037,IF(K1037+P1037&gt;=0,0,P1037+K1037))))</f>
        <v>23.3880756664332</v>
      </c>
      <c r="AA1037" s="18" t="n">
        <f aca="false">IF(D1037="","",IF(H1037&lt;=$B$16,1,IF(H1037&gt;=$B$17,$B$21,MATCH(H1037,Aux_CAV!$A$2:$A$121,1))))</f>
        <v>11</v>
      </c>
      <c r="AB1037" s="18" t="n">
        <f aca="false">IF(D1037="","",IF(L1037&lt;=$B$16,1,IF(L1037&gt;=$B$17,$B$21,MATCH(L1037,Aux_CAV!$A$2:$A$121,1))))</f>
        <v>11</v>
      </c>
      <c r="AC1037" s="19" t="n">
        <f aca="false">IF(D1037="","",COUNT($D$24:D1037))</f>
        <v>1002</v>
      </c>
    </row>
    <row r="1038" customFormat="false" ht="12.75" hidden="false" customHeight="true" outlineLevel="0" collapsed="false">
      <c r="A1038" s="14" t="n">
        <f aca="false">IF(D1038="","",DATE(B1038,C1038,1))</f>
        <v>34516</v>
      </c>
      <c r="B1038" s="15" t="n">
        <f aca="false" t="array" ref="B1038:B1038">IF(D1038="","",IFERROR(VALUE(INDEX(Vazoes_COLAR!$A$2:$A$200,INT((ROW()-24)/12)+1)),""))</f>
        <v>1994</v>
      </c>
      <c r="C1038" s="15" t="n">
        <f aca="false">IF(D1038="","",MOD(ROW()-24,12)+1)</f>
        <v>7</v>
      </c>
      <c r="D1038" s="16" t="n">
        <f aca="false" t="array" ref="D1038: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0.207743828846288</v>
      </c>
      <c r="E1038" s="16" t="n">
        <f aca="false">IF(D1038="","",D1038*$B$15)</f>
        <v>0.538472004369579</v>
      </c>
      <c r="F1038" s="16" t="n">
        <f aca="false" t="array" ref="F1038:F1038">IF(D1038="","",IFERROR(INDEX(Dados_Evap!$C$2:$N$15,MATCH($B$9,Dados_Evap!$A$2:$A$15,0),C1038),0))</f>
        <v>224.8</v>
      </c>
      <c r="G1038" s="16" t="n">
        <f aca="false">IF(F1038="","",F1038/1000)</f>
        <v>0.2248</v>
      </c>
      <c r="H1038" s="16" t="n">
        <f aca="false">IF(D1038="","",MAX(0,MIN($B$8,IFERROR(LOOKUP(2,1/($U$24:U1037&lt;&gt;""),$U$24:U1037),$B$11))))</f>
        <v>23.3880756664332</v>
      </c>
      <c r="I1038" s="16" t="n">
        <f aca="false" t="array" ref="I1038: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>4.5329651406225</v>
      </c>
      <c r="J1038" s="16" t="n">
        <f aca="false">IF(D1038="","",$B$12)</f>
        <v>0.35</v>
      </c>
      <c r="K1038" s="16" t="n">
        <f aca="false">IF(J1038="","",J1038*$B$15)</f>
        <v>0.9072</v>
      </c>
      <c r="L1038" s="16" t="n">
        <f aca="false">IF(D1038="","",H1038+E1038-K1038-G1038*I1038)</f>
        <v>22.0003371071908</v>
      </c>
      <c r="M1038" s="16" t="n">
        <f aca="false" t="array" ref="M1038: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>4.36711345915207</v>
      </c>
      <c r="N1038" s="16" t="n">
        <f aca="false">IF(D1038="","",(I1038+M1038)/2)</f>
        <v>4.45003929988729</v>
      </c>
      <c r="O1038" s="16" t="n">
        <f aca="false">IF(D1038="","",G1038*N1038)</f>
        <v>1.00036883461466</v>
      </c>
      <c r="P1038" s="16" t="n">
        <f aca="false">IF(D1038="","",H1038+E1038-K1038-O1038)</f>
        <v>22.0189788361881</v>
      </c>
      <c r="Q1038" s="16" t="n">
        <f aca="false">IF(D1038="","",IF(P1038&gt;=0,K1038,MAX(0,K1038+P1038)))</f>
        <v>0.9072</v>
      </c>
      <c r="R1038" s="16" t="n">
        <f aca="false">IF(D1038="","",Q1038/$B$15)</f>
        <v>0.35</v>
      </c>
      <c r="S1038" s="16" t="n">
        <f aca="false">IF(D1038="","",MAX(0,J1038-R1038))</f>
        <v>0</v>
      </c>
      <c r="T1038" s="16" t="n">
        <f aca="false">IF(D1038="","",MAX(0,Z1038-$B$8))</f>
        <v>0</v>
      </c>
      <c r="U1038" s="16" t="n">
        <f aca="false">IF(D1038="","",MAX(0,MIN($B$8,Z1038)))</f>
        <v>22.0189788361881</v>
      </c>
      <c r="V1038" s="16" t="str">
        <f aca="false">IF(D1038="","",IF(S1038&gt;0.0000001,"Sim","Não"))</f>
        <v>Não</v>
      </c>
      <c r="W1038" s="16" t="n">
        <f aca="false">IF(D1038="","",U1038-(H1038+E1038-Q1038-O1038-T1038))</f>
        <v>0</v>
      </c>
      <c r="X1038" s="16" t="n">
        <f aca="false">IF(W1038="","",ABS(W1038))</f>
        <v>0</v>
      </c>
      <c r="Y1038" s="16" t="n">
        <f aca="false">IF(U1038="","",IF($B$8=0,0,U1038/$B$8*100))</f>
        <v>46.6306201528761</v>
      </c>
      <c r="Z1038" s="18" t="n">
        <f aca="false">IF(D1038="","",MAX(0,IF(P1038&gt;=0,P1038,IF(K1038+P1038&gt;=0,0,P1038+K1038))))</f>
        <v>22.0189788361881</v>
      </c>
      <c r="AA1038" s="18" t="n">
        <f aca="false">IF(D1038="","",IF(H1038&lt;=$B$16,1,IF(H1038&gt;=$B$17,$B$21,MATCH(H1038,Aux_CAV!$A$2:$A$121,1))))</f>
        <v>11</v>
      </c>
      <c r="AB1038" s="18" t="n">
        <f aca="false">IF(D1038="","",IF(L1038&lt;=$B$16,1,IF(L1038&gt;=$B$17,$B$21,MATCH(L1038,Aux_CAV!$A$2:$A$121,1))))</f>
        <v>11</v>
      </c>
      <c r="AC1038" s="19" t="n">
        <f aca="false">IF(D1038="","",COUNT($D$24:D1038))</f>
        <v>1003</v>
      </c>
    </row>
    <row r="1039" customFormat="false" ht="12.75" hidden="false" customHeight="true" outlineLevel="0" collapsed="false">
      <c r="A1039" s="14" t="n">
        <f aca="false">IF(D1039="","",DATE(B1039,C1039,1))</f>
        <v>34547</v>
      </c>
      <c r="B1039" s="15" t="n">
        <f aca="false" t="array" ref="B1039:B1039">IF(D1039="","",IFERROR(VALUE(INDEX(Vazoes_COLAR!$A$2:$A$200,INT((ROW()-24)/12)+1)),""))</f>
        <v>1994</v>
      </c>
      <c r="C1039" s="15" t="n">
        <f aca="false">IF(D1039="","",MOD(ROW()-24,12)+1)</f>
        <v>8</v>
      </c>
      <c r="D1039" s="16" t="n">
        <f aca="false" t="array" ref="D1039: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0.0156941913702805</v>
      </c>
      <c r="E1039" s="16" t="n">
        <f aca="false">IF(D1039="","",D1039*$B$15)</f>
        <v>0.0406793440317671</v>
      </c>
      <c r="F1039" s="16" t="n">
        <f aca="false" t="array" ref="F1039:F1039">IF(D1039="","",IFERROR(INDEX(Dados_Evap!$C$2:$N$15,MATCH($B$9,Dados_Evap!$A$2:$A$15,0),C1039),0))</f>
        <v>268.7</v>
      </c>
      <c r="G1039" s="16" t="n">
        <f aca="false">IF(F1039="","",F1039/1000)</f>
        <v>0.2687</v>
      </c>
      <c r="H1039" s="16" t="n">
        <f aca="false">IF(D1039="","",MAX(0,MIN($B$8,IFERROR(LOOKUP(2,1/($U$24:U1038&lt;&gt;""),$U$24:U1038),$B$11))))</f>
        <v>22.0189788361881</v>
      </c>
      <c r="I1039" s="16" t="n">
        <f aca="false" t="array" ref="I1039: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>4.36934137310541</v>
      </c>
      <c r="J1039" s="16" t="n">
        <f aca="false">IF(D1039="","",$B$12)</f>
        <v>0.35</v>
      </c>
      <c r="K1039" s="16" t="n">
        <f aca="false">IF(J1039="","",J1039*$B$15)</f>
        <v>0.9072</v>
      </c>
      <c r="L1039" s="16" t="n">
        <f aca="false">IF(D1039="","",H1039+E1039-K1039-G1039*I1039)</f>
        <v>19.9784161532664</v>
      </c>
      <c r="M1039" s="16" t="n">
        <f aca="false" t="array" ref="M1039: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>4.1254692475855</v>
      </c>
      <c r="N1039" s="16" t="n">
        <f aca="false">IF(D1039="","",(I1039+M1039)/2)</f>
        <v>4.24740531034545</v>
      </c>
      <c r="O1039" s="16" t="n">
        <f aca="false">IF(D1039="","",G1039*N1039)</f>
        <v>1.14127780688982</v>
      </c>
      <c r="P1039" s="16" t="n">
        <f aca="false">IF(D1039="","",H1039+E1039-K1039-O1039)</f>
        <v>20.01118037333</v>
      </c>
      <c r="Q1039" s="16" t="n">
        <f aca="false">IF(D1039="","",IF(P1039&gt;=0,K1039,MAX(0,K1039+P1039)))</f>
        <v>0.9072</v>
      </c>
      <c r="R1039" s="16" t="n">
        <f aca="false">IF(D1039="","",Q1039/$B$15)</f>
        <v>0.35</v>
      </c>
      <c r="S1039" s="16" t="n">
        <f aca="false">IF(D1039="","",MAX(0,J1039-R1039))</f>
        <v>0</v>
      </c>
      <c r="T1039" s="16" t="n">
        <f aca="false">IF(D1039="","",MAX(0,Z1039-$B$8))</f>
        <v>0</v>
      </c>
      <c r="U1039" s="16" t="n">
        <f aca="false">IF(D1039="","",MAX(0,MIN($B$8,Z1039)))</f>
        <v>20.01118037333</v>
      </c>
      <c r="V1039" s="16" t="str">
        <f aca="false">IF(D1039="","",IF(S1039&gt;0.0000001,"Sim","Não"))</f>
        <v>Não</v>
      </c>
      <c r="W1039" s="16" t="n">
        <f aca="false">IF(D1039="","",U1039-(H1039+E1039-Q1039-O1039-T1039))</f>
        <v>0</v>
      </c>
      <c r="X1039" s="16" t="n">
        <f aca="false">IF(W1039="","",ABS(W1039))</f>
        <v>0</v>
      </c>
      <c r="Y1039" s="16" t="n">
        <f aca="false">IF(U1039="","",IF($B$8=0,0,U1039/$B$8*100))</f>
        <v>42.3786115487718</v>
      </c>
      <c r="Z1039" s="18" t="n">
        <f aca="false">IF(D1039="","",MAX(0,IF(P1039&gt;=0,P1039,IF(K1039+P1039&gt;=0,0,P1039+K1039))))</f>
        <v>20.01118037333</v>
      </c>
      <c r="AA1039" s="18" t="n">
        <f aca="false">IF(D1039="","",IF(H1039&lt;=$B$16,1,IF(H1039&gt;=$B$17,$B$21,MATCH(H1039,Aux_CAV!$A$2:$A$121,1))))</f>
        <v>11</v>
      </c>
      <c r="AB1039" s="18" t="n">
        <f aca="false">IF(D1039="","",IF(L1039&lt;=$B$16,1,IF(L1039&gt;=$B$17,$B$21,MATCH(L1039,Aux_CAV!$A$2:$A$121,1))))</f>
        <v>11</v>
      </c>
      <c r="AC1039" s="19" t="n">
        <f aca="false">IF(D1039="","",COUNT($D$24:D1039))</f>
        <v>1004</v>
      </c>
    </row>
    <row r="1040" customFormat="false" ht="12.75" hidden="false" customHeight="true" outlineLevel="0" collapsed="false">
      <c r="A1040" s="14" t="n">
        <f aca="false">IF(D1040="","",DATE(B1040,C1040,1))</f>
        <v>34578</v>
      </c>
      <c r="B1040" s="15" t="n">
        <f aca="false" t="array" ref="B1040:B1040">IF(D1040="","",IFERROR(VALUE(INDEX(Vazoes_COLAR!$A$2:$A$200,INT((ROW()-24)/12)+1)),""))</f>
        <v>1994</v>
      </c>
      <c r="C1040" s="15" t="n">
        <f aca="false">IF(D1040="","",MOD(ROW()-24,12)+1)</f>
        <v>9</v>
      </c>
      <c r="D1040" s="16" t="n">
        <f aca="false" t="array" ref="D1040: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0.0429539983238536</v>
      </c>
      <c r="E1040" s="16" t="n">
        <f aca="false">IF(D1040="","",D1040*$B$15)</f>
        <v>0.111336763655429</v>
      </c>
      <c r="F1040" s="16" t="n">
        <f aca="false" t="array" ref="F1040:F1040">IF(D1040="","",IFERROR(INDEX(Dados_Evap!$C$2:$N$15,MATCH($B$9,Dados_Evap!$A$2:$A$15,0),C1040),0))</f>
        <v>292.8</v>
      </c>
      <c r="G1040" s="16" t="n">
        <f aca="false">IF(F1040="","",F1040/1000)</f>
        <v>0.2928</v>
      </c>
      <c r="H1040" s="16" t="n">
        <f aca="false">IF(D1040="","",MAX(0,MIN($B$8,IFERROR(LOOKUP(2,1/($U$24:U1039&lt;&gt;""),$U$24:U1039),$B$11))))</f>
        <v>20.01118037333</v>
      </c>
      <c r="I1040" s="16" t="n">
        <f aca="false" t="array" ref="I1040: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>4.12938497144676</v>
      </c>
      <c r="J1040" s="16" t="n">
        <f aca="false">IF(D1040="","",$B$12)</f>
        <v>0.35</v>
      </c>
      <c r="K1040" s="16" t="n">
        <f aca="false">IF(J1040="","",J1040*$B$15)</f>
        <v>0.9072</v>
      </c>
      <c r="L1040" s="16" t="n">
        <f aca="false">IF(D1040="","",H1040+E1040-K1040-G1040*I1040)</f>
        <v>18.0062332173458</v>
      </c>
      <c r="M1040" s="16" t="n">
        <f aca="false" t="array" ref="M1040: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>3.88976933573158</v>
      </c>
      <c r="N1040" s="16" t="n">
        <f aca="false">IF(D1040="","",(I1040+M1040)/2)</f>
        <v>4.00957715358917</v>
      </c>
      <c r="O1040" s="16" t="n">
        <f aca="false">IF(D1040="","",G1040*N1040)</f>
        <v>1.17400419057091</v>
      </c>
      <c r="P1040" s="16" t="n">
        <f aca="false">IF(D1040="","",H1040+E1040-K1040-O1040)</f>
        <v>18.0413129464146</v>
      </c>
      <c r="Q1040" s="16" t="n">
        <f aca="false">IF(D1040="","",IF(P1040&gt;=0,K1040,MAX(0,K1040+P1040)))</f>
        <v>0.9072</v>
      </c>
      <c r="R1040" s="16" t="n">
        <f aca="false">IF(D1040="","",Q1040/$B$15)</f>
        <v>0.35</v>
      </c>
      <c r="S1040" s="16" t="n">
        <f aca="false">IF(D1040="","",MAX(0,J1040-R1040))</f>
        <v>0</v>
      </c>
      <c r="T1040" s="16" t="n">
        <f aca="false">IF(D1040="","",MAX(0,Z1040-$B$8))</f>
        <v>0</v>
      </c>
      <c r="U1040" s="16" t="n">
        <f aca="false">IF(D1040="","",MAX(0,MIN($B$8,Z1040)))</f>
        <v>18.0413129464146</v>
      </c>
      <c r="V1040" s="16" t="str">
        <f aca="false">IF(D1040="","",IF(S1040&gt;0.0000001,"Sim","Não"))</f>
        <v>Não</v>
      </c>
      <c r="W1040" s="16" t="n">
        <f aca="false">IF(D1040="","",U1040-(H1040+E1040-Q1040-O1040-T1040))</f>
        <v>0</v>
      </c>
      <c r="X1040" s="16" t="n">
        <f aca="false">IF(W1040="","",ABS(W1040))</f>
        <v>0</v>
      </c>
      <c r="Y1040" s="16" t="n">
        <f aca="false">IF(U1040="","",IF($B$8=0,0,U1040/$B$8*100))</f>
        <v>38.2069312715259</v>
      </c>
      <c r="Z1040" s="18" t="n">
        <f aca="false">IF(D1040="","",MAX(0,IF(P1040&gt;=0,P1040,IF(K1040+P1040&gt;=0,0,P1040+K1040))))</f>
        <v>18.0413129464146</v>
      </c>
      <c r="AA1040" s="18" t="n">
        <f aca="false">IF(D1040="","",IF(H1040&lt;=$B$16,1,IF(H1040&gt;=$B$17,$B$21,MATCH(H1040,Aux_CAV!$A$2:$A$121,1))))</f>
        <v>11</v>
      </c>
      <c r="AB1040" s="18" t="n">
        <f aca="false">IF(D1040="","",IF(L1040&lt;=$B$16,1,IF(L1040&gt;=$B$17,$B$21,MATCH(L1040,Aux_CAV!$A$2:$A$121,1))))</f>
        <v>11</v>
      </c>
      <c r="AC1040" s="19" t="n">
        <f aca="false">IF(D1040="","",COUNT($D$24:D1040))</f>
        <v>1005</v>
      </c>
    </row>
    <row r="1041" customFormat="false" ht="12.75" hidden="false" customHeight="true" outlineLevel="0" collapsed="false">
      <c r="A1041" s="14" t="n">
        <f aca="false">IF(D1041="","",DATE(B1041,C1041,1))</f>
        <v>34608</v>
      </c>
      <c r="B1041" s="15" t="n">
        <f aca="false" t="array" ref="B1041:B1041">IF(D1041="","",IFERROR(VALUE(INDEX(Vazoes_COLAR!$A$2:$A$200,INT((ROW()-24)/12)+1)),""))</f>
        <v>1994</v>
      </c>
      <c r="C1041" s="15" t="n">
        <f aca="false">IF(D1041="","",MOD(ROW()-24,12)+1)</f>
        <v>10</v>
      </c>
      <c r="D1041" s="16" t="n">
        <f aca="false" t="array" ref="D1041: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0.0419793160302544</v>
      </c>
      <c r="E1041" s="16" t="n">
        <f aca="false">IF(D1041="","",D1041*$B$15)</f>
        <v>0.108810387150419</v>
      </c>
      <c r="F1041" s="16" t="n">
        <f aca="false" t="array" ref="F1041:F1041">IF(D1041="","",IFERROR(INDEX(Dados_Evap!$C$2:$N$15,MATCH($B$9,Dados_Evap!$A$2:$A$15,0),C1041),0))</f>
        <v>262.9</v>
      </c>
      <c r="G1041" s="16" t="n">
        <f aca="false">IF(F1041="","",F1041/1000)</f>
        <v>0.2629</v>
      </c>
      <c r="H1041" s="16" t="n">
        <f aca="false">IF(D1041="","",MAX(0,MIN($B$8,IFERROR(LOOKUP(2,1/($U$24:U1040&lt;&gt;""),$U$24:U1040),$B$11))))</f>
        <v>18.0413129464146</v>
      </c>
      <c r="I1041" s="16" t="n">
        <f aca="false" t="array" ref="I1041: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>3.89396179115686</v>
      </c>
      <c r="J1041" s="16" t="n">
        <f aca="false">IF(D1041="","",$B$12)</f>
        <v>0.35</v>
      </c>
      <c r="K1041" s="16" t="n">
        <f aca="false">IF(J1041="","",J1041*$B$15)</f>
        <v>0.9072</v>
      </c>
      <c r="L1041" s="16" t="n">
        <f aca="false">IF(D1041="","",H1041+E1041-K1041-G1041*I1041)</f>
        <v>16.2192007786698</v>
      </c>
      <c r="M1041" s="16" t="n">
        <f aca="false" t="array" ref="M1041: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>3.67619716623127</v>
      </c>
      <c r="N1041" s="16" t="n">
        <f aca="false">IF(D1041="","",(I1041+M1041)/2)</f>
        <v>3.78507947869407</v>
      </c>
      <c r="O1041" s="16" t="n">
        <f aca="false">IF(D1041="","",G1041*N1041)</f>
        <v>0.99509739494867</v>
      </c>
      <c r="P1041" s="16" t="n">
        <f aca="false">IF(D1041="","",H1041+E1041-K1041-O1041)</f>
        <v>16.2478259386163</v>
      </c>
      <c r="Q1041" s="16" t="n">
        <f aca="false">IF(D1041="","",IF(P1041&gt;=0,K1041,MAX(0,K1041+P1041)))</f>
        <v>0.9072</v>
      </c>
      <c r="R1041" s="16" t="n">
        <f aca="false">IF(D1041="","",Q1041/$B$15)</f>
        <v>0.35</v>
      </c>
      <c r="S1041" s="16" t="n">
        <f aca="false">IF(D1041="","",MAX(0,J1041-R1041))</f>
        <v>0</v>
      </c>
      <c r="T1041" s="16" t="n">
        <f aca="false">IF(D1041="","",MAX(0,Z1041-$B$8))</f>
        <v>0</v>
      </c>
      <c r="U1041" s="16" t="n">
        <f aca="false">IF(D1041="","",MAX(0,MIN($B$8,Z1041)))</f>
        <v>16.2478259386163</v>
      </c>
      <c r="V1041" s="16" t="str">
        <f aca="false">IF(D1041="","",IF(S1041&gt;0.0000001,"Sim","Não"))</f>
        <v>Não</v>
      </c>
      <c r="W1041" s="16" t="n">
        <f aca="false">IF(D1041="","",U1041-(H1041+E1041-Q1041-O1041-T1041))</f>
        <v>0</v>
      </c>
      <c r="X1041" s="16" t="n">
        <f aca="false">IF(W1041="","",ABS(W1041))</f>
        <v>0</v>
      </c>
      <c r="Y1041" s="16" t="n">
        <f aca="false">IF(U1041="","",IF($B$8=0,0,U1041/$B$8*100))</f>
        <v>34.4087800478956</v>
      </c>
      <c r="Z1041" s="18" t="n">
        <f aca="false">IF(D1041="","",MAX(0,IF(P1041&gt;=0,P1041,IF(K1041+P1041&gt;=0,0,P1041+K1041))))</f>
        <v>16.2478259386163</v>
      </c>
      <c r="AA1041" s="18" t="n">
        <f aca="false">IF(D1041="","",IF(H1041&lt;=$B$16,1,IF(H1041&gt;=$B$17,$B$21,MATCH(H1041,Aux_CAV!$A$2:$A$121,1))))</f>
        <v>11</v>
      </c>
      <c r="AB1041" s="18" t="n">
        <f aca="false">IF(D1041="","",IF(L1041&lt;=$B$16,1,IF(L1041&gt;=$B$17,$B$21,MATCH(L1041,Aux_CAV!$A$2:$A$121,1))))</f>
        <v>11</v>
      </c>
      <c r="AC1041" s="19" t="n">
        <f aca="false">IF(D1041="","",COUNT($D$24:D1041))</f>
        <v>1006</v>
      </c>
    </row>
    <row r="1042" customFormat="false" ht="12.75" hidden="false" customHeight="true" outlineLevel="0" collapsed="false">
      <c r="A1042" s="14" t="n">
        <f aca="false">IF(D1042="","",DATE(B1042,C1042,1))</f>
        <v>34639</v>
      </c>
      <c r="B1042" s="15" t="n">
        <f aca="false" t="array" ref="B1042:B1042">IF(D1042="","",IFERROR(VALUE(INDEX(Vazoes_COLAR!$A$2:$A$200,INT((ROW()-24)/12)+1)),""))</f>
        <v>1994</v>
      </c>
      <c r="C1042" s="15" t="n">
        <f aca="false">IF(D1042="","",MOD(ROW()-24,12)+1)</f>
        <v>11</v>
      </c>
      <c r="D1042" s="16" t="n">
        <f aca="false" t="array" ref="D1042: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0.0270363811992298</v>
      </c>
      <c r="E1042" s="16" t="n">
        <f aca="false">IF(D1042="","",D1042*$B$15)</f>
        <v>0.0700783000684036</v>
      </c>
      <c r="F1042" s="16" t="n">
        <f aca="false" t="array" ref="F1042:F1042">IF(D1042="","",IFERROR(INDEX(Dados_Evap!$C$2:$N$15,MATCH($B$9,Dados_Evap!$A$2:$A$15,0),C1042),0))</f>
        <v>223.7</v>
      </c>
      <c r="G1042" s="16" t="n">
        <f aca="false">IF(F1042="","",F1042/1000)</f>
        <v>0.2237</v>
      </c>
      <c r="H1042" s="16" t="n">
        <f aca="false">IF(D1042="","",MAX(0,MIN($B$8,IFERROR(LOOKUP(2,1/($U$24:U1041&lt;&gt;""),$U$24:U1041),$B$11))))</f>
        <v>16.2478259386163</v>
      </c>
      <c r="I1042" s="16" t="n">
        <f aca="false" t="array" ref="I1042: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>3.67961822193219</v>
      </c>
      <c r="J1042" s="16" t="n">
        <f aca="false">IF(D1042="","",$B$12)</f>
        <v>0.35</v>
      </c>
      <c r="K1042" s="16" t="n">
        <f aca="false">IF(J1042="","",J1042*$B$15)</f>
        <v>0.9072</v>
      </c>
      <c r="L1042" s="16" t="n">
        <f aca="false">IF(D1042="","",H1042+E1042-K1042-G1042*I1042)</f>
        <v>14.5875736424385</v>
      </c>
      <c r="M1042" s="16" t="n">
        <f aca="false" t="array" ref="M1042: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>3.52952834009034</v>
      </c>
      <c r="N1042" s="16" t="n">
        <f aca="false">IF(D1042="","",(I1042+M1042)/2)</f>
        <v>3.60457328101127</v>
      </c>
      <c r="O1042" s="16" t="n">
        <f aca="false">IF(D1042="","",G1042*N1042)</f>
        <v>0.80634304296222</v>
      </c>
      <c r="P1042" s="16" t="n">
        <f aca="false">IF(D1042="","",H1042+E1042-K1042-O1042)</f>
        <v>14.6043611957225</v>
      </c>
      <c r="Q1042" s="16" t="n">
        <f aca="false">IF(D1042="","",IF(P1042&gt;=0,K1042,MAX(0,K1042+P1042)))</f>
        <v>0.9072</v>
      </c>
      <c r="R1042" s="16" t="n">
        <f aca="false">IF(D1042="","",Q1042/$B$15)</f>
        <v>0.35</v>
      </c>
      <c r="S1042" s="16" t="n">
        <f aca="false">IF(D1042="","",MAX(0,J1042-R1042))</f>
        <v>0</v>
      </c>
      <c r="T1042" s="16" t="n">
        <f aca="false">IF(D1042="","",MAX(0,Z1042-$B$8))</f>
        <v>0</v>
      </c>
      <c r="U1042" s="16" t="n">
        <f aca="false">IF(D1042="","",MAX(0,MIN($B$8,Z1042)))</f>
        <v>14.6043611957225</v>
      </c>
      <c r="V1042" s="16" t="str">
        <f aca="false">IF(D1042="","",IF(S1042&gt;0.0000001,"Sim","Não"))</f>
        <v>Não</v>
      </c>
      <c r="W1042" s="16" t="n">
        <f aca="false">IF(D1042="","",U1042-(H1042+E1042-Q1042-O1042-T1042))</f>
        <v>0</v>
      </c>
      <c r="X1042" s="16" t="n">
        <f aca="false">IF(W1042="","",ABS(W1042))</f>
        <v>0</v>
      </c>
      <c r="Y1042" s="16" t="n">
        <f aca="false">IF(U1042="","",IF($B$8=0,0,U1042/$B$8*100))</f>
        <v>30.9283379833174</v>
      </c>
      <c r="Z1042" s="18" t="n">
        <f aca="false">IF(D1042="","",MAX(0,IF(P1042&gt;=0,P1042,IF(K1042+P1042&gt;=0,0,P1042+K1042))))</f>
        <v>14.6043611957225</v>
      </c>
      <c r="AA1042" s="18" t="n">
        <f aca="false">IF(D1042="","",IF(H1042&lt;=$B$16,1,IF(H1042&gt;=$B$17,$B$21,MATCH(H1042,Aux_CAV!$A$2:$A$121,1))))</f>
        <v>11</v>
      </c>
      <c r="AB1042" s="18" t="n">
        <f aca="false">IF(D1042="","",IF(L1042&lt;=$B$16,1,IF(L1042&gt;=$B$17,$B$21,MATCH(L1042,Aux_CAV!$A$2:$A$121,1))))</f>
        <v>10</v>
      </c>
      <c r="AC1042" s="19" t="n">
        <f aca="false">IF(D1042="","",COUNT($D$24:D1042))</f>
        <v>1007</v>
      </c>
    </row>
    <row r="1043" customFormat="false" ht="12.75" hidden="false" customHeight="true" outlineLevel="0" collapsed="false">
      <c r="A1043" s="14" t="n">
        <f aca="false">IF(D1043="","",DATE(B1043,C1043,1))</f>
        <v>34669</v>
      </c>
      <c r="B1043" s="15" t="n">
        <f aca="false" t="array" ref="B1043:B1043">IF(D1043="","",IFERROR(VALUE(INDEX(Vazoes_COLAR!$A$2:$A$200,INT((ROW()-24)/12)+1)),""))</f>
        <v>1994</v>
      </c>
      <c r="C1043" s="15" t="n">
        <f aca="false">IF(D1043="","",MOD(ROW()-24,12)+1)</f>
        <v>12</v>
      </c>
      <c r="D1043" s="16" t="n">
        <f aca="false" t="array" ref="D1043: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0.154032244539937</v>
      </c>
      <c r="E1043" s="16" t="n">
        <f aca="false">IF(D1043="","",D1043*$B$15)</f>
        <v>0.399251577847517</v>
      </c>
      <c r="F1043" s="16" t="n">
        <f aca="false" t="array" ref="F1043:F1043">IF(D1043="","",IFERROR(INDEX(Dados_Evap!$C$2:$N$15,MATCH($B$9,Dados_Evap!$A$2:$A$15,0),C1043),0))</f>
        <v>216.1</v>
      </c>
      <c r="G1043" s="16" t="n">
        <f aca="false">IF(F1043="","",F1043/1000)</f>
        <v>0.2161</v>
      </c>
      <c r="H1043" s="16" t="n">
        <f aca="false">IF(D1043="","",MAX(0,MIN($B$8,IFERROR(LOOKUP(2,1/($U$24:U1042&lt;&gt;""),$U$24:U1042),$B$11))))</f>
        <v>14.6043611957225</v>
      </c>
      <c r="I1043" s="16" t="n">
        <f aca="false" t="array" ref="I1043: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>3.53096021963515</v>
      </c>
      <c r="J1043" s="16" t="n">
        <f aca="false">IF(D1043="","",$B$12)</f>
        <v>0.35</v>
      </c>
      <c r="K1043" s="16" t="n">
        <f aca="false">IF(J1043="","",J1043*$B$15)</f>
        <v>0.9072</v>
      </c>
      <c r="L1043" s="16" t="n">
        <f aca="false">IF(D1043="","",H1043+E1043-K1043-G1043*I1043)</f>
        <v>13.3333722701068</v>
      </c>
      <c r="M1043" s="16" t="n">
        <f aca="false" t="array" ref="M1043: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>3.42255234068558</v>
      </c>
      <c r="N1043" s="16" t="n">
        <f aca="false">IF(D1043="","",(I1043+M1043)/2)</f>
        <v>3.47675628016037</v>
      </c>
      <c r="O1043" s="16" t="n">
        <f aca="false">IF(D1043="","",G1043*N1043)</f>
        <v>0.751327032142656</v>
      </c>
      <c r="P1043" s="16" t="n">
        <f aca="false">IF(D1043="","",H1043+E1043-K1043-O1043)</f>
        <v>13.3450857414273</v>
      </c>
      <c r="Q1043" s="16" t="n">
        <f aca="false">IF(D1043="","",IF(P1043&gt;=0,K1043,MAX(0,K1043+P1043)))</f>
        <v>0.9072</v>
      </c>
      <c r="R1043" s="16" t="n">
        <f aca="false">IF(D1043="","",Q1043/$B$15)</f>
        <v>0.35</v>
      </c>
      <c r="S1043" s="16" t="n">
        <f aca="false">IF(D1043="","",MAX(0,J1043-R1043))</f>
        <v>0</v>
      </c>
      <c r="T1043" s="16" t="n">
        <f aca="false">IF(D1043="","",MAX(0,Z1043-$B$8))</f>
        <v>0</v>
      </c>
      <c r="U1043" s="16" t="n">
        <f aca="false">IF(D1043="","",MAX(0,MIN($B$8,Z1043)))</f>
        <v>13.3450857414273</v>
      </c>
      <c r="V1043" s="16" t="str">
        <f aca="false">IF(D1043="","",IF(S1043&gt;0.0000001,"Sim","Não"))</f>
        <v>Não</v>
      </c>
      <c r="W1043" s="16" t="n">
        <f aca="false">IF(D1043="","",U1043-(H1043+E1043-Q1043-O1043-T1043))</f>
        <v>0</v>
      </c>
      <c r="X1043" s="16" t="n">
        <f aca="false">IF(W1043="","",ABS(W1043))</f>
        <v>0</v>
      </c>
      <c r="Y1043" s="16" t="n">
        <f aca="false">IF(U1043="","",IF($B$8=0,0,U1043/$B$8*100))</f>
        <v>28.2615115235649</v>
      </c>
      <c r="Z1043" s="18" t="n">
        <f aca="false">IF(D1043="","",MAX(0,IF(P1043&gt;=0,P1043,IF(K1043+P1043&gt;=0,0,P1043+K1043))))</f>
        <v>13.3450857414273</v>
      </c>
      <c r="AA1043" s="18" t="n">
        <f aca="false">IF(D1043="","",IF(H1043&lt;=$B$16,1,IF(H1043&gt;=$B$17,$B$21,MATCH(H1043,Aux_CAV!$A$2:$A$121,1))))</f>
        <v>10</v>
      </c>
      <c r="AB1043" s="18" t="n">
        <f aca="false">IF(D1043="","",IF(L1043&lt;=$B$16,1,IF(L1043&gt;=$B$17,$B$21,MATCH(L1043,Aux_CAV!$A$2:$A$121,1))))</f>
        <v>10</v>
      </c>
      <c r="AC1043" s="19" t="n">
        <f aca="false">IF(D1043="","",COUNT($D$24:D1043))</f>
        <v>1008</v>
      </c>
    </row>
    <row r="1044" customFormat="false" ht="12.75" hidden="false" customHeight="true" outlineLevel="0" collapsed="false">
      <c r="A1044" s="14" t="n">
        <f aca="false">IF(D1044="","",DATE(B1044,C1044,1))</f>
        <v>34700</v>
      </c>
      <c r="B1044" s="15" t="n">
        <f aca="false" t="array" ref="B1044:B1044">IF(D1044="","",IFERROR(VALUE(INDEX(Vazoes_COLAR!$A$2:$A$200,INT((ROW()-24)/12)+1)),""))</f>
        <v>1995</v>
      </c>
      <c r="C1044" s="15" t="n">
        <f aca="false">IF(D1044="","",MOD(ROW()-24,12)+1)</f>
        <v>1</v>
      </c>
      <c r="D1044" s="16" t="n">
        <f aca="false" t="array" ref="D1044: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0.222874254336754</v>
      </c>
      <c r="E1044" s="16" t="n">
        <f aca="false">IF(D1044="","",D1044*$B$15)</f>
        <v>0.577690067240866</v>
      </c>
      <c r="F1044" s="16" t="n">
        <f aca="false" t="array" ref="F1044:F1044">IF(D1044="","",IFERROR(INDEX(Dados_Evap!$C$2:$N$15,MATCH($B$9,Dados_Evap!$A$2:$A$15,0),C1044),0))</f>
        <v>160</v>
      </c>
      <c r="G1044" s="16" t="n">
        <f aca="false">IF(F1044="","",F1044/1000)</f>
        <v>0.16</v>
      </c>
      <c r="H1044" s="16" t="n">
        <f aca="false">IF(D1044="","",MAX(0,MIN($B$8,IFERROR(LOOKUP(2,1/($U$24:U1043&lt;&gt;""),$U$24:U1043),$B$11))))</f>
        <v>13.3450857414273</v>
      </c>
      <c r="I1044" s="16" t="n">
        <f aca="false" t="array" ref="I1044: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>3.42355143088645</v>
      </c>
      <c r="J1044" s="16" t="n">
        <f aca="false">IF(D1044="","",$B$12)</f>
        <v>0.35</v>
      </c>
      <c r="K1044" s="16" t="n">
        <f aca="false">IF(J1044="","",J1044*$B$15)</f>
        <v>0.9072</v>
      </c>
      <c r="L1044" s="16" t="n">
        <f aca="false">IF(D1044="","",H1044+E1044-K1044-G1044*I1044)</f>
        <v>12.4678075797264</v>
      </c>
      <c r="M1044" s="16" t="n">
        <f aca="false" t="array" ref="M1044: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>3.34872476415313</v>
      </c>
      <c r="N1044" s="16" t="n">
        <f aca="false">IF(D1044="","",(I1044+M1044)/2)</f>
        <v>3.38613809751979</v>
      </c>
      <c r="O1044" s="16" t="n">
        <f aca="false">IF(D1044="","",G1044*N1044)</f>
        <v>0.541782095603167</v>
      </c>
      <c r="P1044" s="16" t="n">
        <f aca="false">IF(D1044="","",H1044+E1044-K1044-O1044)</f>
        <v>12.473793713065</v>
      </c>
      <c r="Q1044" s="16" t="n">
        <f aca="false">IF(D1044="","",IF(P1044&gt;=0,K1044,MAX(0,K1044+P1044)))</f>
        <v>0.9072</v>
      </c>
      <c r="R1044" s="16" t="n">
        <f aca="false">IF(D1044="","",Q1044/$B$15)</f>
        <v>0.35</v>
      </c>
      <c r="S1044" s="16" t="n">
        <f aca="false">IF(D1044="","",MAX(0,J1044-R1044))</f>
        <v>0</v>
      </c>
      <c r="T1044" s="16" t="n">
        <f aca="false">IF(D1044="","",MAX(0,Z1044-$B$8))</f>
        <v>0</v>
      </c>
      <c r="U1044" s="16" t="n">
        <f aca="false">IF(D1044="","",MAX(0,MIN($B$8,Z1044)))</f>
        <v>12.473793713065</v>
      </c>
      <c r="V1044" s="16" t="str">
        <f aca="false">IF(D1044="","",IF(S1044&gt;0.0000001,"Sim","Não"))</f>
        <v>Não</v>
      </c>
      <c r="W1044" s="16" t="n">
        <f aca="false">IF(D1044="","",U1044-(H1044+E1044-Q1044-O1044-T1044))</f>
        <v>0</v>
      </c>
      <c r="X1044" s="16" t="n">
        <f aca="false">IF(W1044="","",ABS(W1044))</f>
        <v>0</v>
      </c>
      <c r="Y1044" s="16" t="n">
        <f aca="false">IF(U1044="","",IF($B$8=0,0,U1044/$B$8*100))</f>
        <v>26.4163356905232</v>
      </c>
      <c r="Z1044" s="18" t="n">
        <f aca="false">IF(D1044="","",MAX(0,IF(P1044&gt;=0,P1044,IF(K1044+P1044&gt;=0,0,P1044+K1044))))</f>
        <v>12.473793713065</v>
      </c>
      <c r="AA1044" s="18" t="n">
        <f aca="false">IF(D1044="","",IF(H1044&lt;=$B$16,1,IF(H1044&gt;=$B$17,$B$21,MATCH(H1044,Aux_CAV!$A$2:$A$121,1))))</f>
        <v>10</v>
      </c>
      <c r="AB1044" s="18" t="n">
        <f aca="false">IF(D1044="","",IF(L1044&lt;=$B$16,1,IF(L1044&gt;=$B$17,$B$21,MATCH(L1044,Aux_CAV!$A$2:$A$121,1))))</f>
        <v>10</v>
      </c>
      <c r="AC1044" s="19" t="n">
        <f aca="false">IF(D1044="","",COUNT($D$24:D1044))</f>
        <v>1009</v>
      </c>
    </row>
    <row r="1045" customFormat="false" ht="12.75" hidden="false" customHeight="true" outlineLevel="0" collapsed="false">
      <c r="A1045" s="14" t="n">
        <f aca="false">IF(D1045="","",DATE(B1045,C1045,1))</f>
        <v>34731</v>
      </c>
      <c r="B1045" s="15" t="n">
        <f aca="false" t="array" ref="B1045:B1045">IF(D1045="","",IFERROR(VALUE(INDEX(Vazoes_COLAR!$A$2:$A$200,INT((ROW()-24)/12)+1)),""))</f>
        <v>1995</v>
      </c>
      <c r="C1045" s="15" t="n">
        <f aca="false">IF(D1045="","",MOD(ROW()-24,12)+1)</f>
        <v>2</v>
      </c>
      <c r="D1045" s="16" t="n">
        <f aca="false" t="array" ref="D1045: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0.853102738335112</v>
      </c>
      <c r="E1045" s="16" t="n">
        <f aca="false">IF(D1045="","",D1045*$B$15)</f>
        <v>2.21124229776461</v>
      </c>
      <c r="F1045" s="16" t="n">
        <f aca="false" t="array" ref="F1045:F1045">IF(D1045="","",IFERROR(INDEX(Dados_Evap!$C$2:$N$15,MATCH($B$9,Dados_Evap!$A$2:$A$15,0),C1045),0))</f>
        <v>124.3</v>
      </c>
      <c r="G1045" s="16" t="n">
        <f aca="false">IF(F1045="","",F1045/1000)</f>
        <v>0.1243</v>
      </c>
      <c r="H1045" s="16" t="n">
        <f aca="false">IF(D1045="","",MAX(0,MIN($B$8,IFERROR(LOOKUP(2,1/($U$24:U1044&lt;&gt;""),$U$24:U1044),$B$11))))</f>
        <v>12.473793713065</v>
      </c>
      <c r="I1045" s="16" t="n">
        <f aca="false" t="array" ref="I1045: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>3.34923534611437</v>
      </c>
      <c r="J1045" s="16" t="n">
        <f aca="false">IF(D1045="","",$B$12)</f>
        <v>0.35</v>
      </c>
      <c r="K1045" s="16" t="n">
        <f aca="false">IF(J1045="","",J1045*$B$15)</f>
        <v>0.9072</v>
      </c>
      <c r="L1045" s="16" t="n">
        <f aca="false">IF(D1045="","",H1045+E1045-K1045-G1045*I1045)</f>
        <v>13.3615260573076</v>
      </c>
      <c r="M1045" s="16" t="n">
        <f aca="false" t="array" ref="M1045: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>3.4249536931233</v>
      </c>
      <c r="N1045" s="16" t="n">
        <f aca="false">IF(D1045="","",(I1045+M1045)/2)</f>
        <v>3.38709451961884</v>
      </c>
      <c r="O1045" s="16" t="n">
        <f aca="false">IF(D1045="","",G1045*N1045)</f>
        <v>0.421015848788621</v>
      </c>
      <c r="P1045" s="16" t="n">
        <f aca="false">IF(D1045="","",H1045+E1045-K1045-O1045)</f>
        <v>13.356820162041</v>
      </c>
      <c r="Q1045" s="16" t="n">
        <f aca="false">IF(D1045="","",IF(P1045&gt;=0,K1045,MAX(0,K1045+P1045)))</f>
        <v>0.9072</v>
      </c>
      <c r="R1045" s="16" t="n">
        <f aca="false">IF(D1045="","",Q1045/$B$15)</f>
        <v>0.35</v>
      </c>
      <c r="S1045" s="16" t="n">
        <f aca="false">IF(D1045="","",MAX(0,J1045-R1045))</f>
        <v>0</v>
      </c>
      <c r="T1045" s="16" t="n">
        <f aca="false">IF(D1045="","",MAX(0,Z1045-$B$8))</f>
        <v>0</v>
      </c>
      <c r="U1045" s="16" t="n">
        <f aca="false">IF(D1045="","",MAX(0,MIN($B$8,Z1045)))</f>
        <v>13.356820162041</v>
      </c>
      <c r="V1045" s="16" t="str">
        <f aca="false">IF(D1045="","",IF(S1045&gt;0.0000001,"Sim","Não"))</f>
        <v>Não</v>
      </c>
      <c r="W1045" s="16" t="n">
        <f aca="false">IF(D1045="","",U1045-(H1045+E1045-Q1045-O1045-T1045))</f>
        <v>0</v>
      </c>
      <c r="X1045" s="16" t="n">
        <f aca="false">IF(W1045="","",ABS(W1045))</f>
        <v>0</v>
      </c>
      <c r="Y1045" s="16" t="n">
        <f aca="false">IF(U1045="","",IF($B$8=0,0,U1045/$B$8*100))</f>
        <v>28.2863620543012</v>
      </c>
      <c r="Z1045" s="18" t="n">
        <f aca="false">IF(D1045="","",MAX(0,IF(P1045&gt;=0,P1045,IF(K1045+P1045&gt;=0,0,P1045+K1045))))</f>
        <v>13.356820162041</v>
      </c>
      <c r="AA1045" s="18" t="n">
        <f aca="false">IF(D1045="","",IF(H1045&lt;=$B$16,1,IF(H1045&gt;=$B$17,$B$21,MATCH(H1045,Aux_CAV!$A$2:$A$121,1))))</f>
        <v>10</v>
      </c>
      <c r="AB1045" s="18" t="n">
        <f aca="false">IF(D1045="","",IF(L1045&lt;=$B$16,1,IF(L1045&gt;=$B$17,$B$21,MATCH(L1045,Aux_CAV!$A$2:$A$121,1))))</f>
        <v>10</v>
      </c>
      <c r="AC1045" s="19" t="n">
        <f aca="false">IF(D1045="","",COUNT($D$24:D1045))</f>
        <v>1010</v>
      </c>
    </row>
    <row r="1046" customFormat="false" ht="12.75" hidden="false" customHeight="true" outlineLevel="0" collapsed="false">
      <c r="A1046" s="14" t="n">
        <f aca="false">IF(D1046="","",DATE(B1046,C1046,1))</f>
        <v>34759</v>
      </c>
      <c r="B1046" s="15" t="n">
        <f aca="false" t="array" ref="B1046:B1046">IF(D1046="","",IFERROR(VALUE(INDEX(Vazoes_COLAR!$A$2:$A$200,INT((ROW()-24)/12)+1)),""))</f>
        <v>1995</v>
      </c>
      <c r="C1046" s="15" t="n">
        <f aca="false">IF(D1046="","",MOD(ROW()-24,12)+1)</f>
        <v>3</v>
      </c>
      <c r="D1046" s="16" t="n">
        <f aca="false" t="array" ref="D1046: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4.18381319904119</v>
      </c>
      <c r="E1046" s="16" t="n">
        <f aca="false">IF(D1046="","",D1046*$B$15)</f>
        <v>10.8444438119148</v>
      </c>
      <c r="F1046" s="16" t="n">
        <f aca="false" t="array" ref="F1046:F1046">IF(D1046="","",IFERROR(INDEX(Dados_Evap!$C$2:$N$15,MATCH($B$9,Dados_Evap!$A$2:$A$15,0),C1046),0))</f>
        <v>107.7</v>
      </c>
      <c r="G1046" s="16" t="n">
        <f aca="false">IF(F1046="","",F1046/1000)</f>
        <v>0.1077</v>
      </c>
      <c r="H1046" s="16" t="n">
        <f aca="false">IF(D1046="","",MAX(0,MIN($B$8,IFERROR(LOOKUP(2,1/($U$24:U1045&lt;&gt;""),$U$24:U1045),$B$11))))</f>
        <v>13.356820162041</v>
      </c>
      <c r="I1046" s="16" t="n">
        <f aca="false" t="array" ref="I1046: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>3.42455230793879</v>
      </c>
      <c r="J1046" s="16" t="n">
        <f aca="false">IF(D1046="","",$B$12)</f>
        <v>0.35</v>
      </c>
      <c r="K1046" s="16" t="n">
        <f aca="false">IF(J1046="","",J1046*$B$15)</f>
        <v>0.9072</v>
      </c>
      <c r="L1046" s="16" t="n">
        <f aca="false">IF(D1046="","",H1046+E1046-K1046-G1046*I1046)</f>
        <v>22.9252396903908</v>
      </c>
      <c r="M1046" s="16" t="n">
        <f aca="false" t="array" ref="M1046: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>4.47765059714427</v>
      </c>
      <c r="N1046" s="16" t="n">
        <f aca="false">IF(D1046="","",(I1046+M1046)/2)</f>
        <v>3.95110145254153</v>
      </c>
      <c r="O1046" s="16" t="n">
        <f aca="false">IF(D1046="","",G1046*N1046)</f>
        <v>0.425533626438723</v>
      </c>
      <c r="P1046" s="16" t="n">
        <f aca="false">IF(D1046="","",H1046+E1046-K1046-O1046)</f>
        <v>22.8685303475171</v>
      </c>
      <c r="Q1046" s="16" t="n">
        <f aca="false">IF(D1046="","",IF(P1046&gt;=0,K1046,MAX(0,K1046+P1046)))</f>
        <v>0.9072</v>
      </c>
      <c r="R1046" s="16" t="n">
        <f aca="false">IF(D1046="","",Q1046/$B$15)</f>
        <v>0.35</v>
      </c>
      <c r="S1046" s="16" t="n">
        <f aca="false">IF(D1046="","",MAX(0,J1046-R1046))</f>
        <v>0</v>
      </c>
      <c r="T1046" s="16" t="n">
        <f aca="false">IF(D1046="","",MAX(0,Z1046-$B$8))</f>
        <v>0</v>
      </c>
      <c r="U1046" s="16" t="n">
        <f aca="false">IF(D1046="","",MAX(0,MIN($B$8,Z1046)))</f>
        <v>22.8685303475171</v>
      </c>
      <c r="V1046" s="16" t="str">
        <f aca="false">IF(D1046="","",IF(S1046&gt;0.0000001,"Sim","Não"))</f>
        <v>Não</v>
      </c>
      <c r="W1046" s="16" t="n">
        <f aca="false">IF(D1046="","",U1046-(H1046+E1046-Q1046-O1046-T1046))</f>
        <v>0</v>
      </c>
      <c r="X1046" s="16" t="n">
        <f aca="false">IF(W1046="","",ABS(W1046))</f>
        <v>0</v>
      </c>
      <c r="Y1046" s="16" t="n">
        <f aca="false">IF(U1046="","",IF($B$8=0,0,U1046/$B$8*100))</f>
        <v>48.4297550773339</v>
      </c>
      <c r="Z1046" s="18" t="n">
        <f aca="false">IF(D1046="","",MAX(0,IF(P1046&gt;=0,P1046,IF(K1046+P1046&gt;=0,0,P1046+K1046))))</f>
        <v>22.8685303475171</v>
      </c>
      <c r="AA1046" s="18" t="n">
        <f aca="false">IF(D1046="","",IF(H1046&lt;=$B$16,1,IF(H1046&gt;=$B$17,$B$21,MATCH(H1046,Aux_CAV!$A$2:$A$121,1))))</f>
        <v>10</v>
      </c>
      <c r="AB1046" s="18" t="n">
        <f aca="false">IF(D1046="","",IF(L1046&lt;=$B$16,1,IF(L1046&gt;=$B$17,$B$21,MATCH(L1046,Aux_CAV!$A$2:$A$121,1))))</f>
        <v>11</v>
      </c>
      <c r="AC1046" s="19" t="n">
        <f aca="false">IF(D1046="","",COUNT($D$24:D1046))</f>
        <v>1011</v>
      </c>
    </row>
    <row r="1047" customFormat="false" ht="12.75" hidden="false" customHeight="true" outlineLevel="0" collapsed="false">
      <c r="A1047" s="14" t="n">
        <f aca="false">IF(D1047="","",DATE(B1047,C1047,1))</f>
        <v>34790</v>
      </c>
      <c r="B1047" s="15" t="n">
        <f aca="false" t="array" ref="B1047:B1047">IF(D1047="","",IFERROR(VALUE(INDEX(Vazoes_COLAR!$A$2:$A$200,INT((ROW()-24)/12)+1)),""))</f>
        <v>1995</v>
      </c>
      <c r="C1047" s="15" t="n">
        <f aca="false">IF(D1047="","",MOD(ROW()-24,12)+1)</f>
        <v>4</v>
      </c>
      <c r="D1047" s="16" t="n">
        <f aca="false" t="array" ref="D1047: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7.99433486053347</v>
      </c>
      <c r="E1047" s="16" t="n">
        <f aca="false">IF(D1047="","",D1047*$B$15)</f>
        <v>20.7213159585028</v>
      </c>
      <c r="F1047" s="16" t="n">
        <f aca="false" t="array" ref="F1047:F1047">IF(D1047="","",IFERROR(INDEX(Dados_Evap!$C$2:$N$15,MATCH($B$9,Dados_Evap!$A$2:$A$15,0),C1047),0))</f>
        <v>100.5</v>
      </c>
      <c r="G1047" s="16" t="n">
        <f aca="false">IF(F1047="","",F1047/1000)</f>
        <v>0.1005</v>
      </c>
      <c r="H1047" s="16" t="n">
        <f aca="false">IF(D1047="","",MAX(0,MIN($B$8,IFERROR(LOOKUP(2,1/($U$24:U1046&lt;&gt;""),$U$24:U1046),$B$11))))</f>
        <v>22.8685303475171</v>
      </c>
      <c r="I1047" s="16" t="n">
        <f aca="false" t="array" ref="I1047: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>4.47087313909351</v>
      </c>
      <c r="J1047" s="16" t="n">
        <f aca="false">IF(D1047="","",$B$12)</f>
        <v>0.35</v>
      </c>
      <c r="K1047" s="16" t="n">
        <f aca="false">IF(J1047="","",J1047*$B$15)</f>
        <v>0.9072</v>
      </c>
      <c r="L1047" s="16" t="n">
        <f aca="false">IF(D1047="","",H1047+E1047-K1047-G1047*I1047)</f>
        <v>42.2333235555409</v>
      </c>
      <c r="M1047" s="16" t="n">
        <f aca="false" t="array" ref="M1047: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>6.47211642417744</v>
      </c>
      <c r="N1047" s="16" t="n">
        <f aca="false">IF(D1047="","",(I1047+M1047)/2)</f>
        <v>5.47149478163547</v>
      </c>
      <c r="O1047" s="16" t="n">
        <f aca="false">IF(D1047="","",G1047*N1047)</f>
        <v>0.549885225554365</v>
      </c>
      <c r="P1047" s="16" t="n">
        <f aca="false">IF(D1047="","",H1047+E1047-K1047-O1047)</f>
        <v>42.1327610804655</v>
      </c>
      <c r="Q1047" s="16" t="n">
        <f aca="false">IF(D1047="","",IF(P1047&gt;=0,K1047,MAX(0,K1047+P1047)))</f>
        <v>0.9072</v>
      </c>
      <c r="R1047" s="16" t="n">
        <f aca="false">IF(D1047="","",Q1047/$B$15)</f>
        <v>0.35</v>
      </c>
      <c r="S1047" s="16" t="n">
        <f aca="false">IF(D1047="","",MAX(0,J1047-R1047))</f>
        <v>0</v>
      </c>
      <c r="T1047" s="16" t="n">
        <f aca="false">IF(D1047="","",MAX(0,Z1047-$B$8))</f>
        <v>0</v>
      </c>
      <c r="U1047" s="16" t="n">
        <f aca="false">IF(D1047="","",MAX(0,MIN($B$8,Z1047)))</f>
        <v>42.1327610804655</v>
      </c>
      <c r="V1047" s="16" t="str">
        <f aca="false">IF(D1047="","",IF(S1047&gt;0.0000001,"Sim","Não"))</f>
        <v>Não</v>
      </c>
      <c r="W1047" s="16" t="n">
        <f aca="false">IF(D1047="","",U1047-(H1047+E1047-Q1047-O1047-T1047))</f>
        <v>0</v>
      </c>
      <c r="X1047" s="16" t="n">
        <f aca="false">IF(W1047="","",ABS(W1047))</f>
        <v>0</v>
      </c>
      <c r="Y1047" s="16" t="n">
        <f aca="false">IF(U1047="","",IF($B$8=0,0,U1047/$B$8*100))</f>
        <v>89.2265164770552</v>
      </c>
      <c r="Z1047" s="18" t="n">
        <f aca="false">IF(D1047="","",MAX(0,IF(P1047&gt;=0,P1047,IF(K1047+P1047&gt;=0,0,P1047+K1047))))</f>
        <v>42.1327610804655</v>
      </c>
      <c r="AA1047" s="18" t="n">
        <f aca="false">IF(D1047="","",IF(H1047&lt;=$B$16,1,IF(H1047&gt;=$B$17,$B$21,MATCH(H1047,Aux_CAV!$A$2:$A$121,1))))</f>
        <v>11</v>
      </c>
      <c r="AB1047" s="18" t="n">
        <f aca="false">IF(D1047="","",IF(L1047&lt;=$B$16,1,IF(L1047&gt;=$B$17,$B$21,MATCH(L1047,Aux_CAV!$A$2:$A$121,1))))</f>
        <v>13</v>
      </c>
      <c r="AC1047" s="19" t="n">
        <f aca="false">IF(D1047="","",COUNT($D$24:D1047))</f>
        <v>1012</v>
      </c>
    </row>
    <row r="1048" customFormat="false" ht="12.75" hidden="false" customHeight="true" outlineLevel="0" collapsed="false">
      <c r="A1048" s="14" t="n">
        <f aca="false">IF(D1048="","",DATE(B1048,C1048,1))</f>
        <v>34820</v>
      </c>
      <c r="B1048" s="15" t="n">
        <f aca="false" t="array" ref="B1048:B1048">IF(D1048="","",IFERROR(VALUE(INDEX(Vazoes_COLAR!$A$2:$A$200,INT((ROW()-24)/12)+1)),""))</f>
        <v>1995</v>
      </c>
      <c r="C1048" s="15" t="n">
        <f aca="false">IF(D1048="","",MOD(ROW()-24,12)+1)</f>
        <v>5</v>
      </c>
      <c r="D1048" s="16" t="n">
        <f aca="false" t="array" ref="D1048: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5.93361658840977</v>
      </c>
      <c r="E1048" s="16" t="n">
        <f aca="false">IF(D1048="","",D1048*$B$15)</f>
        <v>15.3799341971581</v>
      </c>
      <c r="F1048" s="16" t="n">
        <f aca="false" t="array" ref="F1048:F1048">IF(D1048="","",IFERROR(INDEX(Dados_Evap!$C$2:$N$15,MATCH($B$9,Dados_Evap!$A$2:$A$15,0),C1048),0))</f>
        <v>145.8</v>
      </c>
      <c r="G1048" s="16" t="n">
        <f aca="false">IF(F1048="","",F1048/1000)</f>
        <v>0.1458</v>
      </c>
      <c r="H1048" s="16" t="n">
        <f aca="false">IF(D1048="","",MAX(0,MIN($B$8,IFERROR(LOOKUP(2,1/($U$24:U1047&lt;&gt;""),$U$24:U1047),$B$11))))</f>
        <v>42.1327610804655</v>
      </c>
      <c r="I1048" s="16" t="n">
        <f aca="false" t="array" ref="I1048: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>6.46207598837981</v>
      </c>
      <c r="J1048" s="16" t="n">
        <f aca="false">IF(D1048="","",$B$12)</f>
        <v>0.35</v>
      </c>
      <c r="K1048" s="16" t="n">
        <f aca="false">IF(J1048="","",J1048*$B$15)</f>
        <v>0.9072</v>
      </c>
      <c r="L1048" s="16" t="n">
        <f aca="false">IF(D1048="","",H1048+E1048-K1048-G1048*I1048)</f>
        <v>55.6633245985178</v>
      </c>
      <c r="M1048" s="16" t="n">
        <f aca="false" t="array" ref="M1048: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>7.97164971219744</v>
      </c>
      <c r="N1048" s="16" t="n">
        <f aca="false">IF(D1048="","",(I1048+M1048)/2)</f>
        <v>7.21686285028863</v>
      </c>
      <c r="O1048" s="16" t="n">
        <f aca="false">IF(D1048="","",G1048*N1048)</f>
        <v>1.05221860357208</v>
      </c>
      <c r="P1048" s="16" t="n">
        <f aca="false">IF(D1048="","",H1048+E1048-K1048-O1048)</f>
        <v>55.5532766740515</v>
      </c>
      <c r="Q1048" s="16" t="n">
        <f aca="false">IF(D1048="","",IF(P1048&gt;=0,K1048,MAX(0,K1048+P1048)))</f>
        <v>0.9072</v>
      </c>
      <c r="R1048" s="16" t="n">
        <f aca="false">IF(D1048="","",Q1048/$B$15)</f>
        <v>0.35</v>
      </c>
      <c r="S1048" s="16" t="n">
        <f aca="false">IF(D1048="","",MAX(0,J1048-R1048))</f>
        <v>0</v>
      </c>
      <c r="T1048" s="16" t="n">
        <f aca="false">IF(D1048="","",MAX(0,Z1048-$B$8))</f>
        <v>8.33327667405151</v>
      </c>
      <c r="U1048" s="16" t="n">
        <f aca="false">IF(D1048="","",MAX(0,MIN($B$8,Z1048)))</f>
        <v>47.22</v>
      </c>
      <c r="V1048" s="16" t="str">
        <f aca="false">IF(D1048="","",IF(S1048&gt;0.0000001,"Sim","Não"))</f>
        <v>Não</v>
      </c>
      <c r="W1048" s="16" t="n">
        <f aca="false">IF(D1048="","",U1048-(H1048+E1048-Q1048-O1048-T1048))</f>
        <v>0</v>
      </c>
      <c r="X1048" s="16" t="n">
        <f aca="false">IF(W1048="","",ABS(W1048))</f>
        <v>0</v>
      </c>
      <c r="Y1048" s="16" t="n">
        <f aca="false">IF(U1048="","",IF($B$8=0,0,U1048/$B$8*100))</f>
        <v>100</v>
      </c>
      <c r="Z1048" s="18" t="n">
        <f aca="false">IF(D1048="","",MAX(0,IF(P1048&gt;=0,P1048,IF(K1048+P1048&gt;=0,0,P1048+K1048))))</f>
        <v>55.5532766740515</v>
      </c>
      <c r="AA1048" s="18" t="n">
        <f aca="false">IF(D1048="","",IF(H1048&lt;=$B$16,1,IF(H1048&gt;=$B$17,$B$21,MATCH(H1048,Aux_CAV!$A$2:$A$121,1))))</f>
        <v>13</v>
      </c>
      <c r="AB1048" s="18" t="n">
        <f aca="false">IF(D1048="","",IF(L1048&lt;=$B$16,1,IF(L1048&gt;=$B$17,$B$21,MATCH(L1048,Aux_CAV!$A$2:$A$121,1))))</f>
        <v>15</v>
      </c>
      <c r="AC1048" s="19" t="n">
        <f aca="false">IF(D1048="","",COUNT($D$24:D1048))</f>
        <v>1013</v>
      </c>
    </row>
    <row r="1049" customFormat="false" ht="12.75" hidden="false" customHeight="true" outlineLevel="0" collapsed="false">
      <c r="A1049" s="14" t="n">
        <f aca="false">IF(D1049="","",DATE(B1049,C1049,1))</f>
        <v>34851</v>
      </c>
      <c r="B1049" s="15" t="n">
        <f aca="false" t="array" ref="B1049:B1049">IF(D1049="","",IFERROR(VALUE(INDEX(Vazoes_COLAR!$A$2:$A$200,INT((ROW()-24)/12)+1)),""))</f>
        <v>1995</v>
      </c>
      <c r="C1049" s="15" t="n">
        <f aca="false">IF(D1049="","",MOD(ROW()-24,12)+1)</f>
        <v>6</v>
      </c>
      <c r="D1049" s="16" t="n">
        <f aca="false" t="array" ref="D1049: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0.630771010319987</v>
      </c>
      <c r="E1049" s="16" t="n">
        <f aca="false">IF(D1049="","",D1049*$B$15)</f>
        <v>1.63495845874941</v>
      </c>
      <c r="F1049" s="16" t="n">
        <f aca="false" t="array" ref="F1049:F1049">IF(D1049="","",IFERROR(INDEX(Dados_Evap!$C$2:$N$15,MATCH($B$9,Dados_Evap!$A$2:$A$15,0),C1049),0))</f>
        <v>161.3</v>
      </c>
      <c r="G1049" s="16" t="n">
        <f aca="false">IF(F1049="","",F1049/1000)</f>
        <v>0.1613</v>
      </c>
      <c r="H1049" s="16" t="n">
        <f aca="false">IF(D1049="","",MAX(0,MIN($B$8,IFERROR(LOOKUP(2,1/($U$24:U1048&lt;&gt;""),$U$24:U1048),$B$11))))</f>
        <v>47.22</v>
      </c>
      <c r="I1049" s="16" t="n">
        <f aca="false" t="array" ref="I1049: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>6.97</v>
      </c>
      <c r="J1049" s="16" t="n">
        <f aca="false">IF(D1049="","",$B$12)</f>
        <v>0.35</v>
      </c>
      <c r="K1049" s="16" t="n">
        <f aca="false">IF(J1049="","",J1049*$B$15)</f>
        <v>0.9072</v>
      </c>
      <c r="L1049" s="16" t="n">
        <f aca="false">IF(D1049="","",H1049+E1049-K1049-G1049*I1049)</f>
        <v>46.8234974587494</v>
      </c>
      <c r="M1049" s="16" t="n">
        <f aca="false" t="array" ref="M1049: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>6.9304120890418</v>
      </c>
      <c r="N1049" s="16" t="n">
        <f aca="false">IF(D1049="","",(I1049+M1049)/2)</f>
        <v>6.9502060445209</v>
      </c>
      <c r="O1049" s="16" t="n">
        <f aca="false">IF(D1049="","",G1049*N1049)</f>
        <v>1.12106823498122</v>
      </c>
      <c r="P1049" s="16" t="n">
        <f aca="false">IF(D1049="","",H1049+E1049-K1049-O1049)</f>
        <v>46.8266902237682</v>
      </c>
      <c r="Q1049" s="16" t="n">
        <f aca="false">IF(D1049="","",IF(P1049&gt;=0,K1049,MAX(0,K1049+P1049)))</f>
        <v>0.9072</v>
      </c>
      <c r="R1049" s="16" t="n">
        <f aca="false">IF(D1049="","",Q1049/$B$15)</f>
        <v>0.35</v>
      </c>
      <c r="S1049" s="16" t="n">
        <f aca="false">IF(D1049="","",MAX(0,J1049-R1049))</f>
        <v>0</v>
      </c>
      <c r="T1049" s="16" t="n">
        <f aca="false">IF(D1049="","",MAX(0,Z1049-$B$8))</f>
        <v>0</v>
      </c>
      <c r="U1049" s="16" t="n">
        <f aca="false">IF(D1049="","",MAX(0,MIN($B$8,Z1049)))</f>
        <v>46.8266902237682</v>
      </c>
      <c r="V1049" s="16" t="str">
        <f aca="false">IF(D1049="","",IF(S1049&gt;0.0000001,"Sim","Não"))</f>
        <v>Não</v>
      </c>
      <c r="W1049" s="16" t="n">
        <f aca="false">IF(D1049="","",U1049-(H1049+E1049-Q1049-O1049-T1049))</f>
        <v>0</v>
      </c>
      <c r="X1049" s="16" t="n">
        <f aca="false">IF(W1049="","",ABS(W1049))</f>
        <v>0</v>
      </c>
      <c r="Y1049" s="16" t="n">
        <f aca="false">IF(U1049="","",IF($B$8=0,0,U1049/$B$8*100))</f>
        <v>99.1670695124273</v>
      </c>
      <c r="Z1049" s="18" t="n">
        <f aca="false">IF(D1049="","",MAX(0,IF(P1049&gt;=0,P1049,IF(K1049+P1049&gt;=0,0,P1049+K1049))))</f>
        <v>46.8266902237682</v>
      </c>
      <c r="AA1049" s="18" t="n">
        <f aca="false">IF(D1049="","",IF(H1049&lt;=$B$16,1,IF(H1049&gt;=$B$17,$B$21,MATCH(H1049,Aux_CAV!$A$2:$A$121,1))))</f>
        <v>14</v>
      </c>
      <c r="AB1049" s="18" t="n">
        <f aca="false">IF(D1049="","",IF(L1049&lt;=$B$16,1,IF(L1049&gt;=$B$17,$B$21,MATCH(L1049,Aux_CAV!$A$2:$A$121,1))))</f>
        <v>13</v>
      </c>
      <c r="AC1049" s="19" t="n">
        <f aca="false">IF(D1049="","",COUNT($D$24:D1049))</f>
        <v>1014</v>
      </c>
    </row>
    <row r="1050" customFormat="false" ht="12.75" hidden="false" customHeight="true" outlineLevel="0" collapsed="false">
      <c r="A1050" s="14" t="n">
        <f aca="false">IF(D1050="","",DATE(B1050,C1050,1))</f>
        <v>34881</v>
      </c>
      <c r="B1050" s="15" t="n">
        <f aca="false" t="array" ref="B1050:B1050">IF(D1050="","",IFERROR(VALUE(INDEX(Vazoes_COLAR!$A$2:$A$200,INT((ROW()-24)/12)+1)),""))</f>
        <v>1995</v>
      </c>
      <c r="C1050" s="15" t="n">
        <f aca="false">IF(D1050="","",MOD(ROW()-24,12)+1)</f>
        <v>7</v>
      </c>
      <c r="D1050" s="16" t="n">
        <f aca="false" t="array" ref="D1050: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0.449780678020486</v>
      </c>
      <c r="E1050" s="16" t="n">
        <f aca="false">IF(D1050="","",D1050*$B$15)</f>
        <v>1.1658315174291</v>
      </c>
      <c r="F1050" s="16" t="n">
        <f aca="false" t="array" ref="F1050:F1050">IF(D1050="","",IFERROR(INDEX(Dados_Evap!$C$2:$N$15,MATCH($B$9,Dados_Evap!$A$2:$A$15,0),C1050),0))</f>
        <v>224.8</v>
      </c>
      <c r="G1050" s="16" t="n">
        <f aca="false">IF(F1050="","",F1050/1000)</f>
        <v>0.2248</v>
      </c>
      <c r="H1050" s="16" t="n">
        <f aca="false">IF(D1050="","",MAX(0,MIN($B$8,IFERROR(LOOKUP(2,1/($U$24:U1049&lt;&gt;""),$U$24:U1049),$B$11))))</f>
        <v>46.8266902237682</v>
      </c>
      <c r="I1050" s="16" t="n">
        <f aca="false" t="array" ref="I1050: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>6.9307308635366</v>
      </c>
      <c r="J1050" s="16" t="n">
        <f aca="false">IF(D1050="","",$B$12)</f>
        <v>0.35</v>
      </c>
      <c r="K1050" s="16" t="n">
        <f aca="false">IF(J1050="","",J1050*$B$15)</f>
        <v>0.9072</v>
      </c>
      <c r="L1050" s="16" t="n">
        <f aca="false">IF(D1050="","",H1050+E1050-K1050-G1050*I1050)</f>
        <v>45.5272934430743</v>
      </c>
      <c r="M1050" s="16" t="n">
        <f aca="false" t="array" ref="M1050: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>6.80099549313713</v>
      </c>
      <c r="N1050" s="16" t="n">
        <f aca="false">IF(D1050="","",(I1050+M1050)/2)</f>
        <v>6.86586317833687</v>
      </c>
      <c r="O1050" s="16" t="n">
        <f aca="false">IF(D1050="","",G1050*N1050)</f>
        <v>1.54344604249013</v>
      </c>
      <c r="P1050" s="16" t="n">
        <f aca="false">IF(D1050="","",H1050+E1050-K1050-O1050)</f>
        <v>45.5418756987072</v>
      </c>
      <c r="Q1050" s="16" t="n">
        <f aca="false">IF(D1050="","",IF(P1050&gt;=0,K1050,MAX(0,K1050+P1050)))</f>
        <v>0.9072</v>
      </c>
      <c r="R1050" s="16" t="n">
        <f aca="false">IF(D1050="","",Q1050/$B$15)</f>
        <v>0.35</v>
      </c>
      <c r="S1050" s="16" t="n">
        <f aca="false">IF(D1050="","",MAX(0,J1050-R1050))</f>
        <v>0</v>
      </c>
      <c r="T1050" s="16" t="n">
        <f aca="false">IF(D1050="","",MAX(0,Z1050-$B$8))</f>
        <v>0</v>
      </c>
      <c r="U1050" s="16" t="n">
        <f aca="false">IF(D1050="","",MAX(0,MIN($B$8,Z1050)))</f>
        <v>45.5418756987072</v>
      </c>
      <c r="V1050" s="16" t="str">
        <f aca="false">IF(D1050="","",IF(S1050&gt;0.0000001,"Sim","Não"))</f>
        <v>Não</v>
      </c>
      <c r="W1050" s="16" t="n">
        <f aca="false">IF(D1050="","",U1050-(H1050+E1050-Q1050-O1050-T1050))</f>
        <v>0</v>
      </c>
      <c r="X1050" s="16" t="n">
        <f aca="false">IF(W1050="","",ABS(W1050))</f>
        <v>0</v>
      </c>
      <c r="Y1050" s="16" t="n">
        <f aca="false">IF(U1050="","",IF($B$8=0,0,U1050/$B$8*100))</f>
        <v>96.4461577693925</v>
      </c>
      <c r="Z1050" s="18" t="n">
        <f aca="false">IF(D1050="","",MAX(0,IF(P1050&gt;=0,P1050,IF(K1050+P1050&gt;=0,0,P1050+K1050))))</f>
        <v>45.5418756987072</v>
      </c>
      <c r="AA1050" s="18" t="n">
        <f aca="false">IF(D1050="","",IF(H1050&lt;=$B$16,1,IF(H1050&gt;=$B$17,$B$21,MATCH(H1050,Aux_CAV!$A$2:$A$121,1))))</f>
        <v>13</v>
      </c>
      <c r="AB1050" s="18" t="n">
        <f aca="false">IF(D1050="","",IF(L1050&lt;=$B$16,1,IF(L1050&gt;=$B$17,$B$21,MATCH(L1050,Aux_CAV!$A$2:$A$121,1))))</f>
        <v>13</v>
      </c>
      <c r="AC1050" s="19" t="n">
        <f aca="false">IF(D1050="","",COUNT($D$24:D1050))</f>
        <v>1015</v>
      </c>
    </row>
    <row r="1051" customFormat="false" ht="12.75" hidden="false" customHeight="true" outlineLevel="0" collapsed="false">
      <c r="A1051" s="14" t="n">
        <f aca="false">IF(D1051="","",DATE(B1051,C1051,1))</f>
        <v>34912</v>
      </c>
      <c r="B1051" s="15" t="n">
        <f aca="false" t="array" ref="B1051:B1051">IF(D1051="","",IFERROR(VALUE(INDEX(Vazoes_COLAR!$A$2:$A$200,INT((ROW()-24)/12)+1)),""))</f>
        <v>1995</v>
      </c>
      <c r="C1051" s="15" t="n">
        <f aca="false">IF(D1051="","",MOD(ROW()-24,12)+1)</f>
        <v>8</v>
      </c>
      <c r="D1051" s="16" t="n">
        <f aca="false" t="array" ref="D1051: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0.032898795023944</v>
      </c>
      <c r="E1051" s="16" t="n">
        <f aca="false">IF(D1051="","",D1051*$B$15)</f>
        <v>0.0852736767020629</v>
      </c>
      <c r="F1051" s="16" t="n">
        <f aca="false" t="array" ref="F1051:F1051">IF(D1051="","",IFERROR(INDEX(Dados_Evap!$C$2:$N$15,MATCH($B$9,Dados_Evap!$A$2:$A$15,0),C1051),0))</f>
        <v>268.7</v>
      </c>
      <c r="G1051" s="16" t="n">
        <f aca="false">IF(F1051="","",F1051/1000)</f>
        <v>0.2687</v>
      </c>
      <c r="H1051" s="16" t="n">
        <f aca="false">IF(D1051="","",MAX(0,MIN($B$8,IFERROR(LOOKUP(2,1/($U$24:U1050&lt;&gt;""),$U$24:U1050),$B$11))))</f>
        <v>45.5418756987072</v>
      </c>
      <c r="I1051" s="16" t="n">
        <f aca="false" t="array" ref="I1051: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>6.80245142589293</v>
      </c>
      <c r="J1051" s="16" t="n">
        <f aca="false">IF(D1051="","",$B$12)</f>
        <v>0.35</v>
      </c>
      <c r="K1051" s="16" t="n">
        <f aca="false">IF(J1051="","",J1051*$B$15)</f>
        <v>0.9072</v>
      </c>
      <c r="L1051" s="16" t="n">
        <f aca="false">IF(D1051="","",H1051+E1051-K1051-G1051*I1051)</f>
        <v>42.8921306772718</v>
      </c>
      <c r="M1051" s="16" t="n">
        <f aca="false" t="array" ref="M1051: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>6.53789355032509</v>
      </c>
      <c r="N1051" s="16" t="n">
        <f aca="false">IF(D1051="","",(I1051+M1051)/2)</f>
        <v>6.67017248810901</v>
      </c>
      <c r="O1051" s="16" t="n">
        <f aca="false">IF(D1051="","",G1051*N1051)</f>
        <v>1.79227534755489</v>
      </c>
      <c r="P1051" s="16" t="n">
        <f aca="false">IF(D1051="","",H1051+E1051-K1051-O1051)</f>
        <v>42.9276740278543</v>
      </c>
      <c r="Q1051" s="16" t="n">
        <f aca="false">IF(D1051="","",IF(P1051&gt;=0,K1051,MAX(0,K1051+P1051)))</f>
        <v>0.9072</v>
      </c>
      <c r="R1051" s="16" t="n">
        <f aca="false">IF(D1051="","",Q1051/$B$15)</f>
        <v>0.35</v>
      </c>
      <c r="S1051" s="16" t="n">
        <f aca="false">IF(D1051="","",MAX(0,J1051-R1051))</f>
        <v>0</v>
      </c>
      <c r="T1051" s="16" t="n">
        <f aca="false">IF(D1051="","",MAX(0,Z1051-$B$8))</f>
        <v>0</v>
      </c>
      <c r="U1051" s="16" t="n">
        <f aca="false">IF(D1051="","",MAX(0,MIN($B$8,Z1051)))</f>
        <v>42.9276740278543</v>
      </c>
      <c r="V1051" s="16" t="str">
        <f aca="false">IF(D1051="","",IF(S1051&gt;0.0000001,"Sim","Não"))</f>
        <v>Não</v>
      </c>
      <c r="W1051" s="16" t="n">
        <f aca="false">IF(D1051="","",U1051-(H1051+E1051-Q1051-O1051-T1051))</f>
        <v>0</v>
      </c>
      <c r="X1051" s="16" t="n">
        <f aca="false">IF(W1051="","",ABS(W1051))</f>
        <v>0</v>
      </c>
      <c r="Y1051" s="16" t="n">
        <f aca="false">IF(U1051="","",IF($B$8=0,0,U1051/$B$8*100))</f>
        <v>90.9099407620803</v>
      </c>
      <c r="Z1051" s="18" t="n">
        <f aca="false">IF(D1051="","",MAX(0,IF(P1051&gt;=0,P1051,IF(K1051+P1051&gt;=0,0,P1051+K1051))))</f>
        <v>42.9276740278543</v>
      </c>
      <c r="AA1051" s="18" t="n">
        <f aca="false">IF(D1051="","",IF(H1051&lt;=$B$16,1,IF(H1051&gt;=$B$17,$B$21,MATCH(H1051,Aux_CAV!$A$2:$A$121,1))))</f>
        <v>13</v>
      </c>
      <c r="AB1051" s="18" t="n">
        <f aca="false">IF(D1051="","",IF(L1051&lt;=$B$16,1,IF(L1051&gt;=$B$17,$B$21,MATCH(L1051,Aux_CAV!$A$2:$A$121,1))))</f>
        <v>13</v>
      </c>
      <c r="AC1051" s="19" t="n">
        <f aca="false">IF(D1051="","",COUNT($D$24:D1051))</f>
        <v>1016</v>
      </c>
    </row>
    <row r="1052" customFormat="false" ht="12.75" hidden="false" customHeight="true" outlineLevel="0" collapsed="false">
      <c r="A1052" s="14" t="n">
        <f aca="false">IF(D1052="","",DATE(B1052,C1052,1))</f>
        <v>34943</v>
      </c>
      <c r="B1052" s="15" t="n">
        <f aca="false" t="array" ref="B1052:B1052">IF(D1052="","",IFERROR(VALUE(INDEX(Vazoes_COLAR!$A$2:$A$200,INT((ROW()-24)/12)+1)),""))</f>
        <v>1995</v>
      </c>
      <c r="C1052" s="15" t="n">
        <f aca="false">IF(D1052="","",MOD(ROW()-24,12)+1)</f>
        <v>9</v>
      </c>
      <c r="D1052" s="16" t="n">
        <f aca="false" t="array" ref="D1052: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0.0257403619852455</v>
      </c>
      <c r="E1052" s="16" t="n">
        <f aca="false">IF(D1052="","",D1052*$B$15)</f>
        <v>0.0667190182657563</v>
      </c>
      <c r="F1052" s="16" t="n">
        <f aca="false" t="array" ref="F1052:F1052">IF(D1052="","",IFERROR(INDEX(Dados_Evap!$C$2:$N$15,MATCH($B$9,Dados_Evap!$A$2:$A$15,0),C1052),0))</f>
        <v>292.8</v>
      </c>
      <c r="G1052" s="16" t="n">
        <f aca="false">IF(F1052="","",F1052/1000)</f>
        <v>0.2928</v>
      </c>
      <c r="H1052" s="16" t="n">
        <f aca="false">IF(D1052="","",MAX(0,MIN($B$8,IFERROR(LOOKUP(2,1/($U$24:U1051&lt;&gt;""),$U$24:U1051),$B$11))))</f>
        <v>42.9276740278543</v>
      </c>
      <c r="I1052" s="16" t="n">
        <f aca="false" t="array" ref="I1052: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>6.54144229680621</v>
      </c>
      <c r="J1052" s="16" t="n">
        <f aca="false">IF(D1052="","",$B$12)</f>
        <v>0.35</v>
      </c>
      <c r="K1052" s="16" t="n">
        <f aca="false">IF(J1052="","",J1052*$B$15)</f>
        <v>0.9072</v>
      </c>
      <c r="L1052" s="16" t="n">
        <f aca="false">IF(D1052="","",H1052+E1052-K1052-G1052*I1052)</f>
        <v>40.1718587416152</v>
      </c>
      <c r="M1052" s="16" t="n">
        <f aca="false" t="array" ref="M1052: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>6.26629407247259</v>
      </c>
      <c r="N1052" s="16" t="n">
        <f aca="false">IF(D1052="","",(I1052+M1052)/2)</f>
        <v>6.4038681846394</v>
      </c>
      <c r="O1052" s="16" t="n">
        <f aca="false">IF(D1052="","",G1052*N1052)</f>
        <v>1.87505260446242</v>
      </c>
      <c r="P1052" s="16" t="n">
        <f aca="false">IF(D1052="","",H1052+E1052-K1052-O1052)</f>
        <v>40.2121404416577</v>
      </c>
      <c r="Q1052" s="16" t="n">
        <f aca="false">IF(D1052="","",IF(P1052&gt;=0,K1052,MAX(0,K1052+P1052)))</f>
        <v>0.9072</v>
      </c>
      <c r="R1052" s="16" t="n">
        <f aca="false">IF(D1052="","",Q1052/$B$15)</f>
        <v>0.35</v>
      </c>
      <c r="S1052" s="16" t="n">
        <f aca="false">IF(D1052="","",MAX(0,J1052-R1052))</f>
        <v>0</v>
      </c>
      <c r="T1052" s="16" t="n">
        <f aca="false">IF(D1052="","",MAX(0,Z1052-$B$8))</f>
        <v>0</v>
      </c>
      <c r="U1052" s="16" t="n">
        <f aca="false">IF(D1052="","",MAX(0,MIN($B$8,Z1052)))</f>
        <v>40.2121404416577</v>
      </c>
      <c r="V1052" s="16" t="str">
        <f aca="false">IF(D1052="","",IF(S1052&gt;0.0000001,"Sim","Não"))</f>
        <v>Não</v>
      </c>
      <c r="W1052" s="16" t="n">
        <f aca="false">IF(D1052="","",U1052-(H1052+E1052-Q1052-O1052-T1052))</f>
        <v>0</v>
      </c>
      <c r="X1052" s="16" t="n">
        <f aca="false">IF(W1052="","",ABS(W1052))</f>
        <v>0</v>
      </c>
      <c r="Y1052" s="16" t="n">
        <f aca="false">IF(U1052="","",IF($B$8=0,0,U1052/$B$8*100))</f>
        <v>85.1591284236715</v>
      </c>
      <c r="Z1052" s="18" t="n">
        <f aca="false">IF(D1052="","",MAX(0,IF(P1052&gt;=0,P1052,IF(K1052+P1052&gt;=0,0,P1052+K1052))))</f>
        <v>40.2121404416577</v>
      </c>
      <c r="AA1052" s="18" t="n">
        <f aca="false">IF(D1052="","",IF(H1052&lt;=$B$16,1,IF(H1052&gt;=$B$17,$B$21,MATCH(H1052,Aux_CAV!$A$2:$A$121,1))))</f>
        <v>13</v>
      </c>
      <c r="AB1052" s="18" t="n">
        <f aca="false">IF(D1052="","",IF(L1052&lt;=$B$16,1,IF(L1052&gt;=$B$17,$B$21,MATCH(L1052,Aux_CAV!$A$2:$A$121,1))))</f>
        <v>13</v>
      </c>
      <c r="AC1052" s="19" t="n">
        <f aca="false">IF(D1052="","",COUNT($D$24:D1052))</f>
        <v>1017</v>
      </c>
    </row>
    <row r="1053" customFormat="false" ht="12.75" hidden="false" customHeight="true" outlineLevel="0" collapsed="false">
      <c r="A1053" s="14" t="n">
        <f aca="false">IF(D1053="","",DATE(B1053,C1053,1))</f>
        <v>34973</v>
      </c>
      <c r="B1053" s="15" t="n">
        <f aca="false" t="array" ref="B1053:B1053">IF(D1053="","",IFERROR(VALUE(INDEX(Vazoes_COLAR!$A$2:$A$200,INT((ROW()-24)/12)+1)),""))</f>
        <v>1995</v>
      </c>
      <c r="C1053" s="15" t="n">
        <f aca="false">IF(D1053="","",MOD(ROW()-24,12)+1)</f>
        <v>10</v>
      </c>
      <c r="D1053" s="16" t="n">
        <f aca="false" t="array" ref="D1053: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0.0967581434428969</v>
      </c>
      <c r="E1053" s="16" t="n">
        <f aca="false">IF(D1053="","",D1053*$B$15)</f>
        <v>0.250797107803989</v>
      </c>
      <c r="F1053" s="16" t="n">
        <f aca="false" t="array" ref="F1053:F1053">IF(D1053="","",IFERROR(INDEX(Dados_Evap!$C$2:$N$15,MATCH($B$9,Dados_Evap!$A$2:$A$15,0),C1053),0))</f>
        <v>262.9</v>
      </c>
      <c r="G1053" s="16" t="n">
        <f aca="false">IF(F1053="","",F1053/1000)</f>
        <v>0.2629</v>
      </c>
      <c r="H1053" s="16" t="n">
        <f aca="false">IF(D1053="","",MAX(0,MIN($B$8,IFERROR(LOOKUP(2,1/($U$24:U1052&lt;&gt;""),$U$24:U1052),$B$11))))</f>
        <v>40.2121404416577</v>
      </c>
      <c r="I1053" s="16" t="n">
        <f aca="false" t="array" ref="I1053: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>6.2703159088762</v>
      </c>
      <c r="J1053" s="16" t="n">
        <f aca="false">IF(D1053="","",$B$12)</f>
        <v>0.35</v>
      </c>
      <c r="K1053" s="16" t="n">
        <f aca="false">IF(J1053="","",J1053*$B$15)</f>
        <v>0.9072</v>
      </c>
      <c r="L1053" s="16" t="n">
        <f aca="false">IF(D1053="","",H1053+E1053-K1053-G1053*I1053)</f>
        <v>37.9072714970181</v>
      </c>
      <c r="M1053" s="16" t="n">
        <f aca="false" t="array" ref="M1053: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>6.0401914151897</v>
      </c>
      <c r="N1053" s="16" t="n">
        <f aca="false">IF(D1053="","",(I1053+M1053)/2)</f>
        <v>6.15525366203295</v>
      </c>
      <c r="O1053" s="16" t="n">
        <f aca="false">IF(D1053="","",G1053*N1053)</f>
        <v>1.61821618774846</v>
      </c>
      <c r="P1053" s="16" t="n">
        <f aca="false">IF(D1053="","",H1053+E1053-K1053-O1053)</f>
        <v>37.9375213617132</v>
      </c>
      <c r="Q1053" s="16" t="n">
        <f aca="false">IF(D1053="","",IF(P1053&gt;=0,K1053,MAX(0,K1053+P1053)))</f>
        <v>0.9072</v>
      </c>
      <c r="R1053" s="16" t="n">
        <f aca="false">IF(D1053="","",Q1053/$B$15)</f>
        <v>0.35</v>
      </c>
      <c r="S1053" s="16" t="n">
        <f aca="false">IF(D1053="","",MAX(0,J1053-R1053))</f>
        <v>0</v>
      </c>
      <c r="T1053" s="16" t="n">
        <f aca="false">IF(D1053="","",MAX(0,Z1053-$B$8))</f>
        <v>0</v>
      </c>
      <c r="U1053" s="16" t="n">
        <f aca="false">IF(D1053="","",MAX(0,MIN($B$8,Z1053)))</f>
        <v>37.9375213617132</v>
      </c>
      <c r="V1053" s="16" t="str">
        <f aca="false">IF(D1053="","",IF(S1053&gt;0.0000001,"Sim","Não"))</f>
        <v>Não</v>
      </c>
      <c r="W1053" s="16" t="n">
        <f aca="false">IF(D1053="","",U1053-(H1053+E1053-Q1053-O1053-T1053))</f>
        <v>0</v>
      </c>
      <c r="X1053" s="16" t="n">
        <f aca="false">IF(W1053="","",ABS(W1053))</f>
        <v>0</v>
      </c>
      <c r="Y1053" s="16" t="n">
        <f aca="false">IF(U1053="","",IF($B$8=0,0,U1053/$B$8*100))</f>
        <v>80.342061333573</v>
      </c>
      <c r="Z1053" s="18" t="n">
        <f aca="false">IF(D1053="","",MAX(0,IF(P1053&gt;=0,P1053,IF(K1053+P1053&gt;=0,0,P1053+K1053))))</f>
        <v>37.9375213617132</v>
      </c>
      <c r="AA1053" s="18" t="n">
        <f aca="false">IF(D1053="","",IF(H1053&lt;=$B$16,1,IF(H1053&gt;=$B$17,$B$21,MATCH(H1053,Aux_CAV!$A$2:$A$121,1))))</f>
        <v>13</v>
      </c>
      <c r="AB1053" s="18" t="n">
        <f aca="false">IF(D1053="","",IF(L1053&lt;=$B$16,1,IF(L1053&gt;=$B$17,$B$21,MATCH(L1053,Aux_CAV!$A$2:$A$121,1))))</f>
        <v>13</v>
      </c>
      <c r="AC1053" s="19" t="n">
        <f aca="false">IF(D1053="","",COUNT($D$24:D1053))</f>
        <v>1018</v>
      </c>
    </row>
    <row r="1054" customFormat="false" ht="12.75" hidden="false" customHeight="true" outlineLevel="0" collapsed="false">
      <c r="A1054" s="14" t="n">
        <f aca="false">IF(D1054="","",DATE(B1054,C1054,1))</f>
        <v>35004</v>
      </c>
      <c r="B1054" s="15" t="n">
        <f aca="false" t="array" ref="B1054:B1054">IF(D1054="","",IFERROR(VALUE(INDEX(Vazoes_COLAR!$A$2:$A$200,INT((ROW()-24)/12)+1)),""))</f>
        <v>1995</v>
      </c>
      <c r="C1054" s="15" t="n">
        <f aca="false">IF(D1054="","",MOD(ROW()-24,12)+1)</f>
        <v>11</v>
      </c>
      <c r="D1054" s="16" t="n">
        <f aca="false" t="array" ref="D1054: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0.102643395249788</v>
      </c>
      <c r="E1054" s="16" t="n">
        <f aca="false">IF(D1054="","",D1054*$B$15)</f>
        <v>0.266051680487451</v>
      </c>
      <c r="F1054" s="16" t="n">
        <f aca="false" t="array" ref="F1054:F1054">IF(D1054="","",IFERROR(INDEX(Dados_Evap!$C$2:$N$15,MATCH($B$9,Dados_Evap!$A$2:$A$15,0),C1054),0))</f>
        <v>223.7</v>
      </c>
      <c r="G1054" s="16" t="n">
        <f aca="false">IF(F1054="","",F1054/1000)</f>
        <v>0.2237</v>
      </c>
      <c r="H1054" s="16" t="n">
        <f aca="false">IF(D1054="","",MAX(0,MIN($B$8,IFERROR(LOOKUP(2,1/($U$24:U1053&lt;&gt;""),$U$24:U1053),$B$11))))</f>
        <v>37.9375213617132</v>
      </c>
      <c r="I1054" s="16" t="n">
        <f aca="false" t="array" ref="I1054: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>6.04321164539118</v>
      </c>
      <c r="J1054" s="16" t="n">
        <f aca="false">IF(D1054="","",$B$12)</f>
        <v>0.35</v>
      </c>
      <c r="K1054" s="16" t="n">
        <f aca="false">IF(J1054="","",J1054*$B$15)</f>
        <v>0.9072</v>
      </c>
      <c r="L1054" s="16" t="n">
        <f aca="false">IF(D1054="","",H1054+E1054-K1054-G1054*I1054)</f>
        <v>35.9445065971266</v>
      </c>
      <c r="M1054" s="16" t="n">
        <f aca="false" t="array" ref="M1054: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>5.84422353603387</v>
      </c>
      <c r="N1054" s="16" t="n">
        <f aca="false">IF(D1054="","",(I1054+M1054)/2)</f>
        <v>5.94371759071252</v>
      </c>
      <c r="O1054" s="16" t="n">
        <f aca="false">IF(D1054="","",G1054*N1054)</f>
        <v>1.32960962504239</v>
      </c>
      <c r="P1054" s="16" t="n">
        <f aca="false">IF(D1054="","",H1054+E1054-K1054-O1054)</f>
        <v>35.9667634171582</v>
      </c>
      <c r="Q1054" s="16" t="n">
        <f aca="false">IF(D1054="","",IF(P1054&gt;=0,K1054,MAX(0,K1054+P1054)))</f>
        <v>0.9072</v>
      </c>
      <c r="R1054" s="16" t="n">
        <f aca="false">IF(D1054="","",Q1054/$B$15)</f>
        <v>0.35</v>
      </c>
      <c r="S1054" s="16" t="n">
        <f aca="false">IF(D1054="","",MAX(0,J1054-R1054))</f>
        <v>0</v>
      </c>
      <c r="T1054" s="16" t="n">
        <f aca="false">IF(D1054="","",MAX(0,Z1054-$B$8))</f>
        <v>0</v>
      </c>
      <c r="U1054" s="16" t="n">
        <f aca="false">IF(D1054="","",MAX(0,MIN($B$8,Z1054)))</f>
        <v>35.9667634171582</v>
      </c>
      <c r="V1054" s="16" t="str">
        <f aca="false">IF(D1054="","",IF(S1054&gt;0.0000001,"Sim","Não"))</f>
        <v>Não</v>
      </c>
      <c r="W1054" s="16" t="n">
        <f aca="false">IF(D1054="","",U1054-(H1054+E1054-Q1054-O1054-T1054))</f>
        <v>0</v>
      </c>
      <c r="X1054" s="16" t="n">
        <f aca="false">IF(W1054="","",ABS(W1054))</f>
        <v>0</v>
      </c>
      <c r="Y1054" s="16" t="n">
        <f aca="false">IF(U1054="","",IF($B$8=0,0,U1054/$B$8*100))</f>
        <v>76.1684951655194</v>
      </c>
      <c r="Z1054" s="18" t="n">
        <f aca="false">IF(D1054="","",MAX(0,IF(P1054&gt;=0,P1054,IF(K1054+P1054&gt;=0,0,P1054+K1054))))</f>
        <v>35.9667634171582</v>
      </c>
      <c r="AA1054" s="18" t="n">
        <f aca="false">IF(D1054="","",IF(H1054&lt;=$B$16,1,IF(H1054&gt;=$B$17,$B$21,MATCH(H1054,Aux_CAV!$A$2:$A$121,1))))</f>
        <v>13</v>
      </c>
      <c r="AB1054" s="18" t="n">
        <f aca="false">IF(D1054="","",IF(L1054&lt;=$B$16,1,IF(L1054&gt;=$B$17,$B$21,MATCH(L1054,Aux_CAV!$A$2:$A$121,1))))</f>
        <v>13</v>
      </c>
      <c r="AC1054" s="19" t="n">
        <f aca="false">IF(D1054="","",COUNT($D$24:D1054))</f>
        <v>1019</v>
      </c>
    </row>
    <row r="1055" customFormat="false" ht="12.75" hidden="false" customHeight="true" outlineLevel="0" collapsed="false">
      <c r="A1055" s="14" t="n">
        <f aca="false">IF(D1055="","",DATE(B1055,C1055,1))</f>
        <v>35034</v>
      </c>
      <c r="B1055" s="15" t="n">
        <f aca="false" t="array" ref="B1055:B1055">IF(D1055="","",IFERROR(VALUE(INDEX(Vazoes_COLAR!$A$2:$A$200,INT((ROW()-24)/12)+1)),""))</f>
        <v>1995</v>
      </c>
      <c r="C1055" s="15" t="n">
        <f aca="false">IF(D1055="","",MOD(ROW()-24,12)+1)</f>
        <v>12</v>
      </c>
      <c r="D1055" s="16" t="n">
        <f aca="false" t="array" ref="D1055: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0.0459437169702232</v>
      </c>
      <c r="E1055" s="16" t="n">
        <f aca="false">IF(D1055="","",D1055*$B$15)</f>
        <v>0.119086114386819</v>
      </c>
      <c r="F1055" s="16" t="n">
        <f aca="false" t="array" ref="F1055:F1055">IF(D1055="","",IFERROR(INDEX(Dados_Evap!$C$2:$N$15,MATCH($B$9,Dados_Evap!$A$2:$A$15,0),C1055),0))</f>
        <v>216.1</v>
      </c>
      <c r="G1055" s="16" t="n">
        <f aca="false">IF(F1055="","",F1055/1000)</f>
        <v>0.2161</v>
      </c>
      <c r="H1055" s="16" t="n">
        <f aca="false">IF(D1055="","",MAX(0,MIN($B$8,IFERROR(LOOKUP(2,1/($U$24:U1054&lt;&gt;""),$U$24:U1054),$B$11))))</f>
        <v>35.9667634171582</v>
      </c>
      <c r="I1055" s="16" t="n">
        <f aca="false" t="array" ref="I1055: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>5.84644571853703</v>
      </c>
      <c r="J1055" s="16" t="n">
        <f aca="false">IF(D1055="","",$B$12)</f>
        <v>0.35</v>
      </c>
      <c r="K1055" s="16" t="n">
        <f aca="false">IF(J1055="","",J1055*$B$15)</f>
        <v>0.9072</v>
      </c>
      <c r="L1055" s="16" t="n">
        <f aca="false">IF(D1055="","",H1055+E1055-K1055-G1055*I1055)</f>
        <v>33.9152326117692</v>
      </c>
      <c r="M1055" s="16" t="n">
        <f aca="false" t="array" ref="M1055: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>5.6392523198634</v>
      </c>
      <c r="N1055" s="16" t="n">
        <f aca="false">IF(D1055="","",(I1055+M1055)/2)</f>
        <v>5.74284901920021</v>
      </c>
      <c r="O1055" s="16" t="n">
        <f aca="false">IF(D1055="","",G1055*N1055)</f>
        <v>1.24102967304917</v>
      </c>
      <c r="P1055" s="16" t="n">
        <f aca="false">IF(D1055="","",H1055+E1055-K1055-O1055)</f>
        <v>33.9376198584959</v>
      </c>
      <c r="Q1055" s="16" t="n">
        <f aca="false">IF(D1055="","",IF(P1055&gt;=0,K1055,MAX(0,K1055+P1055)))</f>
        <v>0.9072</v>
      </c>
      <c r="R1055" s="16" t="n">
        <f aca="false">IF(D1055="","",Q1055/$B$15)</f>
        <v>0.35</v>
      </c>
      <c r="S1055" s="16" t="n">
        <f aca="false">IF(D1055="","",MAX(0,J1055-R1055))</f>
        <v>0</v>
      </c>
      <c r="T1055" s="16" t="n">
        <f aca="false">IF(D1055="","",MAX(0,Z1055-$B$8))</f>
        <v>0</v>
      </c>
      <c r="U1055" s="16" t="n">
        <f aca="false">IF(D1055="","",MAX(0,MIN($B$8,Z1055)))</f>
        <v>33.9376198584959</v>
      </c>
      <c r="V1055" s="16" t="str">
        <f aca="false">IF(D1055="","",IF(S1055&gt;0.0000001,"Sim","Não"))</f>
        <v>Não</v>
      </c>
      <c r="W1055" s="16" t="n">
        <f aca="false">IF(D1055="","",U1055-(H1055+E1055-Q1055-O1055-T1055))</f>
        <v>0</v>
      </c>
      <c r="X1055" s="16" t="n">
        <f aca="false">IF(W1055="","",ABS(W1055))</f>
        <v>0</v>
      </c>
      <c r="Y1055" s="16" t="n">
        <f aca="false">IF(U1055="","",IF($B$8=0,0,U1055/$B$8*100))</f>
        <v>71.8712830548409</v>
      </c>
      <c r="Z1055" s="18" t="n">
        <f aca="false">IF(D1055="","",MAX(0,IF(P1055&gt;=0,P1055,IF(K1055+P1055&gt;=0,0,P1055+K1055))))</f>
        <v>33.9376198584959</v>
      </c>
      <c r="AA1055" s="18" t="n">
        <f aca="false">IF(D1055="","",IF(H1055&lt;=$B$16,1,IF(H1055&gt;=$B$17,$B$21,MATCH(H1055,Aux_CAV!$A$2:$A$121,1))))</f>
        <v>13</v>
      </c>
      <c r="AB1055" s="18" t="n">
        <f aca="false">IF(D1055="","",IF(L1055&lt;=$B$16,1,IF(L1055&gt;=$B$17,$B$21,MATCH(L1055,Aux_CAV!$A$2:$A$121,1))))</f>
        <v>12</v>
      </c>
      <c r="AC1055" s="19" t="n">
        <f aca="false">IF(D1055="","",COUNT($D$24:D1055))</f>
        <v>1020</v>
      </c>
    </row>
    <row r="1056" customFormat="false" ht="12.75" hidden="false" customHeight="true" outlineLevel="0" collapsed="false">
      <c r="A1056" s="14" t="n">
        <f aca="false">IF(D1056="","",DATE(B1056,C1056,1))</f>
        <v>35065</v>
      </c>
      <c r="B1056" s="15" t="n">
        <f aca="false" t="array" ref="B1056:B1056">IF(D1056="","",IFERROR(VALUE(INDEX(Vazoes_COLAR!$A$2:$A$200,INT((ROW()-24)/12)+1)),""))</f>
        <v>1996</v>
      </c>
      <c r="C1056" s="15" t="n">
        <f aca="false">IF(D1056="","",MOD(ROW()-24,12)+1)</f>
        <v>1</v>
      </c>
      <c r="D1056" s="16" t="n">
        <f aca="false" t="array" ref="D1056: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0.525260973995204</v>
      </c>
      <c r="E1056" s="16" t="n">
        <f aca="false">IF(D1056="","",D1056*$B$15)</f>
        <v>1.36147644459557</v>
      </c>
      <c r="F1056" s="16" t="n">
        <f aca="false" t="array" ref="F1056:F1056">IF(D1056="","",IFERROR(INDEX(Dados_Evap!$C$2:$N$15,MATCH($B$9,Dados_Evap!$A$2:$A$15,0),C1056),0))</f>
        <v>160</v>
      </c>
      <c r="G1056" s="16" t="n">
        <f aca="false">IF(F1056="","",F1056/1000)</f>
        <v>0.16</v>
      </c>
      <c r="H1056" s="16" t="n">
        <f aca="false">IF(D1056="","",MAX(0,MIN($B$8,IFERROR(LOOKUP(2,1/($U$24:U1055&lt;&gt;""),$U$24:U1055),$B$11))))</f>
        <v>33.9376198584959</v>
      </c>
      <c r="I1056" s="16" t="n">
        <f aca="false" t="array" ref="I1056: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>5.64157798530006</v>
      </c>
      <c r="J1056" s="16" t="n">
        <f aca="false">IF(D1056="","",$B$12)</f>
        <v>0.35</v>
      </c>
      <c r="K1056" s="16" t="n">
        <f aca="false">IF(J1056="","",J1056*$B$15)</f>
        <v>0.9072</v>
      </c>
      <c r="L1056" s="16" t="n">
        <f aca="false">IF(D1056="","",H1056+E1056-K1056-G1056*I1056)</f>
        <v>33.4892438254434</v>
      </c>
      <c r="M1056" s="16" t="n">
        <f aca="false" t="array" ref="M1056: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>5.59499911584704</v>
      </c>
      <c r="N1056" s="16" t="n">
        <f aca="false">IF(D1056="","",(I1056+M1056)/2)</f>
        <v>5.61828855057355</v>
      </c>
      <c r="O1056" s="16" t="n">
        <f aca="false">IF(D1056="","",G1056*N1056)</f>
        <v>0.898926168091768</v>
      </c>
      <c r="P1056" s="16" t="n">
        <f aca="false">IF(D1056="","",H1056+E1056-K1056-O1056)</f>
        <v>33.4929701349997</v>
      </c>
      <c r="Q1056" s="16" t="n">
        <f aca="false">IF(D1056="","",IF(P1056&gt;=0,K1056,MAX(0,K1056+P1056)))</f>
        <v>0.9072</v>
      </c>
      <c r="R1056" s="16" t="n">
        <f aca="false">IF(D1056="","",Q1056/$B$15)</f>
        <v>0.35</v>
      </c>
      <c r="S1056" s="16" t="n">
        <f aca="false">IF(D1056="","",MAX(0,J1056-R1056))</f>
        <v>0</v>
      </c>
      <c r="T1056" s="16" t="n">
        <f aca="false">IF(D1056="","",MAX(0,Z1056-$B$8))</f>
        <v>0</v>
      </c>
      <c r="U1056" s="16" t="n">
        <f aca="false">IF(D1056="","",MAX(0,MIN($B$8,Z1056)))</f>
        <v>33.4929701349997</v>
      </c>
      <c r="V1056" s="16" t="str">
        <f aca="false">IF(D1056="","",IF(S1056&gt;0.0000001,"Sim","Não"))</f>
        <v>Não</v>
      </c>
      <c r="W1056" s="16" t="n">
        <f aca="false">IF(D1056="","",U1056-(H1056+E1056-Q1056-O1056-T1056))</f>
        <v>0</v>
      </c>
      <c r="X1056" s="16" t="n">
        <f aca="false">IF(W1056="","",ABS(W1056))</f>
        <v>0</v>
      </c>
      <c r="Y1056" s="16" t="n">
        <f aca="false">IF(U1056="","",IF($B$8=0,0,U1056/$B$8*100))</f>
        <v>70.9296275624729</v>
      </c>
      <c r="Z1056" s="18" t="n">
        <f aca="false">IF(D1056="","",MAX(0,IF(P1056&gt;=0,P1056,IF(K1056+P1056&gt;=0,0,P1056+K1056))))</f>
        <v>33.4929701349997</v>
      </c>
      <c r="AA1056" s="18" t="n">
        <f aca="false">IF(D1056="","",IF(H1056&lt;=$B$16,1,IF(H1056&gt;=$B$17,$B$21,MATCH(H1056,Aux_CAV!$A$2:$A$121,1))))</f>
        <v>12</v>
      </c>
      <c r="AB1056" s="18" t="n">
        <f aca="false">IF(D1056="","",IF(L1056&lt;=$B$16,1,IF(L1056&gt;=$B$17,$B$21,MATCH(L1056,Aux_CAV!$A$2:$A$121,1))))</f>
        <v>12</v>
      </c>
      <c r="AC1056" s="19" t="n">
        <f aca="false">IF(D1056="","",COUNT($D$24:D1056))</f>
        <v>1021</v>
      </c>
    </row>
    <row r="1057" customFormat="false" ht="12.75" hidden="false" customHeight="true" outlineLevel="0" collapsed="false">
      <c r="A1057" s="14" t="n">
        <f aca="false">IF(D1057="","",DATE(B1057,C1057,1))</f>
        <v>35096</v>
      </c>
      <c r="B1057" s="15" t="n">
        <f aca="false" t="array" ref="B1057:B1057">IF(D1057="","",IFERROR(VALUE(INDEX(Vazoes_COLAR!$A$2:$A$200,INT((ROW()-24)/12)+1)),""))</f>
        <v>1996</v>
      </c>
      <c r="C1057" s="15" t="n">
        <f aca="false">IF(D1057="","",MOD(ROW()-24,12)+1)</f>
        <v>2</v>
      </c>
      <c r="D1057" s="16" t="n">
        <f aca="false" t="array" ref="D1057: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2.14946436620153</v>
      </c>
      <c r="E1057" s="16" t="n">
        <f aca="false">IF(D1057="","",D1057*$B$15)</f>
        <v>5.57141163719437</v>
      </c>
      <c r="F1057" s="16" t="n">
        <f aca="false" t="array" ref="F1057:F1057">IF(D1057="","",IFERROR(INDEX(Dados_Evap!$C$2:$N$15,MATCH($B$9,Dados_Evap!$A$2:$A$15,0),C1057),0))</f>
        <v>124.3</v>
      </c>
      <c r="G1057" s="16" t="n">
        <f aca="false">IF(F1057="","",F1057/1000)</f>
        <v>0.1243</v>
      </c>
      <c r="H1057" s="16" t="n">
        <f aca="false">IF(D1057="","",MAX(0,MIN($B$8,IFERROR(LOOKUP(2,1/($U$24:U1056&lt;&gt;""),$U$24:U1056),$B$11))))</f>
        <v>33.4929701349997</v>
      </c>
      <c r="I1057" s="16" t="n">
        <f aca="false" t="array" ref="I1057: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>5.59538621790773</v>
      </c>
      <c r="J1057" s="16" t="n">
        <f aca="false">IF(D1057="","",$B$12)</f>
        <v>0.35</v>
      </c>
      <c r="K1057" s="16" t="n">
        <f aca="false">IF(J1057="","",J1057*$B$15)</f>
        <v>0.9072</v>
      </c>
      <c r="L1057" s="16" t="n">
        <f aca="false">IF(D1057="","",H1057+E1057-K1057-G1057*I1057)</f>
        <v>37.4616752653081</v>
      </c>
      <c r="M1057" s="16" t="n">
        <f aca="false" t="array" ref="M1057: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>5.99570185431928</v>
      </c>
      <c r="N1057" s="16" t="n">
        <f aca="false">IF(D1057="","",(I1057+M1057)/2)</f>
        <v>5.79554403611351</v>
      </c>
      <c r="O1057" s="16" t="n">
        <f aca="false">IF(D1057="","",G1057*N1057)</f>
        <v>0.720386123688909</v>
      </c>
      <c r="P1057" s="16" t="n">
        <f aca="false">IF(D1057="","",H1057+E1057-K1057-O1057)</f>
        <v>37.4367956485051</v>
      </c>
      <c r="Q1057" s="16" t="n">
        <f aca="false">IF(D1057="","",IF(P1057&gt;=0,K1057,MAX(0,K1057+P1057)))</f>
        <v>0.9072</v>
      </c>
      <c r="R1057" s="16" t="n">
        <f aca="false">IF(D1057="","",Q1057/$B$15)</f>
        <v>0.35</v>
      </c>
      <c r="S1057" s="16" t="n">
        <f aca="false">IF(D1057="","",MAX(0,J1057-R1057))</f>
        <v>0</v>
      </c>
      <c r="T1057" s="16" t="n">
        <f aca="false">IF(D1057="","",MAX(0,Z1057-$B$8))</f>
        <v>0</v>
      </c>
      <c r="U1057" s="16" t="n">
        <f aca="false">IF(D1057="","",MAX(0,MIN($B$8,Z1057)))</f>
        <v>37.4367956485051</v>
      </c>
      <c r="V1057" s="16" t="str">
        <f aca="false">IF(D1057="","",IF(S1057&gt;0.0000001,"Sim","Não"))</f>
        <v>Não</v>
      </c>
      <c r="W1057" s="16" t="n">
        <f aca="false">IF(D1057="","",U1057-(H1057+E1057-Q1057-O1057-T1057))</f>
        <v>0</v>
      </c>
      <c r="X1057" s="16" t="n">
        <f aca="false">IF(W1057="","",ABS(W1057))</f>
        <v>0</v>
      </c>
      <c r="Y1057" s="16" t="n">
        <f aca="false">IF(U1057="","",IF($B$8=0,0,U1057/$B$8*100))</f>
        <v>79.2816510980625</v>
      </c>
      <c r="Z1057" s="18" t="n">
        <f aca="false">IF(D1057="","",MAX(0,IF(P1057&gt;=0,P1057,IF(K1057+P1057&gt;=0,0,P1057+K1057))))</f>
        <v>37.4367956485051</v>
      </c>
      <c r="AA1057" s="18" t="n">
        <f aca="false">IF(D1057="","",IF(H1057&lt;=$B$16,1,IF(H1057&gt;=$B$17,$B$21,MATCH(H1057,Aux_CAV!$A$2:$A$121,1))))</f>
        <v>12</v>
      </c>
      <c r="AB1057" s="18" t="n">
        <f aca="false">IF(D1057="","",IF(L1057&lt;=$B$16,1,IF(L1057&gt;=$B$17,$B$21,MATCH(L1057,Aux_CAV!$A$2:$A$121,1))))</f>
        <v>13</v>
      </c>
      <c r="AC1057" s="19" t="n">
        <f aca="false">IF(D1057="","",COUNT($D$24:D1057))</f>
        <v>1022</v>
      </c>
    </row>
    <row r="1058" customFormat="false" ht="12.75" hidden="false" customHeight="true" outlineLevel="0" collapsed="false">
      <c r="A1058" s="14" t="n">
        <f aca="false">IF(D1058="","",DATE(B1058,C1058,1))</f>
        <v>35125</v>
      </c>
      <c r="B1058" s="15" t="n">
        <f aca="false" t="array" ref="B1058:B1058">IF(D1058="","",IFERROR(VALUE(INDEX(Vazoes_COLAR!$A$2:$A$200,INT((ROW()-24)/12)+1)),""))</f>
        <v>1996</v>
      </c>
      <c r="C1058" s="15" t="n">
        <f aca="false">IF(D1058="","",MOD(ROW()-24,12)+1)</f>
        <v>3</v>
      </c>
      <c r="D1058" s="16" t="n">
        <f aca="false" t="array" ref="D1058: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4.57589730541445</v>
      </c>
      <c r="E1058" s="16" t="n">
        <f aca="false">IF(D1058="","",D1058*$B$15)</f>
        <v>11.8607258156343</v>
      </c>
      <c r="F1058" s="16" t="n">
        <f aca="false" t="array" ref="F1058:F1058">IF(D1058="","",IFERROR(INDEX(Dados_Evap!$C$2:$N$15,MATCH($B$9,Dados_Evap!$A$2:$A$15,0),C1058),0))</f>
        <v>107.7</v>
      </c>
      <c r="G1058" s="16" t="n">
        <f aca="false">IF(F1058="","",F1058/1000)</f>
        <v>0.1077</v>
      </c>
      <c r="H1058" s="16" t="n">
        <f aca="false">IF(D1058="","",MAX(0,MIN($B$8,IFERROR(LOOKUP(2,1/($U$24:U1057&lt;&gt;""),$U$24:U1057),$B$11))))</f>
        <v>37.4367956485051</v>
      </c>
      <c r="I1058" s="16" t="n">
        <f aca="false" t="array" ref="I1058: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>5.99321780452842</v>
      </c>
      <c r="J1058" s="16" t="n">
        <f aca="false">IF(D1058="","",$B$12)</f>
        <v>0.35</v>
      </c>
      <c r="K1058" s="16" t="n">
        <f aca="false">IF(J1058="","",J1058*$B$15)</f>
        <v>0.9072</v>
      </c>
      <c r="L1058" s="16" t="n">
        <f aca="false">IF(D1058="","",H1058+E1058-K1058-G1058*I1058)</f>
        <v>47.7448519065917</v>
      </c>
      <c r="M1058" s="16" t="n">
        <f aca="false" t="array" ref="M1058: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>7.03187278573642</v>
      </c>
      <c r="N1058" s="16" t="n">
        <f aca="false">IF(D1058="","",(I1058+M1058)/2)</f>
        <v>6.51254529513242</v>
      </c>
      <c r="O1058" s="16" t="n">
        <f aca="false">IF(D1058="","",G1058*N1058)</f>
        <v>0.701401128285762</v>
      </c>
      <c r="P1058" s="16" t="n">
        <f aca="false">IF(D1058="","",H1058+E1058-K1058-O1058)</f>
        <v>47.6889203358536</v>
      </c>
      <c r="Q1058" s="16" t="n">
        <f aca="false">IF(D1058="","",IF(P1058&gt;=0,K1058,MAX(0,K1058+P1058)))</f>
        <v>0.9072</v>
      </c>
      <c r="R1058" s="16" t="n">
        <f aca="false">IF(D1058="","",Q1058/$B$15)</f>
        <v>0.35</v>
      </c>
      <c r="S1058" s="16" t="n">
        <f aca="false">IF(D1058="","",MAX(0,J1058-R1058))</f>
        <v>0</v>
      </c>
      <c r="T1058" s="16" t="n">
        <f aca="false">IF(D1058="","",MAX(0,Z1058-$B$8))</f>
        <v>0.468920335853625</v>
      </c>
      <c r="U1058" s="16" t="n">
        <f aca="false">IF(D1058="","",MAX(0,MIN($B$8,Z1058)))</f>
        <v>47.22</v>
      </c>
      <c r="V1058" s="16" t="str">
        <f aca="false">IF(D1058="","",IF(S1058&gt;0.0000001,"Sim","Não"))</f>
        <v>Não</v>
      </c>
      <c r="W1058" s="16" t="n">
        <f aca="false">IF(D1058="","",U1058-(H1058+E1058-Q1058-O1058-T1058))</f>
        <v>0</v>
      </c>
      <c r="X1058" s="16" t="n">
        <f aca="false">IF(W1058="","",ABS(W1058))</f>
        <v>0</v>
      </c>
      <c r="Y1058" s="16" t="n">
        <f aca="false">IF(U1058="","",IF($B$8=0,0,U1058/$B$8*100))</f>
        <v>100</v>
      </c>
      <c r="Z1058" s="18" t="n">
        <f aca="false">IF(D1058="","",MAX(0,IF(P1058&gt;=0,P1058,IF(K1058+P1058&gt;=0,0,P1058+K1058))))</f>
        <v>47.6889203358536</v>
      </c>
      <c r="AA1058" s="18" t="n">
        <f aca="false">IF(D1058="","",IF(H1058&lt;=$B$16,1,IF(H1058&gt;=$B$17,$B$21,MATCH(H1058,Aux_CAV!$A$2:$A$121,1))))</f>
        <v>13</v>
      </c>
      <c r="AB1058" s="18" t="n">
        <f aca="false">IF(D1058="","",IF(L1058&lt;=$B$16,1,IF(L1058&gt;=$B$17,$B$21,MATCH(L1058,Aux_CAV!$A$2:$A$121,1))))</f>
        <v>14</v>
      </c>
      <c r="AC1058" s="19" t="n">
        <f aca="false">IF(D1058="","",COUNT($D$24:D1058))</f>
        <v>1023</v>
      </c>
    </row>
    <row r="1059" customFormat="false" ht="12.75" hidden="false" customHeight="true" outlineLevel="0" collapsed="false">
      <c r="A1059" s="14" t="n">
        <f aca="false">IF(D1059="","",DATE(B1059,C1059,1))</f>
        <v>35156</v>
      </c>
      <c r="B1059" s="15" t="n">
        <f aca="false" t="array" ref="B1059:B1059">IF(D1059="","",IFERROR(VALUE(INDEX(Vazoes_COLAR!$A$2:$A$200,INT((ROW()-24)/12)+1)),""))</f>
        <v>1996</v>
      </c>
      <c r="C1059" s="15" t="n">
        <f aca="false">IF(D1059="","",MOD(ROW()-24,12)+1)</f>
        <v>4</v>
      </c>
      <c r="D1059" s="16" t="n">
        <f aca="false" t="array" ref="D1059: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9.20314323592648</v>
      </c>
      <c r="E1059" s="16" t="n">
        <f aca="false">IF(D1059="","",D1059*$B$15)</f>
        <v>23.8545472675214</v>
      </c>
      <c r="F1059" s="16" t="n">
        <f aca="false" t="array" ref="F1059:F1059">IF(D1059="","",IFERROR(INDEX(Dados_Evap!$C$2:$N$15,MATCH($B$9,Dados_Evap!$A$2:$A$15,0),C1059),0))</f>
        <v>100.5</v>
      </c>
      <c r="G1059" s="16" t="n">
        <f aca="false">IF(F1059="","",F1059/1000)</f>
        <v>0.1005</v>
      </c>
      <c r="H1059" s="16" t="n">
        <f aca="false">IF(D1059="","",MAX(0,MIN($B$8,IFERROR(LOOKUP(2,1/($U$24:U1058&lt;&gt;""),$U$24:U1058),$B$11))))</f>
        <v>47.22</v>
      </c>
      <c r="I1059" s="16" t="n">
        <f aca="false" t="array" ref="I1059: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>6.97</v>
      </c>
      <c r="J1059" s="16" t="n">
        <f aca="false">IF(D1059="","",$B$12)</f>
        <v>0.35</v>
      </c>
      <c r="K1059" s="16" t="n">
        <f aca="false">IF(J1059="","",J1059*$B$15)</f>
        <v>0.9072</v>
      </c>
      <c r="L1059" s="16" t="n">
        <f aca="false">IF(D1059="","",H1059+E1059-K1059-G1059*I1059)</f>
        <v>69.4668622675214</v>
      </c>
      <c r="M1059" s="16" t="n">
        <f aca="false" t="array" ref="M1059: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>9.59700818317935</v>
      </c>
      <c r="N1059" s="16" t="n">
        <f aca="false">IF(D1059="","",(I1059+M1059)/2)</f>
        <v>8.28350409158968</v>
      </c>
      <c r="O1059" s="16" t="n">
        <f aca="false">IF(D1059="","",G1059*N1059)</f>
        <v>0.832492161204762</v>
      </c>
      <c r="P1059" s="16" t="n">
        <f aca="false">IF(D1059="","",H1059+E1059-K1059-O1059)</f>
        <v>69.3348551063167</v>
      </c>
      <c r="Q1059" s="16" t="n">
        <f aca="false">IF(D1059="","",IF(P1059&gt;=0,K1059,MAX(0,K1059+P1059)))</f>
        <v>0.9072</v>
      </c>
      <c r="R1059" s="16" t="n">
        <f aca="false">IF(D1059="","",Q1059/$B$15)</f>
        <v>0.35</v>
      </c>
      <c r="S1059" s="16" t="n">
        <f aca="false">IF(D1059="","",MAX(0,J1059-R1059))</f>
        <v>0</v>
      </c>
      <c r="T1059" s="16" t="n">
        <f aca="false">IF(D1059="","",MAX(0,Z1059-$B$8))</f>
        <v>22.1148551063167</v>
      </c>
      <c r="U1059" s="16" t="n">
        <f aca="false">IF(D1059="","",MAX(0,MIN($B$8,Z1059)))</f>
        <v>47.22</v>
      </c>
      <c r="V1059" s="16" t="str">
        <f aca="false">IF(D1059="","",IF(S1059&gt;0.0000001,"Sim","Não"))</f>
        <v>Não</v>
      </c>
      <c r="W1059" s="16" t="n">
        <f aca="false">IF(D1059="","",U1059-(H1059+E1059-Q1059-O1059-T1059))</f>
        <v>0</v>
      </c>
      <c r="X1059" s="16" t="n">
        <f aca="false">IF(W1059="","",ABS(W1059))</f>
        <v>0</v>
      </c>
      <c r="Y1059" s="16" t="n">
        <f aca="false">IF(U1059="","",IF($B$8=0,0,U1059/$B$8*100))</f>
        <v>100</v>
      </c>
      <c r="Z1059" s="18" t="n">
        <f aca="false">IF(D1059="","",MAX(0,IF(P1059&gt;=0,P1059,IF(K1059+P1059&gt;=0,0,P1059+K1059))))</f>
        <v>69.3348551063167</v>
      </c>
      <c r="AA1059" s="18" t="n">
        <f aca="false">IF(D1059="","",IF(H1059&lt;=$B$16,1,IF(H1059&gt;=$B$17,$B$21,MATCH(H1059,Aux_CAV!$A$2:$A$121,1))))</f>
        <v>14</v>
      </c>
      <c r="AB1059" s="18" t="n">
        <f aca="false">IF(D1059="","",IF(L1059&lt;=$B$16,1,IF(L1059&gt;=$B$17,$B$21,MATCH(L1059,Aux_CAV!$A$2:$A$121,1))))</f>
        <v>16</v>
      </c>
      <c r="AC1059" s="19" t="n">
        <f aca="false">IF(D1059="","",COUNT($D$24:D1059))</f>
        <v>1024</v>
      </c>
    </row>
    <row r="1060" customFormat="false" ht="12.75" hidden="false" customHeight="true" outlineLevel="0" collapsed="false">
      <c r="A1060" s="14" t="n">
        <f aca="false">IF(D1060="","",DATE(B1060,C1060,1))</f>
        <v>35186</v>
      </c>
      <c r="B1060" s="15" t="n">
        <f aca="false" t="array" ref="B1060:B1060">IF(D1060="","",IFERROR(VALUE(INDEX(Vazoes_COLAR!$A$2:$A$200,INT((ROW()-24)/12)+1)),""))</f>
        <v>1996</v>
      </c>
      <c r="C1060" s="15" t="n">
        <f aca="false">IF(D1060="","",MOD(ROW()-24,12)+1)</f>
        <v>5</v>
      </c>
      <c r="D1060" s="16" t="n">
        <f aca="false" t="array" ref="D1060: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4.26944880461898</v>
      </c>
      <c r="E1060" s="16" t="n">
        <f aca="false">IF(D1060="","",D1060*$B$15)</f>
        <v>11.0664113015724</v>
      </c>
      <c r="F1060" s="16" t="n">
        <f aca="false" t="array" ref="F1060:F1060">IF(D1060="","",IFERROR(INDEX(Dados_Evap!$C$2:$N$15,MATCH($B$9,Dados_Evap!$A$2:$A$15,0),C1060),0))</f>
        <v>145.8</v>
      </c>
      <c r="G1060" s="16" t="n">
        <f aca="false">IF(F1060="","",F1060/1000)</f>
        <v>0.1458</v>
      </c>
      <c r="H1060" s="16" t="n">
        <f aca="false">IF(D1060="","",MAX(0,MIN($B$8,IFERROR(LOOKUP(2,1/($U$24:U1059&lt;&gt;""),$U$24:U1059),$B$11))))</f>
        <v>47.22</v>
      </c>
      <c r="I1060" s="16" t="n">
        <f aca="false" t="array" ref="I1060: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>6.97</v>
      </c>
      <c r="J1060" s="16" t="n">
        <f aca="false">IF(D1060="","",$B$12)</f>
        <v>0.35</v>
      </c>
      <c r="K1060" s="16" t="n">
        <f aca="false">IF(J1060="","",J1060*$B$15)</f>
        <v>0.9072</v>
      </c>
      <c r="L1060" s="16" t="n">
        <f aca="false">IF(D1060="","",H1060+E1060-K1060-G1060*I1060)</f>
        <v>56.3629853015724</v>
      </c>
      <c r="M1060" s="16" t="n">
        <f aca="false" t="array" ref="M1060: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>8.05827437067087</v>
      </c>
      <c r="N1060" s="16" t="n">
        <f aca="false">IF(D1060="","",(I1060+M1060)/2)</f>
        <v>7.51413718533543</v>
      </c>
      <c r="O1060" s="16" t="n">
        <f aca="false">IF(D1060="","",G1060*N1060)</f>
        <v>1.09556120162191</v>
      </c>
      <c r="P1060" s="16" t="n">
        <f aca="false">IF(D1060="","",H1060+E1060-K1060-O1060)</f>
        <v>56.2836500999505</v>
      </c>
      <c r="Q1060" s="16" t="n">
        <f aca="false">IF(D1060="","",IF(P1060&gt;=0,K1060,MAX(0,K1060+P1060)))</f>
        <v>0.9072</v>
      </c>
      <c r="R1060" s="16" t="n">
        <f aca="false">IF(D1060="","",Q1060/$B$15)</f>
        <v>0.35</v>
      </c>
      <c r="S1060" s="16" t="n">
        <f aca="false">IF(D1060="","",MAX(0,J1060-R1060))</f>
        <v>0</v>
      </c>
      <c r="T1060" s="16" t="n">
        <f aca="false">IF(D1060="","",MAX(0,Z1060-$B$8))</f>
        <v>9.06365009995049</v>
      </c>
      <c r="U1060" s="16" t="n">
        <f aca="false">IF(D1060="","",MAX(0,MIN($B$8,Z1060)))</f>
        <v>47.22</v>
      </c>
      <c r="V1060" s="16" t="str">
        <f aca="false">IF(D1060="","",IF(S1060&gt;0.0000001,"Sim","Não"))</f>
        <v>Não</v>
      </c>
      <c r="W1060" s="16" t="n">
        <f aca="false">IF(D1060="","",U1060-(H1060+E1060-Q1060-O1060-T1060))</f>
        <v>0</v>
      </c>
      <c r="X1060" s="16" t="n">
        <f aca="false">IF(W1060="","",ABS(W1060))</f>
        <v>0</v>
      </c>
      <c r="Y1060" s="16" t="n">
        <f aca="false">IF(U1060="","",IF($B$8=0,0,U1060/$B$8*100))</f>
        <v>100</v>
      </c>
      <c r="Z1060" s="18" t="n">
        <f aca="false">IF(D1060="","",MAX(0,IF(P1060&gt;=0,P1060,IF(K1060+P1060&gt;=0,0,P1060+K1060))))</f>
        <v>56.2836500999505</v>
      </c>
      <c r="AA1060" s="18" t="n">
        <f aca="false">IF(D1060="","",IF(H1060&lt;=$B$16,1,IF(H1060&gt;=$B$17,$B$21,MATCH(H1060,Aux_CAV!$A$2:$A$121,1))))</f>
        <v>14</v>
      </c>
      <c r="AB1060" s="18" t="n">
        <f aca="false">IF(D1060="","",IF(L1060&lt;=$B$16,1,IF(L1060&gt;=$B$17,$B$21,MATCH(L1060,Aux_CAV!$A$2:$A$121,1))))</f>
        <v>15</v>
      </c>
      <c r="AC1060" s="19" t="n">
        <f aca="false">IF(D1060="","",COUNT($D$24:D1060))</f>
        <v>1025</v>
      </c>
    </row>
    <row r="1061" customFormat="false" ht="12.75" hidden="false" customHeight="true" outlineLevel="0" collapsed="false">
      <c r="A1061" s="14" t="n">
        <f aca="false">IF(D1061="","",DATE(B1061,C1061,1))</f>
        <v>35217</v>
      </c>
      <c r="B1061" s="15" t="n">
        <f aca="false" t="array" ref="B1061:B1061">IF(D1061="","",IFERROR(VALUE(INDEX(Vazoes_COLAR!$A$2:$A$200,INT((ROW()-24)/12)+1)),""))</f>
        <v>1996</v>
      </c>
      <c r="C1061" s="15" t="n">
        <f aca="false">IF(D1061="","",MOD(ROW()-24,12)+1)</f>
        <v>6</v>
      </c>
      <c r="D1061" s="16" t="n">
        <f aca="false" t="array" ref="D1061: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0.459472661195099</v>
      </c>
      <c r="E1061" s="16" t="n">
        <f aca="false">IF(D1061="","",D1061*$B$15)</f>
        <v>1.1909531378177</v>
      </c>
      <c r="F1061" s="16" t="n">
        <f aca="false" t="array" ref="F1061:F1061">IF(D1061="","",IFERROR(INDEX(Dados_Evap!$C$2:$N$15,MATCH($B$9,Dados_Evap!$A$2:$A$15,0),C1061),0))</f>
        <v>161.3</v>
      </c>
      <c r="G1061" s="16" t="n">
        <f aca="false">IF(F1061="","",F1061/1000)</f>
        <v>0.1613</v>
      </c>
      <c r="H1061" s="16" t="n">
        <f aca="false">IF(D1061="","",MAX(0,MIN($B$8,IFERROR(LOOKUP(2,1/($U$24:U1060&lt;&gt;""),$U$24:U1060),$B$11))))</f>
        <v>47.22</v>
      </c>
      <c r="I1061" s="16" t="n">
        <f aca="false" t="array" ref="I1061: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>6.97</v>
      </c>
      <c r="J1061" s="16" t="n">
        <f aca="false">IF(D1061="","",$B$12)</f>
        <v>0.35</v>
      </c>
      <c r="K1061" s="16" t="n">
        <f aca="false">IF(J1061="","",J1061*$B$15)</f>
        <v>0.9072</v>
      </c>
      <c r="L1061" s="16" t="n">
        <f aca="false">IF(D1061="","",H1061+E1061-K1061-G1061*I1061)</f>
        <v>46.3794921378177</v>
      </c>
      <c r="M1061" s="16" t="n">
        <f aca="false" t="array" ref="M1061: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>6.88608136910601</v>
      </c>
      <c r="N1061" s="16" t="n">
        <f aca="false">IF(D1061="","",(I1061+M1061)/2)</f>
        <v>6.92804068455301</v>
      </c>
      <c r="O1061" s="16" t="n">
        <f aca="false">IF(D1061="","",G1061*N1061)</f>
        <v>1.1174929624184</v>
      </c>
      <c r="P1061" s="16" t="n">
        <f aca="false">IF(D1061="","",H1061+E1061-K1061-O1061)</f>
        <v>46.3862601753993</v>
      </c>
      <c r="Q1061" s="16" t="n">
        <f aca="false">IF(D1061="","",IF(P1061&gt;=0,K1061,MAX(0,K1061+P1061)))</f>
        <v>0.9072</v>
      </c>
      <c r="R1061" s="16" t="n">
        <f aca="false">IF(D1061="","",Q1061/$B$15)</f>
        <v>0.35</v>
      </c>
      <c r="S1061" s="16" t="n">
        <f aca="false">IF(D1061="","",MAX(0,J1061-R1061))</f>
        <v>0</v>
      </c>
      <c r="T1061" s="16" t="n">
        <f aca="false">IF(D1061="","",MAX(0,Z1061-$B$8))</f>
        <v>0</v>
      </c>
      <c r="U1061" s="16" t="n">
        <f aca="false">IF(D1061="","",MAX(0,MIN($B$8,Z1061)))</f>
        <v>46.3862601753993</v>
      </c>
      <c r="V1061" s="16" t="str">
        <f aca="false">IF(D1061="","",IF(S1061&gt;0.0000001,"Sim","Não"))</f>
        <v>Não</v>
      </c>
      <c r="W1061" s="16" t="n">
        <f aca="false">IF(D1061="","",U1061-(H1061+E1061-Q1061-O1061-T1061))</f>
        <v>0</v>
      </c>
      <c r="X1061" s="16" t="n">
        <f aca="false">IF(W1061="","",ABS(W1061))</f>
        <v>0</v>
      </c>
      <c r="Y1061" s="16" t="n">
        <f aca="false">IF(U1061="","",IF($B$8=0,0,U1061/$B$8*100))</f>
        <v>98.234350223209</v>
      </c>
      <c r="Z1061" s="18" t="n">
        <f aca="false">IF(D1061="","",MAX(0,IF(P1061&gt;=0,P1061,IF(K1061+P1061&gt;=0,0,P1061+K1061))))</f>
        <v>46.3862601753993</v>
      </c>
      <c r="AA1061" s="18" t="n">
        <f aca="false">IF(D1061="","",IF(H1061&lt;=$B$16,1,IF(H1061&gt;=$B$17,$B$21,MATCH(H1061,Aux_CAV!$A$2:$A$121,1))))</f>
        <v>14</v>
      </c>
      <c r="AB1061" s="18" t="n">
        <f aca="false">IF(D1061="","",IF(L1061&lt;=$B$16,1,IF(L1061&gt;=$B$17,$B$21,MATCH(L1061,Aux_CAV!$A$2:$A$121,1))))</f>
        <v>13</v>
      </c>
      <c r="AC1061" s="19" t="n">
        <f aca="false">IF(D1061="","",COUNT($D$24:D1061))</f>
        <v>1026</v>
      </c>
    </row>
    <row r="1062" customFormat="false" ht="12.75" hidden="false" customHeight="true" outlineLevel="0" collapsed="false">
      <c r="A1062" s="14" t="n">
        <f aca="false">IF(D1062="","",DATE(B1062,C1062,1))</f>
        <v>35247</v>
      </c>
      <c r="B1062" s="15" t="n">
        <f aca="false" t="array" ref="B1062:B1062">IF(D1062="","",IFERROR(VALUE(INDEX(Vazoes_COLAR!$A$2:$A$200,INT((ROW()-24)/12)+1)),""))</f>
        <v>1996</v>
      </c>
      <c r="C1062" s="15" t="n">
        <f aca="false">IF(D1062="","",MOD(ROW()-24,12)+1)</f>
        <v>7</v>
      </c>
      <c r="D1062" s="16" t="n">
        <f aca="false" t="array" ref="D1062: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0.0758548597686112</v>
      </c>
      <c r="E1062" s="16" t="n">
        <f aca="false">IF(D1062="","",D1062*$B$15)</f>
        <v>0.19661579652024</v>
      </c>
      <c r="F1062" s="16" t="n">
        <f aca="false" t="array" ref="F1062:F1062">IF(D1062="","",IFERROR(INDEX(Dados_Evap!$C$2:$N$15,MATCH($B$9,Dados_Evap!$A$2:$A$15,0),C1062),0))</f>
        <v>224.8</v>
      </c>
      <c r="G1062" s="16" t="n">
        <f aca="false">IF(F1062="","",F1062/1000)</f>
        <v>0.2248</v>
      </c>
      <c r="H1062" s="16" t="n">
        <f aca="false">IF(D1062="","",MAX(0,MIN($B$8,IFERROR(LOOKUP(2,1/($U$24:U1061&lt;&gt;""),$U$24:U1061),$B$11))))</f>
        <v>46.3862601753993</v>
      </c>
      <c r="I1062" s="16" t="n">
        <f aca="false" t="array" ref="I1062: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>6.88675710870732</v>
      </c>
      <c r="J1062" s="16" t="n">
        <f aca="false">IF(D1062="","",$B$12)</f>
        <v>0.35</v>
      </c>
      <c r="K1062" s="16" t="n">
        <f aca="false">IF(J1062="","",J1062*$B$15)</f>
        <v>0.9072</v>
      </c>
      <c r="L1062" s="16" t="n">
        <f aca="false">IF(D1062="","",H1062+E1062-K1062-G1062*I1062)</f>
        <v>44.1275329738821</v>
      </c>
      <c r="M1062" s="16" t="n">
        <f aca="false" t="array" ref="M1062: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>6.661239534342</v>
      </c>
      <c r="N1062" s="16" t="n">
        <f aca="false">IF(D1062="","",(I1062+M1062)/2)</f>
        <v>6.77399832152466</v>
      </c>
      <c r="O1062" s="16" t="n">
        <f aca="false">IF(D1062="","",G1062*N1062)</f>
        <v>1.52279482267874</v>
      </c>
      <c r="P1062" s="16" t="n">
        <f aca="false">IF(D1062="","",H1062+E1062-K1062-O1062)</f>
        <v>44.1528811492408</v>
      </c>
      <c r="Q1062" s="16" t="n">
        <f aca="false">IF(D1062="","",IF(P1062&gt;=0,K1062,MAX(0,K1062+P1062)))</f>
        <v>0.9072</v>
      </c>
      <c r="R1062" s="16" t="n">
        <f aca="false">IF(D1062="","",Q1062/$B$15)</f>
        <v>0.35</v>
      </c>
      <c r="S1062" s="16" t="n">
        <f aca="false">IF(D1062="","",MAX(0,J1062-R1062))</f>
        <v>0</v>
      </c>
      <c r="T1062" s="16" t="n">
        <f aca="false">IF(D1062="","",MAX(0,Z1062-$B$8))</f>
        <v>0</v>
      </c>
      <c r="U1062" s="16" t="n">
        <f aca="false">IF(D1062="","",MAX(0,MIN($B$8,Z1062)))</f>
        <v>44.1528811492408</v>
      </c>
      <c r="V1062" s="16" t="str">
        <f aca="false">IF(D1062="","",IF(S1062&gt;0.0000001,"Sim","Não"))</f>
        <v>Não</v>
      </c>
      <c r="W1062" s="16" t="n">
        <f aca="false">IF(D1062="","",U1062-(H1062+E1062-Q1062-O1062-T1062))</f>
        <v>0</v>
      </c>
      <c r="X1062" s="16" t="n">
        <f aca="false">IF(W1062="","",ABS(W1062))</f>
        <v>0</v>
      </c>
      <c r="Y1062" s="16" t="n">
        <f aca="false">IF(U1062="","",IF($B$8=0,0,U1062/$B$8*100))</f>
        <v>93.504619121645</v>
      </c>
      <c r="Z1062" s="18" t="n">
        <f aca="false">IF(D1062="","",MAX(0,IF(P1062&gt;=0,P1062,IF(K1062+P1062&gt;=0,0,P1062+K1062))))</f>
        <v>44.1528811492408</v>
      </c>
      <c r="AA1062" s="18" t="n">
        <f aca="false">IF(D1062="","",IF(H1062&lt;=$B$16,1,IF(H1062&gt;=$B$17,$B$21,MATCH(H1062,Aux_CAV!$A$2:$A$121,1))))</f>
        <v>13</v>
      </c>
      <c r="AB1062" s="18" t="n">
        <f aca="false">IF(D1062="","",IF(L1062&lt;=$B$16,1,IF(L1062&gt;=$B$17,$B$21,MATCH(L1062,Aux_CAV!$A$2:$A$121,1))))</f>
        <v>13</v>
      </c>
      <c r="AC1062" s="19" t="n">
        <f aca="false">IF(D1062="","",COUNT($D$24:D1062))</f>
        <v>1027</v>
      </c>
    </row>
    <row r="1063" customFormat="false" ht="12.75" hidden="false" customHeight="true" outlineLevel="0" collapsed="false">
      <c r="A1063" s="14" t="n">
        <f aca="false">IF(D1063="","",DATE(B1063,C1063,1))</f>
        <v>35278</v>
      </c>
      <c r="B1063" s="15" t="n">
        <f aca="false" t="array" ref="B1063:B1063">IF(D1063="","",IFERROR(VALUE(INDEX(Vazoes_COLAR!$A$2:$A$200,INT((ROW()-24)/12)+1)),""))</f>
        <v>1996</v>
      </c>
      <c r="C1063" s="15" t="n">
        <f aca="false">IF(D1063="","",MOD(ROW()-24,12)+1)</f>
        <v>8</v>
      </c>
      <c r="D1063" s="16" t="n">
        <f aca="false" t="array" ref="D1063: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0.111150275535071</v>
      </c>
      <c r="E1063" s="16" t="n">
        <f aca="false">IF(D1063="","",D1063*$B$15)</f>
        <v>0.288101514186904</v>
      </c>
      <c r="F1063" s="16" t="n">
        <f aca="false" t="array" ref="F1063:F1063">IF(D1063="","",IFERROR(INDEX(Dados_Evap!$C$2:$N$15,MATCH($B$9,Dados_Evap!$A$2:$A$15,0),C1063),0))</f>
        <v>268.7</v>
      </c>
      <c r="G1063" s="16" t="n">
        <f aca="false">IF(F1063="","",F1063/1000)</f>
        <v>0.2687</v>
      </c>
      <c r="H1063" s="16" t="n">
        <f aca="false">IF(D1063="","",MAX(0,MIN($B$8,IFERROR(LOOKUP(2,1/($U$24:U1062&lt;&gt;""),$U$24:U1062),$B$11))))</f>
        <v>44.1528811492408</v>
      </c>
      <c r="I1063" s="16" t="n">
        <f aca="false" t="array" ref="I1063: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>6.66377036631571</v>
      </c>
      <c r="J1063" s="16" t="n">
        <f aca="false">IF(D1063="","",$B$12)</f>
        <v>0.35</v>
      </c>
      <c r="K1063" s="16" t="n">
        <f aca="false">IF(J1063="","",J1063*$B$15)</f>
        <v>0.9072</v>
      </c>
      <c r="L1063" s="16" t="n">
        <f aca="false">IF(D1063="","",H1063+E1063-K1063-G1063*I1063)</f>
        <v>41.7432275659987</v>
      </c>
      <c r="M1063" s="16" t="n">
        <f aca="false" t="array" ref="M1063: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>6.42318388434106</v>
      </c>
      <c r="N1063" s="16" t="n">
        <f aca="false">IF(D1063="","",(I1063+M1063)/2)</f>
        <v>6.54347712532838</v>
      </c>
      <c r="O1063" s="16" t="n">
        <f aca="false">IF(D1063="","",G1063*N1063)</f>
        <v>1.75823230357574</v>
      </c>
      <c r="P1063" s="16" t="n">
        <f aca="false">IF(D1063="","",H1063+E1063-K1063-O1063)</f>
        <v>41.775550359852</v>
      </c>
      <c r="Q1063" s="16" t="n">
        <f aca="false">IF(D1063="","",IF(P1063&gt;=0,K1063,MAX(0,K1063+P1063)))</f>
        <v>0.9072</v>
      </c>
      <c r="R1063" s="16" t="n">
        <f aca="false">IF(D1063="","",Q1063/$B$15)</f>
        <v>0.35</v>
      </c>
      <c r="S1063" s="16" t="n">
        <f aca="false">IF(D1063="","",MAX(0,J1063-R1063))</f>
        <v>0</v>
      </c>
      <c r="T1063" s="16" t="n">
        <f aca="false">IF(D1063="","",MAX(0,Z1063-$B$8))</f>
        <v>0</v>
      </c>
      <c r="U1063" s="16" t="n">
        <f aca="false">IF(D1063="","",MAX(0,MIN($B$8,Z1063)))</f>
        <v>41.775550359852</v>
      </c>
      <c r="V1063" s="16" t="str">
        <f aca="false">IF(D1063="","",IF(S1063&gt;0.0000001,"Sim","Não"))</f>
        <v>Não</v>
      </c>
      <c r="W1063" s="16" t="n">
        <f aca="false">IF(D1063="","",U1063-(H1063+E1063-Q1063-O1063-T1063))</f>
        <v>0</v>
      </c>
      <c r="X1063" s="16" t="n">
        <f aca="false">IF(W1063="","",ABS(W1063))</f>
        <v>0</v>
      </c>
      <c r="Y1063" s="16" t="n">
        <f aca="false">IF(U1063="","",IF($B$8=0,0,U1063/$B$8*100))</f>
        <v>88.4700346460228</v>
      </c>
      <c r="Z1063" s="18" t="n">
        <f aca="false">IF(D1063="","",MAX(0,IF(P1063&gt;=0,P1063,IF(K1063+P1063&gt;=0,0,P1063+K1063))))</f>
        <v>41.775550359852</v>
      </c>
      <c r="AA1063" s="18" t="n">
        <f aca="false">IF(D1063="","",IF(H1063&lt;=$B$16,1,IF(H1063&gt;=$B$17,$B$21,MATCH(H1063,Aux_CAV!$A$2:$A$121,1))))</f>
        <v>13</v>
      </c>
      <c r="AB1063" s="18" t="n">
        <f aca="false">IF(D1063="","",IF(L1063&lt;=$B$16,1,IF(L1063&gt;=$B$17,$B$21,MATCH(L1063,Aux_CAV!$A$2:$A$121,1))))</f>
        <v>13</v>
      </c>
      <c r="AC1063" s="19" t="n">
        <f aca="false">IF(D1063="","",COUNT($D$24:D1063))</f>
        <v>1028</v>
      </c>
    </row>
    <row r="1064" customFormat="false" ht="12.75" hidden="false" customHeight="true" outlineLevel="0" collapsed="false">
      <c r="A1064" s="14" t="n">
        <f aca="false">IF(D1064="","",DATE(B1064,C1064,1))</f>
        <v>35309</v>
      </c>
      <c r="B1064" s="15" t="n">
        <f aca="false" t="array" ref="B1064:B1064">IF(D1064="","",IFERROR(VALUE(INDEX(Vazoes_COLAR!$A$2:$A$200,INT((ROW()-24)/12)+1)),""))</f>
        <v>1996</v>
      </c>
      <c r="C1064" s="15" t="n">
        <f aca="false">IF(D1064="","",MOD(ROW()-24,12)+1)</f>
        <v>9</v>
      </c>
      <c r="D1064" s="16" t="n">
        <f aca="false" t="array" ref="D1064: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0.101639398383088</v>
      </c>
      <c r="E1064" s="16" t="n">
        <f aca="false">IF(D1064="","",D1064*$B$15)</f>
        <v>0.263449320608964</v>
      </c>
      <c r="F1064" s="16" t="n">
        <f aca="false" t="array" ref="F1064:F1064">IF(D1064="","",IFERROR(INDEX(Dados_Evap!$C$2:$N$15,MATCH($B$9,Dados_Evap!$A$2:$A$15,0),C1064),0))</f>
        <v>292.8</v>
      </c>
      <c r="G1064" s="16" t="n">
        <f aca="false">IF(F1064="","",F1064/1000)</f>
        <v>0.2928</v>
      </c>
      <c r="H1064" s="16" t="n">
        <f aca="false">IF(D1064="","",MAX(0,MIN($B$8,IFERROR(LOOKUP(2,1/($U$24:U1063&lt;&gt;""),$U$24:U1063),$B$11))))</f>
        <v>41.775550359852</v>
      </c>
      <c r="I1064" s="16" t="n">
        <f aca="false" t="array" ref="I1064: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>6.4264110815261</v>
      </c>
      <c r="J1064" s="16" t="n">
        <f aca="false">IF(D1064="","",$B$12)</f>
        <v>0.35</v>
      </c>
      <c r="K1064" s="16" t="n">
        <f aca="false">IF(J1064="","",J1064*$B$15)</f>
        <v>0.9072</v>
      </c>
      <c r="L1064" s="16" t="n">
        <f aca="false">IF(D1064="","",H1064+E1064-K1064-G1064*I1064)</f>
        <v>39.2501465157901</v>
      </c>
      <c r="M1064" s="16" t="n">
        <f aca="false" t="array" ref="M1064: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>6.17426777319602</v>
      </c>
      <c r="N1064" s="16" t="n">
        <f aca="false">IF(D1064="","",(I1064+M1064)/2)</f>
        <v>6.30033942736106</v>
      </c>
      <c r="O1064" s="16" t="n">
        <f aca="false">IF(D1064="","",G1064*N1064)</f>
        <v>1.84473938433132</v>
      </c>
      <c r="P1064" s="16" t="n">
        <f aca="false">IF(D1064="","",H1064+E1064-K1064-O1064)</f>
        <v>39.2870602961296</v>
      </c>
      <c r="Q1064" s="16" t="n">
        <f aca="false">IF(D1064="","",IF(P1064&gt;=0,K1064,MAX(0,K1064+P1064)))</f>
        <v>0.9072</v>
      </c>
      <c r="R1064" s="16" t="n">
        <f aca="false">IF(D1064="","",Q1064/$B$15)</f>
        <v>0.35</v>
      </c>
      <c r="S1064" s="16" t="n">
        <f aca="false">IF(D1064="","",MAX(0,J1064-R1064))</f>
        <v>0</v>
      </c>
      <c r="T1064" s="16" t="n">
        <f aca="false">IF(D1064="","",MAX(0,Z1064-$B$8))</f>
        <v>0</v>
      </c>
      <c r="U1064" s="16" t="n">
        <f aca="false">IF(D1064="","",MAX(0,MIN($B$8,Z1064)))</f>
        <v>39.2870602961296</v>
      </c>
      <c r="V1064" s="16" t="str">
        <f aca="false">IF(D1064="","",IF(S1064&gt;0.0000001,"Sim","Não"))</f>
        <v>Não</v>
      </c>
      <c r="W1064" s="16" t="n">
        <f aca="false">IF(D1064="","",U1064-(H1064+E1064-Q1064-O1064-T1064))</f>
        <v>0</v>
      </c>
      <c r="X1064" s="16" t="n">
        <f aca="false">IF(W1064="","",ABS(W1064))</f>
        <v>0</v>
      </c>
      <c r="Y1064" s="16" t="n">
        <f aca="false">IF(U1064="","",IF($B$8=0,0,U1064/$B$8*100))</f>
        <v>83.2000429820618</v>
      </c>
      <c r="Z1064" s="18" t="n">
        <f aca="false">IF(D1064="","",MAX(0,IF(P1064&gt;=0,P1064,IF(K1064+P1064&gt;=0,0,P1064+K1064))))</f>
        <v>39.2870602961296</v>
      </c>
      <c r="AA1064" s="18" t="n">
        <f aca="false">IF(D1064="","",IF(H1064&lt;=$B$16,1,IF(H1064&gt;=$B$17,$B$21,MATCH(H1064,Aux_CAV!$A$2:$A$121,1))))</f>
        <v>13</v>
      </c>
      <c r="AB1064" s="18" t="n">
        <f aca="false">IF(D1064="","",IF(L1064&lt;=$B$16,1,IF(L1064&gt;=$B$17,$B$21,MATCH(L1064,Aux_CAV!$A$2:$A$121,1))))</f>
        <v>13</v>
      </c>
      <c r="AC1064" s="19" t="n">
        <f aca="false">IF(D1064="","",COUNT($D$24:D1064))</f>
        <v>1029</v>
      </c>
    </row>
    <row r="1065" customFormat="false" ht="12.75" hidden="false" customHeight="true" outlineLevel="0" collapsed="false">
      <c r="A1065" s="14" t="n">
        <f aca="false">IF(D1065="","",DATE(B1065,C1065,1))</f>
        <v>35339</v>
      </c>
      <c r="B1065" s="15" t="n">
        <f aca="false" t="array" ref="B1065:B1065">IF(D1065="","",IFERROR(VALUE(INDEX(Vazoes_COLAR!$A$2:$A$200,INT((ROW()-24)/12)+1)),""))</f>
        <v>1996</v>
      </c>
      <c r="C1065" s="15" t="n">
        <f aca="false">IF(D1065="","",MOD(ROW()-24,12)+1)</f>
        <v>10</v>
      </c>
      <c r="D1065" s="16" t="n">
        <f aca="false" t="array" ref="D1065: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0.10355971678233</v>
      </c>
      <c r="E1065" s="16" t="n">
        <f aca="false">IF(D1065="","",D1065*$B$15)</f>
        <v>0.268426785899799</v>
      </c>
      <c r="F1065" s="16" t="n">
        <f aca="false" t="array" ref="F1065:F1065">IF(D1065="","",IFERROR(INDEX(Dados_Evap!$C$2:$N$15,MATCH($B$9,Dados_Evap!$A$2:$A$15,0),C1065),0))</f>
        <v>262.9</v>
      </c>
      <c r="G1065" s="16" t="n">
        <f aca="false">IF(F1065="","",F1065/1000)</f>
        <v>0.2629</v>
      </c>
      <c r="H1065" s="16" t="n">
        <f aca="false">IF(D1065="","",MAX(0,MIN($B$8,IFERROR(LOOKUP(2,1/($U$24:U1064&lt;&gt;""),$U$24:U1064),$B$11))))</f>
        <v>39.2870602961296</v>
      </c>
      <c r="I1065" s="16" t="n">
        <f aca="false" t="array" ref="I1065: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>6.17795334717646</v>
      </c>
      <c r="J1065" s="16" t="n">
        <f aca="false">IF(D1065="","",$B$12)</f>
        <v>0.35</v>
      </c>
      <c r="K1065" s="16" t="n">
        <f aca="false">IF(J1065="","",J1065*$B$15)</f>
        <v>0.9072</v>
      </c>
      <c r="L1065" s="16" t="n">
        <f aca="false">IF(D1065="","",H1065+E1065-K1065-G1065*I1065)</f>
        <v>37.0241031470567</v>
      </c>
      <c r="M1065" s="16" t="n">
        <f aca="false" t="array" ref="M1065: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>5.95201344314167</v>
      </c>
      <c r="N1065" s="16" t="n">
        <f aca="false">IF(D1065="","",(I1065+M1065)/2)</f>
        <v>6.06498339515906</v>
      </c>
      <c r="O1065" s="16" t="n">
        <f aca="false">IF(D1065="","",G1065*N1065)</f>
        <v>1.59448413458732</v>
      </c>
      <c r="P1065" s="16" t="n">
        <f aca="false">IF(D1065="","",H1065+E1065-K1065-O1065)</f>
        <v>37.0538029474421</v>
      </c>
      <c r="Q1065" s="16" t="n">
        <f aca="false">IF(D1065="","",IF(P1065&gt;=0,K1065,MAX(0,K1065+P1065)))</f>
        <v>0.9072</v>
      </c>
      <c r="R1065" s="16" t="n">
        <f aca="false">IF(D1065="","",Q1065/$B$15)</f>
        <v>0.35</v>
      </c>
      <c r="S1065" s="16" t="n">
        <f aca="false">IF(D1065="","",MAX(0,J1065-R1065))</f>
        <v>0</v>
      </c>
      <c r="T1065" s="16" t="n">
        <f aca="false">IF(D1065="","",MAX(0,Z1065-$B$8))</f>
        <v>0</v>
      </c>
      <c r="U1065" s="16" t="n">
        <f aca="false">IF(D1065="","",MAX(0,MIN($B$8,Z1065)))</f>
        <v>37.0538029474421</v>
      </c>
      <c r="V1065" s="16" t="str">
        <f aca="false">IF(D1065="","",IF(S1065&gt;0.0000001,"Sim","Não"))</f>
        <v>Não</v>
      </c>
      <c r="W1065" s="16" t="n">
        <f aca="false">IF(D1065="","",U1065-(H1065+E1065-Q1065-O1065-T1065))</f>
        <v>0</v>
      </c>
      <c r="X1065" s="16" t="n">
        <f aca="false">IF(W1065="","",ABS(W1065))</f>
        <v>0</v>
      </c>
      <c r="Y1065" s="16" t="n">
        <f aca="false">IF(U1065="","",IF($B$8=0,0,U1065/$B$8*100))</f>
        <v>78.4705695625626</v>
      </c>
      <c r="Z1065" s="18" t="n">
        <f aca="false">IF(D1065="","",MAX(0,IF(P1065&gt;=0,P1065,IF(K1065+P1065&gt;=0,0,P1065+K1065))))</f>
        <v>37.0538029474421</v>
      </c>
      <c r="AA1065" s="18" t="n">
        <f aca="false">IF(D1065="","",IF(H1065&lt;=$B$16,1,IF(H1065&gt;=$B$17,$B$21,MATCH(H1065,Aux_CAV!$A$2:$A$121,1))))</f>
        <v>13</v>
      </c>
      <c r="AB1065" s="18" t="n">
        <f aca="false">IF(D1065="","",IF(L1065&lt;=$B$16,1,IF(L1065&gt;=$B$17,$B$21,MATCH(L1065,Aux_CAV!$A$2:$A$121,1))))</f>
        <v>13</v>
      </c>
      <c r="AC1065" s="19" t="n">
        <f aca="false">IF(D1065="","",COUNT($D$24:D1065))</f>
        <v>1030</v>
      </c>
    </row>
    <row r="1066" customFormat="false" ht="12.75" hidden="false" customHeight="true" outlineLevel="0" collapsed="false">
      <c r="A1066" s="14" t="n">
        <f aca="false">IF(D1066="","",DATE(B1066,C1066,1))</f>
        <v>35370</v>
      </c>
      <c r="B1066" s="15" t="n">
        <f aca="false" t="array" ref="B1066:B1066">IF(D1066="","",IFERROR(VALUE(INDEX(Vazoes_COLAR!$A$2:$A$200,INT((ROW()-24)/12)+1)),""))</f>
        <v>1996</v>
      </c>
      <c r="C1066" s="15" t="n">
        <f aca="false">IF(D1066="","",MOD(ROW()-24,12)+1)</f>
        <v>11</v>
      </c>
      <c r="D1066" s="16" t="n">
        <f aca="false" t="array" ref="D1066: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0.219772833431546</v>
      </c>
      <c r="E1066" s="16" t="n">
        <f aca="false">IF(D1066="","",D1066*$B$15)</f>
        <v>0.569651184254567</v>
      </c>
      <c r="F1066" s="16" t="n">
        <f aca="false" t="array" ref="F1066:F1066">IF(D1066="","",IFERROR(INDEX(Dados_Evap!$C$2:$N$15,MATCH($B$9,Dados_Evap!$A$2:$A$15,0),C1066),0))</f>
        <v>223.7</v>
      </c>
      <c r="G1066" s="16" t="n">
        <f aca="false">IF(F1066="","",F1066/1000)</f>
        <v>0.2237</v>
      </c>
      <c r="H1066" s="16" t="n">
        <f aca="false">IF(D1066="","",MAX(0,MIN($B$8,IFERROR(LOOKUP(2,1/($U$24:U1065&lt;&gt;""),$U$24:U1065),$B$11))))</f>
        <v>37.0538029474421</v>
      </c>
      <c r="I1066" s="16" t="n">
        <f aca="false" t="array" ref="I1066: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>5.95497875340027</v>
      </c>
      <c r="J1066" s="16" t="n">
        <f aca="false">IF(D1066="","",$B$12)</f>
        <v>0.35</v>
      </c>
      <c r="K1066" s="16" t="n">
        <f aca="false">IF(J1066="","",J1066*$B$15)</f>
        <v>0.9072</v>
      </c>
      <c r="L1066" s="16" t="n">
        <f aca="false">IF(D1066="","",H1066+E1066-K1066-G1066*I1066)</f>
        <v>35.384125384561</v>
      </c>
      <c r="M1066" s="16" t="n">
        <f aca="false" t="array" ref="M1066: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>5.78827352503085</v>
      </c>
      <c r="N1066" s="16" t="n">
        <f aca="false">IF(D1066="","",(I1066+M1066)/2)</f>
        <v>5.87162613921556</v>
      </c>
      <c r="O1066" s="16" t="n">
        <f aca="false">IF(D1066="","",G1066*N1066)</f>
        <v>1.31348276734252</v>
      </c>
      <c r="P1066" s="16" t="n">
        <f aca="false">IF(D1066="","",H1066+E1066-K1066-O1066)</f>
        <v>35.4027713643541</v>
      </c>
      <c r="Q1066" s="16" t="n">
        <f aca="false">IF(D1066="","",IF(P1066&gt;=0,K1066,MAX(0,K1066+P1066)))</f>
        <v>0.9072</v>
      </c>
      <c r="R1066" s="16" t="n">
        <f aca="false">IF(D1066="","",Q1066/$B$15)</f>
        <v>0.35</v>
      </c>
      <c r="S1066" s="16" t="n">
        <f aca="false">IF(D1066="","",MAX(0,J1066-R1066))</f>
        <v>0</v>
      </c>
      <c r="T1066" s="16" t="n">
        <f aca="false">IF(D1066="","",MAX(0,Z1066-$B$8))</f>
        <v>0</v>
      </c>
      <c r="U1066" s="16" t="n">
        <f aca="false">IF(D1066="","",MAX(0,MIN($B$8,Z1066)))</f>
        <v>35.4027713643541</v>
      </c>
      <c r="V1066" s="16" t="str">
        <f aca="false">IF(D1066="","",IF(S1066&gt;0.0000001,"Sim","Não"))</f>
        <v>Não</v>
      </c>
      <c r="W1066" s="16" t="n">
        <f aca="false">IF(D1066="","",U1066-(H1066+E1066-Q1066-O1066-T1066))</f>
        <v>0</v>
      </c>
      <c r="X1066" s="16" t="n">
        <f aca="false">IF(W1066="","",ABS(W1066))</f>
        <v>0</v>
      </c>
      <c r="Y1066" s="16" t="n">
        <f aca="false">IF(U1066="","",IF($B$8=0,0,U1066/$B$8*100))</f>
        <v>74.9741028470015</v>
      </c>
      <c r="Z1066" s="18" t="n">
        <f aca="false">IF(D1066="","",MAX(0,IF(P1066&gt;=0,P1066,IF(K1066+P1066&gt;=0,0,P1066+K1066))))</f>
        <v>35.4027713643541</v>
      </c>
      <c r="AA1066" s="18" t="n">
        <f aca="false">IF(D1066="","",IF(H1066&lt;=$B$16,1,IF(H1066&gt;=$B$17,$B$21,MATCH(H1066,Aux_CAV!$A$2:$A$121,1))))</f>
        <v>13</v>
      </c>
      <c r="AB1066" s="18" t="n">
        <f aca="false">IF(D1066="","",IF(L1066&lt;=$B$16,1,IF(L1066&gt;=$B$17,$B$21,MATCH(L1066,Aux_CAV!$A$2:$A$121,1))))</f>
        <v>13</v>
      </c>
      <c r="AC1066" s="19" t="n">
        <f aca="false">IF(D1066="","",COUNT($D$24:D1066))</f>
        <v>1031</v>
      </c>
    </row>
    <row r="1067" customFormat="false" ht="12.75" hidden="false" customHeight="true" outlineLevel="0" collapsed="false">
      <c r="A1067" s="14" t="n">
        <f aca="false">IF(D1067="","",DATE(B1067,C1067,1))</f>
        <v>35400</v>
      </c>
      <c r="B1067" s="15" t="n">
        <f aca="false" t="array" ref="B1067:B1067">IF(D1067="","",IFERROR(VALUE(INDEX(Vazoes_COLAR!$A$2:$A$200,INT((ROW()-24)/12)+1)),""))</f>
        <v>1996</v>
      </c>
      <c r="C1067" s="15" t="n">
        <f aca="false">IF(D1067="","",MOD(ROW()-24,12)+1)</f>
        <v>12</v>
      </c>
      <c r="D1067" s="16" t="n">
        <f aca="false" t="array" ref="D1067: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0.0806260254391355</v>
      </c>
      <c r="E1067" s="16" t="n">
        <f aca="false">IF(D1067="","",D1067*$B$15)</f>
        <v>0.208982657938239</v>
      </c>
      <c r="F1067" s="16" t="n">
        <f aca="false" t="array" ref="F1067:F1067">IF(D1067="","",IFERROR(INDEX(Dados_Evap!$C$2:$N$15,MATCH($B$9,Dados_Evap!$A$2:$A$15,0),C1067),0))</f>
        <v>216.1</v>
      </c>
      <c r="G1067" s="16" t="n">
        <f aca="false">IF(F1067="","",F1067/1000)</f>
        <v>0.2161</v>
      </c>
      <c r="H1067" s="16" t="n">
        <f aca="false">IF(D1067="","",MAX(0,MIN($B$8,IFERROR(LOOKUP(2,1/($U$24:U1066&lt;&gt;""),$U$24:U1066),$B$11))))</f>
        <v>35.4027713643541</v>
      </c>
      <c r="I1067" s="16" t="n">
        <f aca="false" t="array" ref="I1067: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>5.79013519125234</v>
      </c>
      <c r="J1067" s="16" t="n">
        <f aca="false">IF(D1067="","",$B$12)</f>
        <v>0.35</v>
      </c>
      <c r="K1067" s="16" t="n">
        <f aca="false">IF(J1067="","",J1067*$B$15)</f>
        <v>0.9072</v>
      </c>
      <c r="L1067" s="16" t="n">
        <f aca="false">IF(D1067="","",H1067+E1067-K1067-G1067*I1067)</f>
        <v>33.4533058074627</v>
      </c>
      <c r="M1067" s="16" t="n">
        <f aca="false" t="array" ref="M1067: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>5.59126574893059</v>
      </c>
      <c r="N1067" s="16" t="n">
        <f aca="false">IF(D1067="","",(I1067+M1067)/2)</f>
        <v>5.69070047009146</v>
      </c>
      <c r="O1067" s="16" t="n">
        <f aca="false">IF(D1067="","",G1067*N1067)</f>
        <v>1.22976037158677</v>
      </c>
      <c r="P1067" s="16" t="n">
        <f aca="false">IF(D1067="","",H1067+E1067-K1067-O1067)</f>
        <v>33.4747936507056</v>
      </c>
      <c r="Q1067" s="16" t="n">
        <f aca="false">IF(D1067="","",IF(P1067&gt;=0,K1067,MAX(0,K1067+P1067)))</f>
        <v>0.9072</v>
      </c>
      <c r="R1067" s="16" t="n">
        <f aca="false">IF(D1067="","",Q1067/$B$15)</f>
        <v>0.35</v>
      </c>
      <c r="S1067" s="16" t="n">
        <f aca="false">IF(D1067="","",MAX(0,J1067-R1067))</f>
        <v>0</v>
      </c>
      <c r="T1067" s="16" t="n">
        <f aca="false">IF(D1067="","",MAX(0,Z1067-$B$8))</f>
        <v>0</v>
      </c>
      <c r="U1067" s="16" t="n">
        <f aca="false">IF(D1067="","",MAX(0,MIN($B$8,Z1067)))</f>
        <v>33.4747936507056</v>
      </c>
      <c r="V1067" s="16" t="str">
        <f aca="false">IF(D1067="","",IF(S1067&gt;0.0000001,"Sim","Não"))</f>
        <v>Não</v>
      </c>
      <c r="W1067" s="16" t="n">
        <f aca="false">IF(D1067="","",U1067-(H1067+E1067-Q1067-O1067-T1067))</f>
        <v>0</v>
      </c>
      <c r="X1067" s="16" t="n">
        <f aca="false">IF(W1067="","",ABS(W1067))</f>
        <v>0</v>
      </c>
      <c r="Y1067" s="16" t="n">
        <f aca="false">IF(U1067="","",IF($B$8=0,0,U1067/$B$8*100))</f>
        <v>70.8911343725235</v>
      </c>
      <c r="Z1067" s="18" t="n">
        <f aca="false">IF(D1067="","",MAX(0,IF(P1067&gt;=0,P1067,IF(K1067+P1067&gt;=0,0,P1067+K1067))))</f>
        <v>33.4747936507056</v>
      </c>
      <c r="AA1067" s="18" t="n">
        <f aca="false">IF(D1067="","",IF(H1067&lt;=$B$16,1,IF(H1067&gt;=$B$17,$B$21,MATCH(H1067,Aux_CAV!$A$2:$A$121,1))))</f>
        <v>13</v>
      </c>
      <c r="AB1067" s="18" t="n">
        <f aca="false">IF(D1067="","",IF(L1067&lt;=$B$16,1,IF(L1067&gt;=$B$17,$B$21,MATCH(L1067,Aux_CAV!$A$2:$A$121,1))))</f>
        <v>12</v>
      </c>
      <c r="AC1067" s="19" t="n">
        <f aca="false">IF(D1067="","",COUNT($D$24:D1067))</f>
        <v>1032</v>
      </c>
    </row>
    <row r="1068" customFormat="false" ht="12.75" hidden="false" customHeight="true" outlineLevel="0" collapsed="false">
      <c r="A1068" s="14" t="n">
        <f aca="false">IF(D1068="","",DATE(B1068,C1068,1))</f>
        <v>35431</v>
      </c>
      <c r="B1068" s="15" t="n">
        <f aca="false" t="array" ref="B1068:B1068">IF(D1068="","",IFERROR(VALUE(INDEX(Vazoes_COLAR!$A$2:$A$200,INT((ROW()-24)/12)+1)),""))</f>
        <v>1997</v>
      </c>
      <c r="C1068" s="15" t="n">
        <f aca="false">IF(D1068="","",MOD(ROW()-24,12)+1)</f>
        <v>1</v>
      </c>
      <c r="D1068" s="16" t="n">
        <f aca="false" t="array" ref="D1068: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0.430858581719134</v>
      </c>
      <c r="E1068" s="16" t="n">
        <f aca="false">IF(D1068="","",D1068*$B$15)</f>
        <v>1.116785443816</v>
      </c>
      <c r="F1068" s="16" t="n">
        <f aca="false" t="array" ref="F1068:F1068">IF(D1068="","",IFERROR(INDEX(Dados_Evap!$C$2:$N$15,MATCH($B$9,Dados_Evap!$A$2:$A$15,0),C1068),0))</f>
        <v>160</v>
      </c>
      <c r="G1068" s="16" t="n">
        <f aca="false">IF(F1068="","",F1068/1000)</f>
        <v>0.16</v>
      </c>
      <c r="H1068" s="16" t="n">
        <f aca="false">IF(D1068="","",MAX(0,MIN($B$8,IFERROR(LOOKUP(2,1/($U$24:U1067&lt;&gt;""),$U$24:U1067),$B$11))))</f>
        <v>33.4747936507056</v>
      </c>
      <c r="I1068" s="16" t="n">
        <f aca="false" t="array" ref="I1068: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>5.5934979811898</v>
      </c>
      <c r="J1068" s="16" t="n">
        <f aca="false">IF(D1068="","",$B$12)</f>
        <v>0.35</v>
      </c>
      <c r="K1068" s="16" t="n">
        <f aca="false">IF(J1068="","",J1068*$B$15)</f>
        <v>0.9072</v>
      </c>
      <c r="L1068" s="16" t="n">
        <f aca="false">IF(D1068="","",H1068+E1068-K1068-G1068*I1068)</f>
        <v>32.7894194175312</v>
      </c>
      <c r="M1068" s="16" t="n">
        <f aca="false" t="array" ref="M1068: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>5.52229891036489</v>
      </c>
      <c r="N1068" s="16" t="n">
        <f aca="false">IF(D1068="","",(I1068+M1068)/2)</f>
        <v>5.55789844577735</v>
      </c>
      <c r="O1068" s="16" t="n">
        <f aca="false">IF(D1068="","",G1068*N1068)</f>
        <v>0.889263751324376</v>
      </c>
      <c r="P1068" s="16" t="n">
        <f aca="false">IF(D1068="","",H1068+E1068-K1068-O1068)</f>
        <v>32.7951153431972</v>
      </c>
      <c r="Q1068" s="16" t="n">
        <f aca="false">IF(D1068="","",IF(P1068&gt;=0,K1068,MAX(0,K1068+P1068)))</f>
        <v>0.9072</v>
      </c>
      <c r="R1068" s="16" t="n">
        <f aca="false">IF(D1068="","",Q1068/$B$15)</f>
        <v>0.35</v>
      </c>
      <c r="S1068" s="16" t="n">
        <f aca="false">IF(D1068="","",MAX(0,J1068-R1068))</f>
        <v>0</v>
      </c>
      <c r="T1068" s="16" t="n">
        <f aca="false">IF(D1068="","",MAX(0,Z1068-$B$8))</f>
        <v>0</v>
      </c>
      <c r="U1068" s="16" t="n">
        <f aca="false">IF(D1068="","",MAX(0,MIN($B$8,Z1068)))</f>
        <v>32.7951153431972</v>
      </c>
      <c r="V1068" s="16" t="str">
        <f aca="false">IF(D1068="","",IF(S1068&gt;0.0000001,"Sim","Não"))</f>
        <v>Não</v>
      </c>
      <c r="W1068" s="16" t="n">
        <f aca="false">IF(D1068="","",U1068-(H1068+E1068-Q1068-O1068-T1068))</f>
        <v>0</v>
      </c>
      <c r="X1068" s="16" t="n">
        <f aca="false">IF(W1068="","",ABS(W1068))</f>
        <v>0</v>
      </c>
      <c r="Y1068" s="16" t="n">
        <f aca="false">IF(U1068="","",IF($B$8=0,0,U1068/$B$8*100))</f>
        <v>69.4517478678467</v>
      </c>
      <c r="Z1068" s="18" t="n">
        <f aca="false">IF(D1068="","",MAX(0,IF(P1068&gt;=0,P1068,IF(K1068+P1068&gt;=0,0,P1068+K1068))))</f>
        <v>32.7951153431972</v>
      </c>
      <c r="AA1068" s="18" t="n">
        <f aca="false">IF(D1068="","",IF(H1068&lt;=$B$16,1,IF(H1068&gt;=$B$17,$B$21,MATCH(H1068,Aux_CAV!$A$2:$A$121,1))))</f>
        <v>12</v>
      </c>
      <c r="AB1068" s="18" t="n">
        <f aca="false">IF(D1068="","",IF(L1068&lt;=$B$16,1,IF(L1068&gt;=$B$17,$B$21,MATCH(L1068,Aux_CAV!$A$2:$A$121,1))))</f>
        <v>12</v>
      </c>
      <c r="AC1068" s="19" t="n">
        <f aca="false">IF(D1068="","",COUNT($D$24:D1068))</f>
        <v>1033</v>
      </c>
    </row>
    <row r="1069" customFormat="false" ht="12.75" hidden="false" customHeight="true" outlineLevel="0" collapsed="false">
      <c r="A1069" s="14" t="n">
        <f aca="false">IF(D1069="","",DATE(B1069,C1069,1))</f>
        <v>35462</v>
      </c>
      <c r="B1069" s="15" t="n">
        <f aca="false" t="array" ref="B1069:B1069">IF(D1069="","",IFERROR(VALUE(INDEX(Vazoes_COLAR!$A$2:$A$200,INT((ROW()-24)/12)+1)),""))</f>
        <v>1997</v>
      </c>
      <c r="C1069" s="15" t="n">
        <f aca="false">IF(D1069="","",MOD(ROW()-24,12)+1)</f>
        <v>2</v>
      </c>
      <c r="D1069" s="16" t="n">
        <f aca="false" t="array" ref="D1069: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0.65730788203445</v>
      </c>
      <c r="E1069" s="16" t="n">
        <f aca="false">IF(D1069="","",D1069*$B$15)</f>
        <v>1.70374203023329</v>
      </c>
      <c r="F1069" s="16" t="n">
        <f aca="false" t="array" ref="F1069:F1069">IF(D1069="","",IFERROR(INDEX(Dados_Evap!$C$2:$N$15,MATCH($B$9,Dados_Evap!$A$2:$A$15,0),C1069),0))</f>
        <v>124.3</v>
      </c>
      <c r="G1069" s="16" t="n">
        <f aca="false">IF(F1069="","",F1069/1000)</f>
        <v>0.1243</v>
      </c>
      <c r="H1069" s="16" t="n">
        <f aca="false">IF(D1069="","",MAX(0,MIN($B$8,IFERROR(LOOKUP(2,1/($U$24:U1068&lt;&gt;""),$U$24:U1068),$B$11))))</f>
        <v>32.7951153431972</v>
      </c>
      <c r="I1069" s="16" t="n">
        <f aca="false" t="array" ref="I1069: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>5.52289062303117</v>
      </c>
      <c r="J1069" s="16" t="n">
        <f aca="false">IF(D1069="","",$B$12)</f>
        <v>0.35</v>
      </c>
      <c r="K1069" s="16" t="n">
        <f aca="false">IF(J1069="","",J1069*$B$15)</f>
        <v>0.9072</v>
      </c>
      <c r="L1069" s="16" t="n">
        <f aca="false">IF(D1069="","",H1069+E1069-K1069-G1069*I1069)</f>
        <v>32.9051620689877</v>
      </c>
      <c r="M1069" s="16" t="n">
        <f aca="false" t="array" ref="M1069: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>5.53432266153562</v>
      </c>
      <c r="N1069" s="16" t="n">
        <f aca="false">IF(D1069="","",(I1069+M1069)/2)</f>
        <v>5.52860664228339</v>
      </c>
      <c r="O1069" s="16" t="n">
        <f aca="false">IF(D1069="","",G1069*N1069)</f>
        <v>0.687205805635826</v>
      </c>
      <c r="P1069" s="16" t="n">
        <f aca="false">IF(D1069="","",H1069+E1069-K1069-O1069)</f>
        <v>32.9044515677947</v>
      </c>
      <c r="Q1069" s="16" t="n">
        <f aca="false">IF(D1069="","",IF(P1069&gt;=0,K1069,MAX(0,K1069+P1069)))</f>
        <v>0.9072</v>
      </c>
      <c r="R1069" s="16" t="n">
        <f aca="false">IF(D1069="","",Q1069/$B$15)</f>
        <v>0.35</v>
      </c>
      <c r="S1069" s="16" t="n">
        <f aca="false">IF(D1069="","",MAX(0,J1069-R1069))</f>
        <v>0</v>
      </c>
      <c r="T1069" s="16" t="n">
        <f aca="false">IF(D1069="","",MAX(0,Z1069-$B$8))</f>
        <v>0</v>
      </c>
      <c r="U1069" s="16" t="n">
        <f aca="false">IF(D1069="","",MAX(0,MIN($B$8,Z1069)))</f>
        <v>32.9044515677947</v>
      </c>
      <c r="V1069" s="16" t="str">
        <f aca="false">IF(D1069="","",IF(S1069&gt;0.0000001,"Sim","Não"))</f>
        <v>Não</v>
      </c>
      <c r="W1069" s="16" t="n">
        <f aca="false">IF(D1069="","",U1069-(H1069+E1069-Q1069-O1069-T1069))</f>
        <v>0</v>
      </c>
      <c r="X1069" s="16" t="n">
        <f aca="false">IF(W1069="","",ABS(W1069))</f>
        <v>0</v>
      </c>
      <c r="Y1069" s="16" t="n">
        <f aca="false">IF(U1069="","",IF($B$8=0,0,U1069/$B$8*100))</f>
        <v>69.683294298591</v>
      </c>
      <c r="Z1069" s="18" t="n">
        <f aca="false">IF(D1069="","",MAX(0,IF(P1069&gt;=0,P1069,IF(K1069+P1069&gt;=0,0,P1069+K1069))))</f>
        <v>32.9044515677947</v>
      </c>
      <c r="AA1069" s="18" t="n">
        <f aca="false">IF(D1069="","",IF(H1069&lt;=$B$16,1,IF(H1069&gt;=$B$17,$B$21,MATCH(H1069,Aux_CAV!$A$2:$A$121,1))))</f>
        <v>12</v>
      </c>
      <c r="AB1069" s="18" t="n">
        <f aca="false">IF(D1069="","",IF(L1069&lt;=$B$16,1,IF(L1069&gt;=$B$17,$B$21,MATCH(L1069,Aux_CAV!$A$2:$A$121,1))))</f>
        <v>12</v>
      </c>
      <c r="AC1069" s="19" t="n">
        <f aca="false">IF(D1069="","",COUNT($D$24:D1069))</f>
        <v>1034</v>
      </c>
    </row>
    <row r="1070" customFormat="false" ht="12.75" hidden="false" customHeight="true" outlineLevel="0" collapsed="false">
      <c r="A1070" s="14" t="n">
        <f aca="false">IF(D1070="","",DATE(B1070,C1070,1))</f>
        <v>35490</v>
      </c>
      <c r="B1070" s="15" t="n">
        <f aca="false" t="array" ref="B1070:B1070">IF(D1070="","",IFERROR(VALUE(INDEX(Vazoes_COLAR!$A$2:$A$200,INT((ROW()-24)/12)+1)),""))</f>
        <v>1997</v>
      </c>
      <c r="C1070" s="15" t="n">
        <f aca="false">IF(D1070="","",MOD(ROW()-24,12)+1)</f>
        <v>3</v>
      </c>
      <c r="D1070" s="16" t="n">
        <f aca="false" t="array" ref="D1070: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2.32112005988971</v>
      </c>
      <c r="E1070" s="16" t="n">
        <f aca="false">IF(D1070="","",D1070*$B$15)</f>
        <v>6.01634319523413</v>
      </c>
      <c r="F1070" s="16" t="n">
        <f aca="false" t="array" ref="F1070:F1070">IF(D1070="","",IFERROR(INDEX(Dados_Evap!$C$2:$N$15,MATCH($B$9,Dados_Evap!$A$2:$A$15,0),C1070),0))</f>
        <v>107.7</v>
      </c>
      <c r="G1070" s="16" t="n">
        <f aca="false">IF(F1070="","",F1070/1000)</f>
        <v>0.1077</v>
      </c>
      <c r="H1070" s="16" t="n">
        <f aca="false">IF(D1070="","",MAX(0,MIN($B$8,IFERROR(LOOKUP(2,1/($U$24:U1069&lt;&gt;""),$U$24:U1069),$B$11))))</f>
        <v>32.9044515677947</v>
      </c>
      <c r="I1070" s="16" t="n">
        <f aca="false" t="array" ref="I1070: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>5.53424885218838</v>
      </c>
      <c r="J1070" s="16" t="n">
        <f aca="false">IF(D1070="","",$B$12)</f>
        <v>0.35</v>
      </c>
      <c r="K1070" s="16" t="n">
        <f aca="false">IF(J1070="","",J1070*$B$15)</f>
        <v>0.9072</v>
      </c>
      <c r="L1070" s="16" t="n">
        <f aca="false">IF(D1070="","",H1070+E1070-K1070-G1070*I1070)</f>
        <v>37.4175561616481</v>
      </c>
      <c r="M1070" s="16" t="n">
        <f aca="false" t="array" ref="M1070: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>5.99129688091927</v>
      </c>
      <c r="N1070" s="16" t="n">
        <f aca="false">IF(D1070="","",(I1070+M1070)/2)</f>
        <v>5.76277286655382</v>
      </c>
      <c r="O1070" s="16" t="n">
        <f aca="false">IF(D1070="","",G1070*N1070)</f>
        <v>0.620650637727847</v>
      </c>
      <c r="P1070" s="16" t="n">
        <f aca="false">IF(D1070="","",H1070+E1070-K1070-O1070)</f>
        <v>37.3929441253009</v>
      </c>
      <c r="Q1070" s="16" t="n">
        <f aca="false">IF(D1070="","",IF(P1070&gt;=0,K1070,MAX(0,K1070+P1070)))</f>
        <v>0.9072</v>
      </c>
      <c r="R1070" s="16" t="n">
        <f aca="false">IF(D1070="","",Q1070/$B$15)</f>
        <v>0.35</v>
      </c>
      <c r="S1070" s="16" t="n">
        <f aca="false">IF(D1070="","",MAX(0,J1070-R1070))</f>
        <v>0</v>
      </c>
      <c r="T1070" s="16" t="n">
        <f aca="false">IF(D1070="","",MAX(0,Z1070-$B$8))</f>
        <v>0</v>
      </c>
      <c r="U1070" s="16" t="n">
        <f aca="false">IF(D1070="","",MAX(0,MIN($B$8,Z1070)))</f>
        <v>37.3929441253009</v>
      </c>
      <c r="V1070" s="16" t="str">
        <f aca="false">IF(D1070="","",IF(S1070&gt;0.0000001,"Sim","Não"))</f>
        <v>Não</v>
      </c>
      <c r="W1070" s="16" t="n">
        <f aca="false">IF(D1070="","",U1070-(H1070+E1070-Q1070-O1070-T1070))</f>
        <v>0</v>
      </c>
      <c r="X1070" s="16" t="n">
        <f aca="false">IF(W1070="","",ABS(W1070))</f>
        <v>0</v>
      </c>
      <c r="Y1070" s="16" t="n">
        <f aca="false">IF(U1070="","",IF($B$8=0,0,U1070/$B$8*100))</f>
        <v>79.1887846787398</v>
      </c>
      <c r="Z1070" s="18" t="n">
        <f aca="false">IF(D1070="","",MAX(0,IF(P1070&gt;=0,P1070,IF(K1070+P1070&gt;=0,0,P1070+K1070))))</f>
        <v>37.3929441253009</v>
      </c>
      <c r="AA1070" s="18" t="n">
        <f aca="false">IF(D1070="","",IF(H1070&lt;=$B$16,1,IF(H1070&gt;=$B$17,$B$21,MATCH(H1070,Aux_CAV!$A$2:$A$121,1))))</f>
        <v>12</v>
      </c>
      <c r="AB1070" s="18" t="n">
        <f aca="false">IF(D1070="","",IF(L1070&lt;=$B$16,1,IF(L1070&gt;=$B$17,$B$21,MATCH(L1070,Aux_CAV!$A$2:$A$121,1))))</f>
        <v>13</v>
      </c>
      <c r="AC1070" s="19" t="n">
        <f aca="false">IF(D1070="","",COUNT($D$24:D1070))</f>
        <v>1035</v>
      </c>
    </row>
    <row r="1071" customFormat="false" ht="12.75" hidden="false" customHeight="true" outlineLevel="0" collapsed="false">
      <c r="A1071" s="14" t="n">
        <f aca="false">IF(D1071="","",DATE(B1071,C1071,1))</f>
        <v>35521</v>
      </c>
      <c r="B1071" s="15" t="n">
        <f aca="false" t="array" ref="B1071:B1071">IF(D1071="","",IFERROR(VALUE(INDEX(Vazoes_COLAR!$A$2:$A$200,INT((ROW()-24)/12)+1)),""))</f>
        <v>1997</v>
      </c>
      <c r="C1071" s="15" t="n">
        <f aca="false">IF(D1071="","",MOD(ROW()-24,12)+1)</f>
        <v>4</v>
      </c>
      <c r="D1071" s="16" t="n">
        <f aca="false" t="array" ref="D1071: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2.05256376218979</v>
      </c>
      <c r="E1071" s="16" t="n">
        <f aca="false">IF(D1071="","",D1071*$B$15)</f>
        <v>5.32024527159594</v>
      </c>
      <c r="F1071" s="16" t="n">
        <f aca="false" t="array" ref="F1071:F1071">IF(D1071="","",IFERROR(INDEX(Dados_Evap!$C$2:$N$15,MATCH($B$9,Dados_Evap!$A$2:$A$15,0),C1071),0))</f>
        <v>100.5</v>
      </c>
      <c r="G1071" s="16" t="n">
        <f aca="false">IF(F1071="","",F1071/1000)</f>
        <v>0.1005</v>
      </c>
      <c r="H1071" s="16" t="n">
        <f aca="false">IF(D1071="","",MAX(0,MIN($B$8,IFERROR(LOOKUP(2,1/($U$24:U1070&lt;&gt;""),$U$24:U1070),$B$11))))</f>
        <v>37.3929441253009</v>
      </c>
      <c r="I1071" s="16" t="n">
        <f aca="false" t="array" ref="I1071: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>5.98883954710159</v>
      </c>
      <c r="J1071" s="16" t="n">
        <f aca="false">IF(D1071="","",$B$12)</f>
        <v>0.35</v>
      </c>
      <c r="K1071" s="16" t="n">
        <f aca="false">IF(J1071="","",J1071*$B$15)</f>
        <v>0.9072</v>
      </c>
      <c r="L1071" s="16" t="n">
        <f aca="false">IF(D1071="","",H1071+E1071-K1071-G1071*I1071)</f>
        <v>41.2041110224132</v>
      </c>
      <c r="M1071" s="16" t="n">
        <f aca="false" t="array" ref="M1071: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>6.36935699673465</v>
      </c>
      <c r="N1071" s="16" t="n">
        <f aca="false">IF(D1071="","",(I1071+M1071)/2)</f>
        <v>6.17909827191812</v>
      </c>
      <c r="O1071" s="16" t="n">
        <f aca="false">IF(D1071="","",G1071*N1071)</f>
        <v>0.620999376327771</v>
      </c>
      <c r="P1071" s="16" t="n">
        <f aca="false">IF(D1071="","",H1071+E1071-K1071-O1071)</f>
        <v>41.1849900205691</v>
      </c>
      <c r="Q1071" s="16" t="n">
        <f aca="false">IF(D1071="","",IF(P1071&gt;=0,K1071,MAX(0,K1071+P1071)))</f>
        <v>0.9072</v>
      </c>
      <c r="R1071" s="16" t="n">
        <f aca="false">IF(D1071="","",Q1071/$B$15)</f>
        <v>0.35</v>
      </c>
      <c r="S1071" s="16" t="n">
        <f aca="false">IF(D1071="","",MAX(0,J1071-R1071))</f>
        <v>0</v>
      </c>
      <c r="T1071" s="16" t="n">
        <f aca="false">IF(D1071="","",MAX(0,Z1071-$B$8))</f>
        <v>0</v>
      </c>
      <c r="U1071" s="16" t="n">
        <f aca="false">IF(D1071="","",MAX(0,MIN($B$8,Z1071)))</f>
        <v>41.1849900205691</v>
      </c>
      <c r="V1071" s="16" t="str">
        <f aca="false">IF(D1071="","",IF(S1071&gt;0.0000001,"Sim","Não"))</f>
        <v>Não</v>
      </c>
      <c r="W1071" s="16" t="n">
        <f aca="false">IF(D1071="","",U1071-(H1071+E1071-Q1071-O1071-T1071))</f>
        <v>0</v>
      </c>
      <c r="X1071" s="16" t="n">
        <f aca="false">IF(W1071="","",ABS(W1071))</f>
        <v>0</v>
      </c>
      <c r="Y1071" s="16" t="n">
        <f aca="false">IF(U1071="","",IF($B$8=0,0,U1071/$B$8*100))</f>
        <v>87.2193774260252</v>
      </c>
      <c r="Z1071" s="18" t="n">
        <f aca="false">IF(D1071="","",MAX(0,IF(P1071&gt;=0,P1071,IF(K1071+P1071&gt;=0,0,P1071+K1071))))</f>
        <v>41.1849900205691</v>
      </c>
      <c r="AA1071" s="18" t="n">
        <f aca="false">IF(D1071="","",IF(H1071&lt;=$B$16,1,IF(H1071&gt;=$B$17,$B$21,MATCH(H1071,Aux_CAV!$A$2:$A$121,1))))</f>
        <v>13</v>
      </c>
      <c r="AB1071" s="18" t="n">
        <f aca="false">IF(D1071="","",IF(L1071&lt;=$B$16,1,IF(L1071&gt;=$B$17,$B$21,MATCH(L1071,Aux_CAV!$A$2:$A$121,1))))</f>
        <v>13</v>
      </c>
      <c r="AC1071" s="19" t="n">
        <f aca="false">IF(D1071="","",COUNT($D$24:D1071))</f>
        <v>1036</v>
      </c>
    </row>
    <row r="1072" customFormat="false" ht="12.75" hidden="false" customHeight="true" outlineLevel="0" collapsed="false">
      <c r="A1072" s="14" t="n">
        <f aca="false">IF(D1072="","",DATE(B1072,C1072,1))</f>
        <v>35551</v>
      </c>
      <c r="B1072" s="15" t="n">
        <f aca="false" t="array" ref="B1072:B1072">IF(D1072="","",IFERROR(VALUE(INDEX(Vazoes_COLAR!$A$2:$A$200,INT((ROW()-24)/12)+1)),""))</f>
        <v>1997</v>
      </c>
      <c r="C1072" s="15" t="n">
        <f aca="false">IF(D1072="","",MOD(ROW()-24,12)+1)</f>
        <v>5</v>
      </c>
      <c r="D1072" s="16" t="n">
        <f aca="false" t="array" ref="D1072: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1.6586047499057</v>
      </c>
      <c r="E1072" s="16" t="n">
        <f aca="false">IF(D1072="","",D1072*$B$15)</f>
        <v>4.29910351175557</v>
      </c>
      <c r="F1072" s="16" t="n">
        <f aca="false" t="array" ref="F1072:F1072">IF(D1072="","",IFERROR(INDEX(Dados_Evap!$C$2:$N$15,MATCH($B$9,Dados_Evap!$A$2:$A$15,0),C1072),0))</f>
        <v>145.8</v>
      </c>
      <c r="G1072" s="16" t="n">
        <f aca="false">IF(F1072="","",F1072/1000)</f>
        <v>0.1458</v>
      </c>
      <c r="H1072" s="16" t="n">
        <f aca="false">IF(D1072="","",MAX(0,MIN($B$8,IFERROR(LOOKUP(2,1/($U$24:U1071&lt;&gt;""),$U$24:U1071),$B$11))))</f>
        <v>41.1849900205691</v>
      </c>
      <c r="I1072" s="16" t="n">
        <f aca="false" t="array" ref="I1072: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>6.36744790299707</v>
      </c>
      <c r="J1072" s="16" t="n">
        <f aca="false">IF(D1072="","",$B$12)</f>
        <v>0.35</v>
      </c>
      <c r="K1072" s="16" t="n">
        <f aca="false">IF(J1072="","",J1072*$B$15)</f>
        <v>0.9072</v>
      </c>
      <c r="L1072" s="16" t="n">
        <f aca="false">IF(D1072="","",H1072+E1072-K1072-G1072*I1072)</f>
        <v>43.6485196280677</v>
      </c>
      <c r="M1072" s="16" t="n">
        <f aca="false" t="array" ref="M1072: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>6.61341351632437</v>
      </c>
      <c r="N1072" s="16" t="n">
        <f aca="false">IF(D1072="","",(I1072+M1072)/2)</f>
        <v>6.49043070966072</v>
      </c>
      <c r="O1072" s="16" t="n">
        <f aca="false">IF(D1072="","",G1072*N1072)</f>
        <v>0.946304797468533</v>
      </c>
      <c r="P1072" s="16" t="n">
        <f aca="false">IF(D1072="","",H1072+E1072-K1072-O1072)</f>
        <v>43.6305887348561</v>
      </c>
      <c r="Q1072" s="16" t="n">
        <f aca="false">IF(D1072="","",IF(P1072&gt;=0,K1072,MAX(0,K1072+P1072)))</f>
        <v>0.9072</v>
      </c>
      <c r="R1072" s="16" t="n">
        <f aca="false">IF(D1072="","",Q1072/$B$15)</f>
        <v>0.35</v>
      </c>
      <c r="S1072" s="16" t="n">
        <f aca="false">IF(D1072="","",MAX(0,J1072-R1072))</f>
        <v>0</v>
      </c>
      <c r="T1072" s="16" t="n">
        <f aca="false">IF(D1072="","",MAX(0,Z1072-$B$8))</f>
        <v>0</v>
      </c>
      <c r="U1072" s="16" t="n">
        <f aca="false">IF(D1072="","",MAX(0,MIN($B$8,Z1072)))</f>
        <v>43.6305887348561</v>
      </c>
      <c r="V1072" s="16" t="str">
        <f aca="false">IF(D1072="","",IF(S1072&gt;0.0000001,"Sim","Não"))</f>
        <v>Não</v>
      </c>
      <c r="W1072" s="16" t="n">
        <f aca="false">IF(D1072="","",U1072-(H1072+E1072-Q1072-O1072-T1072))</f>
        <v>0</v>
      </c>
      <c r="X1072" s="16" t="n">
        <f aca="false">IF(W1072="","",ABS(W1072))</f>
        <v>0</v>
      </c>
      <c r="Y1072" s="16" t="n">
        <f aca="false">IF(U1072="","",IF($B$8=0,0,U1072/$B$8*100))</f>
        <v>92.3985360755106</v>
      </c>
      <c r="Z1072" s="18" t="n">
        <f aca="false">IF(D1072="","",MAX(0,IF(P1072&gt;=0,P1072,IF(K1072+P1072&gt;=0,0,P1072+K1072))))</f>
        <v>43.6305887348561</v>
      </c>
      <c r="AA1072" s="18" t="n">
        <f aca="false">IF(D1072="","",IF(H1072&lt;=$B$16,1,IF(H1072&gt;=$B$17,$B$21,MATCH(H1072,Aux_CAV!$A$2:$A$121,1))))</f>
        <v>13</v>
      </c>
      <c r="AB1072" s="18" t="n">
        <f aca="false">IF(D1072="","",IF(L1072&lt;=$B$16,1,IF(L1072&gt;=$B$17,$B$21,MATCH(L1072,Aux_CAV!$A$2:$A$121,1))))</f>
        <v>13</v>
      </c>
      <c r="AC1072" s="19" t="n">
        <f aca="false">IF(D1072="","",COUNT($D$24:D1072))</f>
        <v>1037</v>
      </c>
    </row>
    <row r="1073" customFormat="false" ht="12.75" hidden="false" customHeight="true" outlineLevel="0" collapsed="false">
      <c r="A1073" s="14" t="n">
        <f aca="false">IF(D1073="","",DATE(B1073,C1073,1))</f>
        <v>35582</v>
      </c>
      <c r="B1073" s="15" t="n">
        <f aca="false" t="array" ref="B1073:B1073">IF(D1073="","",IFERROR(VALUE(INDEX(Vazoes_COLAR!$A$2:$A$200,INT((ROW()-24)/12)+1)),""))</f>
        <v>1997</v>
      </c>
      <c r="C1073" s="15" t="n">
        <f aca="false">IF(D1073="","",MOD(ROW()-24,12)+1)</f>
        <v>6</v>
      </c>
      <c r="D1073" s="16" t="n">
        <f aca="false" t="array" ref="D1073: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0.0951053719509614</v>
      </c>
      <c r="E1073" s="16" t="n">
        <f aca="false">IF(D1073="","",D1073*$B$15)</f>
        <v>0.246513124096892</v>
      </c>
      <c r="F1073" s="16" t="n">
        <f aca="false" t="array" ref="F1073:F1073">IF(D1073="","",IFERROR(INDEX(Dados_Evap!$C$2:$N$15,MATCH($B$9,Dados_Evap!$A$2:$A$15,0),C1073),0))</f>
        <v>161.3</v>
      </c>
      <c r="G1073" s="16" t="n">
        <f aca="false">IF(F1073="","",F1073/1000)</f>
        <v>0.1613</v>
      </c>
      <c r="H1073" s="16" t="n">
        <f aca="false">IF(D1073="","",MAX(0,MIN($B$8,IFERROR(LOOKUP(2,1/($U$24:U1072&lt;&gt;""),$U$24:U1072),$B$11))))</f>
        <v>43.6305887348561</v>
      </c>
      <c r="I1073" s="16" t="n">
        <f aca="false" t="array" ref="I1073: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>6.61162324632604</v>
      </c>
      <c r="J1073" s="16" t="n">
        <f aca="false">IF(D1073="","",$B$12)</f>
        <v>0.35</v>
      </c>
      <c r="K1073" s="16" t="n">
        <f aca="false">IF(J1073="","",J1073*$B$15)</f>
        <v>0.9072</v>
      </c>
      <c r="L1073" s="16" t="n">
        <f aca="false">IF(D1073="","",H1073+E1073-K1073-G1073*I1073)</f>
        <v>41.9034470293206</v>
      </c>
      <c r="M1073" s="16" t="n">
        <f aca="false" t="array" ref="M1073: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>6.43918063893374</v>
      </c>
      <c r="N1073" s="16" t="n">
        <f aca="false">IF(D1073="","",(I1073+M1073)/2)</f>
        <v>6.52540194262989</v>
      </c>
      <c r="O1073" s="16" t="n">
        <f aca="false">IF(D1073="","",G1073*N1073)</f>
        <v>1.0525473333462</v>
      </c>
      <c r="P1073" s="16" t="n">
        <f aca="false">IF(D1073="","",H1073+E1073-K1073-O1073)</f>
        <v>41.9173545256068</v>
      </c>
      <c r="Q1073" s="16" t="n">
        <f aca="false">IF(D1073="","",IF(P1073&gt;=0,K1073,MAX(0,K1073+P1073)))</f>
        <v>0.9072</v>
      </c>
      <c r="R1073" s="16" t="n">
        <f aca="false">IF(D1073="","",Q1073/$B$15)</f>
        <v>0.35</v>
      </c>
      <c r="S1073" s="16" t="n">
        <f aca="false">IF(D1073="","",MAX(0,J1073-R1073))</f>
        <v>0</v>
      </c>
      <c r="T1073" s="16" t="n">
        <f aca="false">IF(D1073="","",MAX(0,Z1073-$B$8))</f>
        <v>0</v>
      </c>
      <c r="U1073" s="16" t="n">
        <f aca="false">IF(D1073="","",MAX(0,MIN($B$8,Z1073)))</f>
        <v>41.9173545256068</v>
      </c>
      <c r="V1073" s="16" t="str">
        <f aca="false">IF(D1073="","",IF(S1073&gt;0.0000001,"Sim","Não"))</f>
        <v>Não</v>
      </c>
      <c r="W1073" s="16" t="n">
        <f aca="false">IF(D1073="","",U1073-(H1073+E1073-Q1073-O1073-T1073))</f>
        <v>0</v>
      </c>
      <c r="X1073" s="16" t="n">
        <f aca="false">IF(W1073="","",ABS(W1073))</f>
        <v>0</v>
      </c>
      <c r="Y1073" s="16" t="n">
        <f aca="false">IF(U1073="","",IF($B$8=0,0,U1073/$B$8*100))</f>
        <v>88.7703399525769</v>
      </c>
      <c r="Z1073" s="18" t="n">
        <f aca="false">IF(D1073="","",MAX(0,IF(P1073&gt;=0,P1073,IF(K1073+P1073&gt;=0,0,P1073+K1073))))</f>
        <v>41.9173545256068</v>
      </c>
      <c r="AA1073" s="18" t="n">
        <f aca="false">IF(D1073="","",IF(H1073&lt;=$B$16,1,IF(H1073&gt;=$B$17,$B$21,MATCH(H1073,Aux_CAV!$A$2:$A$121,1))))</f>
        <v>13</v>
      </c>
      <c r="AB1073" s="18" t="n">
        <f aca="false">IF(D1073="","",IF(L1073&lt;=$B$16,1,IF(L1073&gt;=$B$17,$B$21,MATCH(L1073,Aux_CAV!$A$2:$A$121,1))))</f>
        <v>13</v>
      </c>
      <c r="AC1073" s="19" t="n">
        <f aca="false">IF(D1073="","",COUNT($D$24:D1073))</f>
        <v>1038</v>
      </c>
    </row>
    <row r="1074" customFormat="false" ht="12.75" hidden="false" customHeight="true" outlineLevel="0" collapsed="false">
      <c r="A1074" s="14" t="n">
        <f aca="false">IF(D1074="","",DATE(B1074,C1074,1))</f>
        <v>35612</v>
      </c>
      <c r="B1074" s="15" t="n">
        <f aca="false" t="array" ref="B1074:B1074">IF(D1074="","",IFERROR(VALUE(INDEX(Vazoes_COLAR!$A$2:$A$200,INT((ROW()-24)/12)+1)),""))</f>
        <v>1997</v>
      </c>
      <c r="C1074" s="15" t="n">
        <f aca="false">IF(D1074="","",MOD(ROW()-24,12)+1)</f>
        <v>7</v>
      </c>
      <c r="D1074" s="16" t="n">
        <f aca="false" t="array" ref="D1074: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0.140135066520427</v>
      </c>
      <c r="E1074" s="16" t="n">
        <f aca="false">IF(D1074="","",D1074*$B$15)</f>
        <v>0.363230092420947</v>
      </c>
      <c r="F1074" s="16" t="n">
        <f aca="false" t="array" ref="F1074:F1074">IF(D1074="","",IFERROR(INDEX(Dados_Evap!$C$2:$N$15,MATCH($B$9,Dados_Evap!$A$2:$A$15,0),C1074),0))</f>
        <v>224.8</v>
      </c>
      <c r="G1074" s="16" t="n">
        <f aca="false">IF(F1074="","",F1074/1000)</f>
        <v>0.2248</v>
      </c>
      <c r="H1074" s="16" t="n">
        <f aca="false">IF(D1074="","",MAX(0,MIN($B$8,IFERROR(LOOKUP(2,1/($U$24:U1073&lt;&gt;""),$U$24:U1073),$B$11))))</f>
        <v>41.9173545256068</v>
      </c>
      <c r="I1074" s="16" t="n">
        <f aca="false" t="array" ref="I1074: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>6.44056920184911</v>
      </c>
      <c r="J1074" s="16" t="n">
        <f aca="false">IF(D1074="","",$B$12)</f>
        <v>0.35</v>
      </c>
      <c r="K1074" s="16" t="n">
        <f aca="false">IF(J1074="","",J1074*$B$15)</f>
        <v>0.9072</v>
      </c>
      <c r="L1074" s="16" t="n">
        <f aca="false">IF(D1074="","",H1074+E1074-K1074-G1074*I1074)</f>
        <v>39.9255446614521</v>
      </c>
      <c r="M1074" s="16" t="n">
        <f aca="false" t="array" ref="M1074: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>6.24170139308523</v>
      </c>
      <c r="N1074" s="16" t="n">
        <f aca="false">IF(D1074="","",(I1074+M1074)/2)</f>
        <v>6.34113529746717</v>
      </c>
      <c r="O1074" s="16" t="n">
        <f aca="false">IF(D1074="","",G1074*N1074)</f>
        <v>1.42548721487062</v>
      </c>
      <c r="P1074" s="16" t="n">
        <f aca="false">IF(D1074="","",H1074+E1074-K1074-O1074)</f>
        <v>39.9478974031571</v>
      </c>
      <c r="Q1074" s="16" t="n">
        <f aca="false">IF(D1074="","",IF(P1074&gt;=0,K1074,MAX(0,K1074+P1074)))</f>
        <v>0.9072</v>
      </c>
      <c r="R1074" s="16" t="n">
        <f aca="false">IF(D1074="","",Q1074/$B$15)</f>
        <v>0.35</v>
      </c>
      <c r="S1074" s="16" t="n">
        <f aca="false">IF(D1074="","",MAX(0,J1074-R1074))</f>
        <v>0</v>
      </c>
      <c r="T1074" s="16" t="n">
        <f aca="false">IF(D1074="","",MAX(0,Z1074-$B$8))</f>
        <v>0</v>
      </c>
      <c r="U1074" s="16" t="n">
        <f aca="false">IF(D1074="","",MAX(0,MIN($B$8,Z1074)))</f>
        <v>39.9478974031571</v>
      </c>
      <c r="V1074" s="16" t="str">
        <f aca="false">IF(D1074="","",IF(S1074&gt;0.0000001,"Sim","Não"))</f>
        <v>Não</v>
      </c>
      <c r="W1074" s="16" t="n">
        <f aca="false">IF(D1074="","",U1074-(H1074+E1074-Q1074-O1074-T1074))</f>
        <v>0</v>
      </c>
      <c r="X1074" s="16" t="n">
        <f aca="false">IF(W1074="","",ABS(W1074))</f>
        <v>0</v>
      </c>
      <c r="Y1074" s="16" t="n">
        <f aca="false">IF(U1074="","",IF($B$8=0,0,U1074/$B$8*100))</f>
        <v>84.5995285962667</v>
      </c>
      <c r="Z1074" s="18" t="n">
        <f aca="false">IF(D1074="","",MAX(0,IF(P1074&gt;=0,P1074,IF(K1074+P1074&gt;=0,0,P1074+K1074))))</f>
        <v>39.9478974031571</v>
      </c>
      <c r="AA1074" s="18" t="n">
        <f aca="false">IF(D1074="","",IF(H1074&lt;=$B$16,1,IF(H1074&gt;=$B$17,$B$21,MATCH(H1074,Aux_CAV!$A$2:$A$121,1))))</f>
        <v>13</v>
      </c>
      <c r="AB1074" s="18" t="n">
        <f aca="false">IF(D1074="","",IF(L1074&lt;=$B$16,1,IF(L1074&gt;=$B$17,$B$21,MATCH(L1074,Aux_CAV!$A$2:$A$121,1))))</f>
        <v>13</v>
      </c>
      <c r="AC1074" s="19" t="n">
        <f aca="false">IF(D1074="","",COUNT($D$24:D1074))</f>
        <v>1039</v>
      </c>
    </row>
    <row r="1075" customFormat="false" ht="12.75" hidden="false" customHeight="true" outlineLevel="0" collapsed="false">
      <c r="A1075" s="14" t="n">
        <f aca="false">IF(D1075="","",DATE(B1075,C1075,1))</f>
        <v>35643</v>
      </c>
      <c r="B1075" s="15" t="n">
        <f aca="false" t="array" ref="B1075:B1075">IF(D1075="","",IFERROR(VALUE(INDEX(Vazoes_COLAR!$A$2:$A$200,INT((ROW()-24)/12)+1)),""))</f>
        <v>1997</v>
      </c>
      <c r="C1075" s="15" t="n">
        <f aca="false">IF(D1075="","",MOD(ROW()-24,12)+1)</f>
        <v>8</v>
      </c>
      <c r="D1075" s="16" t="n">
        <f aca="false" t="array" ref="D1075: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0.033033828579467</v>
      </c>
      <c r="E1075" s="16" t="n">
        <f aca="false">IF(D1075="","",D1075*$B$15)</f>
        <v>0.0856236836779785</v>
      </c>
      <c r="F1075" s="16" t="n">
        <f aca="false" t="array" ref="F1075:F1075">IF(D1075="","",IFERROR(INDEX(Dados_Evap!$C$2:$N$15,MATCH($B$9,Dados_Evap!$A$2:$A$15,0),C1075),0))</f>
        <v>268.7</v>
      </c>
      <c r="G1075" s="16" t="n">
        <f aca="false">IF(F1075="","",F1075/1000)</f>
        <v>0.2687</v>
      </c>
      <c r="H1075" s="16" t="n">
        <f aca="false">IF(D1075="","",MAX(0,MIN($B$8,IFERROR(LOOKUP(2,1/($U$24:U1074&lt;&gt;""),$U$24:U1074),$B$11))))</f>
        <v>39.9478974031571</v>
      </c>
      <c r="I1075" s="16" t="n">
        <f aca="false" t="array" ref="I1075: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>6.24393315267371</v>
      </c>
      <c r="J1075" s="16" t="n">
        <f aca="false">IF(D1075="","",$B$12)</f>
        <v>0.35</v>
      </c>
      <c r="K1075" s="16" t="n">
        <f aca="false">IF(J1075="","",J1075*$B$15)</f>
        <v>0.9072</v>
      </c>
      <c r="L1075" s="16" t="n">
        <f aca="false">IF(D1075="","",H1075+E1075-K1075-G1075*I1075)</f>
        <v>37.4485762487117</v>
      </c>
      <c r="M1075" s="16" t="n">
        <f aca="false" t="array" ref="M1075: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>5.99439401225345</v>
      </c>
      <c r="N1075" s="16" t="n">
        <f aca="false">IF(D1075="","",(I1075+M1075)/2)</f>
        <v>6.11916358246358</v>
      </c>
      <c r="O1075" s="16" t="n">
        <f aca="false">IF(D1075="","",G1075*N1075)</f>
        <v>1.64421925460796</v>
      </c>
      <c r="P1075" s="16" t="n">
        <f aca="false">IF(D1075="","",H1075+E1075-K1075-O1075)</f>
        <v>37.4821018322272</v>
      </c>
      <c r="Q1075" s="16" t="n">
        <f aca="false">IF(D1075="","",IF(P1075&gt;=0,K1075,MAX(0,K1075+P1075)))</f>
        <v>0.9072</v>
      </c>
      <c r="R1075" s="16" t="n">
        <f aca="false">IF(D1075="","",Q1075/$B$15)</f>
        <v>0.35</v>
      </c>
      <c r="S1075" s="16" t="n">
        <f aca="false">IF(D1075="","",MAX(0,J1075-R1075))</f>
        <v>0</v>
      </c>
      <c r="T1075" s="16" t="n">
        <f aca="false">IF(D1075="","",MAX(0,Z1075-$B$8))</f>
        <v>0</v>
      </c>
      <c r="U1075" s="16" t="n">
        <f aca="false">IF(D1075="","",MAX(0,MIN($B$8,Z1075)))</f>
        <v>37.4821018322272</v>
      </c>
      <c r="V1075" s="16" t="str">
        <f aca="false">IF(D1075="","",IF(S1075&gt;0.0000001,"Sim","Não"))</f>
        <v>Não</v>
      </c>
      <c r="W1075" s="16" t="n">
        <f aca="false">IF(D1075="","",U1075-(H1075+E1075-Q1075-O1075-T1075))</f>
        <v>0</v>
      </c>
      <c r="X1075" s="16" t="n">
        <f aca="false">IF(W1075="","",ABS(W1075))</f>
        <v>0</v>
      </c>
      <c r="Y1075" s="16" t="n">
        <f aca="false">IF(U1075="","",IF($B$8=0,0,U1075/$B$8*100))</f>
        <v>79.377598119922</v>
      </c>
      <c r="Z1075" s="18" t="n">
        <f aca="false">IF(D1075="","",MAX(0,IF(P1075&gt;=0,P1075,IF(K1075+P1075&gt;=0,0,P1075+K1075))))</f>
        <v>37.4821018322272</v>
      </c>
      <c r="AA1075" s="18" t="n">
        <f aca="false">IF(D1075="","",IF(H1075&lt;=$B$16,1,IF(H1075&gt;=$B$17,$B$21,MATCH(H1075,Aux_CAV!$A$2:$A$121,1))))</f>
        <v>13</v>
      </c>
      <c r="AB1075" s="18" t="n">
        <f aca="false">IF(D1075="","",IF(L1075&lt;=$B$16,1,IF(L1075&gt;=$B$17,$B$21,MATCH(L1075,Aux_CAV!$A$2:$A$121,1))))</f>
        <v>13</v>
      </c>
      <c r="AC1075" s="19" t="n">
        <f aca="false">IF(D1075="","",COUNT($D$24:D1075))</f>
        <v>1040</v>
      </c>
    </row>
    <row r="1076" customFormat="false" ht="12.75" hidden="false" customHeight="true" outlineLevel="0" collapsed="false">
      <c r="A1076" s="14" t="n">
        <f aca="false">IF(D1076="","",DATE(B1076,C1076,1))</f>
        <v>35674</v>
      </c>
      <c r="B1076" s="15" t="n">
        <f aca="false" t="array" ref="B1076:B1076">IF(D1076="","",IFERROR(VALUE(INDEX(Vazoes_COLAR!$A$2:$A$200,INT((ROW()-24)/12)+1)),""))</f>
        <v>1997</v>
      </c>
      <c r="C1076" s="15" t="n">
        <f aca="false">IF(D1076="","",MOD(ROW()-24,12)+1)</f>
        <v>9</v>
      </c>
      <c r="D1076" s="16" t="n">
        <f aca="false" t="array" ref="D1076: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0.0137144956644782</v>
      </c>
      <c r="E1076" s="16" t="n">
        <f aca="false">IF(D1076="","",D1076*$B$15)</f>
        <v>0.0355479727623275</v>
      </c>
      <c r="F1076" s="16" t="n">
        <f aca="false" t="array" ref="F1076:F1076">IF(D1076="","",IFERROR(INDEX(Dados_Evap!$C$2:$N$15,MATCH($B$9,Dados_Evap!$A$2:$A$15,0),C1076),0))</f>
        <v>292.8</v>
      </c>
      <c r="G1076" s="16" t="n">
        <f aca="false">IF(F1076="","",F1076/1000)</f>
        <v>0.2928</v>
      </c>
      <c r="H1076" s="16" t="n">
        <f aca="false">IF(D1076="","",MAX(0,MIN($B$8,IFERROR(LOOKUP(2,1/($U$24:U1075&lt;&gt;""),$U$24:U1075),$B$11))))</f>
        <v>37.4821018322272</v>
      </c>
      <c r="I1076" s="16" t="n">
        <f aca="false" t="array" ref="I1076: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>5.99774129928683</v>
      </c>
      <c r="J1076" s="16" t="n">
        <f aca="false">IF(D1076="","",$B$12)</f>
        <v>0.35</v>
      </c>
      <c r="K1076" s="16" t="n">
        <f aca="false">IF(J1076="","",J1076*$B$15)</f>
        <v>0.9072</v>
      </c>
      <c r="L1076" s="16" t="n">
        <f aca="false">IF(D1076="","",H1076+E1076-K1076-G1076*I1076)</f>
        <v>34.8543111525583</v>
      </c>
      <c r="M1076" s="16" t="n">
        <f aca="false" t="array" ref="M1076: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>5.73537540595511</v>
      </c>
      <c r="N1076" s="16" t="n">
        <f aca="false">IF(D1076="","",(I1076+M1076)/2)</f>
        <v>5.86655835262097</v>
      </c>
      <c r="O1076" s="16" t="n">
        <f aca="false">IF(D1076="","",G1076*N1076)</f>
        <v>1.71772828564742</v>
      </c>
      <c r="P1076" s="16" t="n">
        <f aca="false">IF(D1076="","",H1076+E1076-K1076-O1076)</f>
        <v>34.8927215193421</v>
      </c>
      <c r="Q1076" s="16" t="n">
        <f aca="false">IF(D1076="","",IF(P1076&gt;=0,K1076,MAX(0,K1076+P1076)))</f>
        <v>0.9072</v>
      </c>
      <c r="R1076" s="16" t="n">
        <f aca="false">IF(D1076="","",Q1076/$B$15)</f>
        <v>0.35</v>
      </c>
      <c r="S1076" s="16" t="n">
        <f aca="false">IF(D1076="","",MAX(0,J1076-R1076))</f>
        <v>0</v>
      </c>
      <c r="T1076" s="16" t="n">
        <f aca="false">IF(D1076="","",MAX(0,Z1076-$B$8))</f>
        <v>0</v>
      </c>
      <c r="U1076" s="16" t="n">
        <f aca="false">IF(D1076="","",MAX(0,MIN($B$8,Z1076)))</f>
        <v>34.8927215193421</v>
      </c>
      <c r="V1076" s="16" t="str">
        <f aca="false">IF(D1076="","",IF(S1076&gt;0.0000001,"Sim","Não"))</f>
        <v>Não</v>
      </c>
      <c r="W1076" s="16" t="n">
        <f aca="false">IF(D1076="","",U1076-(H1076+E1076-Q1076-O1076-T1076))</f>
        <v>0</v>
      </c>
      <c r="X1076" s="16" t="n">
        <f aca="false">IF(W1076="","",ABS(W1076))</f>
        <v>0</v>
      </c>
      <c r="Y1076" s="16" t="n">
        <f aca="false">IF(U1076="","",IF($B$8=0,0,U1076/$B$8*100))</f>
        <v>73.8939464619696</v>
      </c>
      <c r="Z1076" s="18" t="n">
        <f aca="false">IF(D1076="","",MAX(0,IF(P1076&gt;=0,P1076,IF(K1076+P1076&gt;=0,0,P1076+K1076))))</f>
        <v>34.8927215193421</v>
      </c>
      <c r="AA1076" s="18" t="n">
        <f aca="false">IF(D1076="","",IF(H1076&lt;=$B$16,1,IF(H1076&gt;=$B$17,$B$21,MATCH(H1076,Aux_CAV!$A$2:$A$121,1))))</f>
        <v>13</v>
      </c>
      <c r="AB1076" s="18" t="n">
        <f aca="false">IF(D1076="","",IF(L1076&lt;=$B$16,1,IF(L1076&gt;=$B$17,$B$21,MATCH(L1076,Aux_CAV!$A$2:$A$121,1))))</f>
        <v>13</v>
      </c>
      <c r="AC1076" s="19" t="n">
        <f aca="false">IF(D1076="","",COUNT($D$24:D1076))</f>
        <v>1041</v>
      </c>
    </row>
    <row r="1077" customFormat="false" ht="12.75" hidden="false" customHeight="true" outlineLevel="0" collapsed="false">
      <c r="A1077" s="14" t="n">
        <f aca="false">IF(D1077="","",DATE(B1077,C1077,1))</f>
        <v>35704</v>
      </c>
      <c r="B1077" s="15" t="n">
        <f aca="false" t="array" ref="B1077:B1077">IF(D1077="","",IFERROR(VALUE(INDEX(Vazoes_COLAR!$A$2:$A$200,INT((ROW()-24)/12)+1)),""))</f>
        <v>1997</v>
      </c>
      <c r="C1077" s="15" t="n">
        <f aca="false">IF(D1077="","",MOD(ROW()-24,12)+1)</f>
        <v>10</v>
      </c>
      <c r="D1077" s="16" t="n">
        <f aca="false" t="array" ref="D1077: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0.0281693925035483</v>
      </c>
      <c r="E1077" s="16" t="n">
        <f aca="false">IF(D1077="","",D1077*$B$15)</f>
        <v>0.0730150653691972</v>
      </c>
      <c r="F1077" s="16" t="n">
        <f aca="false" t="array" ref="F1077:F1077">IF(D1077="","",IFERROR(INDEX(Dados_Evap!$C$2:$N$15,MATCH($B$9,Dados_Evap!$A$2:$A$15,0),C1077),0))</f>
        <v>262.9</v>
      </c>
      <c r="G1077" s="16" t="n">
        <f aca="false">IF(F1077="","",F1077/1000)</f>
        <v>0.2629</v>
      </c>
      <c r="H1077" s="16" t="n">
        <f aca="false">IF(D1077="","",MAX(0,MIN($B$8,IFERROR(LOOKUP(2,1/($U$24:U1076&lt;&gt;""),$U$24:U1076),$B$11))))</f>
        <v>34.8927215193421</v>
      </c>
      <c r="I1077" s="16" t="n">
        <f aca="false" t="array" ref="I1077: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>5.73921040326764</v>
      </c>
      <c r="J1077" s="16" t="n">
        <f aca="false">IF(D1077="","",$B$12)</f>
        <v>0.35</v>
      </c>
      <c r="K1077" s="16" t="n">
        <f aca="false">IF(J1077="","",J1077*$B$15)</f>
        <v>0.9072</v>
      </c>
      <c r="L1077" s="16" t="n">
        <f aca="false">IF(D1077="","",H1077+E1077-K1077-G1077*I1077)</f>
        <v>32.5496981696922</v>
      </c>
      <c r="M1077" s="16" t="n">
        <f aca="false" t="array" ref="M1077: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>5.4973958292787</v>
      </c>
      <c r="N1077" s="16" t="n">
        <f aca="false">IF(D1077="","",(I1077+M1077)/2)</f>
        <v>5.61830311627317</v>
      </c>
      <c r="O1077" s="16" t="n">
        <f aca="false">IF(D1077="","",G1077*N1077)</f>
        <v>1.47705188926822</v>
      </c>
      <c r="P1077" s="16" t="n">
        <f aca="false">IF(D1077="","",H1077+E1077-K1077-O1077)</f>
        <v>32.581484695443</v>
      </c>
      <c r="Q1077" s="16" t="n">
        <f aca="false">IF(D1077="","",IF(P1077&gt;=0,K1077,MAX(0,K1077+P1077)))</f>
        <v>0.9072</v>
      </c>
      <c r="R1077" s="16" t="n">
        <f aca="false">IF(D1077="","",Q1077/$B$15)</f>
        <v>0.35</v>
      </c>
      <c r="S1077" s="16" t="n">
        <f aca="false">IF(D1077="","",MAX(0,J1077-R1077))</f>
        <v>0</v>
      </c>
      <c r="T1077" s="16" t="n">
        <f aca="false">IF(D1077="","",MAX(0,Z1077-$B$8))</f>
        <v>0</v>
      </c>
      <c r="U1077" s="16" t="n">
        <f aca="false">IF(D1077="","",MAX(0,MIN($B$8,Z1077)))</f>
        <v>32.581484695443</v>
      </c>
      <c r="V1077" s="16" t="str">
        <f aca="false">IF(D1077="","",IF(S1077&gt;0.0000001,"Sim","Não"))</f>
        <v>Não</v>
      </c>
      <c r="W1077" s="16" t="n">
        <f aca="false">IF(D1077="","",U1077-(H1077+E1077-Q1077-O1077-T1077))</f>
        <v>0</v>
      </c>
      <c r="X1077" s="16" t="n">
        <f aca="false">IF(W1077="","",ABS(W1077))</f>
        <v>0</v>
      </c>
      <c r="Y1077" s="16" t="n">
        <f aca="false">IF(U1077="","",IF($B$8=0,0,U1077/$B$8*100))</f>
        <v>68.9993322648095</v>
      </c>
      <c r="Z1077" s="18" t="n">
        <f aca="false">IF(D1077="","",MAX(0,IF(P1077&gt;=0,P1077,IF(K1077+P1077&gt;=0,0,P1077+K1077))))</f>
        <v>32.581484695443</v>
      </c>
      <c r="AA1077" s="18" t="n">
        <f aca="false">IF(D1077="","",IF(H1077&lt;=$B$16,1,IF(H1077&gt;=$B$17,$B$21,MATCH(H1077,Aux_CAV!$A$2:$A$121,1))))</f>
        <v>13</v>
      </c>
      <c r="AB1077" s="18" t="n">
        <f aca="false">IF(D1077="","",IF(L1077&lt;=$B$16,1,IF(L1077&gt;=$B$17,$B$21,MATCH(L1077,Aux_CAV!$A$2:$A$121,1))))</f>
        <v>12</v>
      </c>
      <c r="AC1077" s="19" t="n">
        <f aca="false">IF(D1077="","",COUNT($D$24:D1077))</f>
        <v>1042</v>
      </c>
    </row>
    <row r="1078" customFormat="false" ht="12.75" hidden="false" customHeight="true" outlineLevel="0" collapsed="false">
      <c r="A1078" s="14" t="n">
        <f aca="false">IF(D1078="","",DATE(B1078,C1078,1))</f>
        <v>35735</v>
      </c>
      <c r="B1078" s="15" t="n">
        <f aca="false" t="array" ref="B1078:B1078">IF(D1078="","",IFERROR(VALUE(INDEX(Vazoes_COLAR!$A$2:$A$200,INT((ROW()-24)/12)+1)),""))</f>
        <v>1997</v>
      </c>
      <c r="C1078" s="15" t="n">
        <f aca="false">IF(D1078="","",MOD(ROW()-24,12)+1)</f>
        <v>11</v>
      </c>
      <c r="D1078" s="16" t="n">
        <f aca="false" t="array" ref="D1078: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0.0295896717718447</v>
      </c>
      <c r="E1078" s="16" t="n">
        <f aca="false">IF(D1078="","",D1078*$B$15)</f>
        <v>0.0766964292326215</v>
      </c>
      <c r="F1078" s="16" t="n">
        <f aca="false" t="array" ref="F1078:F1078">IF(D1078="","",IFERROR(INDEX(Dados_Evap!$C$2:$N$15,MATCH($B$9,Dados_Evap!$A$2:$A$15,0),C1078),0))</f>
        <v>223.7</v>
      </c>
      <c r="G1078" s="16" t="n">
        <f aca="false">IF(F1078="","",F1078/1000)</f>
        <v>0.2237</v>
      </c>
      <c r="H1078" s="16" t="n">
        <f aca="false">IF(D1078="","",MAX(0,MIN($B$8,IFERROR(LOOKUP(2,1/($U$24:U1077&lt;&gt;""),$U$24:U1077),$B$11))))</f>
        <v>32.581484695443</v>
      </c>
      <c r="I1078" s="16" t="n">
        <f aca="false" t="array" ref="I1078: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>5.50069792467224</v>
      </c>
      <c r="J1078" s="16" t="n">
        <f aca="false">IF(D1078="","",$B$12)</f>
        <v>0.35</v>
      </c>
      <c r="K1078" s="16" t="n">
        <f aca="false">IF(J1078="","",J1078*$B$15)</f>
        <v>0.9072</v>
      </c>
      <c r="L1078" s="16" t="n">
        <f aca="false">IF(D1078="","",H1078+E1078-K1078-G1078*I1078)</f>
        <v>30.5204749989265</v>
      </c>
      <c r="M1078" s="16" t="n">
        <f aca="false" t="array" ref="M1078: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>5.28659303386906</v>
      </c>
      <c r="N1078" s="16" t="n">
        <f aca="false">IF(D1078="","",(I1078+M1078)/2)</f>
        <v>5.39364547927065</v>
      </c>
      <c r="O1078" s="16" t="n">
        <f aca="false">IF(D1078="","",G1078*N1078)</f>
        <v>1.20655849371284</v>
      </c>
      <c r="P1078" s="16" t="n">
        <f aca="false">IF(D1078="","",H1078+E1078-K1078-O1078)</f>
        <v>30.5444226309628</v>
      </c>
      <c r="Q1078" s="16" t="n">
        <f aca="false">IF(D1078="","",IF(P1078&gt;=0,K1078,MAX(0,K1078+P1078)))</f>
        <v>0.9072</v>
      </c>
      <c r="R1078" s="16" t="n">
        <f aca="false">IF(D1078="","",Q1078/$B$15)</f>
        <v>0.35</v>
      </c>
      <c r="S1078" s="16" t="n">
        <f aca="false">IF(D1078="","",MAX(0,J1078-R1078))</f>
        <v>0</v>
      </c>
      <c r="T1078" s="16" t="n">
        <f aca="false">IF(D1078="","",MAX(0,Z1078-$B$8))</f>
        <v>0</v>
      </c>
      <c r="U1078" s="16" t="n">
        <f aca="false">IF(D1078="","",MAX(0,MIN($B$8,Z1078)))</f>
        <v>30.5444226309628</v>
      </c>
      <c r="V1078" s="16" t="str">
        <f aca="false">IF(D1078="","",IF(S1078&gt;0.0000001,"Sim","Não"))</f>
        <v>Não</v>
      </c>
      <c r="W1078" s="16" t="n">
        <f aca="false">IF(D1078="","",U1078-(H1078+E1078-Q1078-O1078-T1078))</f>
        <v>0</v>
      </c>
      <c r="X1078" s="16" t="n">
        <f aca="false">IF(W1078="","",ABS(W1078))</f>
        <v>0</v>
      </c>
      <c r="Y1078" s="16" t="n">
        <f aca="false">IF(U1078="","",IF($B$8=0,0,U1078/$B$8*100))</f>
        <v>64.6853507644278</v>
      </c>
      <c r="Z1078" s="18" t="n">
        <f aca="false">IF(D1078="","",MAX(0,IF(P1078&gt;=0,P1078,IF(K1078+P1078&gt;=0,0,P1078+K1078))))</f>
        <v>30.5444226309628</v>
      </c>
      <c r="AA1078" s="18" t="n">
        <f aca="false">IF(D1078="","",IF(H1078&lt;=$B$16,1,IF(H1078&gt;=$B$17,$B$21,MATCH(H1078,Aux_CAV!$A$2:$A$121,1))))</f>
        <v>12</v>
      </c>
      <c r="AB1078" s="18" t="n">
        <f aca="false">IF(D1078="","",IF(L1078&lt;=$B$16,1,IF(L1078&gt;=$B$17,$B$21,MATCH(L1078,Aux_CAV!$A$2:$A$121,1))))</f>
        <v>12</v>
      </c>
      <c r="AC1078" s="19" t="n">
        <f aca="false">IF(D1078="","",COUNT($D$24:D1078))</f>
        <v>1043</v>
      </c>
    </row>
    <row r="1079" customFormat="false" ht="12.75" hidden="false" customHeight="true" outlineLevel="0" collapsed="false">
      <c r="A1079" s="14" t="n">
        <f aca="false">IF(D1079="","",DATE(B1079,C1079,1))</f>
        <v>35765</v>
      </c>
      <c r="B1079" s="15" t="n">
        <f aca="false" t="array" ref="B1079:B1079">IF(D1079="","",IFERROR(VALUE(INDEX(Vazoes_COLAR!$A$2:$A$200,INT((ROW()-24)/12)+1)),""))</f>
        <v>1997</v>
      </c>
      <c r="C1079" s="15" t="n">
        <f aca="false">IF(D1079="","",MOD(ROW()-24,12)+1)</f>
        <v>12</v>
      </c>
      <c r="D1079" s="16" t="n">
        <f aca="false" t="array" ref="D1079: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0.107383841819095</v>
      </c>
      <c r="E1079" s="16" t="n">
        <f aca="false">IF(D1079="","",D1079*$B$15)</f>
        <v>0.278338917995094</v>
      </c>
      <c r="F1079" s="16" t="n">
        <f aca="false" t="array" ref="F1079:F1079">IF(D1079="","",IFERROR(INDEX(Dados_Evap!$C$2:$N$15,MATCH($B$9,Dados_Evap!$A$2:$A$15,0),C1079),0))</f>
        <v>216.1</v>
      </c>
      <c r="G1079" s="16" t="n">
        <f aca="false">IF(F1079="","",F1079/1000)</f>
        <v>0.2161</v>
      </c>
      <c r="H1079" s="16" t="n">
        <f aca="false">IF(D1079="","",MAX(0,MIN($B$8,IFERROR(LOOKUP(2,1/($U$24:U1078&lt;&gt;""),$U$24:U1078),$B$11))))</f>
        <v>30.5444226309628</v>
      </c>
      <c r="I1079" s="16" t="n">
        <f aca="false" t="array" ref="I1079: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>5.28908079758546</v>
      </c>
      <c r="J1079" s="16" t="n">
        <f aca="false">IF(D1079="","",$B$12)</f>
        <v>0.35</v>
      </c>
      <c r="K1079" s="16" t="n">
        <f aca="false">IF(J1079="","",J1079*$B$15)</f>
        <v>0.9072</v>
      </c>
      <c r="L1079" s="16" t="n">
        <f aca="false">IF(D1079="","",H1079+E1079-K1079-G1079*I1079)</f>
        <v>28.7725911885997</v>
      </c>
      <c r="M1079" s="16" t="n">
        <f aca="false" t="array" ref="M1079: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>5.10501675454385</v>
      </c>
      <c r="N1079" s="16" t="n">
        <f aca="false">IF(D1079="","",(I1079+M1079)/2)</f>
        <v>5.19704877606466</v>
      </c>
      <c r="O1079" s="16" t="n">
        <f aca="false">IF(D1079="","",G1079*N1079)</f>
        <v>1.12308224050757</v>
      </c>
      <c r="P1079" s="16" t="n">
        <f aca="false">IF(D1079="","",H1079+E1079-K1079-O1079)</f>
        <v>28.7924793084503</v>
      </c>
      <c r="Q1079" s="16" t="n">
        <f aca="false">IF(D1079="","",IF(P1079&gt;=0,K1079,MAX(0,K1079+P1079)))</f>
        <v>0.9072</v>
      </c>
      <c r="R1079" s="16" t="n">
        <f aca="false">IF(D1079="","",Q1079/$B$15)</f>
        <v>0.35</v>
      </c>
      <c r="S1079" s="16" t="n">
        <f aca="false">IF(D1079="","",MAX(0,J1079-R1079))</f>
        <v>0</v>
      </c>
      <c r="T1079" s="16" t="n">
        <f aca="false">IF(D1079="","",MAX(0,Z1079-$B$8))</f>
        <v>0</v>
      </c>
      <c r="U1079" s="16" t="n">
        <f aca="false">IF(D1079="","",MAX(0,MIN($B$8,Z1079)))</f>
        <v>28.7924793084503</v>
      </c>
      <c r="V1079" s="16" t="str">
        <f aca="false">IF(D1079="","",IF(S1079&gt;0.0000001,"Sim","Não"))</f>
        <v>Não</v>
      </c>
      <c r="W1079" s="16" t="n">
        <f aca="false">IF(D1079="","",U1079-(H1079+E1079-Q1079-O1079-T1079))</f>
        <v>0</v>
      </c>
      <c r="X1079" s="16" t="n">
        <f aca="false">IF(W1079="","",ABS(W1079))</f>
        <v>0</v>
      </c>
      <c r="Y1079" s="16" t="n">
        <f aca="false">IF(U1079="","",IF($B$8=0,0,U1079/$B$8*100))</f>
        <v>60.975178543944</v>
      </c>
      <c r="Z1079" s="18" t="n">
        <f aca="false">IF(D1079="","",MAX(0,IF(P1079&gt;=0,P1079,IF(K1079+P1079&gt;=0,0,P1079+K1079))))</f>
        <v>28.7924793084503</v>
      </c>
      <c r="AA1079" s="18" t="n">
        <f aca="false">IF(D1079="","",IF(H1079&lt;=$B$16,1,IF(H1079&gt;=$B$17,$B$21,MATCH(H1079,Aux_CAV!$A$2:$A$121,1))))</f>
        <v>12</v>
      </c>
      <c r="AB1079" s="18" t="n">
        <f aca="false">IF(D1079="","",IF(L1079&lt;=$B$16,1,IF(L1079&gt;=$B$17,$B$21,MATCH(L1079,Aux_CAV!$A$2:$A$121,1))))</f>
        <v>12</v>
      </c>
      <c r="AC1079" s="19" t="n">
        <f aca="false">IF(D1079="","",COUNT($D$24:D1079))</f>
        <v>1044</v>
      </c>
    </row>
    <row r="1080" customFormat="false" ht="12.75" hidden="false" customHeight="true" outlineLevel="0" collapsed="false">
      <c r="A1080" s="14" t="n">
        <f aca="false">IF(D1080="","",DATE(B1080,C1080,1))</f>
        <v>35796</v>
      </c>
      <c r="B1080" s="15" t="n">
        <f aca="false" t="array" ref="B1080:B1080">IF(D1080="","",IFERROR(VALUE(INDEX(Vazoes_COLAR!$A$2:$A$200,INT((ROW()-24)/12)+1)),""))</f>
        <v>1998</v>
      </c>
      <c r="C1080" s="15" t="n">
        <f aca="false">IF(D1080="","",MOD(ROW()-24,12)+1)</f>
        <v>1</v>
      </c>
      <c r="D1080" s="16" t="n">
        <f aca="false" t="array" ref="D1080: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0.380520842918159</v>
      </c>
      <c r="E1080" s="16" t="n">
        <f aca="false">IF(D1080="","",D1080*$B$15)</f>
        <v>0.986310024843868</v>
      </c>
      <c r="F1080" s="16" t="n">
        <f aca="false" t="array" ref="F1080:F1080">IF(D1080="","",IFERROR(INDEX(Dados_Evap!$C$2:$N$15,MATCH($B$9,Dados_Evap!$A$2:$A$15,0),C1080),0))</f>
        <v>160</v>
      </c>
      <c r="G1080" s="16" t="n">
        <f aca="false">IF(F1080="","",F1080/1000)</f>
        <v>0.16</v>
      </c>
      <c r="H1080" s="16" t="n">
        <f aca="false">IF(D1080="","",MAX(0,MIN($B$8,IFERROR(LOOKUP(2,1/($U$24:U1079&lt;&gt;""),$U$24:U1079),$B$11))))</f>
        <v>28.7924793084503</v>
      </c>
      <c r="I1080" s="16" t="n">
        <f aca="false" t="array" ref="I1080: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>5.10708280194581</v>
      </c>
      <c r="J1080" s="16" t="n">
        <f aca="false">IF(D1080="","",$B$12)</f>
        <v>0.35</v>
      </c>
      <c r="K1080" s="16" t="n">
        <f aca="false">IF(J1080="","",J1080*$B$15)</f>
        <v>0.9072</v>
      </c>
      <c r="L1080" s="16" t="n">
        <f aca="false">IF(D1080="","",H1080+E1080-K1080-G1080*I1080)</f>
        <v>28.0544560849829</v>
      </c>
      <c r="M1080" s="16" t="n">
        <f aca="false" t="array" ref="M1080: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>5.03041436999337</v>
      </c>
      <c r="N1080" s="16" t="n">
        <f aca="false">IF(D1080="","",(I1080+M1080)/2)</f>
        <v>5.06874858596959</v>
      </c>
      <c r="O1080" s="16" t="n">
        <f aca="false">IF(D1080="","",G1080*N1080)</f>
        <v>0.810999773755134</v>
      </c>
      <c r="P1080" s="16" t="n">
        <f aca="false">IF(D1080="","",H1080+E1080-K1080-O1080)</f>
        <v>28.0605895595391</v>
      </c>
      <c r="Q1080" s="16" t="n">
        <f aca="false">IF(D1080="","",IF(P1080&gt;=0,K1080,MAX(0,K1080+P1080)))</f>
        <v>0.9072</v>
      </c>
      <c r="R1080" s="16" t="n">
        <f aca="false">IF(D1080="","",Q1080/$B$15)</f>
        <v>0.35</v>
      </c>
      <c r="S1080" s="16" t="n">
        <f aca="false">IF(D1080="","",MAX(0,J1080-R1080))</f>
        <v>0</v>
      </c>
      <c r="T1080" s="16" t="n">
        <f aca="false">IF(D1080="","",MAX(0,Z1080-$B$8))</f>
        <v>0</v>
      </c>
      <c r="U1080" s="16" t="n">
        <f aca="false">IF(D1080="","",MAX(0,MIN($B$8,Z1080)))</f>
        <v>28.0605895595391</v>
      </c>
      <c r="V1080" s="16" t="str">
        <f aca="false">IF(D1080="","",IF(S1080&gt;0.0000001,"Sim","Não"))</f>
        <v>Não</v>
      </c>
      <c r="W1080" s="16" t="n">
        <f aca="false">IF(D1080="","",U1080-(H1080+E1080-Q1080-O1080-T1080))</f>
        <v>0</v>
      </c>
      <c r="X1080" s="16" t="n">
        <f aca="false">IF(W1080="","",ABS(W1080))</f>
        <v>0</v>
      </c>
      <c r="Y1080" s="16" t="n">
        <f aca="false">IF(U1080="","",IF($B$8=0,0,U1080/$B$8*100))</f>
        <v>59.4252214306206</v>
      </c>
      <c r="Z1080" s="18" t="n">
        <f aca="false">IF(D1080="","",MAX(0,IF(P1080&gt;=0,P1080,IF(K1080+P1080&gt;=0,0,P1080+K1080))))</f>
        <v>28.0605895595391</v>
      </c>
      <c r="AA1080" s="18" t="n">
        <f aca="false">IF(D1080="","",IF(H1080&lt;=$B$16,1,IF(H1080&gt;=$B$17,$B$21,MATCH(H1080,Aux_CAV!$A$2:$A$121,1))))</f>
        <v>12</v>
      </c>
      <c r="AB1080" s="18" t="n">
        <f aca="false">IF(D1080="","",IF(L1080&lt;=$B$16,1,IF(L1080&gt;=$B$17,$B$21,MATCH(L1080,Aux_CAV!$A$2:$A$121,1))))</f>
        <v>12</v>
      </c>
      <c r="AC1080" s="19" t="n">
        <f aca="false">IF(D1080="","",COUNT($D$24:D1080))</f>
        <v>1045</v>
      </c>
    </row>
    <row r="1081" customFormat="false" ht="12.75" hidden="false" customHeight="true" outlineLevel="0" collapsed="false">
      <c r="A1081" s="14" t="n">
        <f aca="false">IF(D1081="","",DATE(B1081,C1081,1))</f>
        <v>35827</v>
      </c>
      <c r="B1081" s="15" t="n">
        <f aca="false" t="array" ref="B1081:B1081">IF(D1081="","",IFERROR(VALUE(INDEX(Vazoes_COLAR!$A$2:$A$200,INT((ROW()-24)/12)+1)),""))</f>
        <v>1998</v>
      </c>
      <c r="C1081" s="15" t="n">
        <f aca="false">IF(D1081="","",MOD(ROW()-24,12)+1)</f>
        <v>2</v>
      </c>
      <c r="D1081" s="16" t="n">
        <f aca="false" t="array" ref="D1081: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0.296038042278683</v>
      </c>
      <c r="E1081" s="16" t="n">
        <f aca="false">IF(D1081="","",D1081*$B$15)</f>
        <v>0.767330605586347</v>
      </c>
      <c r="F1081" s="16" t="n">
        <f aca="false" t="array" ref="F1081:F1081">IF(D1081="","",IFERROR(INDEX(Dados_Evap!$C$2:$N$15,MATCH($B$9,Dados_Evap!$A$2:$A$15,0),C1081),0))</f>
        <v>124.3</v>
      </c>
      <c r="G1081" s="16" t="n">
        <f aca="false">IF(F1081="","",F1081/1000)</f>
        <v>0.1243</v>
      </c>
      <c r="H1081" s="16" t="n">
        <f aca="false">IF(D1081="","",MAX(0,MIN($B$8,IFERROR(LOOKUP(2,1/($U$24:U1080&lt;&gt;""),$U$24:U1080),$B$11))))</f>
        <v>28.0605895595391</v>
      </c>
      <c r="I1081" s="16" t="n">
        <f aca="false" t="array" ref="I1081: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>5.03105153676765</v>
      </c>
      <c r="J1081" s="16" t="n">
        <f aca="false">IF(D1081="","",$B$12)</f>
        <v>0.35</v>
      </c>
      <c r="K1081" s="16" t="n">
        <f aca="false">IF(J1081="","",J1081*$B$15)</f>
        <v>0.9072</v>
      </c>
      <c r="L1081" s="16" t="n">
        <f aca="false">IF(D1081="","",H1081+E1081-K1081-G1081*I1081)</f>
        <v>27.2953604591052</v>
      </c>
      <c r="M1081" s="16" t="n">
        <f aca="false" t="array" ref="M1081: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>4.95155686322743</v>
      </c>
      <c r="N1081" s="16" t="n">
        <f aca="false">IF(D1081="","",(I1081+M1081)/2)</f>
        <v>4.99130419999754</v>
      </c>
      <c r="O1081" s="16" t="n">
        <f aca="false">IF(D1081="","",G1081*N1081)</f>
        <v>0.620419112059694</v>
      </c>
      <c r="P1081" s="16" t="n">
        <f aca="false">IF(D1081="","",H1081+E1081-K1081-O1081)</f>
        <v>27.3003010530657</v>
      </c>
      <c r="Q1081" s="16" t="n">
        <f aca="false">IF(D1081="","",IF(P1081&gt;=0,K1081,MAX(0,K1081+P1081)))</f>
        <v>0.9072</v>
      </c>
      <c r="R1081" s="16" t="n">
        <f aca="false">IF(D1081="","",Q1081/$B$15)</f>
        <v>0.35</v>
      </c>
      <c r="S1081" s="16" t="n">
        <f aca="false">IF(D1081="","",MAX(0,J1081-R1081))</f>
        <v>0</v>
      </c>
      <c r="T1081" s="16" t="n">
        <f aca="false">IF(D1081="","",MAX(0,Z1081-$B$8))</f>
        <v>0</v>
      </c>
      <c r="U1081" s="16" t="n">
        <f aca="false">IF(D1081="","",MAX(0,MIN($B$8,Z1081)))</f>
        <v>27.3003010530657</v>
      </c>
      <c r="V1081" s="16" t="str">
        <f aca="false">IF(D1081="","",IF(S1081&gt;0.0000001,"Sim","Não"))</f>
        <v>Não</v>
      </c>
      <c r="W1081" s="16" t="n">
        <f aca="false">IF(D1081="","",U1081-(H1081+E1081-Q1081-O1081-T1081))</f>
        <v>0</v>
      </c>
      <c r="X1081" s="16" t="n">
        <f aca="false">IF(W1081="","",ABS(W1081))</f>
        <v>0</v>
      </c>
      <c r="Y1081" s="16" t="n">
        <f aca="false">IF(U1081="","",IF($B$8=0,0,U1081/$B$8*100))</f>
        <v>57.8151229416894</v>
      </c>
      <c r="Z1081" s="18" t="n">
        <f aca="false">IF(D1081="","",MAX(0,IF(P1081&gt;=0,P1081,IF(K1081+P1081&gt;=0,0,P1081+K1081))))</f>
        <v>27.3003010530657</v>
      </c>
      <c r="AA1081" s="18" t="n">
        <f aca="false">IF(D1081="","",IF(H1081&lt;=$B$16,1,IF(H1081&gt;=$B$17,$B$21,MATCH(H1081,Aux_CAV!$A$2:$A$121,1))))</f>
        <v>12</v>
      </c>
      <c r="AB1081" s="18" t="n">
        <f aca="false">IF(D1081="","",IF(L1081&lt;=$B$16,1,IF(L1081&gt;=$B$17,$B$21,MATCH(L1081,Aux_CAV!$A$2:$A$121,1))))</f>
        <v>12</v>
      </c>
      <c r="AC1081" s="19" t="n">
        <f aca="false">IF(D1081="","",COUNT($D$24:D1081))</f>
        <v>1046</v>
      </c>
    </row>
    <row r="1082" customFormat="false" ht="12.75" hidden="false" customHeight="true" outlineLevel="0" collapsed="false">
      <c r="A1082" s="14" t="n">
        <f aca="false">IF(D1082="","",DATE(B1082,C1082,1))</f>
        <v>35855</v>
      </c>
      <c r="B1082" s="15" t="n">
        <f aca="false" t="array" ref="B1082:B1082">IF(D1082="","",IFERROR(VALUE(INDEX(Vazoes_COLAR!$A$2:$A$200,INT((ROW()-24)/12)+1)),""))</f>
        <v>1998</v>
      </c>
      <c r="C1082" s="15" t="n">
        <f aca="false">IF(D1082="","",MOD(ROW()-24,12)+1)</f>
        <v>3</v>
      </c>
      <c r="D1082" s="16" t="n">
        <f aca="false" t="array" ref="D1082: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0.874010634219592</v>
      </c>
      <c r="E1082" s="16" t="n">
        <f aca="false">IF(D1082="","",D1082*$B$15)</f>
        <v>2.26543556389718</v>
      </c>
      <c r="F1082" s="16" t="n">
        <f aca="false" t="array" ref="F1082:F1082">IF(D1082="","",IFERROR(INDEX(Dados_Evap!$C$2:$N$15,MATCH($B$9,Dados_Evap!$A$2:$A$15,0),C1082),0))</f>
        <v>107.7</v>
      </c>
      <c r="G1082" s="16" t="n">
        <f aca="false">IF(F1082="","",F1082/1000)</f>
        <v>0.1077</v>
      </c>
      <c r="H1082" s="16" t="n">
        <f aca="false">IF(D1082="","",MAX(0,MIN($B$8,IFERROR(LOOKUP(2,1/($U$24:U1081&lt;&gt;""),$U$24:U1081),$B$11))))</f>
        <v>27.3003010530657</v>
      </c>
      <c r="I1082" s="16" t="n">
        <f aca="false" t="array" ref="I1082: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>4.95207010939615</v>
      </c>
      <c r="J1082" s="16" t="n">
        <f aca="false">IF(D1082="","",$B$12)</f>
        <v>0.35</v>
      </c>
      <c r="K1082" s="16" t="n">
        <f aca="false">IF(J1082="","",J1082*$B$15)</f>
        <v>0.9072</v>
      </c>
      <c r="L1082" s="16" t="n">
        <f aca="false">IF(D1082="","",H1082+E1082-K1082-G1082*I1082)</f>
        <v>28.1251986661809</v>
      </c>
      <c r="M1082" s="16" t="n">
        <f aca="false" t="array" ref="M1082: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>5.03776335658385</v>
      </c>
      <c r="N1082" s="16" t="n">
        <f aca="false">IF(D1082="","",(I1082+M1082)/2)</f>
        <v>4.99491673299</v>
      </c>
      <c r="O1082" s="16" t="n">
        <f aca="false">IF(D1082="","",G1082*N1082)</f>
        <v>0.537952532143023</v>
      </c>
      <c r="P1082" s="16" t="n">
        <f aca="false">IF(D1082="","",H1082+E1082-K1082-O1082)</f>
        <v>28.1205840848199</v>
      </c>
      <c r="Q1082" s="16" t="n">
        <f aca="false">IF(D1082="","",IF(P1082&gt;=0,K1082,MAX(0,K1082+P1082)))</f>
        <v>0.9072</v>
      </c>
      <c r="R1082" s="16" t="n">
        <f aca="false">IF(D1082="","",Q1082/$B$15)</f>
        <v>0.35</v>
      </c>
      <c r="S1082" s="16" t="n">
        <f aca="false">IF(D1082="","",MAX(0,J1082-R1082))</f>
        <v>0</v>
      </c>
      <c r="T1082" s="16" t="n">
        <f aca="false">IF(D1082="","",MAX(0,Z1082-$B$8))</f>
        <v>0</v>
      </c>
      <c r="U1082" s="16" t="n">
        <f aca="false">IF(D1082="","",MAX(0,MIN($B$8,Z1082)))</f>
        <v>28.1205840848199</v>
      </c>
      <c r="V1082" s="16" t="str">
        <f aca="false">IF(D1082="","",IF(S1082&gt;0.0000001,"Sim","Não"))</f>
        <v>Não</v>
      </c>
      <c r="W1082" s="16" t="n">
        <f aca="false">IF(D1082="","",U1082-(H1082+E1082-Q1082-O1082-T1082))</f>
        <v>0</v>
      </c>
      <c r="X1082" s="16" t="n">
        <f aca="false">IF(W1082="","",ABS(W1082))</f>
        <v>0</v>
      </c>
      <c r="Y1082" s="16" t="n">
        <f aca="false">IF(U1082="","",IF($B$8=0,0,U1082/$B$8*100))</f>
        <v>59.5522746396016</v>
      </c>
      <c r="Z1082" s="18" t="n">
        <f aca="false">IF(D1082="","",MAX(0,IF(P1082&gt;=0,P1082,IF(K1082+P1082&gt;=0,0,P1082+K1082))))</f>
        <v>28.1205840848199</v>
      </c>
      <c r="AA1082" s="18" t="n">
        <f aca="false">IF(D1082="","",IF(H1082&lt;=$B$16,1,IF(H1082&gt;=$B$17,$B$21,MATCH(H1082,Aux_CAV!$A$2:$A$121,1))))</f>
        <v>12</v>
      </c>
      <c r="AB1082" s="18" t="n">
        <f aca="false">IF(D1082="","",IF(L1082&lt;=$B$16,1,IF(L1082&gt;=$B$17,$B$21,MATCH(L1082,Aux_CAV!$A$2:$A$121,1))))</f>
        <v>12</v>
      </c>
      <c r="AC1082" s="19" t="n">
        <f aca="false">IF(D1082="","",COUNT($D$24:D1082))</f>
        <v>1047</v>
      </c>
    </row>
    <row r="1083" customFormat="false" ht="12.75" hidden="false" customHeight="true" outlineLevel="0" collapsed="false">
      <c r="A1083" s="14" t="n">
        <f aca="false">IF(D1083="","",DATE(B1083,C1083,1))</f>
        <v>35886</v>
      </c>
      <c r="B1083" s="15" t="n">
        <f aca="false" t="array" ref="B1083:B1083">IF(D1083="","",IFERROR(VALUE(INDEX(Vazoes_COLAR!$A$2:$A$200,INT((ROW()-24)/12)+1)),""))</f>
        <v>1998</v>
      </c>
      <c r="C1083" s="15" t="n">
        <f aca="false">IF(D1083="","",MOD(ROW()-24,12)+1)</f>
        <v>4</v>
      </c>
      <c r="D1083" s="16" t="n">
        <f aca="false" t="array" ref="D1083: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1.00105510195323</v>
      </c>
      <c r="E1083" s="16" t="n">
        <f aca="false">IF(D1083="","",D1083*$B$15)</f>
        <v>2.59473482426277</v>
      </c>
      <c r="F1083" s="16" t="n">
        <f aca="false" t="array" ref="F1083:F1083">IF(D1083="","",IFERROR(INDEX(Dados_Evap!$C$2:$N$15,MATCH($B$9,Dados_Evap!$A$2:$A$15,0),C1083),0))</f>
        <v>100.5</v>
      </c>
      <c r="G1083" s="16" t="n">
        <f aca="false">IF(F1083="","",F1083/1000)</f>
        <v>0.1005</v>
      </c>
      <c r="H1083" s="16" t="n">
        <f aca="false">IF(D1083="","",MAX(0,MIN($B$8,IFERROR(LOOKUP(2,1/($U$24:U1082&lt;&gt;""),$U$24:U1082),$B$11))))</f>
        <v>28.1205840848199</v>
      </c>
      <c r="I1083" s="16" t="n">
        <f aca="false" t="array" ref="I1083: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>5.03728397774342</v>
      </c>
      <c r="J1083" s="16" t="n">
        <f aca="false">IF(D1083="","",$B$12)</f>
        <v>0.35</v>
      </c>
      <c r="K1083" s="16" t="n">
        <f aca="false">IF(J1083="","",J1083*$B$15)</f>
        <v>0.9072</v>
      </c>
      <c r="L1083" s="16" t="n">
        <f aca="false">IF(D1083="","",H1083+E1083-K1083-G1083*I1083)</f>
        <v>29.3018718693194</v>
      </c>
      <c r="M1083" s="16" t="n">
        <f aca="false" t="array" ref="M1083: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>5.16000028157008</v>
      </c>
      <c r="N1083" s="16" t="n">
        <f aca="false">IF(D1083="","",(I1083+M1083)/2)</f>
        <v>5.09864212965675</v>
      </c>
      <c r="O1083" s="16" t="n">
        <f aca="false">IF(D1083="","",G1083*N1083)</f>
        <v>0.512413534030504</v>
      </c>
      <c r="P1083" s="16" t="n">
        <f aca="false">IF(D1083="","",H1083+E1083-K1083-O1083)</f>
        <v>29.2957053750521</v>
      </c>
      <c r="Q1083" s="16" t="n">
        <f aca="false">IF(D1083="","",IF(P1083&gt;=0,K1083,MAX(0,K1083+P1083)))</f>
        <v>0.9072</v>
      </c>
      <c r="R1083" s="16" t="n">
        <f aca="false">IF(D1083="","",Q1083/$B$15)</f>
        <v>0.35</v>
      </c>
      <c r="S1083" s="16" t="n">
        <f aca="false">IF(D1083="","",MAX(0,J1083-R1083))</f>
        <v>0</v>
      </c>
      <c r="T1083" s="16" t="n">
        <f aca="false">IF(D1083="","",MAX(0,Z1083-$B$8))</f>
        <v>0</v>
      </c>
      <c r="U1083" s="16" t="n">
        <f aca="false">IF(D1083="","",MAX(0,MIN($B$8,Z1083)))</f>
        <v>29.2957053750521</v>
      </c>
      <c r="V1083" s="16" t="str">
        <f aca="false">IF(D1083="","",IF(S1083&gt;0.0000001,"Sim","Não"))</f>
        <v>Não</v>
      </c>
      <c r="W1083" s="16" t="n">
        <f aca="false">IF(D1083="","",U1083-(H1083+E1083-Q1083-O1083-T1083))</f>
        <v>0</v>
      </c>
      <c r="X1083" s="16" t="n">
        <f aca="false">IF(W1083="","",ABS(W1083))</f>
        <v>0</v>
      </c>
      <c r="Y1083" s="16" t="n">
        <f aca="false">IF(U1083="","",IF($B$8=0,0,U1083/$B$8*100))</f>
        <v>62.0408838946467</v>
      </c>
      <c r="Z1083" s="18" t="n">
        <f aca="false">IF(D1083="","",MAX(0,IF(P1083&gt;=0,P1083,IF(K1083+P1083&gt;=0,0,P1083+K1083))))</f>
        <v>29.2957053750521</v>
      </c>
      <c r="AA1083" s="18" t="n">
        <f aca="false">IF(D1083="","",IF(H1083&lt;=$B$16,1,IF(H1083&gt;=$B$17,$B$21,MATCH(H1083,Aux_CAV!$A$2:$A$121,1))))</f>
        <v>12</v>
      </c>
      <c r="AB1083" s="18" t="n">
        <f aca="false">IF(D1083="","",IF(L1083&lt;=$B$16,1,IF(L1083&gt;=$B$17,$B$21,MATCH(L1083,Aux_CAV!$A$2:$A$121,1))))</f>
        <v>12</v>
      </c>
      <c r="AC1083" s="19" t="n">
        <f aca="false">IF(D1083="","",COUNT($D$24:D1083))</f>
        <v>1048</v>
      </c>
    </row>
    <row r="1084" customFormat="false" ht="12.75" hidden="false" customHeight="true" outlineLevel="0" collapsed="false">
      <c r="A1084" s="14" t="n">
        <f aca="false">IF(D1084="","",DATE(B1084,C1084,1))</f>
        <v>35916</v>
      </c>
      <c r="B1084" s="15" t="n">
        <f aca="false" t="array" ref="B1084:B1084">IF(D1084="","",IFERROR(VALUE(INDEX(Vazoes_COLAR!$A$2:$A$200,INT((ROW()-24)/12)+1)),""))</f>
        <v>1998</v>
      </c>
      <c r="C1084" s="15" t="n">
        <f aca="false">IF(D1084="","",MOD(ROW()-24,12)+1)</f>
        <v>5</v>
      </c>
      <c r="D1084" s="16" t="n">
        <f aca="false" t="array" ref="D1084: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0.0556095101960122</v>
      </c>
      <c r="E1084" s="16" t="n">
        <f aca="false">IF(D1084="","",D1084*$B$15)</f>
        <v>0.144139850428064</v>
      </c>
      <c r="F1084" s="16" t="n">
        <f aca="false" t="array" ref="F1084:F1084">IF(D1084="","",IFERROR(INDEX(Dados_Evap!$C$2:$N$15,MATCH($B$9,Dados_Evap!$A$2:$A$15,0),C1084),0))</f>
        <v>145.8</v>
      </c>
      <c r="G1084" s="16" t="n">
        <f aca="false">IF(F1084="","",F1084/1000)</f>
        <v>0.1458</v>
      </c>
      <c r="H1084" s="16" t="n">
        <f aca="false">IF(D1084="","",MAX(0,MIN($B$8,IFERROR(LOOKUP(2,1/($U$24:U1083&lt;&gt;""),$U$24:U1083),$B$11))))</f>
        <v>29.2957053750521</v>
      </c>
      <c r="I1084" s="16" t="n">
        <f aca="false" t="array" ref="I1084: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>5.1593596845928</v>
      </c>
      <c r="J1084" s="16" t="n">
        <f aca="false">IF(D1084="","",$B$12)</f>
        <v>0.35</v>
      </c>
      <c r="K1084" s="16" t="n">
        <f aca="false">IF(J1084="","",J1084*$B$15)</f>
        <v>0.9072</v>
      </c>
      <c r="L1084" s="16" t="n">
        <f aca="false">IF(D1084="","",H1084+E1084-K1084-G1084*I1084)</f>
        <v>27.7804105834666</v>
      </c>
      <c r="M1084" s="16" t="n">
        <f aca="false" t="array" ref="M1084: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>5.00194556546692</v>
      </c>
      <c r="N1084" s="16" t="n">
        <f aca="false">IF(D1084="","",(I1084+M1084)/2)</f>
        <v>5.08065262502986</v>
      </c>
      <c r="O1084" s="16" t="n">
        <f aca="false">IF(D1084="","",G1084*N1084)</f>
        <v>0.740759152729353</v>
      </c>
      <c r="P1084" s="16" t="n">
        <f aca="false">IF(D1084="","",H1084+E1084-K1084-O1084)</f>
        <v>27.7918860727509</v>
      </c>
      <c r="Q1084" s="16" t="n">
        <f aca="false">IF(D1084="","",IF(P1084&gt;=0,K1084,MAX(0,K1084+P1084)))</f>
        <v>0.9072</v>
      </c>
      <c r="R1084" s="16" t="n">
        <f aca="false">IF(D1084="","",Q1084/$B$15)</f>
        <v>0.35</v>
      </c>
      <c r="S1084" s="16" t="n">
        <f aca="false">IF(D1084="","",MAX(0,J1084-R1084))</f>
        <v>0</v>
      </c>
      <c r="T1084" s="16" t="n">
        <f aca="false">IF(D1084="","",MAX(0,Z1084-$B$8))</f>
        <v>0</v>
      </c>
      <c r="U1084" s="16" t="n">
        <f aca="false">IF(D1084="","",MAX(0,MIN($B$8,Z1084)))</f>
        <v>27.7918860727509</v>
      </c>
      <c r="V1084" s="16" t="str">
        <f aca="false">IF(D1084="","",IF(S1084&gt;0.0000001,"Sim","Não"))</f>
        <v>Não</v>
      </c>
      <c r="W1084" s="16" t="n">
        <f aca="false">IF(D1084="","",U1084-(H1084+E1084-Q1084-O1084-T1084))</f>
        <v>0</v>
      </c>
      <c r="X1084" s="16" t="n">
        <f aca="false">IF(W1084="","",ABS(W1084))</f>
        <v>0</v>
      </c>
      <c r="Y1084" s="16" t="n">
        <f aca="false">IF(U1084="","",IF($B$8=0,0,U1084/$B$8*100))</f>
        <v>58.8561755034961</v>
      </c>
      <c r="Z1084" s="18" t="n">
        <f aca="false">IF(D1084="","",MAX(0,IF(P1084&gt;=0,P1084,IF(K1084+P1084&gt;=0,0,P1084+K1084))))</f>
        <v>27.7918860727509</v>
      </c>
      <c r="AA1084" s="18" t="n">
        <f aca="false">IF(D1084="","",IF(H1084&lt;=$B$16,1,IF(H1084&gt;=$B$17,$B$21,MATCH(H1084,Aux_CAV!$A$2:$A$121,1))))</f>
        <v>12</v>
      </c>
      <c r="AB1084" s="18" t="n">
        <f aca="false">IF(D1084="","",IF(L1084&lt;=$B$16,1,IF(L1084&gt;=$B$17,$B$21,MATCH(L1084,Aux_CAV!$A$2:$A$121,1))))</f>
        <v>12</v>
      </c>
      <c r="AC1084" s="19" t="n">
        <f aca="false">IF(D1084="","",COUNT($D$24:D1084))</f>
        <v>1049</v>
      </c>
    </row>
    <row r="1085" customFormat="false" ht="12.75" hidden="false" customHeight="true" outlineLevel="0" collapsed="false">
      <c r="A1085" s="14" t="n">
        <f aca="false">IF(D1085="","",DATE(B1085,C1085,1))</f>
        <v>35947</v>
      </c>
      <c r="B1085" s="15" t="n">
        <f aca="false" t="array" ref="B1085:B1085">IF(D1085="","",IFERROR(VALUE(INDEX(Vazoes_COLAR!$A$2:$A$200,INT((ROW()-24)/12)+1)),""))</f>
        <v>1998</v>
      </c>
      <c r="C1085" s="15" t="n">
        <f aca="false">IF(D1085="","",MOD(ROW()-24,12)+1)</f>
        <v>6</v>
      </c>
      <c r="D1085" s="16" t="n">
        <f aca="false" t="array" ref="D1085: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0.0240398950119762</v>
      </c>
      <c r="E1085" s="16" t="n">
        <f aca="false">IF(D1085="","",D1085*$B$15)</f>
        <v>0.0623114078710423</v>
      </c>
      <c r="F1085" s="16" t="n">
        <f aca="false" t="array" ref="F1085:F1085">IF(D1085="","",IFERROR(INDEX(Dados_Evap!$C$2:$N$15,MATCH($B$9,Dados_Evap!$A$2:$A$15,0),C1085),0))</f>
        <v>161.3</v>
      </c>
      <c r="G1085" s="16" t="n">
        <f aca="false">IF(F1085="","",F1085/1000)</f>
        <v>0.1613</v>
      </c>
      <c r="H1085" s="16" t="n">
        <f aca="false">IF(D1085="","",MAX(0,MIN($B$8,IFERROR(LOOKUP(2,1/($U$24:U1084&lt;&gt;""),$U$24:U1084),$B$11))))</f>
        <v>27.7918860727509</v>
      </c>
      <c r="I1085" s="16" t="n">
        <f aca="false" t="array" ref="I1085: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>5.00313767940227</v>
      </c>
      <c r="J1085" s="16" t="n">
        <f aca="false">IF(D1085="","",$B$12)</f>
        <v>0.35</v>
      </c>
      <c r="K1085" s="16" t="n">
        <f aca="false">IF(J1085="","",J1085*$B$15)</f>
        <v>0.9072</v>
      </c>
      <c r="L1085" s="16" t="n">
        <f aca="false">IF(D1085="","",H1085+E1085-K1085-G1085*I1085)</f>
        <v>26.1399913729343</v>
      </c>
      <c r="M1085" s="16" t="n">
        <f aca="false" t="array" ref="M1085: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>4.83153308437279</v>
      </c>
      <c r="N1085" s="16" t="n">
        <f aca="false">IF(D1085="","",(I1085+M1085)/2)</f>
        <v>4.91733538188753</v>
      </c>
      <c r="O1085" s="16" t="n">
        <f aca="false">IF(D1085="","",G1085*N1085)</f>
        <v>0.793166197098459</v>
      </c>
      <c r="P1085" s="16" t="n">
        <f aca="false">IF(D1085="","",H1085+E1085-K1085-O1085)</f>
        <v>26.1538312835234</v>
      </c>
      <c r="Q1085" s="16" t="n">
        <f aca="false">IF(D1085="","",IF(P1085&gt;=0,K1085,MAX(0,K1085+P1085)))</f>
        <v>0.9072</v>
      </c>
      <c r="R1085" s="16" t="n">
        <f aca="false">IF(D1085="","",Q1085/$B$15)</f>
        <v>0.35</v>
      </c>
      <c r="S1085" s="16" t="n">
        <f aca="false">IF(D1085="","",MAX(0,J1085-R1085))</f>
        <v>0</v>
      </c>
      <c r="T1085" s="16" t="n">
        <f aca="false">IF(D1085="","",MAX(0,Z1085-$B$8))</f>
        <v>0</v>
      </c>
      <c r="U1085" s="16" t="n">
        <f aca="false">IF(D1085="","",MAX(0,MIN($B$8,Z1085)))</f>
        <v>26.1538312835234</v>
      </c>
      <c r="V1085" s="16" t="str">
        <f aca="false">IF(D1085="","",IF(S1085&gt;0.0000001,"Sim","Não"))</f>
        <v>Não</v>
      </c>
      <c r="W1085" s="16" t="n">
        <f aca="false">IF(D1085="","",U1085-(H1085+E1085-Q1085-O1085-T1085))</f>
        <v>0</v>
      </c>
      <c r="X1085" s="16" t="n">
        <f aca="false">IF(W1085="","",ABS(W1085))</f>
        <v>0</v>
      </c>
      <c r="Y1085" s="16" t="n">
        <f aca="false">IF(U1085="","",IF($B$8=0,0,U1085/$B$8*100))</f>
        <v>55.3871903505367</v>
      </c>
      <c r="Z1085" s="18" t="n">
        <f aca="false">IF(D1085="","",MAX(0,IF(P1085&gt;=0,P1085,IF(K1085+P1085&gt;=0,0,P1085+K1085))))</f>
        <v>26.1538312835234</v>
      </c>
      <c r="AA1085" s="18" t="n">
        <f aca="false">IF(D1085="","",IF(H1085&lt;=$B$16,1,IF(H1085&gt;=$B$17,$B$21,MATCH(H1085,Aux_CAV!$A$2:$A$121,1))))</f>
        <v>12</v>
      </c>
      <c r="AB1085" s="18" t="n">
        <f aca="false">IF(D1085="","",IF(L1085&lt;=$B$16,1,IF(L1085&gt;=$B$17,$B$21,MATCH(L1085,Aux_CAV!$A$2:$A$121,1))))</f>
        <v>12</v>
      </c>
      <c r="AC1085" s="19" t="n">
        <f aca="false">IF(D1085="","",COUNT($D$24:D1085))</f>
        <v>1050</v>
      </c>
    </row>
    <row r="1086" customFormat="false" ht="12.75" hidden="false" customHeight="true" outlineLevel="0" collapsed="false">
      <c r="A1086" s="14" t="n">
        <f aca="false">IF(D1086="","",DATE(B1086,C1086,1))</f>
        <v>35977</v>
      </c>
      <c r="B1086" s="15" t="n">
        <f aca="false" t="array" ref="B1086:B1086">IF(D1086="","",IFERROR(VALUE(INDEX(Vazoes_COLAR!$A$2:$A$200,INT((ROW()-24)/12)+1)),""))</f>
        <v>1998</v>
      </c>
      <c r="C1086" s="15" t="n">
        <f aca="false">IF(D1086="","",MOD(ROW()-24,12)+1)</f>
        <v>7</v>
      </c>
      <c r="D1086" s="16" t="n">
        <f aca="false" t="array" ref="D1086: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0.0172440356366153</v>
      </c>
      <c r="E1086" s="16" t="n">
        <f aca="false">IF(D1086="","",D1086*$B$15)</f>
        <v>0.0446965403701069</v>
      </c>
      <c r="F1086" s="16" t="n">
        <f aca="false" t="array" ref="F1086:F1086">IF(D1086="","",IFERROR(INDEX(Dados_Evap!$C$2:$N$15,MATCH($B$9,Dados_Evap!$A$2:$A$15,0),C1086),0))</f>
        <v>224.8</v>
      </c>
      <c r="G1086" s="16" t="n">
        <f aca="false">IF(F1086="","",F1086/1000)</f>
        <v>0.2248</v>
      </c>
      <c r="H1086" s="16" t="n">
        <f aca="false">IF(D1086="","",MAX(0,MIN($B$8,IFERROR(LOOKUP(2,1/($U$24:U1085&lt;&gt;""),$U$24:U1085),$B$11))))</f>
        <v>26.1538312835234</v>
      </c>
      <c r="I1086" s="16" t="n">
        <f aca="false" t="array" ref="I1086: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>4.83297082265729</v>
      </c>
      <c r="J1086" s="16" t="n">
        <f aca="false">IF(D1086="","",$B$12)</f>
        <v>0.35</v>
      </c>
      <c r="K1086" s="16" t="n">
        <f aca="false">IF(J1086="","",J1086*$B$15)</f>
        <v>0.9072</v>
      </c>
      <c r="L1086" s="16" t="n">
        <f aca="false">IF(D1086="","",H1086+E1086-K1086-G1086*I1086)</f>
        <v>24.2048759829602</v>
      </c>
      <c r="M1086" s="16" t="n">
        <f aca="false" t="array" ref="M1086: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>4.63050653415218</v>
      </c>
      <c r="N1086" s="16" t="n">
        <f aca="false">IF(D1086="","",(I1086+M1086)/2)</f>
        <v>4.73173867840473</v>
      </c>
      <c r="O1086" s="16" t="n">
        <f aca="false">IF(D1086="","",G1086*N1086)</f>
        <v>1.06369485490538</v>
      </c>
      <c r="P1086" s="16" t="n">
        <f aca="false">IF(D1086="","",H1086+E1086-K1086-O1086)</f>
        <v>24.2276329689882</v>
      </c>
      <c r="Q1086" s="16" t="n">
        <f aca="false">IF(D1086="","",IF(P1086&gt;=0,K1086,MAX(0,K1086+P1086)))</f>
        <v>0.9072</v>
      </c>
      <c r="R1086" s="16" t="n">
        <f aca="false">IF(D1086="","",Q1086/$B$15)</f>
        <v>0.35</v>
      </c>
      <c r="S1086" s="16" t="n">
        <f aca="false">IF(D1086="","",MAX(0,J1086-R1086))</f>
        <v>0</v>
      </c>
      <c r="T1086" s="16" t="n">
        <f aca="false">IF(D1086="","",MAX(0,Z1086-$B$8))</f>
        <v>0</v>
      </c>
      <c r="U1086" s="16" t="n">
        <f aca="false">IF(D1086="","",MAX(0,MIN($B$8,Z1086)))</f>
        <v>24.2276329689882</v>
      </c>
      <c r="V1086" s="16" t="str">
        <f aca="false">IF(D1086="","",IF(S1086&gt;0.0000001,"Sim","Não"))</f>
        <v>Não</v>
      </c>
      <c r="W1086" s="16" t="n">
        <f aca="false">IF(D1086="","",U1086-(H1086+E1086-Q1086-O1086-T1086))</f>
        <v>0</v>
      </c>
      <c r="X1086" s="16" t="n">
        <f aca="false">IF(W1086="","",ABS(W1086))</f>
        <v>0</v>
      </c>
      <c r="Y1086" s="16" t="n">
        <f aca="false">IF(U1086="","",IF($B$8=0,0,U1086/$B$8*100))</f>
        <v>51.3079901926899</v>
      </c>
      <c r="Z1086" s="18" t="n">
        <f aca="false">IF(D1086="","",MAX(0,IF(P1086&gt;=0,P1086,IF(K1086+P1086&gt;=0,0,P1086+K1086))))</f>
        <v>24.2276329689882</v>
      </c>
      <c r="AA1086" s="18" t="n">
        <f aca="false">IF(D1086="","",IF(H1086&lt;=$B$16,1,IF(H1086&gt;=$B$17,$B$21,MATCH(H1086,Aux_CAV!$A$2:$A$121,1))))</f>
        <v>12</v>
      </c>
      <c r="AB1086" s="18" t="n">
        <f aca="false">IF(D1086="","",IF(L1086&lt;=$B$16,1,IF(L1086&gt;=$B$17,$B$21,MATCH(L1086,Aux_CAV!$A$2:$A$121,1))))</f>
        <v>12</v>
      </c>
      <c r="AC1086" s="19" t="n">
        <f aca="false">IF(D1086="","",COUNT($D$24:D1086))</f>
        <v>1051</v>
      </c>
    </row>
    <row r="1087" customFormat="false" ht="12.75" hidden="false" customHeight="true" outlineLevel="0" collapsed="false">
      <c r="A1087" s="14" t="n">
        <f aca="false">IF(D1087="","",DATE(B1087,C1087,1))</f>
        <v>36008</v>
      </c>
      <c r="B1087" s="15" t="n">
        <f aca="false" t="array" ref="B1087:B1087">IF(D1087="","",IFERROR(VALUE(INDEX(Vazoes_COLAR!$A$2:$A$200,INT((ROW()-24)/12)+1)),""))</f>
        <v>1998</v>
      </c>
      <c r="C1087" s="15" t="n">
        <f aca="false">IF(D1087="","",MOD(ROW()-24,12)+1)</f>
        <v>8</v>
      </c>
      <c r="D1087" s="16" t="n">
        <f aca="false" t="array" ref="D1087: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0.0097470626586226</v>
      </c>
      <c r="E1087" s="16" t="n">
        <f aca="false">IF(D1087="","",D1087*$B$15)</f>
        <v>0.0252643864111498</v>
      </c>
      <c r="F1087" s="16" t="n">
        <f aca="false" t="array" ref="F1087:F1087">IF(D1087="","",IFERROR(INDEX(Dados_Evap!$C$2:$N$15,MATCH($B$9,Dados_Evap!$A$2:$A$15,0),C1087),0))</f>
        <v>268.7</v>
      </c>
      <c r="G1087" s="16" t="n">
        <f aca="false">IF(F1087="","",F1087/1000)</f>
        <v>0.2687</v>
      </c>
      <c r="H1087" s="16" t="n">
        <f aca="false">IF(D1087="","",MAX(0,MIN($B$8,IFERROR(LOOKUP(2,1/($U$24:U1086&lt;&gt;""),$U$24:U1086),$B$11))))</f>
        <v>24.2276329689882</v>
      </c>
      <c r="I1087" s="16" t="n">
        <f aca="false" t="array" ref="I1087: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>4.63287060939974</v>
      </c>
      <c r="J1087" s="16" t="n">
        <f aca="false">IF(D1087="","",$B$12)</f>
        <v>0.35</v>
      </c>
      <c r="K1087" s="16" t="n">
        <f aca="false">IF(J1087="","",J1087*$B$15)</f>
        <v>0.9072</v>
      </c>
      <c r="L1087" s="16" t="n">
        <f aca="false">IF(D1087="","",H1087+E1087-K1087-G1087*I1087)</f>
        <v>22.1008450226536</v>
      </c>
      <c r="M1087" s="16" t="n">
        <f aca="false" t="array" ref="M1087: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>4.37912538075616</v>
      </c>
      <c r="N1087" s="16" t="n">
        <f aca="false">IF(D1087="","",(I1087+M1087)/2)</f>
        <v>4.50599799507795</v>
      </c>
      <c r="O1087" s="16" t="n">
        <f aca="false">IF(D1087="","",G1087*N1087)</f>
        <v>1.21076166127745</v>
      </c>
      <c r="P1087" s="16" t="n">
        <f aca="false">IF(D1087="","",H1087+E1087-K1087-O1087)</f>
        <v>22.1349356941219</v>
      </c>
      <c r="Q1087" s="16" t="n">
        <f aca="false">IF(D1087="","",IF(P1087&gt;=0,K1087,MAX(0,K1087+P1087)))</f>
        <v>0.9072</v>
      </c>
      <c r="R1087" s="16" t="n">
        <f aca="false">IF(D1087="","",Q1087/$B$15)</f>
        <v>0.35</v>
      </c>
      <c r="S1087" s="16" t="n">
        <f aca="false">IF(D1087="","",MAX(0,J1087-R1087))</f>
        <v>0</v>
      </c>
      <c r="T1087" s="16" t="n">
        <f aca="false">IF(D1087="","",MAX(0,Z1087-$B$8))</f>
        <v>0</v>
      </c>
      <c r="U1087" s="16" t="n">
        <f aca="false">IF(D1087="","",MAX(0,MIN($B$8,Z1087)))</f>
        <v>22.1349356941219</v>
      </c>
      <c r="V1087" s="16" t="str">
        <f aca="false">IF(D1087="","",IF(S1087&gt;0.0000001,"Sim","Não"))</f>
        <v>Não</v>
      </c>
      <c r="W1087" s="16" t="n">
        <f aca="false">IF(D1087="","",U1087-(H1087+E1087-Q1087-O1087-T1087))</f>
        <v>0</v>
      </c>
      <c r="X1087" s="16" t="n">
        <f aca="false">IF(W1087="","",ABS(W1087))</f>
        <v>0</v>
      </c>
      <c r="Y1087" s="16" t="n">
        <f aca="false">IF(U1087="","",IF($B$8=0,0,U1087/$B$8*100))</f>
        <v>46.8761874081361</v>
      </c>
      <c r="Z1087" s="18" t="n">
        <f aca="false">IF(D1087="","",MAX(0,IF(P1087&gt;=0,P1087,IF(K1087+P1087&gt;=0,0,P1087+K1087))))</f>
        <v>22.1349356941219</v>
      </c>
      <c r="AA1087" s="18" t="n">
        <f aca="false">IF(D1087="","",IF(H1087&lt;=$B$16,1,IF(H1087&gt;=$B$17,$B$21,MATCH(H1087,Aux_CAV!$A$2:$A$121,1))))</f>
        <v>12</v>
      </c>
      <c r="AB1087" s="18" t="n">
        <f aca="false">IF(D1087="","",IF(L1087&lt;=$B$16,1,IF(L1087&gt;=$B$17,$B$21,MATCH(L1087,Aux_CAV!$A$2:$A$121,1))))</f>
        <v>11</v>
      </c>
      <c r="AC1087" s="19" t="n">
        <f aca="false">IF(D1087="","",COUNT($D$24:D1087))</f>
        <v>1052</v>
      </c>
    </row>
    <row r="1088" customFormat="false" ht="12.75" hidden="false" customHeight="true" outlineLevel="0" collapsed="false">
      <c r="A1088" s="14" t="n">
        <f aca="false">IF(D1088="","",DATE(B1088,C1088,1))</f>
        <v>36039</v>
      </c>
      <c r="B1088" s="15" t="n">
        <f aca="false" t="array" ref="B1088:B1088">IF(D1088="","",IFERROR(VALUE(INDEX(Vazoes_COLAR!$A$2:$A$200,INT((ROW()-24)/12)+1)),""))</f>
        <v>1998</v>
      </c>
      <c r="C1088" s="15" t="n">
        <f aca="false">IF(D1088="","",MOD(ROW()-24,12)+1)</f>
        <v>9</v>
      </c>
      <c r="D1088" s="16" t="n">
        <f aca="false" t="array" ref="D1088: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0.00600907886090096</v>
      </c>
      <c r="E1088" s="16" t="n">
        <f aca="false">IF(D1088="","",D1088*$B$15)</f>
        <v>0.0155755324074553</v>
      </c>
      <c r="F1088" s="16" t="n">
        <f aca="false" t="array" ref="F1088:F1088">IF(D1088="","",IFERROR(INDEX(Dados_Evap!$C$2:$N$15,MATCH($B$9,Dados_Evap!$A$2:$A$15,0),C1088),0))</f>
        <v>292.8</v>
      </c>
      <c r="G1088" s="16" t="n">
        <f aca="false">IF(F1088="","",F1088/1000)</f>
        <v>0.2928</v>
      </c>
      <c r="H1088" s="16" t="n">
        <f aca="false">IF(D1088="","",MAX(0,MIN($B$8,IFERROR(LOOKUP(2,1/($U$24:U1087&lt;&gt;""),$U$24:U1087),$B$11))))</f>
        <v>22.1349356941219</v>
      </c>
      <c r="I1088" s="16" t="n">
        <f aca="false" t="array" ref="I1088: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>4.38319963173652</v>
      </c>
      <c r="J1088" s="16" t="n">
        <f aca="false">IF(D1088="","",$B$12)</f>
        <v>0.35</v>
      </c>
      <c r="K1088" s="16" t="n">
        <f aca="false">IF(J1088="","",J1088*$B$15)</f>
        <v>0.9072</v>
      </c>
      <c r="L1088" s="16" t="n">
        <f aca="false">IF(D1088="","",H1088+E1088-K1088-G1088*I1088)</f>
        <v>19.9599103743569</v>
      </c>
      <c r="M1088" s="16" t="n">
        <f aca="false" t="array" ref="M1088: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>4.12325758132558</v>
      </c>
      <c r="N1088" s="16" t="n">
        <f aca="false">IF(D1088="","",(I1088+M1088)/2)</f>
        <v>4.25322860653105</v>
      </c>
      <c r="O1088" s="16" t="n">
        <f aca="false">IF(D1088="","",G1088*N1088)</f>
        <v>1.24534533599229</v>
      </c>
      <c r="P1088" s="16" t="n">
        <f aca="false">IF(D1088="","",H1088+E1088-K1088-O1088)</f>
        <v>19.997965890537</v>
      </c>
      <c r="Q1088" s="16" t="n">
        <f aca="false">IF(D1088="","",IF(P1088&gt;=0,K1088,MAX(0,K1088+P1088)))</f>
        <v>0.9072</v>
      </c>
      <c r="R1088" s="16" t="n">
        <f aca="false">IF(D1088="","",Q1088/$B$15)</f>
        <v>0.35</v>
      </c>
      <c r="S1088" s="16" t="n">
        <f aca="false">IF(D1088="","",MAX(0,J1088-R1088))</f>
        <v>0</v>
      </c>
      <c r="T1088" s="16" t="n">
        <f aca="false">IF(D1088="","",MAX(0,Z1088-$B$8))</f>
        <v>0</v>
      </c>
      <c r="U1088" s="16" t="n">
        <f aca="false">IF(D1088="","",MAX(0,MIN($B$8,Z1088)))</f>
        <v>19.997965890537</v>
      </c>
      <c r="V1088" s="16" t="str">
        <f aca="false">IF(D1088="","",IF(S1088&gt;0.0000001,"Sim","Não"))</f>
        <v>Não</v>
      </c>
      <c r="W1088" s="16" t="n">
        <f aca="false">IF(D1088="","",U1088-(H1088+E1088-Q1088-O1088-T1088))</f>
        <v>0</v>
      </c>
      <c r="X1088" s="16" t="n">
        <f aca="false">IF(W1088="","",ABS(W1088))</f>
        <v>0</v>
      </c>
      <c r="Y1088" s="16" t="n">
        <f aca="false">IF(U1088="","",IF($B$8=0,0,U1088/$B$8*100))</f>
        <v>42.3506266212136</v>
      </c>
      <c r="Z1088" s="18" t="n">
        <f aca="false">IF(D1088="","",MAX(0,IF(P1088&gt;=0,P1088,IF(K1088+P1088&gt;=0,0,P1088+K1088))))</f>
        <v>19.997965890537</v>
      </c>
      <c r="AA1088" s="18" t="n">
        <f aca="false">IF(D1088="","",IF(H1088&lt;=$B$16,1,IF(H1088&gt;=$B$17,$B$21,MATCH(H1088,Aux_CAV!$A$2:$A$121,1))))</f>
        <v>11</v>
      </c>
      <c r="AB1088" s="18" t="n">
        <f aca="false">IF(D1088="","",IF(L1088&lt;=$B$16,1,IF(L1088&gt;=$B$17,$B$21,MATCH(L1088,Aux_CAV!$A$2:$A$121,1))))</f>
        <v>11</v>
      </c>
      <c r="AC1088" s="19" t="n">
        <f aca="false">IF(D1088="","",COUNT($D$24:D1088))</f>
        <v>1053</v>
      </c>
    </row>
    <row r="1089" customFormat="false" ht="12.75" hidden="false" customHeight="true" outlineLevel="0" collapsed="false">
      <c r="A1089" s="14" t="n">
        <f aca="false">IF(D1089="","",DATE(B1089,C1089,1))</f>
        <v>36069</v>
      </c>
      <c r="B1089" s="15" t="n">
        <f aca="false" t="array" ref="B1089:B1089">IF(D1089="","",IFERROR(VALUE(INDEX(Vazoes_COLAR!$A$2:$A$200,INT((ROW()-24)/12)+1)),""))</f>
        <v>1998</v>
      </c>
      <c r="C1089" s="15" t="n">
        <f aca="false">IF(D1089="","",MOD(ROW()-24,12)+1)</f>
        <v>10</v>
      </c>
      <c r="D1089" s="16" t="n">
        <f aca="false" t="array" ref="D1089: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0.00535443951245778</v>
      </c>
      <c r="E1089" s="16" t="n">
        <f aca="false">IF(D1089="","",D1089*$B$15)</f>
        <v>0.0138787072162906</v>
      </c>
      <c r="F1089" s="16" t="n">
        <f aca="false" t="array" ref="F1089:F1089">IF(D1089="","",IFERROR(INDEX(Dados_Evap!$C$2:$N$15,MATCH($B$9,Dados_Evap!$A$2:$A$15,0),C1089),0))</f>
        <v>262.9</v>
      </c>
      <c r="G1089" s="16" t="n">
        <f aca="false">IF(F1089="","",F1089/1000)</f>
        <v>0.2629</v>
      </c>
      <c r="H1089" s="16" t="n">
        <f aca="false">IF(D1089="","",MAX(0,MIN($B$8,IFERROR(LOOKUP(2,1/($U$24:U1088&lt;&gt;""),$U$24:U1088),$B$11))))</f>
        <v>19.997965890537</v>
      </c>
      <c r="I1089" s="16" t="n">
        <f aca="false" t="array" ref="I1089: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>4.12780567960077</v>
      </c>
      <c r="J1089" s="16" t="n">
        <f aca="false">IF(D1089="","",$B$12)</f>
        <v>0.35</v>
      </c>
      <c r="K1089" s="16" t="n">
        <f aca="false">IF(J1089="","",J1089*$B$15)</f>
        <v>0.9072</v>
      </c>
      <c r="L1089" s="16" t="n">
        <f aca="false">IF(D1089="","",H1089+E1089-K1089-G1089*I1089)</f>
        <v>18.0194444845863</v>
      </c>
      <c r="M1089" s="16" t="n">
        <f aca="false" t="array" ref="M1089: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>3.89134824327982</v>
      </c>
      <c r="N1089" s="16" t="n">
        <f aca="false">IF(D1089="","",(I1089+M1089)/2)</f>
        <v>4.0095769614403</v>
      </c>
      <c r="O1089" s="16" t="n">
        <f aca="false">IF(D1089="","",G1089*N1089)</f>
        <v>1.05411778316265</v>
      </c>
      <c r="P1089" s="16" t="n">
        <f aca="false">IF(D1089="","",H1089+E1089-K1089-O1089)</f>
        <v>18.0505268145907</v>
      </c>
      <c r="Q1089" s="16" t="n">
        <f aca="false">IF(D1089="","",IF(P1089&gt;=0,K1089,MAX(0,K1089+P1089)))</f>
        <v>0.9072</v>
      </c>
      <c r="R1089" s="16" t="n">
        <f aca="false">IF(D1089="","",Q1089/$B$15)</f>
        <v>0.35</v>
      </c>
      <c r="S1089" s="16" t="n">
        <f aca="false">IF(D1089="","",MAX(0,J1089-R1089))</f>
        <v>0</v>
      </c>
      <c r="T1089" s="16" t="n">
        <f aca="false">IF(D1089="","",MAX(0,Z1089-$B$8))</f>
        <v>0</v>
      </c>
      <c r="U1089" s="16" t="n">
        <f aca="false">IF(D1089="","",MAX(0,MIN($B$8,Z1089)))</f>
        <v>18.0505268145907</v>
      </c>
      <c r="V1089" s="16" t="str">
        <f aca="false">IF(D1089="","",IF(S1089&gt;0.0000001,"Sim","Não"))</f>
        <v>Não</v>
      </c>
      <c r="W1089" s="16" t="n">
        <f aca="false">IF(D1089="","",U1089-(H1089+E1089-Q1089-O1089-T1089))</f>
        <v>0</v>
      </c>
      <c r="X1089" s="16" t="n">
        <f aca="false">IF(W1089="","",ABS(W1089))</f>
        <v>0</v>
      </c>
      <c r="Y1089" s="16" t="n">
        <f aca="false">IF(U1089="","",IF($B$8=0,0,U1089/$B$8*100))</f>
        <v>38.2264439106113</v>
      </c>
      <c r="Z1089" s="18" t="n">
        <f aca="false">IF(D1089="","",MAX(0,IF(P1089&gt;=0,P1089,IF(K1089+P1089&gt;=0,0,P1089+K1089))))</f>
        <v>18.0505268145907</v>
      </c>
      <c r="AA1089" s="18" t="n">
        <f aca="false">IF(D1089="","",IF(H1089&lt;=$B$16,1,IF(H1089&gt;=$B$17,$B$21,MATCH(H1089,Aux_CAV!$A$2:$A$121,1))))</f>
        <v>11</v>
      </c>
      <c r="AB1089" s="18" t="n">
        <f aca="false">IF(D1089="","",IF(L1089&lt;=$B$16,1,IF(L1089&gt;=$B$17,$B$21,MATCH(L1089,Aux_CAV!$A$2:$A$121,1))))</f>
        <v>11</v>
      </c>
      <c r="AC1089" s="19" t="n">
        <f aca="false">IF(D1089="","",COUNT($D$24:D1089))</f>
        <v>1054</v>
      </c>
    </row>
    <row r="1090" customFormat="false" ht="12.75" hidden="false" customHeight="true" outlineLevel="0" collapsed="false">
      <c r="A1090" s="14" t="n">
        <f aca="false">IF(D1090="","",DATE(B1090,C1090,1))</f>
        <v>36100</v>
      </c>
      <c r="B1090" s="15" t="n">
        <f aca="false" t="array" ref="B1090:B1090">IF(D1090="","",IFERROR(VALUE(INDEX(Vazoes_COLAR!$A$2:$A$200,INT((ROW()-24)/12)+1)),""))</f>
        <v>1998</v>
      </c>
      <c r="C1090" s="15" t="n">
        <f aca="false">IF(D1090="","",MOD(ROW()-24,12)+1)</f>
        <v>11</v>
      </c>
      <c r="D1090" s="16" t="n">
        <f aca="false" t="array" ref="D1090: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0.00466372506060905</v>
      </c>
      <c r="E1090" s="16" t="n">
        <f aca="false">IF(D1090="","",D1090*$B$15)</f>
        <v>0.0120883753570987</v>
      </c>
      <c r="F1090" s="16" t="n">
        <f aca="false" t="array" ref="F1090:F1090">IF(D1090="","",IFERROR(INDEX(Dados_Evap!$C$2:$N$15,MATCH($B$9,Dados_Evap!$A$2:$A$15,0),C1090),0))</f>
        <v>223.7</v>
      </c>
      <c r="G1090" s="16" t="n">
        <f aca="false">IF(F1090="","",F1090/1000)</f>
        <v>0.2237</v>
      </c>
      <c r="H1090" s="16" t="n">
        <f aca="false">IF(D1090="","",MAX(0,MIN($B$8,IFERROR(LOOKUP(2,1/($U$24:U1089&lt;&gt;""),$U$24:U1089),$B$11))))</f>
        <v>18.0505268145907</v>
      </c>
      <c r="I1090" s="16" t="n">
        <f aca="false" t="array" ref="I1090: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>3.89506296076815</v>
      </c>
      <c r="J1090" s="16" t="n">
        <f aca="false">IF(D1090="","",$B$12)</f>
        <v>0.35</v>
      </c>
      <c r="K1090" s="16" t="n">
        <f aca="false">IF(J1090="","",J1090*$B$15)</f>
        <v>0.9072</v>
      </c>
      <c r="L1090" s="16" t="n">
        <f aca="false">IF(D1090="","",H1090+E1090-K1090-G1090*I1090)</f>
        <v>16.2840896056239</v>
      </c>
      <c r="M1090" s="16" t="n">
        <f aca="false" t="array" ref="M1090: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>3.68395217237945</v>
      </c>
      <c r="N1090" s="16" t="n">
        <f aca="false">IF(D1090="","",(I1090+M1090)/2)</f>
        <v>3.7895075665738</v>
      </c>
      <c r="O1090" s="16" t="n">
        <f aca="false">IF(D1090="","",G1090*N1090)</f>
        <v>0.847712842642559</v>
      </c>
      <c r="P1090" s="16" t="n">
        <f aca="false">IF(D1090="","",H1090+E1090-K1090-O1090)</f>
        <v>16.3077023473052</v>
      </c>
      <c r="Q1090" s="16" t="n">
        <f aca="false">IF(D1090="","",IF(P1090&gt;=0,K1090,MAX(0,K1090+P1090)))</f>
        <v>0.9072</v>
      </c>
      <c r="R1090" s="16" t="n">
        <f aca="false">IF(D1090="","",Q1090/$B$15)</f>
        <v>0.35</v>
      </c>
      <c r="S1090" s="16" t="n">
        <f aca="false">IF(D1090="","",MAX(0,J1090-R1090))</f>
        <v>0</v>
      </c>
      <c r="T1090" s="16" t="n">
        <f aca="false">IF(D1090="","",MAX(0,Z1090-$B$8))</f>
        <v>0</v>
      </c>
      <c r="U1090" s="16" t="n">
        <f aca="false">IF(D1090="","",MAX(0,MIN($B$8,Z1090)))</f>
        <v>16.3077023473052</v>
      </c>
      <c r="V1090" s="16" t="str">
        <f aca="false">IF(D1090="","",IF(S1090&gt;0.0000001,"Sim","Não"))</f>
        <v>Não</v>
      </c>
      <c r="W1090" s="16" t="n">
        <f aca="false">IF(D1090="","",U1090-(H1090+E1090-Q1090-O1090-T1090))</f>
        <v>0</v>
      </c>
      <c r="X1090" s="16" t="n">
        <f aca="false">IF(W1090="","",ABS(W1090))</f>
        <v>0</v>
      </c>
      <c r="Y1090" s="16" t="n">
        <f aca="false">IF(U1090="","",IF($B$8=0,0,U1090/$B$8*100))</f>
        <v>34.5355831158518</v>
      </c>
      <c r="Z1090" s="18" t="n">
        <f aca="false">IF(D1090="","",MAX(0,IF(P1090&gt;=0,P1090,IF(K1090+P1090&gt;=0,0,P1090+K1090))))</f>
        <v>16.3077023473052</v>
      </c>
      <c r="AA1090" s="18" t="n">
        <f aca="false">IF(D1090="","",IF(H1090&lt;=$B$16,1,IF(H1090&gt;=$B$17,$B$21,MATCH(H1090,Aux_CAV!$A$2:$A$121,1))))</f>
        <v>11</v>
      </c>
      <c r="AB1090" s="18" t="n">
        <f aca="false">IF(D1090="","",IF(L1090&lt;=$B$16,1,IF(L1090&gt;=$B$17,$B$21,MATCH(L1090,Aux_CAV!$A$2:$A$121,1))))</f>
        <v>11</v>
      </c>
      <c r="AC1090" s="19" t="n">
        <f aca="false">IF(D1090="","",COUNT($D$24:D1090))</f>
        <v>1055</v>
      </c>
    </row>
    <row r="1091" customFormat="false" ht="12.75" hidden="false" customHeight="true" outlineLevel="0" collapsed="false">
      <c r="A1091" s="14" t="n">
        <f aca="false">IF(D1091="","",DATE(B1091,C1091,1))</f>
        <v>36130</v>
      </c>
      <c r="B1091" s="15" t="n">
        <f aca="false" t="array" ref="B1091:B1091">IF(D1091="","",IFERROR(VALUE(INDEX(Vazoes_COLAR!$A$2:$A$200,INT((ROW()-24)/12)+1)),""))</f>
        <v>1998</v>
      </c>
      <c r="C1091" s="15" t="n">
        <f aca="false">IF(D1091="","",MOD(ROW()-24,12)+1)</f>
        <v>12</v>
      </c>
      <c r="D1091" s="16" t="n">
        <f aca="false" t="array" ref="D1091: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0.0206321625333206</v>
      </c>
      <c r="E1091" s="16" t="n">
        <f aca="false">IF(D1091="","",D1091*$B$15)</f>
        <v>0.053478565286367</v>
      </c>
      <c r="F1091" s="16" t="n">
        <f aca="false" t="array" ref="F1091:F1091">IF(D1091="","",IFERROR(INDEX(Dados_Evap!$C$2:$N$15,MATCH($B$9,Dados_Evap!$A$2:$A$15,0),C1091),0))</f>
        <v>216.1</v>
      </c>
      <c r="G1091" s="16" t="n">
        <f aca="false">IF(F1091="","",F1091/1000)</f>
        <v>0.2161</v>
      </c>
      <c r="H1091" s="16" t="n">
        <f aca="false">IF(D1091="","",MAX(0,MIN($B$8,IFERROR(LOOKUP(2,1/($U$24:U1090&lt;&gt;""),$U$24:U1090),$B$11))))</f>
        <v>16.3077023473052</v>
      </c>
      <c r="I1091" s="16" t="n">
        <f aca="false" t="array" ref="I1091: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>3.68677418297062</v>
      </c>
      <c r="J1091" s="16" t="n">
        <f aca="false">IF(D1091="","",$B$12)</f>
        <v>0.35</v>
      </c>
      <c r="K1091" s="16" t="n">
        <f aca="false">IF(J1091="","",J1091*$B$15)</f>
        <v>0.9072</v>
      </c>
      <c r="L1091" s="16" t="n">
        <f aca="false">IF(D1091="","",H1091+E1091-K1091-G1091*I1091)</f>
        <v>14.6572690116516</v>
      </c>
      <c r="M1091" s="16" t="n">
        <f aca="false" t="array" ref="M1091: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>3.53547294511146</v>
      </c>
      <c r="N1091" s="16" t="n">
        <f aca="false">IF(D1091="","",(I1091+M1091)/2)</f>
        <v>3.61112356404104</v>
      </c>
      <c r="O1091" s="16" t="n">
        <f aca="false">IF(D1091="","",G1091*N1091)</f>
        <v>0.780363802189269</v>
      </c>
      <c r="P1091" s="16" t="n">
        <f aca="false">IF(D1091="","",H1091+E1091-K1091-O1091)</f>
        <v>14.6736171104023</v>
      </c>
      <c r="Q1091" s="16" t="n">
        <f aca="false">IF(D1091="","",IF(P1091&gt;=0,K1091,MAX(0,K1091+P1091)))</f>
        <v>0.9072</v>
      </c>
      <c r="R1091" s="16" t="n">
        <f aca="false">IF(D1091="","",Q1091/$B$15)</f>
        <v>0.35</v>
      </c>
      <c r="S1091" s="16" t="n">
        <f aca="false">IF(D1091="","",MAX(0,J1091-R1091))</f>
        <v>0</v>
      </c>
      <c r="T1091" s="16" t="n">
        <f aca="false">IF(D1091="","",MAX(0,Z1091-$B$8))</f>
        <v>0</v>
      </c>
      <c r="U1091" s="16" t="n">
        <f aca="false">IF(D1091="","",MAX(0,MIN($B$8,Z1091)))</f>
        <v>14.6736171104023</v>
      </c>
      <c r="V1091" s="16" t="str">
        <f aca="false">IF(D1091="","",IF(S1091&gt;0.0000001,"Sim","Não"))</f>
        <v>Não</v>
      </c>
      <c r="W1091" s="16" t="n">
        <f aca="false">IF(D1091="","",U1091-(H1091+E1091-Q1091-O1091-T1091))</f>
        <v>0</v>
      </c>
      <c r="X1091" s="16" t="n">
        <f aca="false">IF(W1091="","",ABS(W1091))</f>
        <v>0</v>
      </c>
      <c r="Y1091" s="16" t="n">
        <f aca="false">IF(U1091="","",IF($B$8=0,0,U1091/$B$8*100))</f>
        <v>31.0750044692976</v>
      </c>
      <c r="Z1091" s="18" t="n">
        <f aca="false">IF(D1091="","",MAX(0,IF(P1091&gt;=0,P1091,IF(K1091+P1091&gt;=0,0,P1091+K1091))))</f>
        <v>14.6736171104023</v>
      </c>
      <c r="AA1091" s="18" t="n">
        <f aca="false">IF(D1091="","",IF(H1091&lt;=$B$16,1,IF(H1091&gt;=$B$17,$B$21,MATCH(H1091,Aux_CAV!$A$2:$A$121,1))))</f>
        <v>11</v>
      </c>
      <c r="AB1091" s="18" t="n">
        <f aca="false">IF(D1091="","",IF(L1091&lt;=$B$16,1,IF(L1091&gt;=$B$17,$B$21,MATCH(L1091,Aux_CAV!$A$2:$A$121,1))))</f>
        <v>10</v>
      </c>
      <c r="AC1091" s="19" t="n">
        <f aca="false">IF(D1091="","",COUNT($D$24:D1091))</f>
        <v>1056</v>
      </c>
    </row>
    <row r="1092" customFormat="false" ht="12.75" hidden="false" customHeight="true" outlineLevel="0" collapsed="false">
      <c r="A1092" s="14" t="n">
        <f aca="false">IF(D1092="","",DATE(B1092,C1092,1))</f>
        <v>36161</v>
      </c>
      <c r="B1092" s="15" t="n">
        <f aca="false" t="array" ref="B1092:B1092">IF(D1092="","",IFERROR(VALUE(INDEX(Vazoes_COLAR!$A$2:$A$200,INT((ROW()-24)/12)+1)),""))</f>
        <v>1999</v>
      </c>
      <c r="C1092" s="15" t="n">
        <f aca="false">IF(D1092="","",MOD(ROW()-24,12)+1)</f>
        <v>1</v>
      </c>
      <c r="D1092" s="16" t="n">
        <f aca="false" t="array" ref="D1092: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0.18939505640822</v>
      </c>
      <c r="E1092" s="16" t="n">
        <f aca="false">IF(D1092="","",D1092*$B$15)</f>
        <v>0.490911986210106</v>
      </c>
      <c r="F1092" s="16" t="n">
        <f aca="false" t="array" ref="F1092:F1092">IF(D1092="","",IFERROR(INDEX(Dados_Evap!$C$2:$N$15,MATCH($B$9,Dados_Evap!$A$2:$A$15,0),C1092),0))</f>
        <v>160</v>
      </c>
      <c r="G1092" s="16" t="n">
        <f aca="false">IF(F1092="","",F1092/1000)</f>
        <v>0.16</v>
      </c>
      <c r="H1092" s="16" t="n">
        <f aca="false">IF(D1092="","",MAX(0,MIN($B$8,IFERROR(LOOKUP(2,1/($U$24:U1091&lt;&gt;""),$U$24:U1091),$B$11))))</f>
        <v>14.6736171104023</v>
      </c>
      <c r="I1092" s="16" t="n">
        <f aca="false" t="array" ref="I1092: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>3.53686734176961</v>
      </c>
      <c r="J1092" s="16" t="n">
        <f aca="false">IF(D1092="","",$B$12)</f>
        <v>0.35</v>
      </c>
      <c r="K1092" s="16" t="n">
        <f aca="false">IF(J1092="","",J1092*$B$15)</f>
        <v>0.9072</v>
      </c>
      <c r="L1092" s="16" t="n">
        <f aca="false">IF(D1092="","",H1092+E1092-K1092-G1092*I1092)</f>
        <v>13.6914303219293</v>
      </c>
      <c r="M1092" s="16" t="n">
        <f aca="false" t="array" ref="M1092: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>3.4530925862822</v>
      </c>
      <c r="N1092" s="16" t="n">
        <f aca="false">IF(D1092="","",(I1092+M1092)/2)</f>
        <v>3.49497996402591</v>
      </c>
      <c r="O1092" s="16" t="n">
        <f aca="false">IF(D1092="","",G1092*N1092)</f>
        <v>0.559196794244145</v>
      </c>
      <c r="P1092" s="16" t="n">
        <f aca="false">IF(D1092="","",H1092+E1092-K1092-O1092)</f>
        <v>13.6981323023683</v>
      </c>
      <c r="Q1092" s="16" t="n">
        <f aca="false">IF(D1092="","",IF(P1092&gt;=0,K1092,MAX(0,K1092+P1092)))</f>
        <v>0.9072</v>
      </c>
      <c r="R1092" s="16" t="n">
        <f aca="false">IF(D1092="","",Q1092/$B$15)</f>
        <v>0.35</v>
      </c>
      <c r="S1092" s="16" t="n">
        <f aca="false">IF(D1092="","",MAX(0,J1092-R1092))</f>
        <v>0</v>
      </c>
      <c r="T1092" s="16" t="n">
        <f aca="false">IF(D1092="","",MAX(0,Z1092-$B$8))</f>
        <v>0</v>
      </c>
      <c r="U1092" s="16" t="n">
        <f aca="false">IF(D1092="","",MAX(0,MIN($B$8,Z1092)))</f>
        <v>13.6981323023683</v>
      </c>
      <c r="V1092" s="16" t="str">
        <f aca="false">IF(D1092="","",IF(S1092&gt;0.0000001,"Sim","Não"))</f>
        <v>Não</v>
      </c>
      <c r="W1092" s="16" t="n">
        <f aca="false">IF(D1092="","",U1092-(H1092+E1092-Q1092-O1092-T1092))</f>
        <v>0</v>
      </c>
      <c r="X1092" s="16" t="n">
        <f aca="false">IF(W1092="","",ABS(W1092))</f>
        <v>0</v>
      </c>
      <c r="Y1092" s="16" t="n">
        <f aca="false">IF(U1092="","",IF($B$8=0,0,U1092/$B$8*100))</f>
        <v>29.0091747191196</v>
      </c>
      <c r="Z1092" s="18" t="n">
        <f aca="false">IF(D1092="","",MAX(0,IF(P1092&gt;=0,P1092,IF(K1092+P1092&gt;=0,0,P1092+K1092))))</f>
        <v>13.6981323023683</v>
      </c>
      <c r="AA1092" s="18" t="n">
        <f aca="false">IF(D1092="","",IF(H1092&lt;=$B$16,1,IF(H1092&gt;=$B$17,$B$21,MATCH(H1092,Aux_CAV!$A$2:$A$121,1))))</f>
        <v>10</v>
      </c>
      <c r="AB1092" s="18" t="n">
        <f aca="false">IF(D1092="","",IF(L1092&lt;=$B$16,1,IF(L1092&gt;=$B$17,$B$21,MATCH(L1092,Aux_CAV!$A$2:$A$121,1))))</f>
        <v>10</v>
      </c>
      <c r="AC1092" s="19" t="n">
        <f aca="false">IF(D1092="","",COUNT($D$24:D1092))</f>
        <v>1057</v>
      </c>
    </row>
    <row r="1093" customFormat="false" ht="12.75" hidden="false" customHeight="true" outlineLevel="0" collapsed="false">
      <c r="A1093" s="14" t="n">
        <f aca="false">IF(D1093="","",DATE(B1093,C1093,1))</f>
        <v>36192</v>
      </c>
      <c r="B1093" s="15" t="n">
        <f aca="false" t="array" ref="B1093:B1093">IF(D1093="","",IFERROR(VALUE(INDEX(Vazoes_COLAR!$A$2:$A$200,INT((ROW()-24)/12)+1)),""))</f>
        <v>1999</v>
      </c>
      <c r="C1093" s="15" t="n">
        <f aca="false">IF(D1093="","",MOD(ROW()-24,12)+1)</f>
        <v>2</v>
      </c>
      <c r="D1093" s="16" t="n">
        <f aca="false" t="array" ref="D1093: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0.320902379948572</v>
      </c>
      <c r="E1093" s="16" t="n">
        <f aca="false">IF(D1093="","",D1093*$B$15)</f>
        <v>0.831778968826699</v>
      </c>
      <c r="F1093" s="16" t="n">
        <f aca="false" t="array" ref="F1093:F1093">IF(D1093="","",IFERROR(INDEX(Dados_Evap!$C$2:$N$15,MATCH($B$9,Dados_Evap!$A$2:$A$15,0),C1093),0))</f>
        <v>124.3</v>
      </c>
      <c r="G1093" s="16" t="n">
        <f aca="false">IF(F1093="","",F1093/1000)</f>
        <v>0.1243</v>
      </c>
      <c r="H1093" s="16" t="n">
        <f aca="false">IF(D1093="","",MAX(0,MIN($B$8,IFERROR(LOOKUP(2,1/($U$24:U1092&lt;&gt;""),$U$24:U1092),$B$11))))</f>
        <v>13.6981323023683</v>
      </c>
      <c r="I1093" s="16" t="n">
        <f aca="false" t="array" ref="I1093: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>3.45366422579024</v>
      </c>
      <c r="J1093" s="16" t="n">
        <f aca="false">IF(D1093="","",$B$12)</f>
        <v>0.35</v>
      </c>
      <c r="K1093" s="16" t="n">
        <f aca="false">IF(J1093="","",J1093*$B$15)</f>
        <v>0.9072</v>
      </c>
      <c r="L1093" s="16" t="n">
        <f aca="false">IF(D1093="","",H1093+E1093-K1093-G1093*I1093)</f>
        <v>13.1934208079292</v>
      </c>
      <c r="M1093" s="16" t="n">
        <f aca="false" t="array" ref="M1093: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>3.41061530420573</v>
      </c>
      <c r="N1093" s="16" t="n">
        <f aca="false">IF(D1093="","",(I1093+M1093)/2)</f>
        <v>3.43213976499798</v>
      </c>
      <c r="O1093" s="16" t="n">
        <f aca="false">IF(D1093="","",G1093*N1093)</f>
        <v>0.426614972789249</v>
      </c>
      <c r="P1093" s="16" t="n">
        <f aca="false">IF(D1093="","",H1093+E1093-K1093-O1093)</f>
        <v>13.1960962984057</v>
      </c>
      <c r="Q1093" s="16" t="n">
        <f aca="false">IF(D1093="","",IF(P1093&gt;=0,K1093,MAX(0,K1093+P1093)))</f>
        <v>0.9072</v>
      </c>
      <c r="R1093" s="16" t="n">
        <f aca="false">IF(D1093="","",Q1093/$B$15)</f>
        <v>0.35</v>
      </c>
      <c r="S1093" s="16" t="n">
        <f aca="false">IF(D1093="","",MAX(0,J1093-R1093))</f>
        <v>0</v>
      </c>
      <c r="T1093" s="16" t="n">
        <f aca="false">IF(D1093="","",MAX(0,Z1093-$B$8))</f>
        <v>0</v>
      </c>
      <c r="U1093" s="16" t="n">
        <f aca="false">IF(D1093="","",MAX(0,MIN($B$8,Z1093)))</f>
        <v>13.1960962984057</v>
      </c>
      <c r="V1093" s="16" t="str">
        <f aca="false">IF(D1093="","",IF(S1093&gt;0.0000001,"Sim","Não"))</f>
        <v>Não</v>
      </c>
      <c r="W1093" s="16" t="n">
        <f aca="false">IF(D1093="","",U1093-(H1093+E1093-Q1093-O1093-T1093))</f>
        <v>0</v>
      </c>
      <c r="X1093" s="16" t="n">
        <f aca="false">IF(W1093="","",ABS(W1093))</f>
        <v>0</v>
      </c>
      <c r="Y1093" s="16" t="n">
        <f aca="false">IF(U1093="","",IF($B$8=0,0,U1093/$B$8*100))</f>
        <v>27.9459896196648</v>
      </c>
      <c r="Z1093" s="18" t="n">
        <f aca="false">IF(D1093="","",MAX(0,IF(P1093&gt;=0,P1093,IF(K1093+P1093&gt;=0,0,P1093+K1093))))</f>
        <v>13.1960962984057</v>
      </c>
      <c r="AA1093" s="18" t="n">
        <f aca="false">IF(D1093="","",IF(H1093&lt;=$B$16,1,IF(H1093&gt;=$B$17,$B$21,MATCH(H1093,Aux_CAV!$A$2:$A$121,1))))</f>
        <v>10</v>
      </c>
      <c r="AB1093" s="18" t="n">
        <f aca="false">IF(D1093="","",IF(L1093&lt;=$B$16,1,IF(L1093&gt;=$B$17,$B$21,MATCH(L1093,Aux_CAV!$A$2:$A$121,1))))</f>
        <v>10</v>
      </c>
      <c r="AC1093" s="19" t="n">
        <f aca="false">IF(D1093="","",COUNT($D$24:D1093))</f>
        <v>1058</v>
      </c>
    </row>
    <row r="1094" customFormat="false" ht="12.75" hidden="false" customHeight="true" outlineLevel="0" collapsed="false">
      <c r="A1094" s="14" t="n">
        <f aca="false">IF(D1094="","",DATE(B1094,C1094,1))</f>
        <v>36220</v>
      </c>
      <c r="B1094" s="15" t="n">
        <f aca="false" t="array" ref="B1094:B1094">IF(D1094="","",IFERROR(VALUE(INDEX(Vazoes_COLAR!$A$2:$A$200,INT((ROW()-24)/12)+1)),""))</f>
        <v>1999</v>
      </c>
      <c r="C1094" s="15" t="n">
        <f aca="false">IF(D1094="","",MOD(ROW()-24,12)+1)</f>
        <v>3</v>
      </c>
      <c r="D1094" s="16" t="n">
        <f aca="false" t="array" ref="D1094: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2.67619658659194</v>
      </c>
      <c r="E1094" s="16" t="n">
        <f aca="false">IF(D1094="","",D1094*$B$15)</f>
        <v>6.93670155244631</v>
      </c>
      <c r="F1094" s="16" t="n">
        <f aca="false" t="array" ref="F1094:F1094">IF(D1094="","",IFERROR(INDEX(Dados_Evap!$C$2:$N$15,MATCH($B$9,Dados_Evap!$A$2:$A$15,0),C1094),0))</f>
        <v>107.7</v>
      </c>
      <c r="G1094" s="16" t="n">
        <f aca="false">IF(F1094="","",F1094/1000)</f>
        <v>0.1077</v>
      </c>
      <c r="H1094" s="16" t="n">
        <f aca="false">IF(D1094="","",MAX(0,MIN($B$8,IFERROR(LOOKUP(2,1/($U$24:U1093&lt;&gt;""),$U$24:U1093),$B$11))))</f>
        <v>13.1960962984057</v>
      </c>
      <c r="I1094" s="16" t="n">
        <f aca="false" t="array" ref="I1094: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>3.41084350780519</v>
      </c>
      <c r="J1094" s="16" t="n">
        <f aca="false">IF(D1094="","",$B$12)</f>
        <v>0.35</v>
      </c>
      <c r="K1094" s="16" t="n">
        <f aca="false">IF(J1094="","",J1094*$B$15)</f>
        <v>0.9072</v>
      </c>
      <c r="L1094" s="16" t="n">
        <f aca="false">IF(D1094="","",H1094+E1094-K1094-G1094*I1094)</f>
        <v>18.8582500050614</v>
      </c>
      <c r="M1094" s="16" t="n">
        <f aca="false" t="array" ref="M1094: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>3.99159573231222</v>
      </c>
      <c r="N1094" s="16" t="n">
        <f aca="false">IF(D1094="","",(I1094+M1094)/2)</f>
        <v>3.70121962005871</v>
      </c>
      <c r="O1094" s="16" t="n">
        <f aca="false">IF(D1094="","",G1094*N1094)</f>
        <v>0.398621353080323</v>
      </c>
      <c r="P1094" s="16" t="n">
        <f aca="false">IF(D1094="","",H1094+E1094-K1094-O1094)</f>
        <v>18.8269764977717</v>
      </c>
      <c r="Q1094" s="16" t="n">
        <f aca="false">IF(D1094="","",IF(P1094&gt;=0,K1094,MAX(0,K1094+P1094)))</f>
        <v>0.9072</v>
      </c>
      <c r="R1094" s="16" t="n">
        <f aca="false">IF(D1094="","",Q1094/$B$15)</f>
        <v>0.35</v>
      </c>
      <c r="S1094" s="16" t="n">
        <f aca="false">IF(D1094="","",MAX(0,J1094-R1094))</f>
        <v>0</v>
      </c>
      <c r="T1094" s="16" t="n">
        <f aca="false">IF(D1094="","",MAX(0,Z1094-$B$8))</f>
        <v>0</v>
      </c>
      <c r="U1094" s="16" t="n">
        <f aca="false">IF(D1094="","",MAX(0,MIN($B$8,Z1094)))</f>
        <v>18.8269764977717</v>
      </c>
      <c r="V1094" s="16" t="str">
        <f aca="false">IF(D1094="","",IF(S1094&gt;0.0000001,"Sim","Não"))</f>
        <v>Não</v>
      </c>
      <c r="W1094" s="16" t="n">
        <f aca="false">IF(D1094="","",U1094-(H1094+E1094-Q1094-O1094-T1094))</f>
        <v>0</v>
      </c>
      <c r="X1094" s="16" t="n">
        <f aca="false">IF(W1094="","",ABS(W1094))</f>
        <v>0</v>
      </c>
      <c r="Y1094" s="16" t="n">
        <f aca="false">IF(U1094="","",IF($B$8=0,0,U1094/$B$8*100))</f>
        <v>39.8707676784661</v>
      </c>
      <c r="Z1094" s="18" t="n">
        <f aca="false">IF(D1094="","",MAX(0,IF(P1094&gt;=0,P1094,IF(K1094+P1094&gt;=0,0,P1094+K1094))))</f>
        <v>18.8269764977717</v>
      </c>
      <c r="AA1094" s="18" t="n">
        <f aca="false">IF(D1094="","",IF(H1094&lt;=$B$16,1,IF(H1094&gt;=$B$17,$B$21,MATCH(H1094,Aux_CAV!$A$2:$A$121,1))))</f>
        <v>10</v>
      </c>
      <c r="AB1094" s="18" t="n">
        <f aca="false">IF(D1094="","",IF(L1094&lt;=$B$16,1,IF(L1094&gt;=$B$17,$B$21,MATCH(L1094,Aux_CAV!$A$2:$A$121,1))))</f>
        <v>11</v>
      </c>
      <c r="AC1094" s="19" t="n">
        <f aca="false">IF(D1094="","",COUNT($D$24:D1094))</f>
        <v>1059</v>
      </c>
    </row>
    <row r="1095" customFormat="false" ht="12.75" hidden="false" customHeight="true" outlineLevel="0" collapsed="false">
      <c r="A1095" s="14" t="n">
        <f aca="false">IF(D1095="","",DATE(B1095,C1095,1))</f>
        <v>36251</v>
      </c>
      <c r="B1095" s="15" t="n">
        <f aca="false" t="array" ref="B1095:B1095">IF(D1095="","",IFERROR(VALUE(INDEX(Vazoes_COLAR!$A$2:$A$200,INT((ROW()-24)/12)+1)),""))</f>
        <v>1999</v>
      </c>
      <c r="C1095" s="15" t="n">
        <f aca="false">IF(D1095="","",MOD(ROW()-24,12)+1)</f>
        <v>4</v>
      </c>
      <c r="D1095" s="16" t="n">
        <f aca="false" t="array" ref="D1095: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1.74580573346734</v>
      </c>
      <c r="E1095" s="16" t="n">
        <f aca="false">IF(D1095="","",D1095*$B$15)</f>
        <v>4.52512846114735</v>
      </c>
      <c r="F1095" s="16" t="n">
        <f aca="false" t="array" ref="F1095:F1095">IF(D1095="","",IFERROR(INDEX(Dados_Evap!$C$2:$N$15,MATCH($B$9,Dados_Evap!$A$2:$A$15,0),C1095),0))</f>
        <v>100.5</v>
      </c>
      <c r="G1095" s="16" t="n">
        <f aca="false">IF(F1095="","",F1095/1000)</f>
        <v>0.1005</v>
      </c>
      <c r="H1095" s="16" t="n">
        <f aca="false">IF(D1095="","",MAX(0,MIN($B$8,IFERROR(LOOKUP(2,1/($U$24:U1094&lt;&gt;""),$U$24:U1094),$B$11))))</f>
        <v>18.8269764977717</v>
      </c>
      <c r="I1095" s="16" t="n">
        <f aca="false" t="array" ref="I1095: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>3.98785816680686</v>
      </c>
      <c r="J1095" s="16" t="n">
        <f aca="false">IF(D1095="","",$B$12)</f>
        <v>0.35</v>
      </c>
      <c r="K1095" s="16" t="n">
        <f aca="false">IF(J1095="","",J1095*$B$15)</f>
        <v>0.9072</v>
      </c>
      <c r="L1095" s="16" t="n">
        <f aca="false">IF(D1095="","",H1095+E1095-K1095-G1095*I1095)</f>
        <v>22.044125213155</v>
      </c>
      <c r="M1095" s="16" t="n">
        <f aca="false" t="array" ref="M1095: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>4.37234667181608</v>
      </c>
      <c r="N1095" s="16" t="n">
        <f aca="false">IF(D1095="","",(I1095+M1095)/2)</f>
        <v>4.18010241931147</v>
      </c>
      <c r="O1095" s="16" t="n">
        <f aca="false">IF(D1095="","",G1095*N1095)</f>
        <v>0.420100293140803</v>
      </c>
      <c r="P1095" s="16" t="n">
        <f aca="false">IF(D1095="","",H1095+E1095-K1095-O1095)</f>
        <v>22.0248046657783</v>
      </c>
      <c r="Q1095" s="16" t="n">
        <f aca="false">IF(D1095="","",IF(P1095&gt;=0,K1095,MAX(0,K1095+P1095)))</f>
        <v>0.9072</v>
      </c>
      <c r="R1095" s="16" t="n">
        <f aca="false">IF(D1095="","",Q1095/$B$15)</f>
        <v>0.35</v>
      </c>
      <c r="S1095" s="16" t="n">
        <f aca="false">IF(D1095="","",MAX(0,J1095-R1095))</f>
        <v>0</v>
      </c>
      <c r="T1095" s="16" t="n">
        <f aca="false">IF(D1095="","",MAX(0,Z1095-$B$8))</f>
        <v>0</v>
      </c>
      <c r="U1095" s="16" t="n">
        <f aca="false">IF(D1095="","",MAX(0,MIN($B$8,Z1095)))</f>
        <v>22.0248046657783</v>
      </c>
      <c r="V1095" s="16" t="str">
        <f aca="false">IF(D1095="","",IF(S1095&gt;0.0000001,"Sim","Não"))</f>
        <v>Não</v>
      </c>
      <c r="W1095" s="16" t="n">
        <f aca="false">IF(D1095="","",U1095-(H1095+E1095-Q1095-O1095-T1095))</f>
        <v>0</v>
      </c>
      <c r="X1095" s="16" t="n">
        <f aca="false">IF(W1095="","",ABS(W1095))</f>
        <v>0</v>
      </c>
      <c r="Y1095" s="16" t="n">
        <f aca="false">IF(U1095="","",IF($B$8=0,0,U1095/$B$8*100))</f>
        <v>46.6429577843674</v>
      </c>
      <c r="Z1095" s="18" t="n">
        <f aca="false">IF(D1095="","",MAX(0,IF(P1095&gt;=0,P1095,IF(K1095+P1095&gt;=0,0,P1095+K1095))))</f>
        <v>22.0248046657783</v>
      </c>
      <c r="AA1095" s="18" t="n">
        <f aca="false">IF(D1095="","",IF(H1095&lt;=$B$16,1,IF(H1095&gt;=$B$17,$B$21,MATCH(H1095,Aux_CAV!$A$2:$A$121,1))))</f>
        <v>11</v>
      </c>
      <c r="AB1095" s="18" t="n">
        <f aca="false">IF(D1095="","",IF(L1095&lt;=$B$16,1,IF(L1095&gt;=$B$17,$B$21,MATCH(L1095,Aux_CAV!$A$2:$A$121,1))))</f>
        <v>11</v>
      </c>
      <c r="AC1095" s="19" t="n">
        <f aca="false">IF(D1095="","",COUNT($D$24:D1095))</f>
        <v>1060</v>
      </c>
    </row>
    <row r="1096" customFormat="false" ht="12.75" hidden="false" customHeight="true" outlineLevel="0" collapsed="false">
      <c r="A1096" s="14" t="n">
        <f aca="false">IF(D1096="","",DATE(B1096,C1096,1))</f>
        <v>36281</v>
      </c>
      <c r="B1096" s="15" t="n">
        <f aca="false" t="array" ref="B1096:B1096">IF(D1096="","",IFERROR(VALUE(INDEX(Vazoes_COLAR!$A$2:$A$200,INT((ROW()-24)/12)+1)),""))</f>
        <v>1999</v>
      </c>
      <c r="C1096" s="15" t="n">
        <f aca="false">IF(D1096="","",MOD(ROW()-24,12)+1)</f>
        <v>5</v>
      </c>
      <c r="D1096" s="16" t="n">
        <f aca="false" t="array" ref="D1096: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3.36197704654713</v>
      </c>
      <c r="E1096" s="16" t="n">
        <f aca="false">IF(D1096="","",D1096*$B$15)</f>
        <v>8.71424450465016</v>
      </c>
      <c r="F1096" s="16" t="n">
        <f aca="false" t="array" ref="F1096:F1096">IF(D1096="","",IFERROR(INDEX(Dados_Evap!$C$2:$N$15,MATCH($B$9,Dados_Evap!$A$2:$A$15,0),C1096),0))</f>
        <v>145.8</v>
      </c>
      <c r="G1096" s="16" t="n">
        <f aca="false">IF(F1096="","",F1096/1000)</f>
        <v>0.1458</v>
      </c>
      <c r="H1096" s="16" t="n">
        <f aca="false">IF(D1096="","",MAX(0,MIN($B$8,IFERROR(LOOKUP(2,1/($U$24:U1095&lt;&gt;""),$U$24:U1095),$B$11))))</f>
        <v>22.0248046657783</v>
      </c>
      <c r="I1096" s="16" t="n">
        <f aca="false" t="array" ref="I1096: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>4.37003763078813</v>
      </c>
      <c r="J1096" s="16" t="n">
        <f aca="false">IF(D1096="","",$B$12)</f>
        <v>0.35</v>
      </c>
      <c r="K1096" s="16" t="n">
        <f aca="false">IF(J1096="","",J1096*$B$15)</f>
        <v>0.9072</v>
      </c>
      <c r="L1096" s="16" t="n">
        <f aca="false">IF(D1096="","",H1096+E1096-K1096-G1096*I1096)</f>
        <v>29.1946976838595</v>
      </c>
      <c r="M1096" s="16" t="n">
        <f aca="false" t="array" ref="M1096: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>5.14886665259512</v>
      </c>
      <c r="N1096" s="16" t="n">
        <f aca="false">IF(D1096="","",(I1096+M1096)/2)</f>
        <v>4.75945214169162</v>
      </c>
      <c r="O1096" s="16" t="n">
        <f aca="false">IF(D1096="","",G1096*N1096)</f>
        <v>0.693928122258639</v>
      </c>
      <c r="P1096" s="16" t="n">
        <f aca="false">IF(D1096="","",H1096+E1096-K1096-O1096)</f>
        <v>29.1379210481698</v>
      </c>
      <c r="Q1096" s="16" t="n">
        <f aca="false">IF(D1096="","",IF(P1096&gt;=0,K1096,MAX(0,K1096+P1096)))</f>
        <v>0.9072</v>
      </c>
      <c r="R1096" s="16" t="n">
        <f aca="false">IF(D1096="","",Q1096/$B$15)</f>
        <v>0.35</v>
      </c>
      <c r="S1096" s="16" t="n">
        <f aca="false">IF(D1096="","",MAX(0,J1096-R1096))</f>
        <v>0</v>
      </c>
      <c r="T1096" s="16" t="n">
        <f aca="false">IF(D1096="","",MAX(0,Z1096-$B$8))</f>
        <v>0</v>
      </c>
      <c r="U1096" s="16" t="n">
        <f aca="false">IF(D1096="","",MAX(0,MIN($B$8,Z1096)))</f>
        <v>29.1379210481698</v>
      </c>
      <c r="V1096" s="16" t="str">
        <f aca="false">IF(D1096="","",IF(S1096&gt;0.0000001,"Sim","Não"))</f>
        <v>Não</v>
      </c>
      <c r="W1096" s="16" t="n">
        <f aca="false">IF(D1096="","",U1096-(H1096+E1096-Q1096-O1096-T1096))</f>
        <v>0</v>
      </c>
      <c r="X1096" s="16" t="n">
        <f aca="false">IF(W1096="","",ABS(W1096))</f>
        <v>0</v>
      </c>
      <c r="Y1096" s="16" t="n">
        <f aca="false">IF(U1096="","",IF($B$8=0,0,U1096/$B$8*100))</f>
        <v>61.7067366543198</v>
      </c>
      <c r="Z1096" s="18" t="n">
        <f aca="false">IF(D1096="","",MAX(0,IF(P1096&gt;=0,P1096,IF(K1096+P1096&gt;=0,0,P1096+K1096))))</f>
        <v>29.1379210481698</v>
      </c>
      <c r="AA1096" s="18" t="n">
        <f aca="false">IF(D1096="","",IF(H1096&lt;=$B$16,1,IF(H1096&gt;=$B$17,$B$21,MATCH(H1096,Aux_CAV!$A$2:$A$121,1))))</f>
        <v>11</v>
      </c>
      <c r="AB1096" s="18" t="n">
        <f aca="false">IF(D1096="","",IF(L1096&lt;=$B$16,1,IF(L1096&gt;=$B$17,$B$21,MATCH(L1096,Aux_CAV!$A$2:$A$121,1))))</f>
        <v>12</v>
      </c>
      <c r="AC1096" s="19" t="n">
        <f aca="false">IF(D1096="","",COUNT($D$24:D1096))</f>
        <v>1061</v>
      </c>
    </row>
    <row r="1097" customFormat="false" ht="12.75" hidden="false" customHeight="true" outlineLevel="0" collapsed="false">
      <c r="A1097" s="14" t="n">
        <f aca="false">IF(D1097="","",DATE(B1097,C1097,1))</f>
        <v>36312</v>
      </c>
      <c r="B1097" s="15" t="n">
        <f aca="false" t="array" ref="B1097:B1097">IF(D1097="","",IFERROR(VALUE(INDEX(Vazoes_COLAR!$A$2:$A$200,INT((ROW()-24)/12)+1)),""))</f>
        <v>1999</v>
      </c>
      <c r="C1097" s="15" t="n">
        <f aca="false">IF(D1097="","",MOD(ROW()-24,12)+1)</f>
        <v>6</v>
      </c>
      <c r="D1097" s="16" t="n">
        <f aca="false" t="array" ref="D1097: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0.100595454521555</v>
      </c>
      <c r="E1097" s="16" t="n">
        <f aca="false">IF(D1097="","",D1097*$B$15)</f>
        <v>0.260743418119871</v>
      </c>
      <c r="F1097" s="16" t="n">
        <f aca="false" t="array" ref="F1097:F1097">IF(D1097="","",IFERROR(INDEX(Dados_Evap!$C$2:$N$15,MATCH($B$9,Dados_Evap!$A$2:$A$15,0),C1097),0))</f>
        <v>161.3</v>
      </c>
      <c r="G1097" s="16" t="n">
        <f aca="false">IF(F1097="","",F1097/1000)</f>
        <v>0.1613</v>
      </c>
      <c r="H1097" s="16" t="n">
        <f aca="false">IF(D1097="","",MAX(0,MIN($B$8,IFERROR(LOOKUP(2,1/($U$24:U1096&lt;&gt;""),$U$24:U1096),$B$11))))</f>
        <v>29.1379210481698</v>
      </c>
      <c r="I1097" s="16" t="n">
        <f aca="false" t="array" ref="I1097: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>5.14296849723706</v>
      </c>
      <c r="J1097" s="16" t="n">
        <f aca="false">IF(D1097="","",$B$12)</f>
        <v>0.35</v>
      </c>
      <c r="K1097" s="16" t="n">
        <f aca="false">IF(J1097="","",J1097*$B$15)</f>
        <v>0.9072</v>
      </c>
      <c r="L1097" s="16" t="n">
        <f aca="false">IF(D1097="","",H1097+E1097-K1097-G1097*I1097)</f>
        <v>27.6619036476853</v>
      </c>
      <c r="M1097" s="16" t="n">
        <f aca="false" t="array" ref="M1097: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>4.98963465077896</v>
      </c>
      <c r="N1097" s="16" t="n">
        <f aca="false">IF(D1097="","",(I1097+M1097)/2)</f>
        <v>5.06630157400801</v>
      </c>
      <c r="O1097" s="16" t="n">
        <f aca="false">IF(D1097="","",G1097*N1097)</f>
        <v>0.817194443887492</v>
      </c>
      <c r="P1097" s="16" t="n">
        <f aca="false">IF(D1097="","",H1097+E1097-K1097-O1097)</f>
        <v>27.6742700224022</v>
      </c>
      <c r="Q1097" s="16" t="n">
        <f aca="false">IF(D1097="","",IF(P1097&gt;=0,K1097,MAX(0,K1097+P1097)))</f>
        <v>0.9072</v>
      </c>
      <c r="R1097" s="16" t="n">
        <f aca="false">IF(D1097="","",Q1097/$B$15)</f>
        <v>0.35</v>
      </c>
      <c r="S1097" s="16" t="n">
        <f aca="false">IF(D1097="","",MAX(0,J1097-R1097))</f>
        <v>0</v>
      </c>
      <c r="T1097" s="16" t="n">
        <f aca="false">IF(D1097="","",MAX(0,Z1097-$B$8))</f>
        <v>0</v>
      </c>
      <c r="U1097" s="16" t="n">
        <f aca="false">IF(D1097="","",MAX(0,MIN($B$8,Z1097)))</f>
        <v>27.6742700224022</v>
      </c>
      <c r="V1097" s="16" t="str">
        <f aca="false">IF(D1097="","",IF(S1097&gt;0.0000001,"Sim","Não"))</f>
        <v>Não</v>
      </c>
      <c r="W1097" s="16" t="n">
        <f aca="false">IF(D1097="","",U1097-(H1097+E1097-Q1097-O1097-T1097))</f>
        <v>0</v>
      </c>
      <c r="X1097" s="16" t="n">
        <f aca="false">IF(W1097="","",ABS(W1097))</f>
        <v>0</v>
      </c>
      <c r="Y1097" s="16" t="n">
        <f aca="false">IF(U1097="","",IF($B$8=0,0,U1097/$B$8*100))</f>
        <v>58.6070944989457</v>
      </c>
      <c r="Z1097" s="18" t="n">
        <f aca="false">IF(D1097="","",MAX(0,IF(P1097&gt;=0,P1097,IF(K1097+P1097&gt;=0,0,P1097+K1097))))</f>
        <v>27.6742700224022</v>
      </c>
      <c r="AA1097" s="18" t="n">
        <f aca="false">IF(D1097="","",IF(H1097&lt;=$B$16,1,IF(H1097&gt;=$B$17,$B$21,MATCH(H1097,Aux_CAV!$A$2:$A$121,1))))</f>
        <v>12</v>
      </c>
      <c r="AB1097" s="18" t="n">
        <f aca="false">IF(D1097="","",IF(L1097&lt;=$B$16,1,IF(L1097&gt;=$B$17,$B$21,MATCH(L1097,Aux_CAV!$A$2:$A$121,1))))</f>
        <v>12</v>
      </c>
      <c r="AC1097" s="19" t="n">
        <f aca="false">IF(D1097="","",COUNT($D$24:D1097))</f>
        <v>1062</v>
      </c>
    </row>
    <row r="1098" customFormat="false" ht="12.75" hidden="false" customHeight="true" outlineLevel="0" collapsed="false">
      <c r="A1098" s="14" t="n">
        <f aca="false">IF(D1098="","",DATE(B1098,C1098,1))</f>
        <v>36342</v>
      </c>
      <c r="B1098" s="15" t="n">
        <f aca="false" t="array" ref="B1098:B1098">IF(D1098="","",IFERROR(VALUE(INDEX(Vazoes_COLAR!$A$2:$A$200,INT((ROW()-24)/12)+1)),""))</f>
        <v>1999</v>
      </c>
      <c r="C1098" s="15" t="n">
        <f aca="false">IF(D1098="","",MOD(ROW()-24,12)+1)</f>
        <v>7</v>
      </c>
      <c r="D1098" s="16" t="n">
        <f aca="false" t="array" ref="D1098: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0.0235334862291255</v>
      </c>
      <c r="E1098" s="16" t="n">
        <f aca="false">IF(D1098="","",D1098*$B$15)</f>
        <v>0.0609987963058933</v>
      </c>
      <c r="F1098" s="16" t="n">
        <f aca="false" t="array" ref="F1098:F1098">IF(D1098="","",IFERROR(INDEX(Dados_Evap!$C$2:$N$15,MATCH($B$9,Dados_Evap!$A$2:$A$15,0),C1098),0))</f>
        <v>224.8</v>
      </c>
      <c r="G1098" s="16" t="n">
        <f aca="false">IF(F1098="","",F1098/1000)</f>
        <v>0.2248</v>
      </c>
      <c r="H1098" s="16" t="n">
        <f aca="false">IF(D1098="","",MAX(0,MIN($B$8,IFERROR(LOOKUP(2,1/($U$24:U1097&lt;&gt;""),$U$24:U1097),$B$11))))</f>
        <v>27.6742700224022</v>
      </c>
      <c r="I1098" s="16" t="n">
        <f aca="false" t="array" ref="I1098: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>4.99091931300683</v>
      </c>
      <c r="J1098" s="16" t="n">
        <f aca="false">IF(D1098="","",$B$12)</f>
        <v>0.35</v>
      </c>
      <c r="K1098" s="16" t="n">
        <f aca="false">IF(J1098="","",J1098*$B$15)</f>
        <v>0.9072</v>
      </c>
      <c r="L1098" s="16" t="n">
        <f aca="false">IF(D1098="","",H1098+E1098-K1098-G1098*I1098)</f>
        <v>25.7061101571441</v>
      </c>
      <c r="M1098" s="16" t="n">
        <f aca="false" t="array" ref="M1098: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>4.78645998719847</v>
      </c>
      <c r="N1098" s="16" t="n">
        <f aca="false">IF(D1098="","",(I1098+M1098)/2)</f>
        <v>4.88868965010265</v>
      </c>
      <c r="O1098" s="16" t="n">
        <f aca="false">IF(D1098="","",G1098*N1098)</f>
        <v>1.09897743334308</v>
      </c>
      <c r="P1098" s="16" t="n">
        <f aca="false">IF(D1098="","",H1098+E1098-K1098-O1098)</f>
        <v>25.729091385365</v>
      </c>
      <c r="Q1098" s="16" t="n">
        <f aca="false">IF(D1098="","",IF(P1098&gt;=0,K1098,MAX(0,K1098+P1098)))</f>
        <v>0.9072</v>
      </c>
      <c r="R1098" s="16" t="n">
        <f aca="false">IF(D1098="","",Q1098/$B$15)</f>
        <v>0.35</v>
      </c>
      <c r="S1098" s="16" t="n">
        <f aca="false">IF(D1098="","",MAX(0,J1098-R1098))</f>
        <v>0</v>
      </c>
      <c r="T1098" s="16" t="n">
        <f aca="false">IF(D1098="","",MAX(0,Z1098-$B$8))</f>
        <v>0</v>
      </c>
      <c r="U1098" s="16" t="n">
        <f aca="false">IF(D1098="","",MAX(0,MIN($B$8,Z1098)))</f>
        <v>25.729091385365</v>
      </c>
      <c r="V1098" s="16" t="str">
        <f aca="false">IF(D1098="","",IF(S1098&gt;0.0000001,"Sim","Não"))</f>
        <v>Não</v>
      </c>
      <c r="W1098" s="16" t="n">
        <f aca="false">IF(D1098="","",U1098-(H1098+E1098-Q1098-O1098-T1098))</f>
        <v>0</v>
      </c>
      <c r="X1098" s="16" t="n">
        <f aca="false">IF(W1098="","",ABS(W1098))</f>
        <v>0</v>
      </c>
      <c r="Y1098" s="16" t="n">
        <f aca="false">IF(U1098="","",IF($B$8=0,0,U1098/$B$8*100))</f>
        <v>54.4876988254235</v>
      </c>
      <c r="Z1098" s="18" t="n">
        <f aca="false">IF(D1098="","",MAX(0,IF(P1098&gt;=0,P1098,IF(K1098+P1098&gt;=0,0,P1098+K1098))))</f>
        <v>25.729091385365</v>
      </c>
      <c r="AA1098" s="18" t="n">
        <f aca="false">IF(D1098="","",IF(H1098&lt;=$B$16,1,IF(H1098&gt;=$B$17,$B$21,MATCH(H1098,Aux_CAV!$A$2:$A$121,1))))</f>
        <v>12</v>
      </c>
      <c r="AB1098" s="18" t="n">
        <f aca="false">IF(D1098="","",IF(L1098&lt;=$B$16,1,IF(L1098&gt;=$B$17,$B$21,MATCH(L1098,Aux_CAV!$A$2:$A$121,1))))</f>
        <v>12</v>
      </c>
      <c r="AC1098" s="19" t="n">
        <f aca="false">IF(D1098="","",COUNT($D$24:D1098))</f>
        <v>1063</v>
      </c>
    </row>
    <row r="1099" customFormat="false" ht="12.75" hidden="false" customHeight="true" outlineLevel="0" collapsed="false">
      <c r="A1099" s="14" t="n">
        <f aca="false">IF(D1099="","",DATE(B1099,C1099,1))</f>
        <v>36373</v>
      </c>
      <c r="B1099" s="15" t="n">
        <f aca="false" t="array" ref="B1099:B1099">IF(D1099="","",IFERROR(VALUE(INDEX(Vazoes_COLAR!$A$2:$A$200,INT((ROW()-24)/12)+1)),""))</f>
        <v>1999</v>
      </c>
      <c r="C1099" s="15" t="n">
        <f aca="false">IF(D1099="","",MOD(ROW()-24,12)+1)</f>
        <v>8</v>
      </c>
      <c r="D1099" s="16" t="n">
        <f aca="false" t="array" ref="D1099: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0.0144419333822738</v>
      </c>
      <c r="E1099" s="16" t="n">
        <f aca="false">IF(D1099="","",D1099*$B$15)</f>
        <v>0.0374334913268537</v>
      </c>
      <c r="F1099" s="16" t="n">
        <f aca="false" t="array" ref="F1099:F1099">IF(D1099="","",IFERROR(INDEX(Dados_Evap!$C$2:$N$15,MATCH($B$9,Dados_Evap!$A$2:$A$15,0),C1099),0))</f>
        <v>268.7</v>
      </c>
      <c r="G1099" s="16" t="n">
        <f aca="false">IF(F1099="","",F1099/1000)</f>
        <v>0.2687</v>
      </c>
      <c r="H1099" s="16" t="n">
        <f aca="false">IF(D1099="","",MAX(0,MIN($B$8,IFERROR(LOOKUP(2,1/($U$24:U1098&lt;&gt;""),$U$24:U1098),$B$11))))</f>
        <v>25.729091385365</v>
      </c>
      <c r="I1099" s="16" t="n">
        <f aca="false" t="array" ref="I1099: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>4.78884735750879</v>
      </c>
      <c r="J1099" s="16" t="n">
        <f aca="false">IF(D1099="","",$B$12)</f>
        <v>0.35</v>
      </c>
      <c r="K1099" s="16" t="n">
        <f aca="false">IF(J1099="","",J1099*$B$15)</f>
        <v>0.9072</v>
      </c>
      <c r="L1099" s="16" t="n">
        <f aca="false">IF(D1099="","",H1099+E1099-K1099-G1099*I1099)</f>
        <v>23.5725615917292</v>
      </c>
      <c r="M1099" s="16" t="n">
        <f aca="false" t="array" ref="M1099: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>4.55501345852374</v>
      </c>
      <c r="N1099" s="16" t="n">
        <f aca="false">IF(D1099="","",(I1099+M1099)/2)</f>
        <v>4.67193040801626</v>
      </c>
      <c r="O1099" s="16" t="n">
        <f aca="false">IF(D1099="","",G1099*N1099)</f>
        <v>1.25534770063397</v>
      </c>
      <c r="P1099" s="16" t="n">
        <f aca="false">IF(D1099="","",H1099+E1099-K1099-O1099)</f>
        <v>23.6039771760579</v>
      </c>
      <c r="Q1099" s="16" t="n">
        <f aca="false">IF(D1099="","",IF(P1099&gt;=0,K1099,MAX(0,K1099+P1099)))</f>
        <v>0.9072</v>
      </c>
      <c r="R1099" s="16" t="n">
        <f aca="false">IF(D1099="","",Q1099/$B$15)</f>
        <v>0.35</v>
      </c>
      <c r="S1099" s="16" t="n">
        <f aca="false">IF(D1099="","",MAX(0,J1099-R1099))</f>
        <v>0</v>
      </c>
      <c r="T1099" s="16" t="n">
        <f aca="false">IF(D1099="","",MAX(0,Z1099-$B$8))</f>
        <v>0</v>
      </c>
      <c r="U1099" s="16" t="n">
        <f aca="false">IF(D1099="","",MAX(0,MIN($B$8,Z1099)))</f>
        <v>23.6039771760579</v>
      </c>
      <c r="V1099" s="16" t="str">
        <f aca="false">IF(D1099="","",IF(S1099&gt;0.0000001,"Sim","Não"))</f>
        <v>Não</v>
      </c>
      <c r="W1099" s="16" t="n">
        <f aca="false">IF(D1099="","",U1099-(H1099+E1099-Q1099-O1099-T1099))</f>
        <v>0</v>
      </c>
      <c r="X1099" s="16" t="n">
        <f aca="false">IF(W1099="","",ABS(W1099))</f>
        <v>0</v>
      </c>
      <c r="Y1099" s="16" t="n">
        <f aca="false">IF(U1099="","",IF($B$8=0,0,U1099/$B$8*100))</f>
        <v>49.9872451843665</v>
      </c>
      <c r="Z1099" s="18" t="n">
        <f aca="false">IF(D1099="","",MAX(0,IF(P1099&gt;=0,P1099,IF(K1099+P1099&gt;=0,0,P1099+K1099))))</f>
        <v>23.6039771760579</v>
      </c>
      <c r="AA1099" s="18" t="n">
        <f aca="false">IF(D1099="","",IF(H1099&lt;=$B$16,1,IF(H1099&gt;=$B$17,$B$21,MATCH(H1099,Aux_CAV!$A$2:$A$121,1))))</f>
        <v>12</v>
      </c>
      <c r="AB1099" s="18" t="n">
        <f aca="false">IF(D1099="","",IF(L1099&lt;=$B$16,1,IF(L1099&gt;=$B$17,$B$21,MATCH(L1099,Aux_CAV!$A$2:$A$121,1))))</f>
        <v>11</v>
      </c>
      <c r="AC1099" s="19" t="n">
        <f aca="false">IF(D1099="","",COUNT($D$24:D1099))</f>
        <v>1064</v>
      </c>
    </row>
    <row r="1100" customFormat="false" ht="12.75" hidden="false" customHeight="true" outlineLevel="0" collapsed="false">
      <c r="A1100" s="14" t="n">
        <f aca="false">IF(D1100="","",DATE(B1100,C1100,1))</f>
        <v>36404</v>
      </c>
      <c r="B1100" s="15" t="n">
        <f aca="false" t="array" ref="B1100:B1100">IF(D1100="","",IFERROR(VALUE(INDEX(Vazoes_COLAR!$A$2:$A$200,INT((ROW()-24)/12)+1)),""))</f>
        <v>1999</v>
      </c>
      <c r="C1100" s="15" t="n">
        <f aca="false">IF(D1100="","",MOD(ROW()-24,12)+1)</f>
        <v>9</v>
      </c>
      <c r="D1100" s="16" t="n">
        <f aca="false" t="array" ref="D1100: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0.0153630588829241</v>
      </c>
      <c r="E1100" s="16" t="n">
        <f aca="false">IF(D1100="","",D1100*$B$15)</f>
        <v>0.0398210486245393</v>
      </c>
      <c r="F1100" s="16" t="n">
        <f aca="false" t="array" ref="F1100:F1100">IF(D1100="","",IFERROR(INDEX(Dados_Evap!$C$2:$N$15,MATCH($B$9,Dados_Evap!$A$2:$A$15,0),C1100),0))</f>
        <v>292.8</v>
      </c>
      <c r="G1100" s="16" t="n">
        <f aca="false">IF(F1100="","",F1100/1000)</f>
        <v>0.2928</v>
      </c>
      <c r="H1100" s="16" t="n">
        <f aca="false">IF(D1100="","",MAX(0,MIN($B$8,IFERROR(LOOKUP(2,1/($U$24:U1099&lt;&gt;""),$U$24:U1099),$B$11))))</f>
        <v>23.6039771760579</v>
      </c>
      <c r="I1100" s="16" t="n">
        <f aca="false" t="array" ref="I1100: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>4.55876800396789</v>
      </c>
      <c r="J1100" s="16" t="n">
        <f aca="false">IF(D1100="","",$B$12)</f>
        <v>0.35</v>
      </c>
      <c r="K1100" s="16" t="n">
        <f aca="false">IF(J1100="","",J1100*$B$15)</f>
        <v>0.9072</v>
      </c>
      <c r="L1100" s="16" t="n">
        <f aca="false">IF(D1100="","",H1100+E1100-K1100-G1100*I1100)</f>
        <v>21.4017909531206</v>
      </c>
      <c r="M1100" s="16" t="n">
        <f aca="false" t="array" ref="M1100: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>4.29557989439734</v>
      </c>
      <c r="N1100" s="16" t="n">
        <f aca="false">IF(D1100="","",(I1100+M1100)/2)</f>
        <v>4.42717394918262</v>
      </c>
      <c r="O1100" s="16" t="n">
        <f aca="false">IF(D1100="","",G1100*N1100)</f>
        <v>1.29627653232067</v>
      </c>
      <c r="P1100" s="16" t="n">
        <f aca="false">IF(D1100="","",H1100+E1100-K1100-O1100)</f>
        <v>21.4403216923617</v>
      </c>
      <c r="Q1100" s="16" t="n">
        <f aca="false">IF(D1100="","",IF(P1100&gt;=0,K1100,MAX(0,K1100+P1100)))</f>
        <v>0.9072</v>
      </c>
      <c r="R1100" s="16" t="n">
        <f aca="false">IF(D1100="","",Q1100/$B$15)</f>
        <v>0.35</v>
      </c>
      <c r="S1100" s="16" t="n">
        <f aca="false">IF(D1100="","",MAX(0,J1100-R1100))</f>
        <v>0</v>
      </c>
      <c r="T1100" s="16" t="n">
        <f aca="false">IF(D1100="","",MAX(0,Z1100-$B$8))</f>
        <v>0</v>
      </c>
      <c r="U1100" s="16" t="n">
        <f aca="false">IF(D1100="","",MAX(0,MIN($B$8,Z1100)))</f>
        <v>21.4403216923617</v>
      </c>
      <c r="V1100" s="16" t="str">
        <f aca="false">IF(D1100="","",IF(S1100&gt;0.0000001,"Sim","Não"))</f>
        <v>Não</v>
      </c>
      <c r="W1100" s="16" t="n">
        <f aca="false">IF(D1100="","",U1100-(H1100+E1100-Q1100-O1100-T1100))</f>
        <v>0</v>
      </c>
      <c r="X1100" s="16" t="n">
        <f aca="false">IF(W1100="","",ABS(W1100))</f>
        <v>0</v>
      </c>
      <c r="Y1100" s="16" t="n">
        <f aca="false">IF(U1100="","",IF($B$8=0,0,U1100/$B$8*100))</f>
        <v>45.4051708859842</v>
      </c>
      <c r="Z1100" s="18" t="n">
        <f aca="false">IF(D1100="","",MAX(0,IF(P1100&gt;=0,P1100,IF(K1100+P1100&gt;=0,0,P1100+K1100))))</f>
        <v>21.4403216923617</v>
      </c>
      <c r="AA1100" s="18" t="n">
        <f aca="false">IF(D1100="","",IF(H1100&lt;=$B$16,1,IF(H1100&gt;=$B$17,$B$21,MATCH(H1100,Aux_CAV!$A$2:$A$121,1))))</f>
        <v>11</v>
      </c>
      <c r="AB1100" s="18" t="n">
        <f aca="false">IF(D1100="","",IF(L1100&lt;=$B$16,1,IF(L1100&gt;=$B$17,$B$21,MATCH(L1100,Aux_CAV!$A$2:$A$121,1))))</f>
        <v>11</v>
      </c>
      <c r="AC1100" s="19" t="n">
        <f aca="false">IF(D1100="","",COUNT($D$24:D1100))</f>
        <v>1065</v>
      </c>
    </row>
    <row r="1101" customFormat="false" ht="12.75" hidden="false" customHeight="true" outlineLevel="0" collapsed="false">
      <c r="A1101" s="14" t="n">
        <f aca="false">IF(D1101="","",DATE(B1101,C1101,1))</f>
        <v>36434</v>
      </c>
      <c r="B1101" s="15" t="n">
        <f aca="false" t="array" ref="B1101:B1101">IF(D1101="","",IFERROR(VALUE(INDEX(Vazoes_COLAR!$A$2:$A$200,INT((ROW()-24)/12)+1)),""))</f>
        <v>1999</v>
      </c>
      <c r="C1101" s="15" t="n">
        <f aca="false">IF(D1101="","",MOD(ROW()-24,12)+1)</f>
        <v>10</v>
      </c>
      <c r="D1101" s="16" t="n">
        <f aca="false" t="array" ref="D1101: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0.0207381399615483</v>
      </c>
      <c r="E1101" s="16" t="n">
        <f aca="false">IF(D1101="","",D1101*$B$15)</f>
        <v>0.0537532587803332</v>
      </c>
      <c r="F1101" s="16" t="n">
        <f aca="false" t="array" ref="F1101:F1101">IF(D1101="","",IFERROR(INDEX(Dados_Evap!$C$2:$N$15,MATCH($B$9,Dados_Evap!$A$2:$A$15,0),C1101),0))</f>
        <v>262.9</v>
      </c>
      <c r="G1101" s="16" t="n">
        <f aca="false">IF(F1101="","",F1101/1000)</f>
        <v>0.2629</v>
      </c>
      <c r="H1101" s="16" t="n">
        <f aca="false">IF(D1101="","",MAX(0,MIN($B$8,IFERROR(LOOKUP(2,1/($U$24:U1100&lt;&gt;""),$U$24:U1100),$B$11))))</f>
        <v>21.4403216923617</v>
      </c>
      <c r="I1101" s="16" t="n">
        <f aca="false" t="array" ref="I1101: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>4.30018478762372</v>
      </c>
      <c r="J1101" s="16" t="n">
        <f aca="false">IF(D1101="","",$B$12)</f>
        <v>0.35</v>
      </c>
      <c r="K1101" s="16" t="n">
        <f aca="false">IF(J1101="","",J1101*$B$15)</f>
        <v>0.9072</v>
      </c>
      <c r="L1101" s="16" t="n">
        <f aca="false">IF(D1101="","",H1101+E1101-K1101-G1101*I1101)</f>
        <v>19.4563563704758</v>
      </c>
      <c r="M1101" s="16" t="n">
        <f aca="false" t="array" ref="M1101: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>4.0630767369593</v>
      </c>
      <c r="N1101" s="16" t="n">
        <f aca="false">IF(D1101="","",(I1101+M1101)/2)</f>
        <v>4.18163076229151</v>
      </c>
      <c r="O1101" s="16" t="n">
        <f aca="false">IF(D1101="","",G1101*N1101)</f>
        <v>1.09935072740644</v>
      </c>
      <c r="P1101" s="16" t="n">
        <f aca="false">IF(D1101="","",H1101+E1101-K1101-O1101)</f>
        <v>19.4875242237356</v>
      </c>
      <c r="Q1101" s="16" t="n">
        <f aca="false">IF(D1101="","",IF(P1101&gt;=0,K1101,MAX(0,K1101+P1101)))</f>
        <v>0.9072</v>
      </c>
      <c r="R1101" s="16" t="n">
        <f aca="false">IF(D1101="","",Q1101/$B$15)</f>
        <v>0.35</v>
      </c>
      <c r="S1101" s="16" t="n">
        <f aca="false">IF(D1101="","",MAX(0,J1101-R1101))</f>
        <v>0</v>
      </c>
      <c r="T1101" s="16" t="n">
        <f aca="false">IF(D1101="","",MAX(0,Z1101-$B$8))</f>
        <v>0</v>
      </c>
      <c r="U1101" s="16" t="n">
        <f aca="false">IF(D1101="","",MAX(0,MIN($B$8,Z1101)))</f>
        <v>19.4875242237356</v>
      </c>
      <c r="V1101" s="16" t="str">
        <f aca="false">IF(D1101="","",IF(S1101&gt;0.0000001,"Sim","Não"))</f>
        <v>Não</v>
      </c>
      <c r="W1101" s="16" t="n">
        <f aca="false">IF(D1101="","",U1101-(H1101+E1101-Q1101-O1101-T1101))</f>
        <v>0</v>
      </c>
      <c r="X1101" s="16" t="n">
        <f aca="false">IF(W1101="","",ABS(W1101))</f>
        <v>0</v>
      </c>
      <c r="Y1101" s="16" t="n">
        <f aca="false">IF(U1101="","",IF($B$8=0,0,U1101/$B$8*100))</f>
        <v>41.2696404568734</v>
      </c>
      <c r="Z1101" s="18" t="n">
        <f aca="false">IF(D1101="","",MAX(0,IF(P1101&gt;=0,P1101,IF(K1101+P1101&gt;=0,0,P1101+K1101))))</f>
        <v>19.4875242237356</v>
      </c>
      <c r="AA1101" s="18" t="n">
        <f aca="false">IF(D1101="","",IF(H1101&lt;=$B$16,1,IF(H1101&gt;=$B$17,$B$21,MATCH(H1101,Aux_CAV!$A$2:$A$121,1))))</f>
        <v>11</v>
      </c>
      <c r="AB1101" s="18" t="n">
        <f aca="false">IF(D1101="","",IF(L1101&lt;=$B$16,1,IF(L1101&gt;=$B$17,$B$21,MATCH(L1101,Aux_CAV!$A$2:$A$121,1))))</f>
        <v>11</v>
      </c>
      <c r="AC1101" s="19" t="n">
        <f aca="false">IF(D1101="","",COUNT($D$24:D1101))</f>
        <v>1066</v>
      </c>
    </row>
    <row r="1102" customFormat="false" ht="12.75" hidden="false" customHeight="true" outlineLevel="0" collapsed="false">
      <c r="A1102" s="14" t="n">
        <f aca="false">IF(D1102="","",DATE(B1102,C1102,1))</f>
        <v>36465</v>
      </c>
      <c r="B1102" s="15" t="n">
        <f aca="false" t="array" ref="B1102:B1102">IF(D1102="","",IFERROR(VALUE(INDEX(Vazoes_COLAR!$A$2:$A$200,INT((ROW()-24)/12)+1)),""))</f>
        <v>1999</v>
      </c>
      <c r="C1102" s="15" t="n">
        <f aca="false">IF(D1102="","",MOD(ROW()-24,12)+1)</f>
        <v>11</v>
      </c>
      <c r="D1102" s="16" t="n">
        <f aca="false" t="array" ref="D1102: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0.0311493925847693</v>
      </c>
      <c r="E1102" s="16" t="n">
        <f aca="false">IF(D1102="","",D1102*$B$15)</f>
        <v>0.080739225579722</v>
      </c>
      <c r="F1102" s="16" t="n">
        <f aca="false" t="array" ref="F1102:F1102">IF(D1102="","",IFERROR(INDEX(Dados_Evap!$C$2:$N$15,MATCH($B$9,Dados_Evap!$A$2:$A$15,0),C1102),0))</f>
        <v>223.7</v>
      </c>
      <c r="G1102" s="16" t="n">
        <f aca="false">IF(F1102="","",F1102/1000)</f>
        <v>0.2237</v>
      </c>
      <c r="H1102" s="16" t="n">
        <f aca="false">IF(D1102="","",MAX(0,MIN($B$8,IFERROR(LOOKUP(2,1/($U$24:U1101&lt;&gt;""),$U$24:U1101),$B$11))))</f>
        <v>19.4875242237356</v>
      </c>
      <c r="I1102" s="16" t="n">
        <f aca="false" t="array" ref="I1102: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>4.06680167551962</v>
      </c>
      <c r="J1102" s="16" t="n">
        <f aca="false">IF(D1102="","",$B$12)</f>
        <v>0.35</v>
      </c>
      <c r="K1102" s="16" t="n">
        <f aca="false">IF(J1102="","",J1102*$B$15)</f>
        <v>0.9072</v>
      </c>
      <c r="L1102" s="16" t="n">
        <f aca="false">IF(D1102="","",H1102+E1102-K1102-G1102*I1102)</f>
        <v>17.7513199145016</v>
      </c>
      <c r="M1102" s="16" t="n">
        <f aca="false" t="array" ref="M1102: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>3.85930408734288</v>
      </c>
      <c r="N1102" s="16" t="n">
        <f aca="false">IF(D1102="","",(I1102+M1102)/2)</f>
        <v>3.96305288143125</v>
      </c>
      <c r="O1102" s="16" t="n">
        <f aca="false">IF(D1102="","",G1102*N1102)</f>
        <v>0.886534929576171</v>
      </c>
      <c r="P1102" s="16" t="n">
        <f aca="false">IF(D1102="","",H1102+E1102-K1102-O1102)</f>
        <v>17.7745285197392</v>
      </c>
      <c r="Q1102" s="16" t="n">
        <f aca="false">IF(D1102="","",IF(P1102&gt;=0,K1102,MAX(0,K1102+P1102)))</f>
        <v>0.9072</v>
      </c>
      <c r="R1102" s="16" t="n">
        <f aca="false">IF(D1102="","",Q1102/$B$15)</f>
        <v>0.35</v>
      </c>
      <c r="S1102" s="16" t="n">
        <f aca="false">IF(D1102="","",MAX(0,J1102-R1102))</f>
        <v>0</v>
      </c>
      <c r="T1102" s="16" t="n">
        <f aca="false">IF(D1102="","",MAX(0,Z1102-$B$8))</f>
        <v>0</v>
      </c>
      <c r="U1102" s="16" t="n">
        <f aca="false">IF(D1102="","",MAX(0,MIN($B$8,Z1102)))</f>
        <v>17.7745285197392</v>
      </c>
      <c r="V1102" s="16" t="str">
        <f aca="false">IF(D1102="","",IF(S1102&gt;0.0000001,"Sim","Não"))</f>
        <v>Não</v>
      </c>
      <c r="W1102" s="16" t="n">
        <f aca="false">IF(D1102="","",U1102-(H1102+E1102-Q1102-O1102-T1102))</f>
        <v>0</v>
      </c>
      <c r="X1102" s="16" t="n">
        <f aca="false">IF(W1102="","",ABS(W1102))</f>
        <v>0</v>
      </c>
      <c r="Y1102" s="16" t="n">
        <f aca="false">IF(U1102="","",IF($B$8=0,0,U1102/$B$8*100))</f>
        <v>37.641949427656</v>
      </c>
      <c r="Z1102" s="18" t="n">
        <f aca="false">IF(D1102="","",MAX(0,IF(P1102&gt;=0,P1102,IF(K1102+P1102&gt;=0,0,P1102+K1102))))</f>
        <v>17.7745285197392</v>
      </c>
      <c r="AA1102" s="18" t="n">
        <f aca="false">IF(D1102="","",IF(H1102&lt;=$B$16,1,IF(H1102&gt;=$B$17,$B$21,MATCH(H1102,Aux_CAV!$A$2:$A$121,1))))</f>
        <v>11</v>
      </c>
      <c r="AB1102" s="18" t="n">
        <f aca="false">IF(D1102="","",IF(L1102&lt;=$B$16,1,IF(L1102&gt;=$B$17,$B$21,MATCH(L1102,Aux_CAV!$A$2:$A$121,1))))</f>
        <v>11</v>
      </c>
      <c r="AC1102" s="19" t="n">
        <f aca="false">IF(D1102="","",COUNT($D$24:D1102))</f>
        <v>1067</v>
      </c>
    </row>
    <row r="1103" customFormat="false" ht="12.75" hidden="false" customHeight="true" outlineLevel="0" collapsed="false">
      <c r="A1103" s="14" t="n">
        <f aca="false">IF(D1103="","",DATE(B1103,C1103,1))</f>
        <v>36495</v>
      </c>
      <c r="B1103" s="15" t="n">
        <f aca="false" t="array" ref="B1103:B1103">IF(D1103="","",IFERROR(VALUE(INDEX(Vazoes_COLAR!$A$2:$A$200,INT((ROW()-24)/12)+1)),""))</f>
        <v>1999</v>
      </c>
      <c r="C1103" s="15" t="n">
        <f aca="false">IF(D1103="","",MOD(ROW()-24,12)+1)</f>
        <v>12</v>
      </c>
      <c r="D1103" s="16" t="n">
        <f aca="false" t="array" ref="D1103: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0.12543075986423</v>
      </c>
      <c r="E1103" s="16" t="n">
        <f aca="false">IF(D1103="","",D1103*$B$15)</f>
        <v>0.325116529568084</v>
      </c>
      <c r="F1103" s="16" t="n">
        <f aca="false" t="array" ref="F1103:F1103">IF(D1103="","",IFERROR(INDEX(Dados_Evap!$C$2:$N$15,MATCH($B$9,Dados_Evap!$A$2:$A$15,0),C1103),0))</f>
        <v>216.1</v>
      </c>
      <c r="G1103" s="16" t="n">
        <f aca="false">IF(F1103="","",F1103/1000)</f>
        <v>0.2161</v>
      </c>
      <c r="H1103" s="16" t="n">
        <f aca="false">IF(D1103="","",MAX(0,MIN($B$8,IFERROR(LOOKUP(2,1/($U$24:U1102&lt;&gt;""),$U$24:U1102),$B$11))))</f>
        <v>17.7745285197392</v>
      </c>
      <c r="I1103" s="16" t="n">
        <f aca="false" t="array" ref="I1103: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>3.86207779870054</v>
      </c>
      <c r="J1103" s="16" t="n">
        <f aca="false">IF(D1103="","",$B$12)</f>
        <v>0.35</v>
      </c>
      <c r="K1103" s="16" t="n">
        <f aca="false">IF(J1103="","",J1103*$B$15)</f>
        <v>0.9072</v>
      </c>
      <c r="L1103" s="16" t="n">
        <f aca="false">IF(D1103="","",H1103+E1103-K1103-G1103*I1103)</f>
        <v>16.3578500370081</v>
      </c>
      <c r="M1103" s="16" t="n">
        <f aca="false" t="array" ref="M1103: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>3.69276744344731</v>
      </c>
      <c r="N1103" s="16" t="n">
        <f aca="false">IF(D1103="","",(I1103+M1103)/2)</f>
        <v>3.77742262107392</v>
      </c>
      <c r="O1103" s="16" t="n">
        <f aca="false">IF(D1103="","",G1103*N1103)</f>
        <v>0.816301028414074</v>
      </c>
      <c r="P1103" s="16" t="n">
        <f aca="false">IF(D1103="","",H1103+E1103-K1103-O1103)</f>
        <v>16.3761440208932</v>
      </c>
      <c r="Q1103" s="16" t="n">
        <f aca="false">IF(D1103="","",IF(P1103&gt;=0,K1103,MAX(0,K1103+P1103)))</f>
        <v>0.9072</v>
      </c>
      <c r="R1103" s="16" t="n">
        <f aca="false">IF(D1103="","",Q1103/$B$15)</f>
        <v>0.35</v>
      </c>
      <c r="S1103" s="16" t="n">
        <f aca="false">IF(D1103="","",MAX(0,J1103-R1103))</f>
        <v>0</v>
      </c>
      <c r="T1103" s="16" t="n">
        <f aca="false">IF(D1103="","",MAX(0,Z1103-$B$8))</f>
        <v>0</v>
      </c>
      <c r="U1103" s="16" t="n">
        <f aca="false">IF(D1103="","",MAX(0,MIN($B$8,Z1103)))</f>
        <v>16.3761440208932</v>
      </c>
      <c r="V1103" s="16" t="str">
        <f aca="false">IF(D1103="","",IF(S1103&gt;0.0000001,"Sim","Não"))</f>
        <v>Não</v>
      </c>
      <c r="W1103" s="16" t="n">
        <f aca="false">IF(D1103="","",U1103-(H1103+E1103-Q1103-O1103-T1103))</f>
        <v>0</v>
      </c>
      <c r="X1103" s="16" t="n">
        <f aca="false">IF(W1103="","",ABS(W1103))</f>
        <v>0</v>
      </c>
      <c r="Y1103" s="16" t="n">
        <f aca="false">IF(U1103="","",IF($B$8=0,0,U1103/$B$8*100))</f>
        <v>34.6805252454324</v>
      </c>
      <c r="Z1103" s="18" t="n">
        <f aca="false">IF(D1103="","",MAX(0,IF(P1103&gt;=0,P1103,IF(K1103+P1103&gt;=0,0,P1103+K1103))))</f>
        <v>16.3761440208932</v>
      </c>
      <c r="AA1103" s="18" t="n">
        <f aca="false">IF(D1103="","",IF(H1103&lt;=$B$16,1,IF(H1103&gt;=$B$17,$B$21,MATCH(H1103,Aux_CAV!$A$2:$A$121,1))))</f>
        <v>11</v>
      </c>
      <c r="AB1103" s="18" t="n">
        <f aca="false">IF(D1103="","",IF(L1103&lt;=$B$16,1,IF(L1103&gt;=$B$17,$B$21,MATCH(L1103,Aux_CAV!$A$2:$A$121,1))))</f>
        <v>11</v>
      </c>
      <c r="AC1103" s="19" t="n">
        <f aca="false">IF(D1103="","",COUNT($D$24:D1103))</f>
        <v>1068</v>
      </c>
    </row>
    <row r="1104" customFormat="false" ht="12.75" hidden="false" customHeight="true" outlineLevel="0" collapsed="false">
      <c r="A1104" s="14" t="n">
        <f aca="false">IF(D1104="","",DATE(B1104,C1104,1))</f>
        <v>36526</v>
      </c>
      <c r="B1104" s="15" t="n">
        <f aca="false" t="array" ref="B1104:B1104">IF(D1104="","",IFERROR(VALUE(INDEX(Vazoes_COLAR!$A$2:$A$200,INT((ROW()-24)/12)+1)),""))</f>
        <v>2000</v>
      </c>
      <c r="C1104" s="15" t="n">
        <f aca="false">IF(D1104="","",MOD(ROW()-24,12)+1)</f>
        <v>1</v>
      </c>
      <c r="D1104" s="16" t="n">
        <f aca="false" t="array" ref="D1104: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0.711775161048459</v>
      </c>
      <c r="E1104" s="16" t="n">
        <f aca="false">IF(D1104="","",D1104*$B$15)</f>
        <v>1.84492121743761</v>
      </c>
      <c r="F1104" s="16" t="n">
        <f aca="false" t="array" ref="F1104:F1104">IF(D1104="","",IFERROR(INDEX(Dados_Evap!$C$2:$N$15,MATCH($B$9,Dados_Evap!$A$2:$A$15,0),C1104),0))</f>
        <v>160</v>
      </c>
      <c r="G1104" s="16" t="n">
        <f aca="false">IF(F1104="","",F1104/1000)</f>
        <v>0.16</v>
      </c>
      <c r="H1104" s="16" t="n">
        <f aca="false">IF(D1104="","",MAX(0,MIN($B$8,IFERROR(LOOKUP(2,1/($U$24:U1103&lt;&gt;""),$U$24:U1103),$B$11))))</f>
        <v>16.3761440208932</v>
      </c>
      <c r="I1104" s="16" t="n">
        <f aca="false" t="array" ref="I1104: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>3.69495379761894</v>
      </c>
      <c r="J1104" s="16" t="n">
        <f aca="false">IF(D1104="","",$B$12)</f>
        <v>0.35</v>
      </c>
      <c r="K1104" s="16" t="n">
        <f aca="false">IF(J1104="","",J1104*$B$15)</f>
        <v>0.9072</v>
      </c>
      <c r="L1104" s="16" t="n">
        <f aca="false">IF(D1104="","",H1104+E1104-K1104-G1104*I1104)</f>
        <v>16.7226726307118</v>
      </c>
      <c r="M1104" s="16" t="n">
        <f aca="false" t="array" ref="M1104: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>3.73636819245092</v>
      </c>
      <c r="N1104" s="16" t="n">
        <f aca="false">IF(D1104="","",(I1104+M1104)/2)</f>
        <v>3.71566099503493</v>
      </c>
      <c r="O1104" s="16" t="n">
        <f aca="false">IF(D1104="","",G1104*N1104)</f>
        <v>0.594505759205589</v>
      </c>
      <c r="P1104" s="16" t="n">
        <f aca="false">IF(D1104="","",H1104+E1104-K1104-O1104)</f>
        <v>16.7193594791252</v>
      </c>
      <c r="Q1104" s="16" t="n">
        <f aca="false">IF(D1104="","",IF(P1104&gt;=0,K1104,MAX(0,K1104+P1104)))</f>
        <v>0.9072</v>
      </c>
      <c r="R1104" s="16" t="n">
        <f aca="false">IF(D1104="","",Q1104/$B$15)</f>
        <v>0.35</v>
      </c>
      <c r="S1104" s="16" t="n">
        <f aca="false">IF(D1104="","",MAX(0,J1104-R1104))</f>
        <v>0</v>
      </c>
      <c r="T1104" s="16" t="n">
        <f aca="false">IF(D1104="","",MAX(0,Z1104-$B$8))</f>
        <v>0</v>
      </c>
      <c r="U1104" s="16" t="n">
        <f aca="false">IF(D1104="","",MAX(0,MIN($B$8,Z1104)))</f>
        <v>16.7193594791252</v>
      </c>
      <c r="V1104" s="16" t="str">
        <f aca="false">IF(D1104="","",IF(S1104&gt;0.0000001,"Sim","Não"))</f>
        <v>Não</v>
      </c>
      <c r="W1104" s="16" t="n">
        <f aca="false">IF(D1104="","",U1104-(H1104+E1104-Q1104-O1104-T1104))</f>
        <v>0</v>
      </c>
      <c r="X1104" s="16" t="n">
        <f aca="false">IF(W1104="","",ABS(W1104))</f>
        <v>0</v>
      </c>
      <c r="Y1104" s="16" t="n">
        <f aca="false">IF(U1104="","",IF($B$8=0,0,U1104/$B$8*100))</f>
        <v>35.407368655496</v>
      </c>
      <c r="Z1104" s="18" t="n">
        <f aca="false">IF(D1104="","",MAX(0,IF(P1104&gt;=0,P1104,IF(K1104+P1104&gt;=0,0,P1104+K1104))))</f>
        <v>16.7193594791252</v>
      </c>
      <c r="AA1104" s="18" t="n">
        <f aca="false">IF(D1104="","",IF(H1104&lt;=$B$16,1,IF(H1104&gt;=$B$17,$B$21,MATCH(H1104,Aux_CAV!$A$2:$A$121,1))))</f>
        <v>11</v>
      </c>
      <c r="AB1104" s="18" t="n">
        <f aca="false">IF(D1104="","",IF(L1104&lt;=$B$16,1,IF(L1104&gt;=$B$17,$B$21,MATCH(L1104,Aux_CAV!$A$2:$A$121,1))))</f>
        <v>11</v>
      </c>
      <c r="AC1104" s="19" t="n">
        <f aca="false">IF(D1104="","",COUNT($D$24:D1104))</f>
        <v>1069</v>
      </c>
    </row>
    <row r="1105" customFormat="false" ht="12.75" hidden="false" customHeight="true" outlineLevel="0" collapsed="false">
      <c r="A1105" s="14" t="n">
        <f aca="false">IF(D1105="","",DATE(B1105,C1105,1))</f>
        <v>36557</v>
      </c>
      <c r="B1105" s="15" t="n">
        <f aca="false" t="array" ref="B1105:B1105">IF(D1105="","",IFERROR(VALUE(INDEX(Vazoes_COLAR!$A$2:$A$200,INT((ROW()-24)/12)+1)),""))</f>
        <v>2000</v>
      </c>
      <c r="C1105" s="15" t="n">
        <f aca="false">IF(D1105="","",MOD(ROW()-24,12)+1)</f>
        <v>2</v>
      </c>
      <c r="D1105" s="16" t="n">
        <f aca="false" t="array" ref="D1105: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2.14070841268879</v>
      </c>
      <c r="E1105" s="16" t="n">
        <f aca="false">IF(D1105="","",D1105*$B$15)</f>
        <v>5.54871620568934</v>
      </c>
      <c r="F1105" s="16" t="n">
        <f aca="false" t="array" ref="F1105:F1105">IF(D1105="","",IFERROR(INDEX(Dados_Evap!$C$2:$N$15,MATCH($B$9,Dados_Evap!$A$2:$A$15,0),C1105),0))</f>
        <v>124.3</v>
      </c>
      <c r="G1105" s="16" t="n">
        <f aca="false">IF(F1105="","",F1105/1000)</f>
        <v>0.1243</v>
      </c>
      <c r="H1105" s="16" t="n">
        <f aca="false">IF(D1105="","",MAX(0,MIN($B$8,IFERROR(LOOKUP(2,1/($U$24:U1104&lt;&gt;""),$U$24:U1104),$B$11))))</f>
        <v>16.7193594791252</v>
      </c>
      <c r="I1105" s="16" t="n">
        <f aca="false" t="array" ref="I1105: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>3.73597223043204</v>
      </c>
      <c r="J1105" s="16" t="n">
        <f aca="false">IF(D1105="","",$B$12)</f>
        <v>0.35</v>
      </c>
      <c r="K1105" s="16" t="n">
        <f aca="false">IF(J1105="","",J1105*$B$15)</f>
        <v>0.9072</v>
      </c>
      <c r="L1105" s="16" t="n">
        <f aca="false">IF(D1105="","",H1105+E1105-K1105-G1105*I1105)</f>
        <v>20.8964943365719</v>
      </c>
      <c r="M1105" s="16" t="n">
        <f aca="false" t="array" ref="M1105: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>4.2351907865659</v>
      </c>
      <c r="N1105" s="16" t="n">
        <f aca="false">IF(D1105="","",(I1105+M1105)/2)</f>
        <v>3.98558150849897</v>
      </c>
      <c r="O1105" s="16" t="n">
        <f aca="false">IF(D1105="","",G1105*N1105)</f>
        <v>0.495407781506422</v>
      </c>
      <c r="P1105" s="16" t="n">
        <f aca="false">IF(D1105="","",H1105+E1105-K1105-O1105)</f>
        <v>20.8654679033081</v>
      </c>
      <c r="Q1105" s="16" t="n">
        <f aca="false">IF(D1105="","",IF(P1105&gt;=0,K1105,MAX(0,K1105+P1105)))</f>
        <v>0.9072</v>
      </c>
      <c r="R1105" s="16" t="n">
        <f aca="false">IF(D1105="","",Q1105/$B$15)</f>
        <v>0.35</v>
      </c>
      <c r="S1105" s="16" t="n">
        <f aca="false">IF(D1105="","",MAX(0,J1105-R1105))</f>
        <v>0</v>
      </c>
      <c r="T1105" s="16" t="n">
        <f aca="false">IF(D1105="","",MAX(0,Z1105-$B$8))</f>
        <v>0</v>
      </c>
      <c r="U1105" s="16" t="n">
        <f aca="false">IF(D1105="","",MAX(0,MIN($B$8,Z1105)))</f>
        <v>20.8654679033081</v>
      </c>
      <c r="V1105" s="16" t="str">
        <f aca="false">IF(D1105="","",IF(S1105&gt;0.0000001,"Sim","Não"))</f>
        <v>Não</v>
      </c>
      <c r="W1105" s="16" t="n">
        <f aca="false">IF(D1105="","",U1105-(H1105+E1105-Q1105-O1105-T1105))</f>
        <v>0</v>
      </c>
      <c r="X1105" s="16" t="n">
        <f aca="false">IF(W1105="","",ABS(W1105))</f>
        <v>0</v>
      </c>
      <c r="Y1105" s="16" t="n">
        <f aca="false">IF(U1105="","",IF($B$8=0,0,U1105/$B$8*100))</f>
        <v>44.1877761611778</v>
      </c>
      <c r="Z1105" s="18" t="n">
        <f aca="false">IF(D1105="","",MAX(0,IF(P1105&gt;=0,P1105,IF(K1105+P1105&gt;=0,0,P1105+K1105))))</f>
        <v>20.8654679033081</v>
      </c>
      <c r="AA1105" s="18" t="n">
        <f aca="false">IF(D1105="","",IF(H1105&lt;=$B$16,1,IF(H1105&gt;=$B$17,$B$21,MATCH(H1105,Aux_CAV!$A$2:$A$121,1))))</f>
        <v>11</v>
      </c>
      <c r="AB1105" s="18" t="n">
        <f aca="false">IF(D1105="","",IF(L1105&lt;=$B$16,1,IF(L1105&gt;=$B$17,$B$21,MATCH(L1105,Aux_CAV!$A$2:$A$121,1))))</f>
        <v>11</v>
      </c>
      <c r="AC1105" s="19" t="n">
        <f aca="false">IF(D1105="","",COUNT($D$24:D1105))</f>
        <v>1070</v>
      </c>
    </row>
    <row r="1106" customFormat="false" ht="12.75" hidden="false" customHeight="true" outlineLevel="0" collapsed="false">
      <c r="A1106" s="14" t="n">
        <f aca="false">IF(D1106="","",DATE(B1106,C1106,1))</f>
        <v>36586</v>
      </c>
      <c r="B1106" s="15" t="n">
        <f aca="false" t="array" ref="B1106:B1106">IF(D1106="","",IFERROR(VALUE(INDEX(Vazoes_COLAR!$A$2:$A$200,INT((ROW()-24)/12)+1)),""))</f>
        <v>2000</v>
      </c>
      <c r="C1106" s="15" t="n">
        <f aca="false">IF(D1106="","",MOD(ROW()-24,12)+1)</f>
        <v>3</v>
      </c>
      <c r="D1106" s="16" t="n">
        <f aca="false" t="array" ref="D1106: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3.18101245345059</v>
      </c>
      <c r="E1106" s="16" t="n">
        <f aca="false">IF(D1106="","",D1106*$B$15)</f>
        <v>8.24518427934393</v>
      </c>
      <c r="F1106" s="16" t="n">
        <f aca="false" t="array" ref="F1106:F1106">IF(D1106="","",IFERROR(INDEX(Dados_Evap!$C$2:$N$15,MATCH($B$9,Dados_Evap!$A$2:$A$15,0),C1106),0))</f>
        <v>107.7</v>
      </c>
      <c r="G1106" s="16" t="n">
        <f aca="false">IF(F1106="","",F1106/1000)</f>
        <v>0.1077</v>
      </c>
      <c r="H1106" s="16" t="n">
        <f aca="false">IF(D1106="","",MAX(0,MIN($B$8,IFERROR(LOOKUP(2,1/($U$24:U1105&lt;&gt;""),$U$24:U1105),$B$11))))</f>
        <v>20.8654679033081</v>
      </c>
      <c r="I1106" s="16" t="n">
        <f aca="false" t="array" ref="I1106: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>4.23148274941975</v>
      </c>
      <c r="J1106" s="16" t="n">
        <f aca="false">IF(D1106="","",$B$12)</f>
        <v>0.35</v>
      </c>
      <c r="K1106" s="16" t="n">
        <f aca="false">IF(J1106="","",J1106*$B$15)</f>
        <v>0.9072</v>
      </c>
      <c r="L1106" s="16" t="n">
        <f aca="false">IF(D1106="","",H1106+E1106-K1106-G1106*I1106)</f>
        <v>27.7477214905396</v>
      </c>
      <c r="M1106" s="16" t="n">
        <f aca="false" t="array" ref="M1106: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>4.99854970824052</v>
      </c>
      <c r="N1106" s="16" t="n">
        <f aca="false">IF(D1106="","",(I1106+M1106)/2)</f>
        <v>4.61501622883013</v>
      </c>
      <c r="O1106" s="16" t="n">
        <f aca="false">IF(D1106="","",G1106*N1106)</f>
        <v>0.497037247845005</v>
      </c>
      <c r="P1106" s="16" t="n">
        <f aca="false">IF(D1106="","",H1106+E1106-K1106-O1106)</f>
        <v>27.7064149348071</v>
      </c>
      <c r="Q1106" s="16" t="n">
        <f aca="false">IF(D1106="","",IF(P1106&gt;=0,K1106,MAX(0,K1106+P1106)))</f>
        <v>0.9072</v>
      </c>
      <c r="R1106" s="16" t="n">
        <f aca="false">IF(D1106="","",Q1106/$B$15)</f>
        <v>0.35</v>
      </c>
      <c r="S1106" s="16" t="n">
        <f aca="false">IF(D1106="","",MAX(0,J1106-R1106))</f>
        <v>0</v>
      </c>
      <c r="T1106" s="16" t="n">
        <f aca="false">IF(D1106="","",MAX(0,Z1106-$B$8))</f>
        <v>0</v>
      </c>
      <c r="U1106" s="16" t="n">
        <f aca="false">IF(D1106="","",MAX(0,MIN($B$8,Z1106)))</f>
        <v>27.7064149348071</v>
      </c>
      <c r="V1106" s="16" t="str">
        <f aca="false">IF(D1106="","",IF(S1106&gt;0.0000001,"Sim","Não"))</f>
        <v>Não</v>
      </c>
      <c r="W1106" s="16" t="n">
        <f aca="false">IF(D1106="","",U1106-(H1106+E1106-Q1106-O1106-T1106))</f>
        <v>0</v>
      </c>
      <c r="X1106" s="16" t="n">
        <f aca="false">IF(W1106="","",ABS(W1106))</f>
        <v>0</v>
      </c>
      <c r="Y1106" s="16" t="n">
        <f aca="false">IF(U1106="","",IF($B$8=0,0,U1106/$B$8*100))</f>
        <v>58.6751692816753</v>
      </c>
      <c r="Z1106" s="18" t="n">
        <f aca="false">IF(D1106="","",MAX(0,IF(P1106&gt;=0,P1106,IF(K1106+P1106&gt;=0,0,P1106+K1106))))</f>
        <v>27.7064149348071</v>
      </c>
      <c r="AA1106" s="18" t="n">
        <f aca="false">IF(D1106="","",IF(H1106&lt;=$B$16,1,IF(H1106&gt;=$B$17,$B$21,MATCH(H1106,Aux_CAV!$A$2:$A$121,1))))</f>
        <v>11</v>
      </c>
      <c r="AB1106" s="18" t="n">
        <f aca="false">IF(D1106="","",IF(L1106&lt;=$B$16,1,IF(L1106&gt;=$B$17,$B$21,MATCH(L1106,Aux_CAV!$A$2:$A$121,1))))</f>
        <v>12</v>
      </c>
      <c r="AC1106" s="19" t="n">
        <f aca="false">IF(D1106="","",COUNT($D$24:D1106))</f>
        <v>1071</v>
      </c>
    </row>
    <row r="1107" customFormat="false" ht="12.75" hidden="false" customHeight="true" outlineLevel="0" collapsed="false">
      <c r="A1107" s="14" t="n">
        <f aca="false">IF(D1107="","",DATE(B1107,C1107,1))</f>
        <v>36617</v>
      </c>
      <c r="B1107" s="15" t="n">
        <f aca="false" t="array" ref="B1107:B1107">IF(D1107="","",IFERROR(VALUE(INDEX(Vazoes_COLAR!$A$2:$A$200,INT((ROW()-24)/12)+1)),""))</f>
        <v>2000</v>
      </c>
      <c r="C1107" s="15" t="n">
        <f aca="false">IF(D1107="","",MOD(ROW()-24,12)+1)</f>
        <v>4</v>
      </c>
      <c r="D1107" s="16" t="n">
        <f aca="false" t="array" ref="D1107: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6.79288454717333</v>
      </c>
      <c r="E1107" s="16" t="n">
        <f aca="false">IF(D1107="","",D1107*$B$15)</f>
        <v>17.6071567462733</v>
      </c>
      <c r="F1107" s="16" t="n">
        <f aca="false" t="array" ref="F1107:F1107">IF(D1107="","",IFERROR(INDEX(Dados_Evap!$C$2:$N$15,MATCH($B$9,Dados_Evap!$A$2:$A$15,0),C1107),0))</f>
        <v>100.5</v>
      </c>
      <c r="G1107" s="16" t="n">
        <f aca="false">IF(F1107="","",F1107/1000)</f>
        <v>0.1005</v>
      </c>
      <c r="H1107" s="16" t="n">
        <f aca="false">IF(D1107="","",MAX(0,MIN($B$8,IFERROR(LOOKUP(2,1/($U$24:U1106&lt;&gt;""),$U$24:U1106),$B$11))))</f>
        <v>27.7064149348071</v>
      </c>
      <c r="I1107" s="16" t="n">
        <f aca="false" t="array" ref="I1107: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>4.9942586388586</v>
      </c>
      <c r="J1107" s="16" t="n">
        <f aca="false">IF(D1107="","",$B$12)</f>
        <v>0.35</v>
      </c>
      <c r="K1107" s="16" t="n">
        <f aca="false">IF(J1107="","",J1107*$B$15)</f>
        <v>0.9072</v>
      </c>
      <c r="L1107" s="16" t="n">
        <f aca="false">IF(D1107="","",H1107+E1107-K1107-G1107*I1107)</f>
        <v>43.904448687875</v>
      </c>
      <c r="M1107" s="16" t="n">
        <f aca="false" t="array" ref="M1107: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>6.6389661818869</v>
      </c>
      <c r="N1107" s="16" t="n">
        <f aca="false">IF(D1107="","",(I1107+M1107)/2)</f>
        <v>5.81661241037275</v>
      </c>
      <c r="O1107" s="16" t="n">
        <f aca="false">IF(D1107="","",G1107*N1107)</f>
        <v>0.584569547242461</v>
      </c>
      <c r="P1107" s="16" t="n">
        <f aca="false">IF(D1107="","",H1107+E1107-K1107-O1107)</f>
        <v>43.8218021338379</v>
      </c>
      <c r="Q1107" s="16" t="n">
        <f aca="false">IF(D1107="","",IF(P1107&gt;=0,K1107,MAX(0,K1107+P1107)))</f>
        <v>0.9072</v>
      </c>
      <c r="R1107" s="16" t="n">
        <f aca="false">IF(D1107="","",Q1107/$B$15)</f>
        <v>0.35</v>
      </c>
      <c r="S1107" s="16" t="n">
        <f aca="false">IF(D1107="","",MAX(0,J1107-R1107))</f>
        <v>0</v>
      </c>
      <c r="T1107" s="16" t="n">
        <f aca="false">IF(D1107="","",MAX(0,Z1107-$B$8))</f>
        <v>0</v>
      </c>
      <c r="U1107" s="16" t="n">
        <f aca="false">IF(D1107="","",MAX(0,MIN($B$8,Z1107)))</f>
        <v>43.8218021338379</v>
      </c>
      <c r="V1107" s="16" t="str">
        <f aca="false">IF(D1107="","",IF(S1107&gt;0.0000001,"Sim","Não"))</f>
        <v>Não</v>
      </c>
      <c r="W1107" s="16" t="n">
        <f aca="false">IF(D1107="","",U1107-(H1107+E1107-Q1107-O1107-T1107))</f>
        <v>0</v>
      </c>
      <c r="X1107" s="16" t="n">
        <f aca="false">IF(W1107="","",ABS(W1107))</f>
        <v>0</v>
      </c>
      <c r="Y1107" s="16" t="n">
        <f aca="false">IF(U1107="","",IF($B$8=0,0,U1107/$B$8*100))</f>
        <v>92.8034776235448</v>
      </c>
      <c r="Z1107" s="18" t="n">
        <f aca="false">IF(D1107="","",MAX(0,IF(P1107&gt;=0,P1107,IF(K1107+P1107&gt;=0,0,P1107+K1107))))</f>
        <v>43.8218021338379</v>
      </c>
      <c r="AA1107" s="18" t="n">
        <f aca="false">IF(D1107="","",IF(H1107&lt;=$B$16,1,IF(H1107&gt;=$B$17,$B$21,MATCH(H1107,Aux_CAV!$A$2:$A$121,1))))</f>
        <v>12</v>
      </c>
      <c r="AB1107" s="18" t="n">
        <f aca="false">IF(D1107="","",IF(L1107&lt;=$B$16,1,IF(L1107&gt;=$B$17,$B$21,MATCH(L1107,Aux_CAV!$A$2:$A$121,1))))</f>
        <v>13</v>
      </c>
      <c r="AC1107" s="19" t="n">
        <f aca="false">IF(D1107="","",COUNT($D$24:D1107))</f>
        <v>1072</v>
      </c>
    </row>
    <row r="1108" customFormat="false" ht="12.75" hidden="false" customHeight="true" outlineLevel="0" collapsed="false">
      <c r="A1108" s="14" t="n">
        <f aca="false">IF(D1108="","",DATE(B1108,C1108,1))</f>
        <v>36647</v>
      </c>
      <c r="B1108" s="15" t="n">
        <f aca="false" t="array" ref="B1108:B1108">IF(D1108="","",IFERROR(VALUE(INDEX(Vazoes_COLAR!$A$2:$A$200,INT((ROW()-24)/12)+1)),""))</f>
        <v>2000</v>
      </c>
      <c r="C1108" s="15" t="n">
        <f aca="false">IF(D1108="","",MOD(ROW()-24,12)+1)</f>
        <v>5</v>
      </c>
      <c r="D1108" s="16" t="n">
        <f aca="false" t="array" ref="D1108: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0.856787715914693</v>
      </c>
      <c r="E1108" s="16" t="n">
        <f aca="false">IF(D1108="","",D1108*$B$15)</f>
        <v>2.22079375965088</v>
      </c>
      <c r="F1108" s="16" t="n">
        <f aca="false" t="array" ref="F1108:F1108">IF(D1108="","",IFERROR(INDEX(Dados_Evap!$C$2:$N$15,MATCH($B$9,Dados_Evap!$A$2:$A$15,0),C1108),0))</f>
        <v>145.8</v>
      </c>
      <c r="G1108" s="16" t="n">
        <f aca="false">IF(F1108="","",F1108/1000)</f>
        <v>0.1458</v>
      </c>
      <c r="H1108" s="16" t="n">
        <f aca="false">IF(D1108="","",MAX(0,MIN($B$8,IFERROR(LOOKUP(2,1/($U$24:U1107&lt;&gt;""),$U$24:U1107),$B$11))))</f>
        <v>43.8218021338379</v>
      </c>
      <c r="I1108" s="16" t="n">
        <f aca="false" t="array" ref="I1108: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>6.63071452122438</v>
      </c>
      <c r="J1108" s="16" t="n">
        <f aca="false">IF(D1108="","",$B$12)</f>
        <v>0.35</v>
      </c>
      <c r="K1108" s="16" t="n">
        <f aca="false">IF(J1108="","",J1108*$B$15)</f>
        <v>0.9072</v>
      </c>
      <c r="L1108" s="16" t="n">
        <f aca="false">IF(D1108="","",H1108+E1108-K1108-G1108*I1108)</f>
        <v>44.1686377162942</v>
      </c>
      <c r="M1108" s="16" t="n">
        <f aca="false" t="array" ref="M1108: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>6.6653435455734</v>
      </c>
      <c r="N1108" s="16" t="n">
        <f aca="false">IF(D1108="","",(I1108+M1108)/2)</f>
        <v>6.64802903339889</v>
      </c>
      <c r="O1108" s="16" t="n">
        <f aca="false">IF(D1108="","",G1108*N1108)</f>
        <v>0.969282633069558</v>
      </c>
      <c r="P1108" s="16" t="n">
        <f aca="false">IF(D1108="","",H1108+E1108-K1108-O1108)</f>
        <v>44.1661132604192</v>
      </c>
      <c r="Q1108" s="16" t="n">
        <f aca="false">IF(D1108="","",IF(P1108&gt;=0,K1108,MAX(0,K1108+P1108)))</f>
        <v>0.9072</v>
      </c>
      <c r="R1108" s="16" t="n">
        <f aca="false">IF(D1108="","",Q1108/$B$15)</f>
        <v>0.35</v>
      </c>
      <c r="S1108" s="16" t="n">
        <f aca="false">IF(D1108="","",MAX(0,J1108-R1108))</f>
        <v>0</v>
      </c>
      <c r="T1108" s="16" t="n">
        <f aca="false">IF(D1108="","",MAX(0,Z1108-$B$8))</f>
        <v>0</v>
      </c>
      <c r="U1108" s="16" t="n">
        <f aca="false">IF(D1108="","",MAX(0,MIN($B$8,Z1108)))</f>
        <v>44.1661132604192</v>
      </c>
      <c r="V1108" s="16" t="str">
        <f aca="false">IF(D1108="","",IF(S1108&gt;0.0000001,"Sim","Não"))</f>
        <v>Não</v>
      </c>
      <c r="W1108" s="16" t="n">
        <f aca="false">IF(D1108="","",U1108-(H1108+E1108-Q1108-O1108-T1108))</f>
        <v>0</v>
      </c>
      <c r="X1108" s="16" t="n">
        <f aca="false">IF(W1108="","",ABS(W1108))</f>
        <v>0</v>
      </c>
      <c r="Y1108" s="16" t="n">
        <f aca="false">IF(U1108="","",IF($B$8=0,0,U1108/$B$8*100))</f>
        <v>93.5326413816586</v>
      </c>
      <c r="Z1108" s="18" t="n">
        <f aca="false">IF(D1108="","",MAX(0,IF(P1108&gt;=0,P1108,IF(K1108+P1108&gt;=0,0,P1108+K1108))))</f>
        <v>44.1661132604192</v>
      </c>
      <c r="AA1108" s="18" t="n">
        <f aca="false">IF(D1108="","",IF(H1108&lt;=$B$16,1,IF(H1108&gt;=$B$17,$B$21,MATCH(H1108,Aux_CAV!$A$2:$A$121,1))))</f>
        <v>13</v>
      </c>
      <c r="AB1108" s="18" t="n">
        <f aca="false">IF(D1108="","",IF(L1108&lt;=$B$16,1,IF(L1108&gt;=$B$17,$B$21,MATCH(L1108,Aux_CAV!$A$2:$A$121,1))))</f>
        <v>13</v>
      </c>
      <c r="AC1108" s="19" t="n">
        <f aca="false">IF(D1108="","",COUNT($D$24:D1108))</f>
        <v>1073</v>
      </c>
    </row>
    <row r="1109" customFormat="false" ht="12.75" hidden="false" customHeight="true" outlineLevel="0" collapsed="false">
      <c r="A1109" s="14" t="n">
        <f aca="false">IF(D1109="","",DATE(B1109,C1109,1))</f>
        <v>36678</v>
      </c>
      <c r="B1109" s="15" t="n">
        <f aca="false" t="array" ref="B1109:B1109">IF(D1109="","",IFERROR(VALUE(INDEX(Vazoes_COLAR!$A$2:$A$200,INT((ROW()-24)/12)+1)),""))</f>
        <v>2000</v>
      </c>
      <c r="C1109" s="15" t="n">
        <f aca="false">IF(D1109="","",MOD(ROW()-24,12)+1)</f>
        <v>6</v>
      </c>
      <c r="D1109" s="16" t="n">
        <f aca="false" t="array" ref="D1109: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0.412568730630429</v>
      </c>
      <c r="E1109" s="16" t="n">
        <f aca="false">IF(D1109="","",D1109*$B$15)</f>
        <v>1.06937814979407</v>
      </c>
      <c r="F1109" s="16" t="n">
        <f aca="false" t="array" ref="F1109:F1109">IF(D1109="","",IFERROR(INDEX(Dados_Evap!$C$2:$N$15,MATCH($B$9,Dados_Evap!$A$2:$A$15,0),C1109),0))</f>
        <v>161.3</v>
      </c>
      <c r="G1109" s="16" t="n">
        <f aca="false">IF(F1109="","",F1109/1000)</f>
        <v>0.1613</v>
      </c>
      <c r="H1109" s="16" t="n">
        <f aca="false">IF(D1109="","",MAX(0,MIN($B$8,IFERROR(LOOKUP(2,1/($U$24:U1108&lt;&gt;""),$U$24:U1108),$B$11))))</f>
        <v>44.1661132604192</v>
      </c>
      <c r="I1109" s="16" t="n">
        <f aca="false" t="array" ref="I1109: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>6.66509149691292</v>
      </c>
      <c r="J1109" s="16" t="n">
        <f aca="false">IF(D1109="","",$B$12)</f>
        <v>0.35</v>
      </c>
      <c r="K1109" s="16" t="n">
        <f aca="false">IF(J1109="","",J1109*$B$15)</f>
        <v>0.9072</v>
      </c>
      <c r="L1109" s="16" t="n">
        <f aca="false">IF(D1109="","",H1109+E1109-K1109-G1109*I1109)</f>
        <v>43.2532121517612</v>
      </c>
      <c r="M1109" s="16" t="n">
        <f aca="false" t="array" ref="M1109: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>6.57394492395729</v>
      </c>
      <c r="N1109" s="16" t="n">
        <f aca="false">IF(D1109="","",(I1109+M1109)/2)</f>
        <v>6.61951821043511</v>
      </c>
      <c r="O1109" s="16" t="n">
        <f aca="false">IF(D1109="","",G1109*N1109)</f>
        <v>1.06772828734318</v>
      </c>
      <c r="P1109" s="16" t="n">
        <f aca="false">IF(D1109="","",H1109+E1109-K1109-O1109)</f>
        <v>43.2605631228701</v>
      </c>
      <c r="Q1109" s="16" t="n">
        <f aca="false">IF(D1109="","",IF(P1109&gt;=0,K1109,MAX(0,K1109+P1109)))</f>
        <v>0.9072</v>
      </c>
      <c r="R1109" s="16" t="n">
        <f aca="false">IF(D1109="","",Q1109/$B$15)</f>
        <v>0.35</v>
      </c>
      <c r="S1109" s="16" t="n">
        <f aca="false">IF(D1109="","",MAX(0,J1109-R1109))</f>
        <v>0</v>
      </c>
      <c r="T1109" s="16" t="n">
        <f aca="false">IF(D1109="","",MAX(0,Z1109-$B$8))</f>
        <v>0</v>
      </c>
      <c r="U1109" s="16" t="n">
        <f aca="false">IF(D1109="","",MAX(0,MIN($B$8,Z1109)))</f>
        <v>43.2605631228701</v>
      </c>
      <c r="V1109" s="16" t="str">
        <f aca="false">IF(D1109="","",IF(S1109&gt;0.0000001,"Sim","Não"))</f>
        <v>Não</v>
      </c>
      <c r="W1109" s="16" t="n">
        <f aca="false">IF(D1109="","",U1109-(H1109+E1109-Q1109-O1109-T1109))</f>
        <v>0</v>
      </c>
      <c r="X1109" s="16" t="n">
        <f aca="false">IF(W1109="","",ABS(W1109))</f>
        <v>0</v>
      </c>
      <c r="Y1109" s="16" t="n">
        <f aca="false">IF(U1109="","",IF($B$8=0,0,U1109/$B$8*100))</f>
        <v>91.614915550339</v>
      </c>
      <c r="Z1109" s="18" t="n">
        <f aca="false">IF(D1109="","",MAX(0,IF(P1109&gt;=0,P1109,IF(K1109+P1109&gt;=0,0,P1109+K1109))))</f>
        <v>43.2605631228701</v>
      </c>
      <c r="AA1109" s="18" t="n">
        <f aca="false">IF(D1109="","",IF(H1109&lt;=$B$16,1,IF(H1109&gt;=$B$17,$B$21,MATCH(H1109,Aux_CAV!$A$2:$A$121,1))))</f>
        <v>13</v>
      </c>
      <c r="AB1109" s="18" t="n">
        <f aca="false">IF(D1109="","",IF(L1109&lt;=$B$16,1,IF(L1109&gt;=$B$17,$B$21,MATCH(L1109,Aux_CAV!$A$2:$A$121,1))))</f>
        <v>13</v>
      </c>
      <c r="AC1109" s="19" t="n">
        <f aca="false">IF(D1109="","",COUNT($D$24:D1109))</f>
        <v>1074</v>
      </c>
    </row>
    <row r="1110" customFormat="false" ht="12.75" hidden="false" customHeight="true" outlineLevel="0" collapsed="false">
      <c r="A1110" s="14" t="n">
        <f aca="false">IF(D1110="","",DATE(B1110,C1110,1))</f>
        <v>36708</v>
      </c>
      <c r="B1110" s="15" t="n">
        <f aca="false" t="array" ref="B1110:B1110">IF(D1110="","",IFERROR(VALUE(INDEX(Vazoes_COLAR!$A$2:$A$200,INT((ROW()-24)/12)+1)),""))</f>
        <v>2000</v>
      </c>
      <c r="C1110" s="15" t="n">
        <f aca="false">IF(D1110="","",MOD(ROW()-24,12)+1)</f>
        <v>7</v>
      </c>
      <c r="D1110" s="16" t="n">
        <f aca="false" t="array" ref="D1110: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0.126454052606643</v>
      </c>
      <c r="E1110" s="16" t="n">
        <f aca="false">IF(D1110="","",D1110*$B$15)</f>
        <v>0.327768904356419</v>
      </c>
      <c r="F1110" s="16" t="n">
        <f aca="false" t="array" ref="F1110:F1110">IF(D1110="","",IFERROR(INDEX(Dados_Evap!$C$2:$N$15,MATCH($B$9,Dados_Evap!$A$2:$A$15,0),C1110),0))</f>
        <v>224.8</v>
      </c>
      <c r="G1110" s="16" t="n">
        <f aca="false">IF(F1110="","",F1110/1000)</f>
        <v>0.2248</v>
      </c>
      <c r="H1110" s="16" t="n">
        <f aca="false">IF(D1110="","",MAX(0,MIN($B$8,IFERROR(LOOKUP(2,1/($U$24:U1109&lt;&gt;""),$U$24:U1109),$B$11))))</f>
        <v>43.2605631228701</v>
      </c>
      <c r="I1110" s="16" t="n">
        <f aca="false" t="array" ref="I1110: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>6.57467886525511</v>
      </c>
      <c r="J1110" s="16" t="n">
        <f aca="false">IF(D1110="","",$B$12)</f>
        <v>0.35</v>
      </c>
      <c r="K1110" s="16" t="n">
        <f aca="false">IF(J1110="","",J1110*$B$15)</f>
        <v>0.9072</v>
      </c>
      <c r="L1110" s="16" t="n">
        <f aca="false">IF(D1110="","",H1110+E1110-K1110-G1110*I1110)</f>
        <v>41.2031442183171</v>
      </c>
      <c r="M1110" s="16" t="n">
        <f aca="false" t="array" ref="M1110: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>6.36926046833827</v>
      </c>
      <c r="N1110" s="16" t="n">
        <f aca="false">IF(D1110="","",(I1110+M1110)/2)</f>
        <v>6.47196966679669</v>
      </c>
      <c r="O1110" s="16" t="n">
        <f aca="false">IF(D1110="","",G1110*N1110)</f>
        <v>1.4548987810959</v>
      </c>
      <c r="P1110" s="16" t="n">
        <f aca="false">IF(D1110="","",H1110+E1110-K1110-O1110)</f>
        <v>41.2262332461306</v>
      </c>
      <c r="Q1110" s="16" t="n">
        <f aca="false">IF(D1110="","",IF(P1110&gt;=0,K1110,MAX(0,K1110+P1110)))</f>
        <v>0.9072</v>
      </c>
      <c r="R1110" s="16" t="n">
        <f aca="false">IF(D1110="","",Q1110/$B$15)</f>
        <v>0.35</v>
      </c>
      <c r="S1110" s="16" t="n">
        <f aca="false">IF(D1110="","",MAX(0,J1110-R1110))</f>
        <v>0</v>
      </c>
      <c r="T1110" s="16" t="n">
        <f aca="false">IF(D1110="","",MAX(0,Z1110-$B$8))</f>
        <v>0</v>
      </c>
      <c r="U1110" s="16" t="n">
        <f aca="false">IF(D1110="","",MAX(0,MIN($B$8,Z1110)))</f>
        <v>41.2262332461306</v>
      </c>
      <c r="V1110" s="16" t="str">
        <f aca="false">IF(D1110="","",IF(S1110&gt;0.0000001,"Sim","Não"))</f>
        <v>Não</v>
      </c>
      <c r="W1110" s="16" t="n">
        <f aca="false">IF(D1110="","",U1110-(H1110+E1110-Q1110-O1110-T1110))</f>
        <v>0</v>
      </c>
      <c r="X1110" s="16" t="n">
        <f aca="false">IF(W1110="","",ABS(W1110))</f>
        <v>0</v>
      </c>
      <c r="Y1110" s="16" t="n">
        <f aca="false">IF(U1110="","",IF($B$8=0,0,U1110/$B$8*100))</f>
        <v>87.3067201315769</v>
      </c>
      <c r="Z1110" s="18" t="n">
        <f aca="false">IF(D1110="","",MAX(0,IF(P1110&gt;=0,P1110,IF(K1110+P1110&gt;=0,0,P1110+K1110))))</f>
        <v>41.2262332461306</v>
      </c>
      <c r="AA1110" s="18" t="n">
        <f aca="false">IF(D1110="","",IF(H1110&lt;=$B$16,1,IF(H1110&gt;=$B$17,$B$21,MATCH(H1110,Aux_CAV!$A$2:$A$121,1))))</f>
        <v>13</v>
      </c>
      <c r="AB1110" s="18" t="n">
        <f aca="false">IF(D1110="","",IF(L1110&lt;=$B$16,1,IF(L1110&gt;=$B$17,$B$21,MATCH(L1110,Aux_CAV!$A$2:$A$121,1))))</f>
        <v>13</v>
      </c>
      <c r="AC1110" s="19" t="n">
        <f aca="false">IF(D1110="","",COUNT($D$24:D1110))</f>
        <v>1075</v>
      </c>
    </row>
    <row r="1111" customFormat="false" ht="12.75" hidden="false" customHeight="true" outlineLevel="0" collapsed="false">
      <c r="A1111" s="14" t="n">
        <f aca="false">IF(D1111="","",DATE(B1111,C1111,1))</f>
        <v>36739</v>
      </c>
      <c r="B1111" s="15" t="n">
        <f aca="false" t="array" ref="B1111:B1111">IF(D1111="","",IFERROR(VALUE(INDEX(Vazoes_COLAR!$A$2:$A$200,INT((ROW()-24)/12)+1)),""))</f>
        <v>2000</v>
      </c>
      <c r="C1111" s="15" t="n">
        <f aca="false">IF(D1111="","",MOD(ROW()-24,12)+1)</f>
        <v>8</v>
      </c>
      <c r="D1111" s="16" t="n">
        <f aca="false" t="array" ref="D1111: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0.123176200469872</v>
      </c>
      <c r="E1111" s="16" t="n">
        <f aca="false">IF(D1111="","",D1111*$B$15)</f>
        <v>0.319272711617908</v>
      </c>
      <c r="F1111" s="16" t="n">
        <f aca="false" t="array" ref="F1111:F1111">IF(D1111="","",IFERROR(INDEX(Dados_Evap!$C$2:$N$15,MATCH($B$9,Dados_Evap!$A$2:$A$15,0),C1111),0))</f>
        <v>268.7</v>
      </c>
      <c r="G1111" s="16" t="n">
        <f aca="false">IF(F1111="","",F1111/1000)</f>
        <v>0.2687</v>
      </c>
      <c r="H1111" s="16" t="n">
        <f aca="false">IF(D1111="","",MAX(0,MIN($B$8,IFERROR(LOOKUP(2,1/($U$24:U1110&lt;&gt;""),$U$24:U1110),$B$11))))</f>
        <v>41.2262332461306</v>
      </c>
      <c r="I1111" s="16" t="n">
        <f aca="false" t="array" ref="I1111: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>6.37156574076933</v>
      </c>
      <c r="J1111" s="16" t="n">
        <f aca="false">IF(D1111="","",$B$12)</f>
        <v>0.35</v>
      </c>
      <c r="K1111" s="16" t="n">
        <f aca="false">IF(J1111="","",J1111*$B$15)</f>
        <v>0.9072</v>
      </c>
      <c r="L1111" s="16" t="n">
        <f aca="false">IF(D1111="","",H1111+E1111-K1111-G1111*I1111)</f>
        <v>38.9262662432038</v>
      </c>
      <c r="M1111" s="16" t="n">
        <f aca="false" t="array" ref="M1111: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>6.14193067050855</v>
      </c>
      <c r="N1111" s="16" t="n">
        <f aca="false">IF(D1111="","",(I1111+M1111)/2)</f>
        <v>6.25674820563894</v>
      </c>
      <c r="O1111" s="16" t="n">
        <f aca="false">IF(D1111="","",G1111*N1111)</f>
        <v>1.68118824285518</v>
      </c>
      <c r="P1111" s="16" t="n">
        <f aca="false">IF(D1111="","",H1111+E1111-K1111-O1111)</f>
        <v>38.9571177148933</v>
      </c>
      <c r="Q1111" s="16" t="n">
        <f aca="false">IF(D1111="","",IF(P1111&gt;=0,K1111,MAX(0,K1111+P1111)))</f>
        <v>0.9072</v>
      </c>
      <c r="R1111" s="16" t="n">
        <f aca="false">IF(D1111="","",Q1111/$B$15)</f>
        <v>0.35</v>
      </c>
      <c r="S1111" s="16" t="n">
        <f aca="false">IF(D1111="","",MAX(0,J1111-R1111))</f>
        <v>0</v>
      </c>
      <c r="T1111" s="16" t="n">
        <f aca="false">IF(D1111="","",MAX(0,Z1111-$B$8))</f>
        <v>0</v>
      </c>
      <c r="U1111" s="16" t="n">
        <f aca="false">IF(D1111="","",MAX(0,MIN($B$8,Z1111)))</f>
        <v>38.9571177148933</v>
      </c>
      <c r="V1111" s="16" t="str">
        <f aca="false">IF(D1111="","",IF(S1111&gt;0.0000001,"Sim","Não"))</f>
        <v>Não</v>
      </c>
      <c r="W1111" s="16" t="n">
        <f aca="false">IF(D1111="","",U1111-(H1111+E1111-Q1111-O1111-T1111))</f>
        <v>0</v>
      </c>
      <c r="X1111" s="16" t="n">
        <f aca="false">IF(W1111="","",ABS(W1111))</f>
        <v>0</v>
      </c>
      <c r="Y1111" s="16" t="n">
        <f aca="false">IF(U1111="","",IF($B$8=0,0,U1111/$B$8*100))</f>
        <v>82.5013081636877</v>
      </c>
      <c r="Z1111" s="18" t="n">
        <f aca="false">IF(D1111="","",MAX(0,IF(P1111&gt;=0,P1111,IF(K1111+P1111&gt;=0,0,P1111+K1111))))</f>
        <v>38.9571177148933</v>
      </c>
      <c r="AA1111" s="18" t="n">
        <f aca="false">IF(D1111="","",IF(H1111&lt;=$B$16,1,IF(H1111&gt;=$B$17,$B$21,MATCH(H1111,Aux_CAV!$A$2:$A$121,1))))</f>
        <v>13</v>
      </c>
      <c r="AB1111" s="18" t="n">
        <f aca="false">IF(D1111="","",IF(L1111&lt;=$B$16,1,IF(L1111&gt;=$B$17,$B$21,MATCH(L1111,Aux_CAV!$A$2:$A$121,1))))</f>
        <v>13</v>
      </c>
      <c r="AC1111" s="19" t="n">
        <f aca="false">IF(D1111="","",COUNT($D$24:D1111))</f>
        <v>1076</v>
      </c>
    </row>
    <row r="1112" customFormat="false" ht="12.75" hidden="false" customHeight="true" outlineLevel="0" collapsed="false">
      <c r="A1112" s="14" t="n">
        <f aca="false">IF(D1112="","",DATE(B1112,C1112,1))</f>
        <v>36770</v>
      </c>
      <c r="B1112" s="15" t="n">
        <f aca="false" t="array" ref="B1112:B1112">IF(D1112="","",IFERROR(VALUE(INDEX(Vazoes_COLAR!$A$2:$A$200,INT((ROW()-24)/12)+1)),""))</f>
        <v>2000</v>
      </c>
      <c r="C1112" s="15" t="n">
        <f aca="false">IF(D1112="","",MOD(ROW()-24,12)+1)</f>
        <v>9</v>
      </c>
      <c r="D1112" s="16" t="n">
        <f aca="false" t="array" ref="D1112: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0.138586044721743</v>
      </c>
      <c r="E1112" s="16" t="n">
        <f aca="false">IF(D1112="","",D1112*$B$15)</f>
        <v>0.359215027918758</v>
      </c>
      <c r="F1112" s="16" t="n">
        <f aca="false" t="array" ref="F1112:F1112">IF(D1112="","",IFERROR(INDEX(Dados_Evap!$C$2:$N$15,MATCH($B$9,Dados_Evap!$A$2:$A$15,0),C1112),0))</f>
        <v>292.8</v>
      </c>
      <c r="G1112" s="16" t="n">
        <f aca="false">IF(F1112="","",F1112/1000)</f>
        <v>0.2928</v>
      </c>
      <c r="H1112" s="16" t="n">
        <f aca="false">IF(D1112="","",MAX(0,MIN($B$8,IFERROR(LOOKUP(2,1/($U$24:U1111&lt;&gt;""),$U$24:U1111),$B$11))))</f>
        <v>38.9571177148933</v>
      </c>
      <c r="I1112" s="16" t="n">
        <f aca="false" t="array" ref="I1112: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>6.14501096681718</v>
      </c>
      <c r="J1112" s="16" t="n">
        <f aca="false">IF(D1112="","",$B$12)</f>
        <v>0.35</v>
      </c>
      <c r="K1112" s="16" t="n">
        <f aca="false">IF(J1112="","",J1112*$B$15)</f>
        <v>0.9072</v>
      </c>
      <c r="L1112" s="16" t="n">
        <f aca="false">IF(D1112="","",H1112+E1112-K1112-G1112*I1112)</f>
        <v>36.609873531728</v>
      </c>
      <c r="M1112" s="16" t="n">
        <f aca="false" t="array" ref="M1112: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>5.91065561205146</v>
      </c>
      <c r="N1112" s="16" t="n">
        <f aca="false">IF(D1112="","",(I1112+M1112)/2)</f>
        <v>6.02783328943432</v>
      </c>
      <c r="O1112" s="16" t="n">
        <f aca="false">IF(D1112="","",G1112*N1112)</f>
        <v>1.76494958714637</v>
      </c>
      <c r="P1112" s="16" t="n">
        <f aca="false">IF(D1112="","",H1112+E1112-K1112-O1112)</f>
        <v>36.6441831556657</v>
      </c>
      <c r="Q1112" s="16" t="n">
        <f aca="false">IF(D1112="","",IF(P1112&gt;=0,K1112,MAX(0,K1112+P1112)))</f>
        <v>0.9072</v>
      </c>
      <c r="R1112" s="16" t="n">
        <f aca="false">IF(D1112="","",Q1112/$B$15)</f>
        <v>0.35</v>
      </c>
      <c r="S1112" s="16" t="n">
        <f aca="false">IF(D1112="","",MAX(0,J1112-R1112))</f>
        <v>0</v>
      </c>
      <c r="T1112" s="16" t="n">
        <f aca="false">IF(D1112="","",MAX(0,Z1112-$B$8))</f>
        <v>0</v>
      </c>
      <c r="U1112" s="16" t="n">
        <f aca="false">IF(D1112="","",MAX(0,MIN($B$8,Z1112)))</f>
        <v>36.6441831556657</v>
      </c>
      <c r="V1112" s="16" t="str">
        <f aca="false">IF(D1112="","",IF(S1112&gt;0.0000001,"Sim","Não"))</f>
        <v>Não</v>
      </c>
      <c r="W1112" s="16" t="n">
        <f aca="false">IF(D1112="","",U1112-(H1112+E1112-Q1112-O1112-T1112))</f>
        <v>0</v>
      </c>
      <c r="X1112" s="16" t="n">
        <f aca="false">IF(W1112="","",ABS(W1112))</f>
        <v>0</v>
      </c>
      <c r="Y1112" s="16" t="n">
        <f aca="false">IF(U1112="","",IF($B$8=0,0,U1112/$B$8*100))</f>
        <v>77.6030985931082</v>
      </c>
      <c r="Z1112" s="18" t="n">
        <f aca="false">IF(D1112="","",MAX(0,IF(P1112&gt;=0,P1112,IF(K1112+P1112&gt;=0,0,P1112+K1112))))</f>
        <v>36.6441831556657</v>
      </c>
      <c r="AA1112" s="18" t="n">
        <f aca="false">IF(D1112="","",IF(H1112&lt;=$B$16,1,IF(H1112&gt;=$B$17,$B$21,MATCH(H1112,Aux_CAV!$A$2:$A$121,1))))</f>
        <v>13</v>
      </c>
      <c r="AB1112" s="18" t="n">
        <f aca="false">IF(D1112="","",IF(L1112&lt;=$B$16,1,IF(L1112&gt;=$B$17,$B$21,MATCH(L1112,Aux_CAV!$A$2:$A$121,1))))</f>
        <v>13</v>
      </c>
      <c r="AC1112" s="19" t="n">
        <f aca="false">IF(D1112="","",COUNT($D$24:D1112))</f>
        <v>1077</v>
      </c>
    </row>
    <row r="1113" customFormat="false" ht="12.75" hidden="false" customHeight="true" outlineLevel="0" collapsed="false">
      <c r="A1113" s="14" t="n">
        <f aca="false">IF(D1113="","",DATE(B1113,C1113,1))</f>
        <v>36800</v>
      </c>
      <c r="B1113" s="15" t="n">
        <f aca="false" t="array" ref="B1113:B1113">IF(D1113="","",IFERROR(VALUE(INDEX(Vazoes_COLAR!$A$2:$A$200,INT((ROW()-24)/12)+1)),""))</f>
        <v>2000</v>
      </c>
      <c r="C1113" s="15" t="n">
        <f aca="false">IF(D1113="","",MOD(ROW()-24,12)+1)</f>
        <v>10</v>
      </c>
      <c r="D1113" s="16" t="n">
        <f aca="false" t="array" ref="D1113: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0.0189767651060961</v>
      </c>
      <c r="E1113" s="16" t="n">
        <f aca="false">IF(D1113="","",D1113*$B$15)</f>
        <v>0.0491877751550011</v>
      </c>
      <c r="F1113" s="16" t="n">
        <f aca="false" t="array" ref="F1113:F1113">IF(D1113="","",IFERROR(INDEX(Dados_Evap!$C$2:$N$15,MATCH($B$9,Dados_Evap!$A$2:$A$15,0),C1113),0))</f>
        <v>262.9</v>
      </c>
      <c r="G1113" s="16" t="n">
        <f aca="false">IF(F1113="","",F1113/1000)</f>
        <v>0.2629</v>
      </c>
      <c r="H1113" s="16" t="n">
        <f aca="false">IF(D1113="","",MAX(0,MIN($B$8,IFERROR(LOOKUP(2,1/($U$24:U1112&lt;&gt;""),$U$24:U1112),$B$11))))</f>
        <v>36.6441831556657</v>
      </c>
      <c r="I1113" s="16" t="n">
        <f aca="false" t="array" ref="I1113: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>5.91408117985027</v>
      </c>
      <c r="J1113" s="16" t="n">
        <f aca="false">IF(D1113="","",$B$12)</f>
        <v>0.35</v>
      </c>
      <c r="K1113" s="16" t="n">
        <f aca="false">IF(J1113="","",J1113*$B$15)</f>
        <v>0.9072</v>
      </c>
      <c r="L1113" s="16" t="n">
        <f aca="false">IF(D1113="","",H1113+E1113-K1113-G1113*I1113)</f>
        <v>34.2313589886381</v>
      </c>
      <c r="M1113" s="16" t="n">
        <f aca="false" t="array" ref="M1113: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>5.67209263280026</v>
      </c>
      <c r="N1113" s="16" t="n">
        <f aca="false">IF(D1113="","",(I1113+M1113)/2)</f>
        <v>5.79308690632527</v>
      </c>
      <c r="O1113" s="16" t="n">
        <f aca="false">IF(D1113="","",G1113*N1113)</f>
        <v>1.52300254767291</v>
      </c>
      <c r="P1113" s="16" t="n">
        <f aca="false">IF(D1113="","",H1113+E1113-K1113-O1113)</f>
        <v>34.2631683831478</v>
      </c>
      <c r="Q1113" s="16" t="n">
        <f aca="false">IF(D1113="","",IF(P1113&gt;=0,K1113,MAX(0,K1113+P1113)))</f>
        <v>0.9072</v>
      </c>
      <c r="R1113" s="16" t="n">
        <f aca="false">IF(D1113="","",Q1113/$B$15)</f>
        <v>0.35</v>
      </c>
      <c r="S1113" s="16" t="n">
        <f aca="false">IF(D1113="","",MAX(0,J1113-R1113))</f>
        <v>0</v>
      </c>
      <c r="T1113" s="16" t="n">
        <f aca="false">IF(D1113="","",MAX(0,Z1113-$B$8))</f>
        <v>0</v>
      </c>
      <c r="U1113" s="16" t="n">
        <f aca="false">IF(D1113="","",MAX(0,MIN($B$8,Z1113)))</f>
        <v>34.2631683831478</v>
      </c>
      <c r="V1113" s="16" t="str">
        <f aca="false">IF(D1113="","",IF(S1113&gt;0.0000001,"Sim","Não"))</f>
        <v>Não</v>
      </c>
      <c r="W1113" s="16" t="n">
        <f aca="false">IF(D1113="","",U1113-(H1113+E1113-Q1113-O1113-T1113))</f>
        <v>0</v>
      </c>
      <c r="X1113" s="16" t="n">
        <f aca="false">IF(W1113="","",ABS(W1113))</f>
        <v>0</v>
      </c>
      <c r="Y1113" s="16" t="n">
        <f aca="false">IF(U1113="","",IF($B$8=0,0,U1113/$B$8*100))</f>
        <v>72.560712374307</v>
      </c>
      <c r="Z1113" s="18" t="n">
        <f aca="false">IF(D1113="","",MAX(0,IF(P1113&gt;=0,P1113,IF(K1113+P1113&gt;=0,0,P1113+K1113))))</f>
        <v>34.2631683831478</v>
      </c>
      <c r="AA1113" s="18" t="n">
        <f aca="false">IF(D1113="","",IF(H1113&lt;=$B$16,1,IF(H1113&gt;=$B$17,$B$21,MATCH(H1113,Aux_CAV!$A$2:$A$121,1))))</f>
        <v>13</v>
      </c>
      <c r="AB1113" s="18" t="n">
        <f aca="false">IF(D1113="","",IF(L1113&lt;=$B$16,1,IF(L1113&gt;=$B$17,$B$21,MATCH(L1113,Aux_CAV!$A$2:$A$121,1))))</f>
        <v>12</v>
      </c>
      <c r="AC1113" s="19" t="n">
        <f aca="false">IF(D1113="","",COUNT($D$24:D1113))</f>
        <v>1078</v>
      </c>
    </row>
    <row r="1114" customFormat="false" ht="12.75" hidden="false" customHeight="true" outlineLevel="0" collapsed="false">
      <c r="A1114" s="14" t="n">
        <f aca="false">IF(D1114="","",DATE(B1114,C1114,1))</f>
        <v>36831</v>
      </c>
      <c r="B1114" s="15" t="n">
        <f aca="false" t="array" ref="B1114:B1114">IF(D1114="","",IFERROR(VALUE(INDEX(Vazoes_COLAR!$A$2:$A$200,INT((ROW()-24)/12)+1)),""))</f>
        <v>2000</v>
      </c>
      <c r="C1114" s="15" t="n">
        <f aca="false">IF(D1114="","",MOD(ROW()-24,12)+1)</f>
        <v>11</v>
      </c>
      <c r="D1114" s="16" t="n">
        <f aca="false" t="array" ref="D1114: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0.0169406063626999</v>
      </c>
      <c r="E1114" s="16" t="n">
        <f aca="false">IF(D1114="","",D1114*$B$15)</f>
        <v>0.0439100516921181</v>
      </c>
      <c r="F1114" s="16" t="n">
        <f aca="false" t="array" ref="F1114:F1114">IF(D1114="","",IFERROR(INDEX(Dados_Evap!$C$2:$N$15,MATCH($B$9,Dados_Evap!$A$2:$A$15,0),C1114),0))</f>
        <v>223.7</v>
      </c>
      <c r="G1114" s="16" t="n">
        <f aca="false">IF(F1114="","",F1114/1000)</f>
        <v>0.2237</v>
      </c>
      <c r="H1114" s="16" t="n">
        <f aca="false">IF(D1114="","",MAX(0,MIN($B$8,IFERROR(LOOKUP(2,1/($U$24:U1113&lt;&gt;""),$U$24:U1113),$B$11))))</f>
        <v>34.2631683831478</v>
      </c>
      <c r="I1114" s="16" t="n">
        <f aca="false" t="array" ref="I1114: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>5.6753971038804</v>
      </c>
      <c r="J1114" s="16" t="n">
        <f aca="false">IF(D1114="","",$B$12)</f>
        <v>0.35</v>
      </c>
      <c r="K1114" s="16" t="n">
        <f aca="false">IF(J1114="","",J1114*$B$15)</f>
        <v>0.9072</v>
      </c>
      <c r="L1114" s="16" t="n">
        <f aca="false">IF(D1114="","",H1114+E1114-K1114-G1114*I1114)</f>
        <v>32.1302921027018</v>
      </c>
      <c r="M1114" s="16" t="n">
        <f aca="false" t="array" ref="M1114: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>5.45382646115446</v>
      </c>
      <c r="N1114" s="16" t="n">
        <f aca="false">IF(D1114="","",(I1114+M1114)/2)</f>
        <v>5.56461178251743</v>
      </c>
      <c r="O1114" s="16" t="n">
        <f aca="false">IF(D1114="","",G1114*N1114)</f>
        <v>1.24480365574915</v>
      </c>
      <c r="P1114" s="16" t="n">
        <f aca="false">IF(D1114="","",H1114+E1114-K1114-O1114)</f>
        <v>32.1550747790907</v>
      </c>
      <c r="Q1114" s="16" t="n">
        <f aca="false">IF(D1114="","",IF(P1114&gt;=0,K1114,MAX(0,K1114+P1114)))</f>
        <v>0.9072</v>
      </c>
      <c r="R1114" s="16" t="n">
        <f aca="false">IF(D1114="","",Q1114/$B$15)</f>
        <v>0.35</v>
      </c>
      <c r="S1114" s="16" t="n">
        <f aca="false">IF(D1114="","",MAX(0,J1114-R1114))</f>
        <v>0</v>
      </c>
      <c r="T1114" s="16" t="n">
        <f aca="false">IF(D1114="","",MAX(0,Z1114-$B$8))</f>
        <v>0</v>
      </c>
      <c r="U1114" s="16" t="n">
        <f aca="false">IF(D1114="","",MAX(0,MIN($B$8,Z1114)))</f>
        <v>32.1550747790907</v>
      </c>
      <c r="V1114" s="16" t="str">
        <f aca="false">IF(D1114="","",IF(S1114&gt;0.0000001,"Sim","Não"))</f>
        <v>Não</v>
      </c>
      <c r="W1114" s="16" t="n">
        <f aca="false">IF(D1114="","",U1114-(H1114+E1114-Q1114-O1114-T1114))</f>
        <v>0</v>
      </c>
      <c r="X1114" s="16" t="n">
        <f aca="false">IF(W1114="","",ABS(W1114))</f>
        <v>0</v>
      </c>
      <c r="Y1114" s="16" t="n">
        <f aca="false">IF(U1114="","",IF($B$8=0,0,U1114/$B$8*100))</f>
        <v>68.0963040641481</v>
      </c>
      <c r="Z1114" s="18" t="n">
        <f aca="false">IF(D1114="","",MAX(0,IF(P1114&gt;=0,P1114,IF(K1114+P1114&gt;=0,0,P1114+K1114))))</f>
        <v>32.1550747790907</v>
      </c>
      <c r="AA1114" s="18" t="n">
        <f aca="false">IF(D1114="","",IF(H1114&lt;=$B$16,1,IF(H1114&gt;=$B$17,$B$21,MATCH(H1114,Aux_CAV!$A$2:$A$121,1))))</f>
        <v>12</v>
      </c>
      <c r="AB1114" s="18" t="n">
        <f aca="false">IF(D1114="","",IF(L1114&lt;=$B$16,1,IF(L1114&gt;=$B$17,$B$21,MATCH(L1114,Aux_CAV!$A$2:$A$121,1))))</f>
        <v>12</v>
      </c>
      <c r="AC1114" s="19" t="n">
        <f aca="false">IF(D1114="","",COUNT($D$24:D1114))</f>
        <v>1079</v>
      </c>
    </row>
    <row r="1115" customFormat="false" ht="12.75" hidden="false" customHeight="true" outlineLevel="0" collapsed="false">
      <c r="A1115" s="14" t="n">
        <f aca="false">IF(D1115="","",DATE(B1115,C1115,1))</f>
        <v>36861</v>
      </c>
      <c r="B1115" s="15" t="n">
        <f aca="false" t="array" ref="B1115:B1115">IF(D1115="","",IFERROR(VALUE(INDEX(Vazoes_COLAR!$A$2:$A$200,INT((ROW()-24)/12)+1)),""))</f>
        <v>2000</v>
      </c>
      <c r="C1115" s="15" t="n">
        <f aca="false">IF(D1115="","",MOD(ROW()-24,12)+1)</f>
        <v>12</v>
      </c>
      <c r="D1115" s="16" t="n">
        <f aca="false" t="array" ref="D1115: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0.177494929629905</v>
      </c>
      <c r="E1115" s="16" t="n">
        <f aca="false">IF(D1115="","",D1115*$B$15)</f>
        <v>0.460066857600714</v>
      </c>
      <c r="F1115" s="16" t="n">
        <f aca="false" t="array" ref="F1115:F1115">IF(D1115="","",IFERROR(INDEX(Dados_Evap!$C$2:$N$15,MATCH($B$9,Dados_Evap!$A$2:$A$15,0),C1115),0))</f>
        <v>216.1</v>
      </c>
      <c r="G1115" s="16" t="n">
        <f aca="false">IF(F1115="","",F1115/1000)</f>
        <v>0.2161</v>
      </c>
      <c r="H1115" s="16" t="n">
        <f aca="false">IF(D1115="","",MAX(0,MIN($B$8,IFERROR(LOOKUP(2,1/($U$24:U1114&lt;&gt;""),$U$24:U1114),$B$11))))</f>
        <v>32.1550747790907</v>
      </c>
      <c r="I1115" s="16" t="n">
        <f aca="false" t="array" ref="I1115: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>5.45640097219681</v>
      </c>
      <c r="J1115" s="16" t="n">
        <f aca="false">IF(D1115="","",$B$12)</f>
        <v>0.35</v>
      </c>
      <c r="K1115" s="16" t="n">
        <f aca="false">IF(J1115="","",J1115*$B$15)</f>
        <v>0.9072</v>
      </c>
      <c r="L1115" s="16" t="n">
        <f aca="false">IF(D1115="","",H1115+E1115-K1115-G1115*I1115)</f>
        <v>30.5288133865997</v>
      </c>
      <c r="M1115" s="16" t="n">
        <f aca="false" t="array" ref="M1115: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>5.28745925472444</v>
      </c>
      <c r="N1115" s="16" t="n">
        <f aca="false">IF(D1115="","",(I1115+M1115)/2)</f>
        <v>5.37193011346062</v>
      </c>
      <c r="O1115" s="16" t="n">
        <f aca="false">IF(D1115="","",G1115*N1115)</f>
        <v>1.16087409751884</v>
      </c>
      <c r="P1115" s="16" t="n">
        <f aca="false">IF(D1115="","",H1115+E1115-K1115-O1115)</f>
        <v>30.5470675391726</v>
      </c>
      <c r="Q1115" s="16" t="n">
        <f aca="false">IF(D1115="","",IF(P1115&gt;=0,K1115,MAX(0,K1115+P1115)))</f>
        <v>0.9072</v>
      </c>
      <c r="R1115" s="16" t="n">
        <f aca="false">IF(D1115="","",Q1115/$B$15)</f>
        <v>0.35</v>
      </c>
      <c r="S1115" s="16" t="n">
        <f aca="false">IF(D1115="","",MAX(0,J1115-R1115))</f>
        <v>0</v>
      </c>
      <c r="T1115" s="16" t="n">
        <f aca="false">IF(D1115="","",MAX(0,Z1115-$B$8))</f>
        <v>0</v>
      </c>
      <c r="U1115" s="16" t="n">
        <f aca="false">IF(D1115="","",MAX(0,MIN($B$8,Z1115)))</f>
        <v>30.5470675391726</v>
      </c>
      <c r="V1115" s="16" t="str">
        <f aca="false">IF(D1115="","",IF(S1115&gt;0.0000001,"Sim","Não"))</f>
        <v>Não</v>
      </c>
      <c r="W1115" s="16" t="n">
        <f aca="false">IF(D1115="","",U1115-(H1115+E1115-Q1115-O1115-T1115))</f>
        <v>0</v>
      </c>
      <c r="X1115" s="16" t="n">
        <f aca="false">IF(W1115="","",ABS(W1115))</f>
        <v>0</v>
      </c>
      <c r="Y1115" s="16" t="n">
        <f aca="false">IF(U1115="","",IF($B$8=0,0,U1115/$B$8*100))</f>
        <v>64.6909520101072</v>
      </c>
      <c r="Z1115" s="18" t="n">
        <f aca="false">IF(D1115="","",MAX(0,IF(P1115&gt;=0,P1115,IF(K1115+P1115&gt;=0,0,P1115+K1115))))</f>
        <v>30.5470675391726</v>
      </c>
      <c r="AA1115" s="18" t="n">
        <f aca="false">IF(D1115="","",IF(H1115&lt;=$B$16,1,IF(H1115&gt;=$B$17,$B$21,MATCH(H1115,Aux_CAV!$A$2:$A$121,1))))</f>
        <v>12</v>
      </c>
      <c r="AB1115" s="18" t="n">
        <f aca="false">IF(D1115="","",IF(L1115&lt;=$B$16,1,IF(L1115&gt;=$B$17,$B$21,MATCH(L1115,Aux_CAV!$A$2:$A$121,1))))</f>
        <v>12</v>
      </c>
      <c r="AC1115" s="19" t="n">
        <f aca="false">IF(D1115="","",COUNT($D$24:D1115))</f>
        <v>1080</v>
      </c>
    </row>
    <row r="1116" customFormat="false" ht="12.75" hidden="false" customHeight="true" outlineLevel="0" collapsed="false">
      <c r="A1116" s="14" t="n">
        <f aca="false">IF(D1116="","",DATE(B1116,C1116,1))</f>
        <v>36892</v>
      </c>
      <c r="B1116" s="15" t="n">
        <f aca="false" t="array" ref="B1116:B1116">IF(D1116="","",IFERROR(VALUE(INDEX(Vazoes_COLAR!$A$2:$A$200,INT((ROW()-24)/12)+1)),""))</f>
        <v>2001</v>
      </c>
      <c r="C1116" s="15" t="n">
        <f aca="false">IF(D1116="","",MOD(ROW()-24,12)+1)</f>
        <v>1</v>
      </c>
      <c r="D1116" s="16" t="n">
        <f aca="false" t="array" ref="D1116: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0.176566488163526</v>
      </c>
      <c r="E1116" s="16" t="n">
        <f aca="false">IF(D1116="","",D1116*$B$15)</f>
        <v>0.457660337319859</v>
      </c>
      <c r="F1116" s="16" t="n">
        <f aca="false" t="array" ref="F1116:F1116">IF(D1116="","",IFERROR(INDEX(Dados_Evap!$C$2:$N$15,MATCH($B$9,Dados_Evap!$A$2:$A$15,0),C1116),0))</f>
        <v>160</v>
      </c>
      <c r="G1116" s="16" t="n">
        <f aca="false">IF(F1116="","",F1116/1000)</f>
        <v>0.16</v>
      </c>
      <c r="H1116" s="16" t="n">
        <f aca="false">IF(D1116="","",MAX(0,MIN($B$8,IFERROR(LOOKUP(2,1/($U$24:U1115&lt;&gt;""),$U$24:U1115),$B$11))))</f>
        <v>30.5470675391726</v>
      </c>
      <c r="I1116" s="16" t="n">
        <f aca="false" t="array" ref="I1116: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>5.28935555989463</v>
      </c>
      <c r="J1116" s="16" t="n">
        <f aca="false">IF(D1116="","",$B$12)</f>
        <v>0.35</v>
      </c>
      <c r="K1116" s="16" t="n">
        <f aca="false">IF(J1116="","",J1116*$B$15)</f>
        <v>0.9072</v>
      </c>
      <c r="L1116" s="16" t="n">
        <f aca="false">IF(D1116="","",H1116+E1116-K1116-G1116*I1116)</f>
        <v>29.2512309869093</v>
      </c>
      <c r="M1116" s="16" t="n">
        <f aca="false" t="array" ref="M1116: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>5.15473952970806</v>
      </c>
      <c r="N1116" s="16" t="n">
        <f aca="false">IF(D1116="","",(I1116+M1116)/2)</f>
        <v>5.22204754480134</v>
      </c>
      <c r="O1116" s="16" t="n">
        <f aca="false">IF(D1116="","",G1116*N1116)</f>
        <v>0.835527607168215</v>
      </c>
      <c r="P1116" s="16" t="n">
        <f aca="false">IF(D1116="","",H1116+E1116-K1116-O1116)</f>
        <v>29.2620002693243</v>
      </c>
      <c r="Q1116" s="16" t="n">
        <f aca="false">IF(D1116="","",IF(P1116&gt;=0,K1116,MAX(0,K1116+P1116)))</f>
        <v>0.9072</v>
      </c>
      <c r="R1116" s="16" t="n">
        <f aca="false">IF(D1116="","",Q1116/$B$15)</f>
        <v>0.35</v>
      </c>
      <c r="S1116" s="16" t="n">
        <f aca="false">IF(D1116="","",MAX(0,J1116-R1116))</f>
        <v>0</v>
      </c>
      <c r="T1116" s="16" t="n">
        <f aca="false">IF(D1116="","",MAX(0,Z1116-$B$8))</f>
        <v>0</v>
      </c>
      <c r="U1116" s="16" t="n">
        <f aca="false">IF(D1116="","",MAX(0,MIN($B$8,Z1116)))</f>
        <v>29.2620002693243</v>
      </c>
      <c r="V1116" s="16" t="str">
        <f aca="false">IF(D1116="","",IF(S1116&gt;0.0000001,"Sim","Não"))</f>
        <v>Não</v>
      </c>
      <c r="W1116" s="16" t="n">
        <f aca="false">IF(D1116="","",U1116-(H1116+E1116-Q1116-O1116-T1116))</f>
        <v>0</v>
      </c>
      <c r="X1116" s="16" t="n">
        <f aca="false">IF(W1116="","",ABS(W1116))</f>
        <v>0</v>
      </c>
      <c r="Y1116" s="16" t="n">
        <f aca="false">IF(U1116="","",IF($B$8=0,0,U1116/$B$8*100))</f>
        <v>61.9695050176287</v>
      </c>
      <c r="Z1116" s="18" t="n">
        <f aca="false">IF(D1116="","",MAX(0,IF(P1116&gt;=0,P1116,IF(K1116+P1116&gt;=0,0,P1116+K1116))))</f>
        <v>29.2620002693243</v>
      </c>
      <c r="AA1116" s="18" t="n">
        <f aca="false">IF(D1116="","",IF(H1116&lt;=$B$16,1,IF(H1116&gt;=$B$17,$B$21,MATCH(H1116,Aux_CAV!$A$2:$A$121,1))))</f>
        <v>12</v>
      </c>
      <c r="AB1116" s="18" t="n">
        <f aca="false">IF(D1116="","",IF(L1116&lt;=$B$16,1,IF(L1116&gt;=$B$17,$B$21,MATCH(L1116,Aux_CAV!$A$2:$A$121,1))))</f>
        <v>12</v>
      </c>
      <c r="AC1116" s="19" t="n">
        <f aca="false">IF(D1116="","",COUNT($D$24:D1116))</f>
        <v>1081</v>
      </c>
    </row>
    <row r="1117" customFormat="false" ht="12.75" hidden="false" customHeight="true" outlineLevel="0" collapsed="false">
      <c r="A1117" s="14" t="n">
        <f aca="false">IF(D1117="","",DATE(B1117,C1117,1))</f>
        <v>36923</v>
      </c>
      <c r="B1117" s="15" t="n">
        <f aca="false" t="array" ref="B1117:B1117">IF(D1117="","",IFERROR(VALUE(INDEX(Vazoes_COLAR!$A$2:$A$200,INT((ROW()-24)/12)+1)),""))</f>
        <v>2001</v>
      </c>
      <c r="C1117" s="15" t="n">
        <f aca="false">IF(D1117="","",MOD(ROW()-24,12)+1)</f>
        <v>2</v>
      </c>
      <c r="D1117" s="16" t="n">
        <f aca="false" t="array" ref="D1117: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0.333017670469483</v>
      </c>
      <c r="E1117" s="16" t="n">
        <f aca="false">IF(D1117="","",D1117*$B$15)</f>
        <v>0.8631818018569</v>
      </c>
      <c r="F1117" s="16" t="n">
        <f aca="false" t="array" ref="F1117:F1117">IF(D1117="","",IFERROR(INDEX(Dados_Evap!$C$2:$N$15,MATCH($B$9,Dados_Evap!$A$2:$A$15,0),C1117),0))</f>
        <v>124.3</v>
      </c>
      <c r="G1117" s="16" t="n">
        <f aca="false">IF(F1117="","",F1117/1000)</f>
        <v>0.1243</v>
      </c>
      <c r="H1117" s="16" t="n">
        <f aca="false">IF(D1117="","",MAX(0,MIN($B$8,IFERROR(LOOKUP(2,1/($U$24:U1116&lt;&gt;""),$U$24:U1116),$B$11))))</f>
        <v>29.2620002693243</v>
      </c>
      <c r="I1117" s="16" t="n">
        <f aca="false" t="array" ref="I1117: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>5.15585828040553</v>
      </c>
      <c r="J1117" s="16" t="n">
        <f aca="false">IF(D1117="","",$B$12)</f>
        <v>0.35</v>
      </c>
      <c r="K1117" s="16" t="n">
        <f aca="false">IF(J1117="","",J1117*$B$15)</f>
        <v>0.9072</v>
      </c>
      <c r="L1117" s="16" t="n">
        <f aca="false">IF(D1117="","",H1117+E1117-K1117-G1117*I1117)</f>
        <v>28.5771088869268</v>
      </c>
      <c r="M1117" s="16" t="n">
        <f aca="false" t="array" ref="M1117: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>5.08470936980695</v>
      </c>
      <c r="N1117" s="16" t="n">
        <f aca="false">IF(D1117="","",(I1117+M1117)/2)</f>
        <v>5.12028382510624</v>
      </c>
      <c r="O1117" s="16" t="n">
        <f aca="false">IF(D1117="","",G1117*N1117)</f>
        <v>0.636451279460706</v>
      </c>
      <c r="P1117" s="16" t="n">
        <f aca="false">IF(D1117="","",H1117+E1117-K1117-O1117)</f>
        <v>28.5815307917205</v>
      </c>
      <c r="Q1117" s="16" t="n">
        <f aca="false">IF(D1117="","",IF(P1117&gt;=0,K1117,MAX(0,K1117+P1117)))</f>
        <v>0.9072</v>
      </c>
      <c r="R1117" s="16" t="n">
        <f aca="false">IF(D1117="","",Q1117/$B$15)</f>
        <v>0.35</v>
      </c>
      <c r="S1117" s="16" t="n">
        <f aca="false">IF(D1117="","",MAX(0,J1117-R1117))</f>
        <v>0</v>
      </c>
      <c r="T1117" s="16" t="n">
        <f aca="false">IF(D1117="","",MAX(0,Z1117-$B$8))</f>
        <v>0</v>
      </c>
      <c r="U1117" s="16" t="n">
        <f aca="false">IF(D1117="","",MAX(0,MIN($B$8,Z1117)))</f>
        <v>28.5815307917205</v>
      </c>
      <c r="V1117" s="16" t="str">
        <f aca="false">IF(D1117="","",IF(S1117&gt;0.0000001,"Sim","Não"))</f>
        <v>Não</v>
      </c>
      <c r="W1117" s="16" t="n">
        <f aca="false">IF(D1117="","",U1117-(H1117+E1117-Q1117-O1117-T1117))</f>
        <v>0</v>
      </c>
      <c r="X1117" s="16" t="n">
        <f aca="false">IF(W1117="","",ABS(W1117))</f>
        <v>0</v>
      </c>
      <c r="Y1117" s="16" t="n">
        <f aca="false">IF(U1117="","",IF($B$8=0,0,U1117/$B$8*100))</f>
        <v>60.5284430150793</v>
      </c>
      <c r="Z1117" s="18" t="n">
        <f aca="false">IF(D1117="","",MAX(0,IF(P1117&gt;=0,P1117,IF(K1117+P1117&gt;=0,0,P1117+K1117))))</f>
        <v>28.5815307917205</v>
      </c>
      <c r="AA1117" s="18" t="n">
        <f aca="false">IF(D1117="","",IF(H1117&lt;=$B$16,1,IF(H1117&gt;=$B$17,$B$21,MATCH(H1117,Aux_CAV!$A$2:$A$121,1))))</f>
        <v>12</v>
      </c>
      <c r="AB1117" s="18" t="n">
        <f aca="false">IF(D1117="","",IF(L1117&lt;=$B$16,1,IF(L1117&gt;=$B$17,$B$21,MATCH(L1117,Aux_CAV!$A$2:$A$121,1))))</f>
        <v>12</v>
      </c>
      <c r="AC1117" s="19" t="n">
        <f aca="false">IF(D1117="","",COUNT($D$24:D1117))</f>
        <v>1082</v>
      </c>
    </row>
    <row r="1118" customFormat="false" ht="12.75" hidden="false" customHeight="true" outlineLevel="0" collapsed="false">
      <c r="A1118" s="14" t="n">
        <f aca="false">IF(D1118="","",DATE(B1118,C1118,1))</f>
        <v>36951</v>
      </c>
      <c r="B1118" s="15" t="n">
        <f aca="false" t="array" ref="B1118:B1118">IF(D1118="","",IFERROR(VALUE(INDEX(Vazoes_COLAR!$A$2:$A$200,INT((ROW()-24)/12)+1)),""))</f>
        <v>2001</v>
      </c>
      <c r="C1118" s="15" t="n">
        <f aca="false">IF(D1118="","",MOD(ROW()-24,12)+1)</f>
        <v>3</v>
      </c>
      <c r="D1118" s="16" t="n">
        <f aca="false" t="array" ref="D1118: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1.27765096376854</v>
      </c>
      <c r="E1118" s="16" t="n">
        <f aca="false">IF(D1118="","",D1118*$B$15)</f>
        <v>3.31167129808806</v>
      </c>
      <c r="F1118" s="16" t="n">
        <f aca="false" t="array" ref="F1118:F1118">IF(D1118="","",IFERROR(INDEX(Dados_Evap!$C$2:$N$15,MATCH($B$9,Dados_Evap!$A$2:$A$15,0),C1118),0))</f>
        <v>107.7</v>
      </c>
      <c r="G1118" s="16" t="n">
        <f aca="false">IF(F1118="","",F1118/1000)</f>
        <v>0.1077</v>
      </c>
      <c r="H1118" s="16" t="n">
        <f aca="false">IF(D1118="","",MAX(0,MIN($B$8,IFERROR(LOOKUP(2,1/($U$24:U1117&lt;&gt;""),$U$24:U1117),$B$11))))</f>
        <v>28.5815307917205</v>
      </c>
      <c r="I1118" s="16" t="n">
        <f aca="false" t="array" ref="I1118: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>5.08516873273213</v>
      </c>
      <c r="J1118" s="16" t="n">
        <f aca="false">IF(D1118="","",$B$12)</f>
        <v>0.35</v>
      </c>
      <c r="K1118" s="16" t="n">
        <f aca="false">IF(J1118="","",J1118*$B$15)</f>
        <v>0.9072</v>
      </c>
      <c r="L1118" s="16" t="n">
        <f aca="false">IF(D1118="","",H1118+E1118-K1118-G1118*I1118)</f>
        <v>30.4383294172933</v>
      </c>
      <c r="M1118" s="16" t="n">
        <f aca="false" t="array" ref="M1118: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>5.27805946373823</v>
      </c>
      <c r="N1118" s="16" t="n">
        <f aca="false">IF(D1118="","",(I1118+M1118)/2)</f>
        <v>5.18161409823518</v>
      </c>
      <c r="O1118" s="16" t="n">
        <f aca="false">IF(D1118="","",G1118*N1118)</f>
        <v>0.558059838379929</v>
      </c>
      <c r="P1118" s="16" t="n">
        <f aca="false">IF(D1118="","",H1118+E1118-K1118-O1118)</f>
        <v>30.4279422514286</v>
      </c>
      <c r="Q1118" s="16" t="n">
        <f aca="false">IF(D1118="","",IF(P1118&gt;=0,K1118,MAX(0,K1118+P1118)))</f>
        <v>0.9072</v>
      </c>
      <c r="R1118" s="16" t="n">
        <f aca="false">IF(D1118="","",Q1118/$B$15)</f>
        <v>0.35</v>
      </c>
      <c r="S1118" s="16" t="n">
        <f aca="false">IF(D1118="","",MAX(0,J1118-R1118))</f>
        <v>0</v>
      </c>
      <c r="T1118" s="16" t="n">
        <f aca="false">IF(D1118="","",MAX(0,Z1118-$B$8))</f>
        <v>0</v>
      </c>
      <c r="U1118" s="16" t="n">
        <f aca="false">IF(D1118="","",MAX(0,MIN($B$8,Z1118)))</f>
        <v>30.4279422514286</v>
      </c>
      <c r="V1118" s="16" t="str">
        <f aca="false">IF(D1118="","",IF(S1118&gt;0.0000001,"Sim","Não"))</f>
        <v>Não</v>
      </c>
      <c r="W1118" s="16" t="n">
        <f aca="false">IF(D1118="","",U1118-(H1118+E1118-Q1118-O1118-T1118))</f>
        <v>0</v>
      </c>
      <c r="X1118" s="16" t="n">
        <f aca="false">IF(W1118="","",ABS(W1118))</f>
        <v>0</v>
      </c>
      <c r="Y1118" s="16" t="n">
        <f aca="false">IF(U1118="","",IF($B$8=0,0,U1118/$B$8*100))</f>
        <v>64.4386748230169</v>
      </c>
      <c r="Z1118" s="18" t="n">
        <f aca="false">IF(D1118="","",MAX(0,IF(P1118&gt;=0,P1118,IF(K1118+P1118&gt;=0,0,P1118+K1118))))</f>
        <v>30.4279422514286</v>
      </c>
      <c r="AA1118" s="18" t="n">
        <f aca="false">IF(D1118="","",IF(H1118&lt;=$B$16,1,IF(H1118&gt;=$B$17,$B$21,MATCH(H1118,Aux_CAV!$A$2:$A$121,1))))</f>
        <v>12</v>
      </c>
      <c r="AB1118" s="18" t="n">
        <f aca="false">IF(D1118="","",IF(L1118&lt;=$B$16,1,IF(L1118&gt;=$B$17,$B$21,MATCH(L1118,Aux_CAV!$A$2:$A$121,1))))</f>
        <v>12</v>
      </c>
      <c r="AC1118" s="19" t="n">
        <f aca="false">IF(D1118="","",COUNT($D$24:D1118))</f>
        <v>1083</v>
      </c>
    </row>
    <row r="1119" customFormat="false" ht="12.75" hidden="false" customHeight="true" outlineLevel="0" collapsed="false">
      <c r="A1119" s="14" t="n">
        <f aca="false">IF(D1119="","",DATE(B1119,C1119,1))</f>
        <v>36982</v>
      </c>
      <c r="B1119" s="15" t="n">
        <f aca="false" t="array" ref="B1119:B1119">IF(D1119="","",IFERROR(VALUE(INDEX(Vazoes_COLAR!$A$2:$A$200,INT((ROW()-24)/12)+1)),""))</f>
        <v>2001</v>
      </c>
      <c r="C1119" s="15" t="n">
        <f aca="false">IF(D1119="","",MOD(ROW()-24,12)+1)</f>
        <v>4</v>
      </c>
      <c r="D1119" s="16" t="n">
        <f aca="false" t="array" ref="D1119: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0.668490693734074</v>
      </c>
      <c r="E1119" s="16" t="n">
        <f aca="false">IF(D1119="","",D1119*$B$15)</f>
        <v>1.73272787815872</v>
      </c>
      <c r="F1119" s="16" t="n">
        <f aca="false" t="array" ref="F1119:F1119">IF(D1119="","",IFERROR(INDEX(Dados_Evap!$C$2:$N$15,MATCH($B$9,Dados_Evap!$A$2:$A$15,0),C1119),0))</f>
        <v>100.5</v>
      </c>
      <c r="G1119" s="16" t="n">
        <f aca="false">IF(F1119="","",F1119/1000)</f>
        <v>0.1005</v>
      </c>
      <c r="H1119" s="16" t="n">
        <f aca="false">IF(D1119="","",MAX(0,MIN($B$8,IFERROR(LOOKUP(2,1/($U$24:U1118&lt;&gt;""),$U$24:U1118),$B$11))))</f>
        <v>30.4279422514286</v>
      </c>
      <c r="I1119" s="16" t="n">
        <f aca="false" t="array" ref="I1119: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>5.27698040864355</v>
      </c>
      <c r="J1119" s="16" t="n">
        <f aca="false">IF(D1119="","",$B$12)</f>
        <v>0.35</v>
      </c>
      <c r="K1119" s="16" t="n">
        <f aca="false">IF(J1119="","",J1119*$B$15)</f>
        <v>0.9072</v>
      </c>
      <c r="L1119" s="16" t="n">
        <f aca="false">IF(D1119="","",H1119+E1119-K1119-G1119*I1119)</f>
        <v>30.7231335985186</v>
      </c>
      <c r="M1119" s="16" t="n">
        <f aca="false" t="array" ref="M1119: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>5.30764591751601</v>
      </c>
      <c r="N1119" s="16" t="n">
        <f aca="false">IF(D1119="","",(I1119+M1119)/2)</f>
        <v>5.29231316307978</v>
      </c>
      <c r="O1119" s="16" t="n">
        <f aca="false">IF(D1119="","",G1119*N1119)</f>
        <v>0.531877472889518</v>
      </c>
      <c r="P1119" s="16" t="n">
        <f aca="false">IF(D1119="","",H1119+E1119-K1119-O1119)</f>
        <v>30.7215926566978</v>
      </c>
      <c r="Q1119" s="16" t="n">
        <f aca="false">IF(D1119="","",IF(P1119&gt;=0,K1119,MAX(0,K1119+P1119)))</f>
        <v>0.9072</v>
      </c>
      <c r="R1119" s="16" t="n">
        <f aca="false">IF(D1119="","",Q1119/$B$15)</f>
        <v>0.35</v>
      </c>
      <c r="S1119" s="16" t="n">
        <f aca="false">IF(D1119="","",MAX(0,J1119-R1119))</f>
        <v>0</v>
      </c>
      <c r="T1119" s="16" t="n">
        <f aca="false">IF(D1119="","",MAX(0,Z1119-$B$8))</f>
        <v>0</v>
      </c>
      <c r="U1119" s="16" t="n">
        <f aca="false">IF(D1119="","",MAX(0,MIN($B$8,Z1119)))</f>
        <v>30.7215926566978</v>
      </c>
      <c r="V1119" s="16" t="str">
        <f aca="false">IF(D1119="","",IF(S1119&gt;0.0000001,"Sim","Não"))</f>
        <v>Não</v>
      </c>
      <c r="W1119" s="16" t="n">
        <f aca="false">IF(D1119="","",U1119-(H1119+E1119-Q1119-O1119-T1119))</f>
        <v>0</v>
      </c>
      <c r="X1119" s="16" t="n">
        <f aca="false">IF(W1119="","",ABS(W1119))</f>
        <v>0</v>
      </c>
      <c r="Y1119" s="16" t="n">
        <f aca="false">IF(U1119="","",IF($B$8=0,0,U1119/$B$8*100))</f>
        <v>65.0605520048661</v>
      </c>
      <c r="Z1119" s="18" t="n">
        <f aca="false">IF(D1119="","",MAX(0,IF(P1119&gt;=0,P1119,IF(K1119+P1119&gt;=0,0,P1119+K1119))))</f>
        <v>30.7215926566978</v>
      </c>
      <c r="AA1119" s="18" t="n">
        <f aca="false">IF(D1119="","",IF(H1119&lt;=$B$16,1,IF(H1119&gt;=$B$17,$B$21,MATCH(H1119,Aux_CAV!$A$2:$A$121,1))))</f>
        <v>12</v>
      </c>
      <c r="AB1119" s="18" t="n">
        <f aca="false">IF(D1119="","",IF(L1119&lt;=$B$16,1,IF(L1119&gt;=$B$17,$B$21,MATCH(L1119,Aux_CAV!$A$2:$A$121,1))))</f>
        <v>12</v>
      </c>
      <c r="AC1119" s="19" t="n">
        <f aca="false">IF(D1119="","",COUNT($D$24:D1119))</f>
        <v>1084</v>
      </c>
    </row>
    <row r="1120" customFormat="false" ht="12.75" hidden="false" customHeight="true" outlineLevel="0" collapsed="false">
      <c r="A1120" s="14" t="n">
        <f aca="false">IF(D1120="","",DATE(B1120,C1120,1))</f>
        <v>37012</v>
      </c>
      <c r="B1120" s="15" t="n">
        <f aca="false" t="array" ref="B1120:B1120">IF(D1120="","",IFERROR(VALUE(INDEX(Vazoes_COLAR!$A$2:$A$200,INT((ROW()-24)/12)+1)),""))</f>
        <v>2001</v>
      </c>
      <c r="C1120" s="15" t="n">
        <f aca="false">IF(D1120="","",MOD(ROW()-24,12)+1)</f>
        <v>5</v>
      </c>
      <c r="D1120" s="16" t="n">
        <f aca="false" t="array" ref="D1120: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0.309228111974754</v>
      </c>
      <c r="E1120" s="16" t="n">
        <f aca="false">IF(D1120="","",D1120*$B$15)</f>
        <v>0.801519266238563</v>
      </c>
      <c r="F1120" s="16" t="n">
        <f aca="false" t="array" ref="F1120:F1120">IF(D1120="","",IFERROR(INDEX(Dados_Evap!$C$2:$N$15,MATCH($B$9,Dados_Evap!$A$2:$A$15,0),C1120),0))</f>
        <v>145.8</v>
      </c>
      <c r="G1120" s="16" t="n">
        <f aca="false">IF(F1120="","",F1120/1000)</f>
        <v>0.1458</v>
      </c>
      <c r="H1120" s="16" t="n">
        <f aca="false">IF(D1120="","",MAX(0,MIN($B$8,IFERROR(LOOKUP(2,1/($U$24:U1119&lt;&gt;""),$U$24:U1119),$B$11))))</f>
        <v>30.7215926566978</v>
      </c>
      <c r="I1120" s="16" t="n">
        <f aca="false" t="array" ref="I1120: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>5.30748583909385</v>
      </c>
      <c r="J1120" s="16" t="n">
        <f aca="false">IF(D1120="","",$B$12)</f>
        <v>0.35</v>
      </c>
      <c r="K1120" s="16" t="n">
        <f aca="false">IF(J1120="","",J1120*$B$15)</f>
        <v>0.9072</v>
      </c>
      <c r="L1120" s="16" t="n">
        <f aca="false">IF(D1120="","",H1120+E1120-K1120-G1120*I1120)</f>
        <v>29.8420804875965</v>
      </c>
      <c r="M1120" s="16" t="n">
        <f aca="false" t="array" ref="M1120: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>5.21611904094449</v>
      </c>
      <c r="N1120" s="16" t="n">
        <f aca="false">IF(D1120="","",(I1120+M1120)/2)</f>
        <v>5.26180244001917</v>
      </c>
      <c r="O1120" s="16" t="n">
        <f aca="false">IF(D1120="","",G1120*N1120)</f>
        <v>0.767170795754795</v>
      </c>
      <c r="P1120" s="16" t="n">
        <f aca="false">IF(D1120="","",H1120+E1120-K1120-O1120)</f>
        <v>29.8487411271816</v>
      </c>
      <c r="Q1120" s="16" t="n">
        <f aca="false">IF(D1120="","",IF(P1120&gt;=0,K1120,MAX(0,K1120+P1120)))</f>
        <v>0.9072</v>
      </c>
      <c r="R1120" s="16" t="n">
        <f aca="false">IF(D1120="","",Q1120/$B$15)</f>
        <v>0.35</v>
      </c>
      <c r="S1120" s="16" t="n">
        <f aca="false">IF(D1120="","",MAX(0,J1120-R1120))</f>
        <v>0</v>
      </c>
      <c r="T1120" s="16" t="n">
        <f aca="false">IF(D1120="","",MAX(0,Z1120-$B$8))</f>
        <v>0</v>
      </c>
      <c r="U1120" s="16" t="n">
        <f aca="false">IF(D1120="","",MAX(0,MIN($B$8,Z1120)))</f>
        <v>29.8487411271816</v>
      </c>
      <c r="V1120" s="16" t="str">
        <f aca="false">IF(D1120="","",IF(S1120&gt;0.0000001,"Sim","Não"))</f>
        <v>Não</v>
      </c>
      <c r="W1120" s="16" t="n">
        <f aca="false">IF(D1120="","",U1120-(H1120+E1120-Q1120-O1120-T1120))</f>
        <v>0</v>
      </c>
      <c r="X1120" s="16" t="n">
        <f aca="false">IF(W1120="","",ABS(W1120))</f>
        <v>0</v>
      </c>
      <c r="Y1120" s="16" t="n">
        <f aca="false">IF(U1120="","",IF($B$8=0,0,U1120/$B$8*100))</f>
        <v>63.2120735433747</v>
      </c>
      <c r="Z1120" s="18" t="n">
        <f aca="false">IF(D1120="","",MAX(0,IF(P1120&gt;=0,P1120,IF(K1120+P1120&gt;=0,0,P1120+K1120))))</f>
        <v>29.8487411271816</v>
      </c>
      <c r="AA1120" s="18" t="n">
        <f aca="false">IF(D1120="","",IF(H1120&lt;=$B$16,1,IF(H1120&gt;=$B$17,$B$21,MATCH(H1120,Aux_CAV!$A$2:$A$121,1))))</f>
        <v>12</v>
      </c>
      <c r="AB1120" s="18" t="n">
        <f aca="false">IF(D1120="","",IF(L1120&lt;=$B$16,1,IF(L1120&gt;=$B$17,$B$21,MATCH(L1120,Aux_CAV!$A$2:$A$121,1))))</f>
        <v>12</v>
      </c>
      <c r="AC1120" s="19" t="n">
        <f aca="false">IF(D1120="","",COUNT($D$24:D1120))</f>
        <v>1085</v>
      </c>
    </row>
    <row r="1121" customFormat="false" ht="12.75" hidden="false" customHeight="true" outlineLevel="0" collapsed="false">
      <c r="A1121" s="14" t="n">
        <f aca="false">IF(D1121="","",DATE(B1121,C1121,1))</f>
        <v>37043</v>
      </c>
      <c r="B1121" s="15" t="n">
        <f aca="false" t="array" ref="B1121:B1121">IF(D1121="","",IFERROR(VALUE(INDEX(Vazoes_COLAR!$A$2:$A$200,INT((ROW()-24)/12)+1)),""))</f>
        <v>2001</v>
      </c>
      <c r="C1121" s="15" t="n">
        <f aca="false">IF(D1121="","",MOD(ROW()-24,12)+1)</f>
        <v>6</v>
      </c>
      <c r="D1121" s="16" t="n">
        <f aca="false" t="array" ref="D1121: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0.184440124873856</v>
      </c>
      <c r="E1121" s="16" t="n">
        <f aca="false">IF(D1121="","",D1121*$B$15)</f>
        <v>0.478068803673035</v>
      </c>
      <c r="F1121" s="16" t="n">
        <f aca="false" t="array" ref="F1121:F1121">IF(D1121="","",IFERROR(INDEX(Dados_Evap!$C$2:$N$15,MATCH($B$9,Dados_Evap!$A$2:$A$15,0),C1121),0))</f>
        <v>161.3</v>
      </c>
      <c r="G1121" s="16" t="n">
        <f aca="false">IF(F1121="","",F1121/1000)</f>
        <v>0.1613</v>
      </c>
      <c r="H1121" s="16" t="n">
        <f aca="false">IF(D1121="","",MAX(0,MIN($B$8,IFERROR(LOOKUP(2,1/($U$24:U1120&lt;&gt;""),$U$24:U1120),$B$11))))</f>
        <v>29.8487411271816</v>
      </c>
      <c r="I1121" s="16" t="n">
        <f aca="false" t="array" ref="I1121: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>5.21681097146449</v>
      </c>
      <c r="J1121" s="16" t="n">
        <f aca="false">IF(D1121="","",$B$12)</f>
        <v>0.35</v>
      </c>
      <c r="K1121" s="16" t="n">
        <f aca="false">IF(J1121="","",J1121*$B$15)</f>
        <v>0.9072</v>
      </c>
      <c r="L1121" s="16" t="n">
        <f aca="false">IF(D1121="","",H1121+E1121-K1121-G1121*I1121)</f>
        <v>28.5781383211574</v>
      </c>
      <c r="M1121" s="16" t="n">
        <f aca="false" t="array" ref="M1121: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>5.08481631103285</v>
      </c>
      <c r="N1121" s="16" t="n">
        <f aca="false">IF(D1121="","",(I1121+M1121)/2)</f>
        <v>5.15081364124867</v>
      </c>
      <c r="O1121" s="16" t="n">
        <f aca="false">IF(D1121="","",G1121*N1121)</f>
        <v>0.830826240333411</v>
      </c>
      <c r="P1121" s="16" t="n">
        <f aca="false">IF(D1121="","",H1121+E1121-K1121-O1121)</f>
        <v>28.5887836905212</v>
      </c>
      <c r="Q1121" s="16" t="n">
        <f aca="false">IF(D1121="","",IF(P1121&gt;=0,K1121,MAX(0,K1121+P1121)))</f>
        <v>0.9072</v>
      </c>
      <c r="R1121" s="16" t="n">
        <f aca="false">IF(D1121="","",Q1121/$B$15)</f>
        <v>0.35</v>
      </c>
      <c r="S1121" s="16" t="n">
        <f aca="false">IF(D1121="","",MAX(0,J1121-R1121))</f>
        <v>0</v>
      </c>
      <c r="T1121" s="16" t="n">
        <f aca="false">IF(D1121="","",MAX(0,Z1121-$B$8))</f>
        <v>0</v>
      </c>
      <c r="U1121" s="16" t="n">
        <f aca="false">IF(D1121="","",MAX(0,MIN($B$8,Z1121)))</f>
        <v>28.5887836905212</v>
      </c>
      <c r="V1121" s="16" t="str">
        <f aca="false">IF(D1121="","",IF(S1121&gt;0.0000001,"Sim","Não"))</f>
        <v>Não</v>
      </c>
      <c r="W1121" s="16" t="n">
        <f aca="false">IF(D1121="","",U1121-(H1121+E1121-Q1121-O1121-T1121))</f>
        <v>0</v>
      </c>
      <c r="X1121" s="16" t="n">
        <f aca="false">IF(W1121="","",ABS(W1121))</f>
        <v>0</v>
      </c>
      <c r="Y1121" s="16" t="n">
        <f aca="false">IF(U1121="","",IF($B$8=0,0,U1121/$B$8*100))</f>
        <v>60.5438028177069</v>
      </c>
      <c r="Z1121" s="18" t="n">
        <f aca="false">IF(D1121="","",MAX(0,IF(P1121&gt;=0,P1121,IF(K1121+P1121&gt;=0,0,P1121+K1121))))</f>
        <v>28.5887836905212</v>
      </c>
      <c r="AA1121" s="18" t="n">
        <f aca="false">IF(D1121="","",IF(H1121&lt;=$B$16,1,IF(H1121&gt;=$B$17,$B$21,MATCH(H1121,Aux_CAV!$A$2:$A$121,1))))</f>
        <v>12</v>
      </c>
      <c r="AB1121" s="18" t="n">
        <f aca="false">IF(D1121="","",IF(L1121&lt;=$B$16,1,IF(L1121&gt;=$B$17,$B$21,MATCH(L1121,Aux_CAV!$A$2:$A$121,1))))</f>
        <v>12</v>
      </c>
      <c r="AC1121" s="19" t="n">
        <f aca="false">IF(D1121="","",COUNT($D$24:D1121))</f>
        <v>1086</v>
      </c>
    </row>
    <row r="1122" customFormat="false" ht="12.75" hidden="false" customHeight="true" outlineLevel="0" collapsed="false">
      <c r="A1122" s="14" t="n">
        <f aca="false">IF(D1122="","",DATE(B1122,C1122,1))</f>
        <v>37073</v>
      </c>
      <c r="B1122" s="15" t="n">
        <f aca="false" t="array" ref="B1122:B1122">IF(D1122="","",IFERROR(VALUE(INDEX(Vazoes_COLAR!$A$2:$A$200,INT((ROW()-24)/12)+1)),""))</f>
        <v>2001</v>
      </c>
      <c r="C1122" s="15" t="n">
        <f aca="false">IF(D1122="","",MOD(ROW()-24,12)+1)</f>
        <v>7</v>
      </c>
      <c r="D1122" s="16" t="n">
        <f aca="false" t="array" ref="D1122: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0.0263960692204148</v>
      </c>
      <c r="E1122" s="16" t="n">
        <f aca="false">IF(D1122="","",D1122*$B$15)</f>
        <v>0.0684186114193152</v>
      </c>
      <c r="F1122" s="16" t="n">
        <f aca="false" t="array" ref="F1122:F1122">IF(D1122="","",IFERROR(INDEX(Dados_Evap!$C$2:$N$15,MATCH($B$9,Dados_Evap!$A$2:$A$15,0),C1122),0))</f>
        <v>224.8</v>
      </c>
      <c r="G1122" s="16" t="n">
        <f aca="false">IF(F1122="","",F1122/1000)</f>
        <v>0.2248</v>
      </c>
      <c r="H1122" s="16" t="n">
        <f aca="false">IF(D1122="","",MAX(0,MIN($B$8,IFERROR(LOOKUP(2,1/($U$24:U1121&lt;&gt;""),$U$24:U1121),$B$11))))</f>
        <v>28.5887836905212</v>
      </c>
      <c r="I1122" s="16" t="n">
        <f aca="false" t="array" ref="I1122: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>5.08592218920948</v>
      </c>
      <c r="J1122" s="16" t="n">
        <f aca="false">IF(D1122="","",$B$12)</f>
        <v>0.35</v>
      </c>
      <c r="K1122" s="16" t="n">
        <f aca="false">IF(J1122="","",J1122*$B$15)</f>
        <v>0.9072</v>
      </c>
      <c r="L1122" s="16" t="n">
        <f aca="false">IF(D1122="","",H1122+E1122-K1122-G1122*I1122)</f>
        <v>26.6066869938062</v>
      </c>
      <c r="M1122" s="16" t="n">
        <f aca="false" t="array" ref="M1122: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>4.88001505663812</v>
      </c>
      <c r="N1122" s="16" t="n">
        <f aca="false">IF(D1122="","",(I1122+M1122)/2)</f>
        <v>4.9829686229238</v>
      </c>
      <c r="O1122" s="16" t="n">
        <f aca="false">IF(D1122="","",G1122*N1122)</f>
        <v>1.12017134643327</v>
      </c>
      <c r="P1122" s="16" t="n">
        <f aca="false">IF(D1122="","",H1122+E1122-K1122-O1122)</f>
        <v>26.6298309555072</v>
      </c>
      <c r="Q1122" s="16" t="n">
        <f aca="false">IF(D1122="","",IF(P1122&gt;=0,K1122,MAX(0,K1122+P1122)))</f>
        <v>0.9072</v>
      </c>
      <c r="R1122" s="16" t="n">
        <f aca="false">IF(D1122="","",Q1122/$B$15)</f>
        <v>0.35</v>
      </c>
      <c r="S1122" s="16" t="n">
        <f aca="false">IF(D1122="","",MAX(0,J1122-R1122))</f>
        <v>0</v>
      </c>
      <c r="T1122" s="16" t="n">
        <f aca="false">IF(D1122="","",MAX(0,Z1122-$B$8))</f>
        <v>0</v>
      </c>
      <c r="U1122" s="16" t="n">
        <f aca="false">IF(D1122="","",MAX(0,MIN($B$8,Z1122)))</f>
        <v>26.6298309555072</v>
      </c>
      <c r="V1122" s="16" t="str">
        <f aca="false">IF(D1122="","",IF(S1122&gt;0.0000001,"Sim","Não"))</f>
        <v>Não</v>
      </c>
      <c r="W1122" s="16" t="n">
        <f aca="false">IF(D1122="","",U1122-(H1122+E1122-Q1122-O1122-T1122))</f>
        <v>0</v>
      </c>
      <c r="X1122" s="16" t="n">
        <f aca="false">IF(W1122="","",ABS(W1122))</f>
        <v>0</v>
      </c>
      <c r="Y1122" s="16" t="n">
        <f aca="false">IF(U1122="","",IF($B$8=0,0,U1122/$B$8*100))</f>
        <v>56.3952370934079</v>
      </c>
      <c r="Z1122" s="18" t="n">
        <f aca="false">IF(D1122="","",MAX(0,IF(P1122&gt;=0,P1122,IF(K1122+P1122&gt;=0,0,P1122+K1122))))</f>
        <v>26.6298309555072</v>
      </c>
      <c r="AA1122" s="18" t="n">
        <f aca="false">IF(D1122="","",IF(H1122&lt;=$B$16,1,IF(H1122&gt;=$B$17,$B$21,MATCH(H1122,Aux_CAV!$A$2:$A$121,1))))</f>
        <v>12</v>
      </c>
      <c r="AB1122" s="18" t="n">
        <f aca="false">IF(D1122="","",IF(L1122&lt;=$B$16,1,IF(L1122&gt;=$B$17,$B$21,MATCH(L1122,Aux_CAV!$A$2:$A$121,1))))</f>
        <v>12</v>
      </c>
      <c r="AC1122" s="19" t="n">
        <f aca="false">IF(D1122="","",COUNT($D$24:D1122))</f>
        <v>1087</v>
      </c>
    </row>
    <row r="1123" customFormat="false" ht="12.75" hidden="false" customHeight="true" outlineLevel="0" collapsed="false">
      <c r="A1123" s="14" t="n">
        <f aca="false">IF(D1123="","",DATE(B1123,C1123,1))</f>
        <v>37104</v>
      </c>
      <c r="B1123" s="15" t="n">
        <f aca="false" t="array" ref="B1123:B1123">IF(D1123="","",IFERROR(VALUE(INDEX(Vazoes_COLAR!$A$2:$A$200,INT((ROW()-24)/12)+1)),""))</f>
        <v>2001</v>
      </c>
      <c r="C1123" s="15" t="n">
        <f aca="false">IF(D1123="","",MOD(ROW()-24,12)+1)</f>
        <v>8</v>
      </c>
      <c r="D1123" s="16" t="n">
        <f aca="false" t="array" ref="D1123: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0.0111773646376357</v>
      </c>
      <c r="E1123" s="16" t="n">
        <f aca="false">IF(D1123="","",D1123*$B$15)</f>
        <v>0.0289717291407517</v>
      </c>
      <c r="F1123" s="16" t="n">
        <f aca="false" t="array" ref="F1123:F1123">IF(D1123="","",IFERROR(INDEX(Dados_Evap!$C$2:$N$15,MATCH($B$9,Dados_Evap!$A$2:$A$15,0),C1123),0))</f>
        <v>268.7</v>
      </c>
      <c r="G1123" s="16" t="n">
        <f aca="false">IF(F1123="","",F1123/1000)</f>
        <v>0.2687</v>
      </c>
      <c r="H1123" s="16" t="n">
        <f aca="false">IF(D1123="","",MAX(0,MIN($B$8,IFERROR(LOOKUP(2,1/($U$24:U1122&lt;&gt;""),$U$24:U1122),$B$11))))</f>
        <v>26.6298309555072</v>
      </c>
      <c r="I1123" s="16" t="n">
        <f aca="false" t="array" ref="I1123: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>4.88241933227114</v>
      </c>
      <c r="J1123" s="16" t="n">
        <f aca="false">IF(D1123="","",$B$12)</f>
        <v>0.35</v>
      </c>
      <c r="K1123" s="16" t="n">
        <f aca="false">IF(J1123="","",J1123*$B$15)</f>
        <v>0.9072</v>
      </c>
      <c r="L1123" s="16" t="n">
        <f aca="false">IF(D1123="","",H1123+E1123-K1123-G1123*I1123)</f>
        <v>24.4396966100667</v>
      </c>
      <c r="M1123" s="16" t="n">
        <f aca="false" t="array" ref="M1123: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>4.65490052162829</v>
      </c>
      <c r="N1123" s="16" t="n">
        <f aca="false">IF(D1123="","",(I1123+M1123)/2)</f>
        <v>4.76865992694972</v>
      </c>
      <c r="O1123" s="16" t="n">
        <f aca="false">IF(D1123="","",G1123*N1123)</f>
        <v>1.28133892237139</v>
      </c>
      <c r="P1123" s="16" t="n">
        <f aca="false">IF(D1123="","",H1123+E1123-K1123-O1123)</f>
        <v>24.4702637622766</v>
      </c>
      <c r="Q1123" s="16" t="n">
        <f aca="false">IF(D1123="","",IF(P1123&gt;=0,K1123,MAX(0,K1123+P1123)))</f>
        <v>0.9072</v>
      </c>
      <c r="R1123" s="16" t="n">
        <f aca="false">IF(D1123="","",Q1123/$B$15)</f>
        <v>0.35</v>
      </c>
      <c r="S1123" s="16" t="n">
        <f aca="false">IF(D1123="","",MAX(0,J1123-R1123))</f>
        <v>0</v>
      </c>
      <c r="T1123" s="16" t="n">
        <f aca="false">IF(D1123="","",MAX(0,Z1123-$B$8))</f>
        <v>0</v>
      </c>
      <c r="U1123" s="16" t="n">
        <f aca="false">IF(D1123="","",MAX(0,MIN($B$8,Z1123)))</f>
        <v>24.4702637622766</v>
      </c>
      <c r="V1123" s="16" t="str">
        <f aca="false">IF(D1123="","",IF(S1123&gt;0.0000001,"Sim","Não"))</f>
        <v>Não</v>
      </c>
      <c r="W1123" s="16" t="n">
        <f aca="false">IF(D1123="","",U1123-(H1123+E1123-Q1123-O1123-T1123))</f>
        <v>0</v>
      </c>
      <c r="X1123" s="16" t="n">
        <f aca="false">IF(W1123="","",ABS(W1123))</f>
        <v>0</v>
      </c>
      <c r="Y1123" s="16" t="n">
        <f aca="false">IF(U1123="","",IF($B$8=0,0,U1123/$B$8*100))</f>
        <v>51.8218207587391</v>
      </c>
      <c r="Z1123" s="18" t="n">
        <f aca="false">IF(D1123="","",MAX(0,IF(P1123&gt;=0,P1123,IF(K1123+P1123&gt;=0,0,P1123+K1123))))</f>
        <v>24.4702637622766</v>
      </c>
      <c r="AA1123" s="18" t="n">
        <f aca="false">IF(D1123="","",IF(H1123&lt;=$B$16,1,IF(H1123&gt;=$B$17,$B$21,MATCH(H1123,Aux_CAV!$A$2:$A$121,1))))</f>
        <v>12</v>
      </c>
      <c r="AB1123" s="18" t="n">
        <f aca="false">IF(D1123="","",IF(L1123&lt;=$B$16,1,IF(L1123&gt;=$B$17,$B$21,MATCH(L1123,Aux_CAV!$A$2:$A$121,1))))</f>
        <v>12</v>
      </c>
      <c r="AC1123" s="19" t="n">
        <f aca="false">IF(D1123="","",COUNT($D$24:D1123))</f>
        <v>1088</v>
      </c>
    </row>
    <row r="1124" customFormat="false" ht="12.75" hidden="false" customHeight="true" outlineLevel="0" collapsed="false">
      <c r="A1124" s="14" t="n">
        <f aca="false">IF(D1124="","",DATE(B1124,C1124,1))</f>
        <v>37135</v>
      </c>
      <c r="B1124" s="15" t="n">
        <f aca="false" t="array" ref="B1124:B1124">IF(D1124="","",IFERROR(VALUE(INDEX(Vazoes_COLAR!$A$2:$A$200,INT((ROW()-24)/12)+1)),""))</f>
        <v>2001</v>
      </c>
      <c r="C1124" s="15" t="n">
        <f aca="false">IF(D1124="","",MOD(ROW()-24,12)+1)</f>
        <v>9</v>
      </c>
      <c r="D1124" s="16" t="n">
        <f aca="false" t="array" ref="D1124: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0.0126921032402527</v>
      </c>
      <c r="E1124" s="16" t="n">
        <f aca="false">IF(D1124="","",D1124*$B$15)</f>
        <v>0.032897931598735</v>
      </c>
      <c r="F1124" s="16" t="n">
        <f aca="false" t="array" ref="F1124:F1124">IF(D1124="","",IFERROR(INDEX(Dados_Evap!$C$2:$N$15,MATCH($B$9,Dados_Evap!$A$2:$A$15,0),C1124),0))</f>
        <v>292.8</v>
      </c>
      <c r="G1124" s="16" t="n">
        <f aca="false">IF(F1124="","",F1124/1000)</f>
        <v>0.2928</v>
      </c>
      <c r="H1124" s="16" t="n">
        <f aca="false">IF(D1124="","",MAX(0,MIN($B$8,IFERROR(LOOKUP(2,1/($U$24:U1123&lt;&gt;""),$U$24:U1123),$B$11))))</f>
        <v>24.4702637622766</v>
      </c>
      <c r="I1124" s="16" t="n">
        <f aca="false" t="array" ref="I1124: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>4.6580759442365</v>
      </c>
      <c r="J1124" s="16" t="n">
        <f aca="false">IF(D1124="","",$B$12)</f>
        <v>0.35</v>
      </c>
      <c r="K1124" s="16" t="n">
        <f aca="false">IF(J1124="","",J1124*$B$15)</f>
        <v>0.9072</v>
      </c>
      <c r="L1124" s="16" t="n">
        <f aca="false">IF(D1124="","",H1124+E1124-K1124-G1124*I1124)</f>
        <v>22.2320770574029</v>
      </c>
      <c r="M1124" s="16" t="n">
        <f aca="false" t="array" ref="M1124: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>4.39480920929937</v>
      </c>
      <c r="N1124" s="16" t="n">
        <f aca="false">IF(D1124="","",(I1124+M1124)/2)</f>
        <v>4.52644257676793</v>
      </c>
      <c r="O1124" s="16" t="n">
        <f aca="false">IF(D1124="","",G1124*N1124)</f>
        <v>1.32534238647765</v>
      </c>
      <c r="P1124" s="16" t="n">
        <f aca="false">IF(D1124="","",H1124+E1124-K1124-O1124)</f>
        <v>22.2706193073977</v>
      </c>
      <c r="Q1124" s="16" t="n">
        <f aca="false">IF(D1124="","",IF(P1124&gt;=0,K1124,MAX(0,K1124+P1124)))</f>
        <v>0.9072</v>
      </c>
      <c r="R1124" s="16" t="n">
        <f aca="false">IF(D1124="","",Q1124/$B$15)</f>
        <v>0.35</v>
      </c>
      <c r="S1124" s="16" t="n">
        <f aca="false">IF(D1124="","",MAX(0,J1124-R1124))</f>
        <v>0</v>
      </c>
      <c r="T1124" s="16" t="n">
        <f aca="false">IF(D1124="","",MAX(0,Z1124-$B$8))</f>
        <v>0</v>
      </c>
      <c r="U1124" s="16" t="n">
        <f aca="false">IF(D1124="","",MAX(0,MIN($B$8,Z1124)))</f>
        <v>22.2706193073977</v>
      </c>
      <c r="V1124" s="16" t="str">
        <f aca="false">IF(D1124="","",IF(S1124&gt;0.0000001,"Sim","Não"))</f>
        <v>Não</v>
      </c>
      <c r="W1124" s="16" t="n">
        <f aca="false">IF(D1124="","",U1124-(H1124+E1124-Q1124-O1124-T1124))</f>
        <v>0</v>
      </c>
      <c r="X1124" s="16" t="n">
        <f aca="false">IF(W1124="","",ABS(W1124))</f>
        <v>0</v>
      </c>
      <c r="Y1124" s="16" t="n">
        <f aca="false">IF(U1124="","",IF($B$8=0,0,U1124/$B$8*100))</f>
        <v>47.1635309347685</v>
      </c>
      <c r="Z1124" s="18" t="n">
        <f aca="false">IF(D1124="","",MAX(0,IF(P1124&gt;=0,P1124,IF(K1124+P1124&gt;=0,0,P1124+K1124))))</f>
        <v>22.2706193073977</v>
      </c>
      <c r="AA1124" s="18" t="n">
        <f aca="false">IF(D1124="","",IF(H1124&lt;=$B$16,1,IF(H1124&gt;=$B$17,$B$21,MATCH(H1124,Aux_CAV!$A$2:$A$121,1))))</f>
        <v>12</v>
      </c>
      <c r="AB1124" s="18" t="n">
        <f aca="false">IF(D1124="","",IF(L1124&lt;=$B$16,1,IF(L1124&gt;=$B$17,$B$21,MATCH(L1124,Aux_CAV!$A$2:$A$121,1))))</f>
        <v>11</v>
      </c>
      <c r="AC1124" s="19" t="n">
        <f aca="false">IF(D1124="","",COUNT($D$24:D1124))</f>
        <v>1089</v>
      </c>
    </row>
    <row r="1125" customFormat="false" ht="12.75" hidden="false" customHeight="true" outlineLevel="0" collapsed="false">
      <c r="A1125" s="14" t="n">
        <f aca="false">IF(D1125="","",DATE(B1125,C1125,1))</f>
        <v>37165</v>
      </c>
      <c r="B1125" s="15" t="n">
        <f aca="false" t="array" ref="B1125:B1125">IF(D1125="","",IFERROR(VALUE(INDEX(Vazoes_COLAR!$A$2:$A$200,INT((ROW()-24)/12)+1)),""))</f>
        <v>2001</v>
      </c>
      <c r="C1125" s="15" t="n">
        <f aca="false">IF(D1125="","",MOD(ROW()-24,12)+1)</f>
        <v>10</v>
      </c>
      <c r="D1125" s="16" t="n">
        <f aca="false" t="array" ref="D1125: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0.0236988100040741</v>
      </c>
      <c r="E1125" s="16" t="n">
        <f aca="false">IF(D1125="","",D1125*$B$15)</f>
        <v>0.0614273155305601</v>
      </c>
      <c r="F1125" s="16" t="n">
        <f aca="false" t="array" ref="F1125:F1125">IF(D1125="","",IFERROR(INDEX(Dados_Evap!$C$2:$N$15,MATCH($B$9,Dados_Evap!$A$2:$A$15,0),C1125),0))</f>
        <v>262.9</v>
      </c>
      <c r="G1125" s="16" t="n">
        <f aca="false">IF(F1125="","",F1125/1000)</f>
        <v>0.2629</v>
      </c>
      <c r="H1125" s="16" t="n">
        <f aca="false">IF(D1125="","",MAX(0,MIN($B$8,IFERROR(LOOKUP(2,1/($U$24:U1124&lt;&gt;""),$U$24:U1124),$B$11))))</f>
        <v>22.2706193073977</v>
      </c>
      <c r="I1125" s="16" t="n">
        <f aca="false" t="array" ref="I1125: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>4.39941547820119</v>
      </c>
      <c r="J1125" s="16" t="n">
        <f aca="false">IF(D1125="","",$B$12)</f>
        <v>0.35</v>
      </c>
      <c r="K1125" s="16" t="n">
        <f aca="false">IF(J1125="","",J1125*$B$15)</f>
        <v>0.9072</v>
      </c>
      <c r="L1125" s="16" t="n">
        <f aca="false">IF(D1125="","",H1125+E1125-K1125-G1125*I1125)</f>
        <v>20.2682402937091</v>
      </c>
      <c r="M1125" s="16" t="n">
        <f aca="false" t="array" ref="M1125: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>4.16010676680914</v>
      </c>
      <c r="N1125" s="16" t="n">
        <f aca="false">IF(D1125="","",(I1125+M1125)/2)</f>
        <v>4.27976112250516</v>
      </c>
      <c r="O1125" s="16" t="n">
        <f aca="false">IF(D1125="","",G1125*N1125)</f>
        <v>1.12514919910661</v>
      </c>
      <c r="P1125" s="16" t="n">
        <f aca="false">IF(D1125="","",H1125+E1125-K1125-O1125)</f>
        <v>20.2996974238216</v>
      </c>
      <c r="Q1125" s="16" t="n">
        <f aca="false">IF(D1125="","",IF(P1125&gt;=0,K1125,MAX(0,K1125+P1125)))</f>
        <v>0.9072</v>
      </c>
      <c r="R1125" s="16" t="n">
        <f aca="false">IF(D1125="","",Q1125/$B$15)</f>
        <v>0.35</v>
      </c>
      <c r="S1125" s="16" t="n">
        <f aca="false">IF(D1125="","",MAX(0,J1125-R1125))</f>
        <v>0</v>
      </c>
      <c r="T1125" s="16" t="n">
        <f aca="false">IF(D1125="","",MAX(0,Z1125-$B$8))</f>
        <v>0</v>
      </c>
      <c r="U1125" s="16" t="n">
        <f aca="false">IF(D1125="","",MAX(0,MIN($B$8,Z1125)))</f>
        <v>20.2996974238216</v>
      </c>
      <c r="V1125" s="16" t="str">
        <f aca="false">IF(D1125="","",IF(S1125&gt;0.0000001,"Sim","Não"))</f>
        <v>Não</v>
      </c>
      <c r="W1125" s="16" t="n">
        <f aca="false">IF(D1125="","",U1125-(H1125+E1125-Q1125-O1125-T1125))</f>
        <v>0</v>
      </c>
      <c r="X1125" s="16" t="n">
        <f aca="false">IF(W1125="","",ABS(W1125))</f>
        <v>0</v>
      </c>
      <c r="Y1125" s="16" t="n">
        <f aca="false">IF(U1125="","",IF($B$8=0,0,U1125/$B$8*100))</f>
        <v>42.989617585391</v>
      </c>
      <c r="Z1125" s="18" t="n">
        <f aca="false">IF(D1125="","",MAX(0,IF(P1125&gt;=0,P1125,IF(K1125+P1125&gt;=0,0,P1125+K1125))))</f>
        <v>20.2996974238216</v>
      </c>
      <c r="AA1125" s="18" t="n">
        <f aca="false">IF(D1125="","",IF(H1125&lt;=$B$16,1,IF(H1125&gt;=$B$17,$B$21,MATCH(H1125,Aux_CAV!$A$2:$A$121,1))))</f>
        <v>11</v>
      </c>
      <c r="AB1125" s="18" t="n">
        <f aca="false">IF(D1125="","",IF(L1125&lt;=$B$16,1,IF(L1125&gt;=$B$17,$B$21,MATCH(L1125,Aux_CAV!$A$2:$A$121,1))))</f>
        <v>11</v>
      </c>
      <c r="AC1125" s="19" t="n">
        <f aca="false">IF(D1125="","",COUNT($D$24:D1125))</f>
        <v>1090</v>
      </c>
    </row>
    <row r="1126" customFormat="false" ht="12.75" hidden="false" customHeight="true" outlineLevel="0" collapsed="false">
      <c r="A1126" s="14" t="n">
        <f aca="false">IF(D1126="","",DATE(B1126,C1126,1))</f>
        <v>37196</v>
      </c>
      <c r="B1126" s="15" t="n">
        <f aca="false" t="array" ref="B1126:B1126">IF(D1126="","",IFERROR(VALUE(INDEX(Vazoes_COLAR!$A$2:$A$200,INT((ROW()-24)/12)+1)),""))</f>
        <v>2001</v>
      </c>
      <c r="C1126" s="15" t="n">
        <f aca="false">IF(D1126="","",MOD(ROW()-24,12)+1)</f>
        <v>11</v>
      </c>
      <c r="D1126" s="16" t="n">
        <f aca="false" t="array" ref="D1126: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0.00941890576114832</v>
      </c>
      <c r="E1126" s="16" t="n">
        <f aca="false">IF(D1126="","",D1126*$B$15)</f>
        <v>0.0244138037328964</v>
      </c>
      <c r="F1126" s="16" t="n">
        <f aca="false" t="array" ref="F1126:F1126">IF(D1126="","",IFERROR(INDEX(Dados_Evap!$C$2:$N$15,MATCH($B$9,Dados_Evap!$A$2:$A$15,0),C1126),0))</f>
        <v>223.7</v>
      </c>
      <c r="G1126" s="16" t="n">
        <f aca="false">IF(F1126="","",F1126/1000)</f>
        <v>0.2237</v>
      </c>
      <c r="H1126" s="16" t="n">
        <f aca="false">IF(D1126="","",MAX(0,MIN($B$8,IFERROR(LOOKUP(2,1/($U$24:U1125&lt;&gt;""),$U$24:U1125),$B$11))))</f>
        <v>20.2996974238216</v>
      </c>
      <c r="I1126" s="16" t="n">
        <f aca="false" t="array" ref="I1126: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>4.16386627748112</v>
      </c>
      <c r="J1126" s="16" t="n">
        <f aca="false">IF(D1126="","",$B$12)</f>
        <v>0.35</v>
      </c>
      <c r="K1126" s="16" t="n">
        <f aca="false">IF(J1126="","",J1126*$B$15)</f>
        <v>0.9072</v>
      </c>
      <c r="L1126" s="16" t="n">
        <f aca="false">IF(D1126="","",H1126+E1126-K1126-G1126*I1126)</f>
        <v>18.485454341282</v>
      </c>
      <c r="M1126" s="16" t="n">
        <f aca="false" t="array" ref="M1126: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>3.94704210420199</v>
      </c>
      <c r="N1126" s="16" t="n">
        <f aca="false">IF(D1126="","",(I1126+M1126)/2)</f>
        <v>4.05545419084156</v>
      </c>
      <c r="O1126" s="16" t="n">
        <f aca="false">IF(D1126="","",G1126*N1126)</f>
        <v>0.907205102491256</v>
      </c>
      <c r="P1126" s="16" t="n">
        <f aca="false">IF(D1126="","",H1126+E1126-K1126-O1126)</f>
        <v>18.5097061250633</v>
      </c>
      <c r="Q1126" s="16" t="n">
        <f aca="false">IF(D1126="","",IF(P1126&gt;=0,K1126,MAX(0,K1126+P1126)))</f>
        <v>0.9072</v>
      </c>
      <c r="R1126" s="16" t="n">
        <f aca="false">IF(D1126="","",Q1126/$B$15)</f>
        <v>0.35</v>
      </c>
      <c r="S1126" s="16" t="n">
        <f aca="false">IF(D1126="","",MAX(0,J1126-R1126))</f>
        <v>0</v>
      </c>
      <c r="T1126" s="16" t="n">
        <f aca="false">IF(D1126="","",MAX(0,Z1126-$B$8))</f>
        <v>0</v>
      </c>
      <c r="U1126" s="16" t="n">
        <f aca="false">IF(D1126="","",MAX(0,MIN($B$8,Z1126)))</f>
        <v>18.5097061250633</v>
      </c>
      <c r="V1126" s="16" t="str">
        <f aca="false">IF(D1126="","",IF(S1126&gt;0.0000001,"Sim","Não"))</f>
        <v>Não</v>
      </c>
      <c r="W1126" s="16" t="n">
        <f aca="false">IF(D1126="","",U1126-(H1126+E1126-Q1126-O1126-T1126))</f>
        <v>0</v>
      </c>
      <c r="X1126" s="16" t="n">
        <f aca="false">IF(W1126="","",ABS(W1126))</f>
        <v>0</v>
      </c>
      <c r="Y1126" s="16" t="n">
        <f aca="false">IF(U1126="","",IF($B$8=0,0,U1126/$B$8*100))</f>
        <v>39.1988693881052</v>
      </c>
      <c r="Z1126" s="18" t="n">
        <f aca="false">IF(D1126="","",MAX(0,IF(P1126&gt;=0,P1126,IF(K1126+P1126&gt;=0,0,P1126+K1126))))</f>
        <v>18.5097061250633</v>
      </c>
      <c r="AA1126" s="18" t="n">
        <f aca="false">IF(D1126="","",IF(H1126&lt;=$B$16,1,IF(H1126&gt;=$B$17,$B$21,MATCH(H1126,Aux_CAV!$A$2:$A$121,1))))</f>
        <v>11</v>
      </c>
      <c r="AB1126" s="18" t="n">
        <f aca="false">IF(D1126="","",IF(L1126&lt;=$B$16,1,IF(L1126&gt;=$B$17,$B$21,MATCH(L1126,Aux_CAV!$A$2:$A$121,1))))</f>
        <v>11</v>
      </c>
      <c r="AC1126" s="19" t="n">
        <f aca="false">IF(D1126="","",COUNT($D$24:D1126))</f>
        <v>1091</v>
      </c>
    </row>
    <row r="1127" customFormat="false" ht="12.75" hidden="false" customHeight="true" outlineLevel="0" collapsed="false">
      <c r="A1127" s="14" t="n">
        <f aca="false">IF(D1127="","",DATE(B1127,C1127,1))</f>
        <v>37226</v>
      </c>
      <c r="B1127" s="15" t="n">
        <f aca="false" t="array" ref="B1127:B1127">IF(D1127="","",IFERROR(VALUE(INDEX(Vazoes_COLAR!$A$2:$A$200,INT((ROW()-24)/12)+1)),""))</f>
        <v>2001</v>
      </c>
      <c r="C1127" s="15" t="n">
        <f aca="false">IF(D1127="","",MOD(ROW()-24,12)+1)</f>
        <v>12</v>
      </c>
      <c r="D1127" s="16" t="n">
        <f aca="false" t="array" ref="D1127: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0.161136005302104</v>
      </c>
      <c r="E1127" s="16" t="n">
        <f aca="false">IF(D1127="","",D1127*$B$15)</f>
        <v>0.417664525743054</v>
      </c>
      <c r="F1127" s="16" t="n">
        <f aca="false" t="array" ref="F1127:F1127">IF(D1127="","",IFERROR(INDEX(Dados_Evap!$C$2:$N$15,MATCH($B$9,Dados_Evap!$A$2:$A$15,0),C1127),0))</f>
        <v>216.1</v>
      </c>
      <c r="G1127" s="16" t="n">
        <f aca="false">IF(F1127="","",F1127/1000)</f>
        <v>0.2161</v>
      </c>
      <c r="H1127" s="16" t="n">
        <f aca="false">IF(D1127="","",MAX(0,MIN($B$8,IFERROR(LOOKUP(2,1/($U$24:U1126&lt;&gt;""),$U$24:U1126),$B$11))))</f>
        <v>18.5097061250633</v>
      </c>
      <c r="I1127" s="16" t="n">
        <f aca="false" t="array" ref="I1127: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>3.94994048811732</v>
      </c>
      <c r="J1127" s="16" t="n">
        <f aca="false">IF(D1127="","",$B$12)</f>
        <v>0.35</v>
      </c>
      <c r="K1127" s="16" t="n">
        <f aca="false">IF(J1127="","",J1127*$B$15)</f>
        <v>0.9072</v>
      </c>
      <c r="L1127" s="16" t="n">
        <f aca="false">IF(D1127="","",H1127+E1127-K1127-G1127*I1127)</f>
        <v>17.1665885113242</v>
      </c>
      <c r="M1127" s="16" t="n">
        <f aca="false" t="array" ref="M1127: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>3.7894215537924</v>
      </c>
      <c r="N1127" s="16" t="n">
        <f aca="false">IF(D1127="","",(I1127+M1127)/2)</f>
        <v>3.86968102095486</v>
      </c>
      <c r="O1127" s="16" t="n">
        <f aca="false">IF(D1127="","",G1127*N1127)</f>
        <v>0.836238068628345</v>
      </c>
      <c r="P1127" s="16" t="n">
        <f aca="false">IF(D1127="","",H1127+E1127-K1127-O1127)</f>
        <v>17.183932582178</v>
      </c>
      <c r="Q1127" s="16" t="n">
        <f aca="false">IF(D1127="","",IF(P1127&gt;=0,K1127,MAX(0,K1127+P1127)))</f>
        <v>0.9072</v>
      </c>
      <c r="R1127" s="16" t="n">
        <f aca="false">IF(D1127="","",Q1127/$B$15)</f>
        <v>0.35</v>
      </c>
      <c r="S1127" s="16" t="n">
        <f aca="false">IF(D1127="","",MAX(0,J1127-R1127))</f>
        <v>0</v>
      </c>
      <c r="T1127" s="16" t="n">
        <f aca="false">IF(D1127="","",MAX(0,Z1127-$B$8))</f>
        <v>0</v>
      </c>
      <c r="U1127" s="16" t="n">
        <f aca="false">IF(D1127="","",MAX(0,MIN($B$8,Z1127)))</f>
        <v>17.183932582178</v>
      </c>
      <c r="V1127" s="16" t="str">
        <f aca="false">IF(D1127="","",IF(S1127&gt;0.0000001,"Sim","Não"))</f>
        <v>Não</v>
      </c>
      <c r="W1127" s="16" t="n">
        <f aca="false">IF(D1127="","",U1127-(H1127+E1127-Q1127-O1127-T1127))</f>
        <v>0</v>
      </c>
      <c r="X1127" s="16" t="n">
        <f aca="false">IF(W1127="","",ABS(W1127))</f>
        <v>0</v>
      </c>
      <c r="Y1127" s="16" t="n">
        <f aca="false">IF(U1127="","",IF($B$8=0,0,U1127/$B$8*100))</f>
        <v>36.3912168195214</v>
      </c>
      <c r="Z1127" s="18" t="n">
        <f aca="false">IF(D1127="","",MAX(0,IF(P1127&gt;=0,P1127,IF(K1127+P1127&gt;=0,0,P1127+K1127))))</f>
        <v>17.183932582178</v>
      </c>
      <c r="AA1127" s="18" t="n">
        <f aca="false">IF(D1127="","",IF(H1127&lt;=$B$16,1,IF(H1127&gt;=$B$17,$B$21,MATCH(H1127,Aux_CAV!$A$2:$A$121,1))))</f>
        <v>11</v>
      </c>
      <c r="AB1127" s="18" t="n">
        <f aca="false">IF(D1127="","",IF(L1127&lt;=$B$16,1,IF(L1127&gt;=$B$17,$B$21,MATCH(L1127,Aux_CAV!$A$2:$A$121,1))))</f>
        <v>11</v>
      </c>
      <c r="AC1127" s="19" t="n">
        <f aca="false">IF(D1127="","",COUNT($D$24:D1127))</f>
        <v>1092</v>
      </c>
    </row>
    <row r="1128" customFormat="false" ht="12.75" hidden="false" customHeight="true" outlineLevel="0" collapsed="false">
      <c r="A1128" s="14" t="n">
        <f aca="false">IF(D1128="","",DATE(B1128,C1128,1))</f>
        <v>37257</v>
      </c>
      <c r="B1128" s="15" t="n">
        <f aca="false" t="array" ref="B1128:B1128">IF(D1128="","",IFERROR(VALUE(INDEX(Vazoes_COLAR!$A$2:$A$200,INT((ROW()-24)/12)+1)),""))</f>
        <v>2002</v>
      </c>
      <c r="C1128" s="15" t="n">
        <f aca="false">IF(D1128="","",MOD(ROW()-24,12)+1)</f>
        <v>1</v>
      </c>
      <c r="D1128" s="16" t="n">
        <f aca="false" t="array" ref="D1128: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2.00775609757299</v>
      </c>
      <c r="E1128" s="16" t="n">
        <f aca="false">IF(D1128="","",D1128*$B$15)</f>
        <v>5.20410380490919</v>
      </c>
      <c r="F1128" s="16" t="n">
        <f aca="false" t="array" ref="F1128:F1128">IF(D1128="","",IFERROR(INDEX(Dados_Evap!$C$2:$N$15,MATCH($B$9,Dados_Evap!$A$2:$A$15,0),C1128),0))</f>
        <v>160</v>
      </c>
      <c r="G1128" s="16" t="n">
        <f aca="false">IF(F1128="","",F1128/1000)</f>
        <v>0.16</v>
      </c>
      <c r="H1128" s="16" t="n">
        <f aca="false">IF(D1128="","",MAX(0,MIN($B$8,IFERROR(LOOKUP(2,1/($U$24:U1127&lt;&gt;""),$U$24:U1127),$B$11))))</f>
        <v>17.183932582178</v>
      </c>
      <c r="I1128" s="16" t="n">
        <f aca="false" t="array" ref="I1128: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>3.79149438177249</v>
      </c>
      <c r="J1128" s="16" t="n">
        <f aca="false">IF(D1128="","",$B$12)</f>
        <v>0.35</v>
      </c>
      <c r="K1128" s="16" t="n">
        <f aca="false">IF(J1128="","",J1128*$B$15)</f>
        <v>0.9072</v>
      </c>
      <c r="L1128" s="16" t="n">
        <f aca="false">IF(D1128="","",H1128+E1128-K1128-G1128*I1128)</f>
        <v>20.8741972860036</v>
      </c>
      <c r="M1128" s="16" t="n">
        <f aca="false" t="array" ref="M1128: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>4.23252601710774</v>
      </c>
      <c r="N1128" s="16" t="n">
        <f aca="false">IF(D1128="","",(I1128+M1128)/2)</f>
        <v>4.01201019944012</v>
      </c>
      <c r="O1128" s="16" t="n">
        <f aca="false">IF(D1128="","",G1128*N1128)</f>
        <v>0.641921631910419</v>
      </c>
      <c r="P1128" s="16" t="n">
        <f aca="false">IF(D1128="","",H1128+E1128-K1128-O1128)</f>
        <v>20.8389147551768</v>
      </c>
      <c r="Q1128" s="16" t="n">
        <f aca="false">IF(D1128="","",IF(P1128&gt;=0,K1128,MAX(0,K1128+P1128)))</f>
        <v>0.9072</v>
      </c>
      <c r="R1128" s="16" t="n">
        <f aca="false">IF(D1128="","",Q1128/$B$15)</f>
        <v>0.35</v>
      </c>
      <c r="S1128" s="16" t="n">
        <f aca="false">IF(D1128="","",MAX(0,J1128-R1128))</f>
        <v>0</v>
      </c>
      <c r="T1128" s="16" t="n">
        <f aca="false">IF(D1128="","",MAX(0,Z1128-$B$8))</f>
        <v>0</v>
      </c>
      <c r="U1128" s="16" t="n">
        <f aca="false">IF(D1128="","",MAX(0,MIN($B$8,Z1128)))</f>
        <v>20.8389147551768</v>
      </c>
      <c r="V1128" s="16" t="str">
        <f aca="false">IF(D1128="","",IF(S1128&gt;0.0000001,"Sim","Não"))</f>
        <v>Não</v>
      </c>
      <c r="W1128" s="16" t="n">
        <f aca="false">IF(D1128="","",U1128-(H1128+E1128-Q1128-O1128-T1128))</f>
        <v>0</v>
      </c>
      <c r="X1128" s="16" t="n">
        <f aca="false">IF(W1128="","",ABS(W1128))</f>
        <v>0</v>
      </c>
      <c r="Y1128" s="16" t="n">
        <f aca="false">IF(U1128="","",IF($B$8=0,0,U1128/$B$8*100))</f>
        <v>44.1315433188834</v>
      </c>
      <c r="Z1128" s="18" t="n">
        <f aca="false">IF(D1128="","",MAX(0,IF(P1128&gt;=0,P1128,IF(K1128+P1128&gt;=0,0,P1128+K1128))))</f>
        <v>20.8389147551768</v>
      </c>
      <c r="AA1128" s="18" t="n">
        <f aca="false">IF(D1128="","",IF(H1128&lt;=$B$16,1,IF(H1128&gt;=$B$17,$B$21,MATCH(H1128,Aux_CAV!$A$2:$A$121,1))))</f>
        <v>11</v>
      </c>
      <c r="AB1128" s="18" t="n">
        <f aca="false">IF(D1128="","",IF(L1128&lt;=$B$16,1,IF(L1128&gt;=$B$17,$B$21,MATCH(L1128,Aux_CAV!$A$2:$A$121,1))))</f>
        <v>11</v>
      </c>
      <c r="AC1128" s="19" t="n">
        <f aca="false">IF(D1128="","",COUNT($D$24:D1128))</f>
        <v>1093</v>
      </c>
    </row>
    <row r="1129" customFormat="false" ht="12.75" hidden="false" customHeight="true" outlineLevel="0" collapsed="false">
      <c r="A1129" s="14" t="n">
        <f aca="false">IF(D1129="","",DATE(B1129,C1129,1))</f>
        <v>37288</v>
      </c>
      <c r="B1129" s="15" t="n">
        <f aca="false" t="array" ref="B1129:B1129">IF(D1129="","",IFERROR(VALUE(INDEX(Vazoes_COLAR!$A$2:$A$200,INT((ROW()-24)/12)+1)),""))</f>
        <v>2002</v>
      </c>
      <c r="C1129" s="15" t="n">
        <f aca="false">IF(D1129="","",MOD(ROW()-24,12)+1)</f>
        <v>2</v>
      </c>
      <c r="D1129" s="16" t="n">
        <f aca="false" t="array" ref="D1129: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2.12492282620982</v>
      </c>
      <c r="E1129" s="16" t="n">
        <f aca="false">IF(D1129="","",D1129*$B$15)</f>
        <v>5.50779996553585</v>
      </c>
      <c r="F1129" s="16" t="n">
        <f aca="false" t="array" ref="F1129:F1129">IF(D1129="","",IFERROR(INDEX(Dados_Evap!$C$2:$N$15,MATCH($B$9,Dados_Evap!$A$2:$A$15,0),C1129),0))</f>
        <v>124.3</v>
      </c>
      <c r="G1129" s="16" t="n">
        <f aca="false">IF(F1129="","",F1129/1000)</f>
        <v>0.1243</v>
      </c>
      <c r="H1129" s="16" t="n">
        <f aca="false">IF(D1129="","",MAX(0,MIN($B$8,IFERROR(LOOKUP(2,1/($U$24:U1128&lt;&gt;""),$U$24:U1128),$B$11))))</f>
        <v>20.8389147551768</v>
      </c>
      <c r="I1129" s="16" t="n">
        <f aca="false" t="array" ref="I1129: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>4.22830932439917</v>
      </c>
      <c r="J1129" s="16" t="n">
        <f aca="false">IF(D1129="","",$B$12)</f>
        <v>0.35</v>
      </c>
      <c r="K1129" s="16" t="n">
        <f aca="false">IF(J1129="","",J1129*$B$15)</f>
        <v>0.9072</v>
      </c>
      <c r="L1129" s="16" t="n">
        <f aca="false">IF(D1129="","",H1129+E1129-K1129-G1129*I1129)</f>
        <v>24.9139358716898</v>
      </c>
      <c r="M1129" s="16" t="n">
        <f aca="false" t="array" ref="M1129: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>4.70416615366098</v>
      </c>
      <c r="N1129" s="16" t="n">
        <f aca="false">IF(D1129="","",(I1129+M1129)/2)</f>
        <v>4.46623773903008</v>
      </c>
      <c r="O1129" s="16" t="n">
        <f aca="false">IF(D1129="","",G1129*N1129)</f>
        <v>0.555153350961438</v>
      </c>
      <c r="P1129" s="16" t="n">
        <f aca="false">IF(D1129="","",H1129+E1129-K1129-O1129)</f>
        <v>24.8843613697512</v>
      </c>
      <c r="Q1129" s="16" t="n">
        <f aca="false">IF(D1129="","",IF(P1129&gt;=0,K1129,MAX(0,K1129+P1129)))</f>
        <v>0.9072</v>
      </c>
      <c r="R1129" s="16" t="n">
        <f aca="false">IF(D1129="","",Q1129/$B$15)</f>
        <v>0.35</v>
      </c>
      <c r="S1129" s="16" t="n">
        <f aca="false">IF(D1129="","",MAX(0,J1129-R1129))</f>
        <v>0</v>
      </c>
      <c r="T1129" s="16" t="n">
        <f aca="false">IF(D1129="","",MAX(0,Z1129-$B$8))</f>
        <v>0</v>
      </c>
      <c r="U1129" s="16" t="n">
        <f aca="false">IF(D1129="","",MAX(0,MIN($B$8,Z1129)))</f>
        <v>24.8843613697512</v>
      </c>
      <c r="V1129" s="16" t="str">
        <f aca="false">IF(D1129="","",IF(S1129&gt;0.0000001,"Sim","Não"))</f>
        <v>Não</v>
      </c>
      <c r="W1129" s="16" t="n">
        <f aca="false">IF(D1129="","",U1129-(H1129+E1129-Q1129-O1129-T1129))</f>
        <v>0</v>
      </c>
      <c r="X1129" s="16" t="n">
        <f aca="false">IF(W1129="","",ABS(W1129))</f>
        <v>0</v>
      </c>
      <c r="Y1129" s="16" t="n">
        <f aca="false">IF(U1129="","",IF($B$8=0,0,U1129/$B$8*100))</f>
        <v>52.6987746076899</v>
      </c>
      <c r="Z1129" s="18" t="n">
        <f aca="false">IF(D1129="","",MAX(0,IF(P1129&gt;=0,P1129,IF(K1129+P1129&gt;=0,0,P1129+K1129))))</f>
        <v>24.8843613697512</v>
      </c>
      <c r="AA1129" s="18" t="n">
        <f aca="false">IF(D1129="","",IF(H1129&lt;=$B$16,1,IF(H1129&gt;=$B$17,$B$21,MATCH(H1129,Aux_CAV!$A$2:$A$121,1))))</f>
        <v>11</v>
      </c>
      <c r="AB1129" s="18" t="n">
        <f aca="false">IF(D1129="","",IF(L1129&lt;=$B$16,1,IF(L1129&gt;=$B$17,$B$21,MATCH(L1129,Aux_CAV!$A$2:$A$121,1))))</f>
        <v>12</v>
      </c>
      <c r="AC1129" s="19" t="n">
        <f aca="false">IF(D1129="","",COUNT($D$24:D1129))</f>
        <v>1094</v>
      </c>
    </row>
    <row r="1130" customFormat="false" ht="12.75" hidden="false" customHeight="true" outlineLevel="0" collapsed="false">
      <c r="A1130" s="14" t="n">
        <f aca="false">IF(D1130="","",DATE(B1130,C1130,1))</f>
        <v>37316</v>
      </c>
      <c r="B1130" s="15" t="n">
        <f aca="false" t="array" ref="B1130:B1130">IF(D1130="","",IFERROR(VALUE(INDEX(Vazoes_COLAR!$A$2:$A$200,INT((ROW()-24)/12)+1)),""))</f>
        <v>2002</v>
      </c>
      <c r="C1130" s="15" t="n">
        <f aca="false">IF(D1130="","",MOD(ROW()-24,12)+1)</f>
        <v>3</v>
      </c>
      <c r="D1130" s="16" t="n">
        <f aca="false" t="array" ref="D1130: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5.43529493184022</v>
      </c>
      <c r="E1130" s="16" t="n">
        <f aca="false">IF(D1130="","",D1130*$B$15)</f>
        <v>14.0882844633299</v>
      </c>
      <c r="F1130" s="16" t="n">
        <f aca="false" t="array" ref="F1130:F1130">IF(D1130="","",IFERROR(INDEX(Dados_Evap!$C$2:$N$15,MATCH($B$9,Dados_Evap!$A$2:$A$15,0),C1130),0))</f>
        <v>107.7</v>
      </c>
      <c r="G1130" s="16" t="n">
        <f aca="false">IF(F1130="","",F1130/1000)</f>
        <v>0.1077</v>
      </c>
      <c r="H1130" s="16" t="n">
        <f aca="false">IF(D1130="","",MAX(0,MIN($B$8,IFERROR(LOOKUP(2,1/($U$24:U1129&lt;&gt;""),$U$24:U1129),$B$11))))</f>
        <v>24.8843613697512</v>
      </c>
      <c r="I1130" s="16" t="n">
        <f aca="false" t="array" ref="I1130: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>4.7010938510324</v>
      </c>
      <c r="J1130" s="16" t="n">
        <f aca="false">IF(D1130="","",$B$12)</f>
        <v>0.35</v>
      </c>
      <c r="K1130" s="16" t="n">
        <f aca="false">IF(J1130="","",J1130*$B$15)</f>
        <v>0.9072</v>
      </c>
      <c r="L1130" s="16" t="n">
        <f aca="false">IF(D1130="","",H1130+E1130-K1130-G1130*I1130)</f>
        <v>37.5591380253248</v>
      </c>
      <c r="M1130" s="16" t="n">
        <f aca="false" t="array" ref="M1130: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>6.00543280598762</v>
      </c>
      <c r="N1130" s="16" t="n">
        <f aca="false">IF(D1130="","",(I1130+M1130)/2)</f>
        <v>5.35326332851001</v>
      </c>
      <c r="O1130" s="16" t="n">
        <f aca="false">IF(D1130="","",G1130*N1130)</f>
        <v>0.576546460480528</v>
      </c>
      <c r="P1130" s="16" t="n">
        <f aca="false">IF(D1130="","",H1130+E1130-K1130-O1130)</f>
        <v>37.4888993726005</v>
      </c>
      <c r="Q1130" s="16" t="n">
        <f aca="false">IF(D1130="","",IF(P1130&gt;=0,K1130,MAX(0,K1130+P1130)))</f>
        <v>0.9072</v>
      </c>
      <c r="R1130" s="16" t="n">
        <f aca="false">IF(D1130="","",Q1130/$B$15)</f>
        <v>0.35</v>
      </c>
      <c r="S1130" s="16" t="n">
        <f aca="false">IF(D1130="","",MAX(0,J1130-R1130))</f>
        <v>0</v>
      </c>
      <c r="T1130" s="16" t="n">
        <f aca="false">IF(D1130="","",MAX(0,Z1130-$B$8))</f>
        <v>0</v>
      </c>
      <c r="U1130" s="16" t="n">
        <f aca="false">IF(D1130="","",MAX(0,MIN($B$8,Z1130)))</f>
        <v>37.4888993726005</v>
      </c>
      <c r="V1130" s="16" t="str">
        <f aca="false">IF(D1130="","",IF(S1130&gt;0.0000001,"Sim","Não"))</f>
        <v>Não</v>
      </c>
      <c r="W1130" s="16" t="n">
        <f aca="false">IF(D1130="","",U1130-(H1130+E1130-Q1130-O1130-T1130))</f>
        <v>0</v>
      </c>
      <c r="X1130" s="16" t="n">
        <f aca="false">IF(W1130="","",ABS(W1130))</f>
        <v>0</v>
      </c>
      <c r="Y1130" s="16" t="n">
        <f aca="false">IF(U1130="","",IF($B$8=0,0,U1130/$B$8*100))</f>
        <v>79.3919935887346</v>
      </c>
      <c r="Z1130" s="18" t="n">
        <f aca="false">IF(D1130="","",MAX(0,IF(P1130&gt;=0,P1130,IF(K1130+P1130&gt;=0,0,P1130+K1130))))</f>
        <v>37.4888993726005</v>
      </c>
      <c r="AA1130" s="18" t="n">
        <f aca="false">IF(D1130="","",IF(H1130&lt;=$B$16,1,IF(H1130&gt;=$B$17,$B$21,MATCH(H1130,Aux_CAV!$A$2:$A$121,1))))</f>
        <v>12</v>
      </c>
      <c r="AB1130" s="18" t="n">
        <f aca="false">IF(D1130="","",IF(L1130&lt;=$B$16,1,IF(L1130&gt;=$B$17,$B$21,MATCH(L1130,Aux_CAV!$A$2:$A$121,1))))</f>
        <v>13</v>
      </c>
      <c r="AC1130" s="19" t="n">
        <f aca="false">IF(D1130="","",COUNT($D$24:D1130))</f>
        <v>1095</v>
      </c>
    </row>
    <row r="1131" customFormat="false" ht="12.75" hidden="false" customHeight="true" outlineLevel="0" collapsed="false">
      <c r="A1131" s="14" t="n">
        <f aca="false">IF(D1131="","",DATE(B1131,C1131,1))</f>
        <v>37347</v>
      </c>
      <c r="B1131" s="15" t="n">
        <f aca="false" t="array" ref="B1131:B1131">IF(D1131="","",IFERROR(VALUE(INDEX(Vazoes_COLAR!$A$2:$A$200,INT((ROW()-24)/12)+1)),""))</f>
        <v>2002</v>
      </c>
      <c r="C1131" s="15" t="n">
        <f aca="false">IF(D1131="","",MOD(ROW()-24,12)+1)</f>
        <v>4</v>
      </c>
      <c r="D1131" s="16" t="n">
        <f aca="false" t="array" ref="D1131: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1.89738585365253</v>
      </c>
      <c r="E1131" s="16" t="n">
        <f aca="false">IF(D1131="","",D1131*$B$15)</f>
        <v>4.91802413266736</v>
      </c>
      <c r="F1131" s="16" t="n">
        <f aca="false" t="array" ref="F1131:F1131">IF(D1131="","",IFERROR(INDEX(Dados_Evap!$C$2:$N$15,MATCH($B$9,Dados_Evap!$A$2:$A$15,0),C1131),0))</f>
        <v>100.5</v>
      </c>
      <c r="G1131" s="16" t="n">
        <f aca="false">IF(F1131="","",F1131/1000)</f>
        <v>0.1005</v>
      </c>
      <c r="H1131" s="16" t="n">
        <f aca="false">IF(D1131="","",MAX(0,MIN($B$8,IFERROR(LOOKUP(2,1/($U$24:U1130&lt;&gt;""),$U$24:U1130),$B$11))))</f>
        <v>37.4888993726005</v>
      </c>
      <c r="I1131" s="16" t="n">
        <f aca="false" t="array" ref="I1131: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>5.99841998452851</v>
      </c>
      <c r="J1131" s="16" t="n">
        <f aca="false">IF(D1131="","",$B$12)</f>
        <v>0.35</v>
      </c>
      <c r="K1131" s="16" t="n">
        <f aca="false">IF(J1131="","",J1131*$B$15)</f>
        <v>0.9072</v>
      </c>
      <c r="L1131" s="16" t="n">
        <f aca="false">IF(D1131="","",H1131+E1131-K1131-G1131*I1131)</f>
        <v>40.8968822968227</v>
      </c>
      <c r="M1131" s="16" t="n">
        <f aca="false" t="array" ref="M1131: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>6.338682430579</v>
      </c>
      <c r="N1131" s="16" t="n">
        <f aca="false">IF(D1131="","",(I1131+M1131)/2)</f>
        <v>6.16855120755375</v>
      </c>
      <c r="O1131" s="16" t="n">
        <f aca="false">IF(D1131="","",G1131*N1131)</f>
        <v>0.619939396359152</v>
      </c>
      <c r="P1131" s="16" t="n">
        <f aca="false">IF(D1131="","",H1131+E1131-K1131-O1131)</f>
        <v>40.8797841089087</v>
      </c>
      <c r="Q1131" s="16" t="n">
        <f aca="false">IF(D1131="","",IF(P1131&gt;=0,K1131,MAX(0,K1131+P1131)))</f>
        <v>0.9072</v>
      </c>
      <c r="R1131" s="16" t="n">
        <f aca="false">IF(D1131="","",Q1131/$B$15)</f>
        <v>0.35</v>
      </c>
      <c r="S1131" s="16" t="n">
        <f aca="false">IF(D1131="","",MAX(0,J1131-R1131))</f>
        <v>0</v>
      </c>
      <c r="T1131" s="16" t="n">
        <f aca="false">IF(D1131="","",MAX(0,Z1131-$B$8))</f>
        <v>0</v>
      </c>
      <c r="U1131" s="16" t="n">
        <f aca="false">IF(D1131="","",MAX(0,MIN($B$8,Z1131)))</f>
        <v>40.8797841089087</v>
      </c>
      <c r="V1131" s="16" t="str">
        <f aca="false">IF(D1131="","",IF(S1131&gt;0.0000001,"Sim","Não"))</f>
        <v>Não</v>
      </c>
      <c r="W1131" s="16" t="n">
        <f aca="false">IF(D1131="","",U1131-(H1131+E1131-Q1131-O1131-T1131))</f>
        <v>0</v>
      </c>
      <c r="X1131" s="16" t="n">
        <f aca="false">IF(W1131="","",ABS(W1131))</f>
        <v>0</v>
      </c>
      <c r="Y1131" s="16" t="n">
        <f aca="false">IF(U1131="","",IF($B$8=0,0,U1131/$B$8*100))</f>
        <v>86.573028608447</v>
      </c>
      <c r="Z1131" s="18" t="n">
        <f aca="false">IF(D1131="","",MAX(0,IF(P1131&gt;=0,P1131,IF(K1131+P1131&gt;=0,0,P1131+K1131))))</f>
        <v>40.8797841089087</v>
      </c>
      <c r="AA1131" s="18" t="n">
        <f aca="false">IF(D1131="","",IF(H1131&lt;=$B$16,1,IF(H1131&gt;=$B$17,$B$21,MATCH(H1131,Aux_CAV!$A$2:$A$121,1))))</f>
        <v>13</v>
      </c>
      <c r="AB1131" s="18" t="n">
        <f aca="false">IF(D1131="","",IF(L1131&lt;=$B$16,1,IF(L1131&gt;=$B$17,$B$21,MATCH(L1131,Aux_CAV!$A$2:$A$121,1))))</f>
        <v>13</v>
      </c>
      <c r="AC1131" s="19" t="n">
        <f aca="false">IF(D1131="","",COUNT($D$24:D1131))</f>
        <v>1096</v>
      </c>
    </row>
    <row r="1132" customFormat="false" ht="12.75" hidden="false" customHeight="true" outlineLevel="0" collapsed="false">
      <c r="A1132" s="14" t="n">
        <f aca="false">IF(D1132="","",DATE(B1132,C1132,1))</f>
        <v>37377</v>
      </c>
      <c r="B1132" s="15" t="n">
        <f aca="false" t="array" ref="B1132:B1132">IF(D1132="","",IFERROR(VALUE(INDEX(Vazoes_COLAR!$A$2:$A$200,INT((ROW()-24)/12)+1)),""))</f>
        <v>2002</v>
      </c>
      <c r="C1132" s="15" t="n">
        <f aca="false">IF(D1132="","",MOD(ROW()-24,12)+1)</f>
        <v>5</v>
      </c>
      <c r="D1132" s="16" t="n">
        <f aca="false" t="array" ref="D1132: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0.988613605982859</v>
      </c>
      <c r="E1132" s="16" t="n">
        <f aca="false">IF(D1132="","",D1132*$B$15)</f>
        <v>2.56248646670757</v>
      </c>
      <c r="F1132" s="16" t="n">
        <f aca="false" t="array" ref="F1132:F1132">IF(D1132="","",IFERROR(INDEX(Dados_Evap!$C$2:$N$15,MATCH($B$9,Dados_Evap!$A$2:$A$15,0),C1132),0))</f>
        <v>145.8</v>
      </c>
      <c r="G1132" s="16" t="n">
        <f aca="false">IF(F1132="","",F1132/1000)</f>
        <v>0.1458</v>
      </c>
      <c r="H1132" s="16" t="n">
        <f aca="false">IF(D1132="","",MAX(0,MIN($B$8,IFERROR(LOOKUP(2,1/($U$24:U1131&lt;&gt;""),$U$24:U1131),$B$11))))</f>
        <v>40.8797841089087</v>
      </c>
      <c r="I1132" s="16" t="n">
        <f aca="false" t="array" ref="I1132: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>6.33697530018192</v>
      </c>
      <c r="J1132" s="16" t="n">
        <f aca="false">IF(D1132="","",$B$12)</f>
        <v>0.35</v>
      </c>
      <c r="K1132" s="16" t="n">
        <f aca="false">IF(J1132="","",J1132*$B$15)</f>
        <v>0.9072</v>
      </c>
      <c r="L1132" s="16" t="n">
        <f aca="false">IF(D1132="","",H1132+E1132-K1132-G1132*I1132)</f>
        <v>41.6111395768497</v>
      </c>
      <c r="M1132" s="16" t="n">
        <f aca="false" t="array" ref="M1132: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>6.40999585397792</v>
      </c>
      <c r="N1132" s="16" t="n">
        <f aca="false">IF(D1132="","",(I1132+M1132)/2)</f>
        <v>6.37348557707992</v>
      </c>
      <c r="O1132" s="16" t="n">
        <f aca="false">IF(D1132="","",G1132*N1132)</f>
        <v>0.929254197138253</v>
      </c>
      <c r="P1132" s="16" t="n">
        <f aca="false">IF(D1132="","",H1132+E1132-K1132-O1132)</f>
        <v>41.605816378478</v>
      </c>
      <c r="Q1132" s="16" t="n">
        <f aca="false">IF(D1132="","",IF(P1132&gt;=0,K1132,MAX(0,K1132+P1132)))</f>
        <v>0.9072</v>
      </c>
      <c r="R1132" s="16" t="n">
        <f aca="false">IF(D1132="","",Q1132/$B$15)</f>
        <v>0.35</v>
      </c>
      <c r="S1132" s="16" t="n">
        <f aca="false">IF(D1132="","",MAX(0,J1132-R1132))</f>
        <v>0</v>
      </c>
      <c r="T1132" s="16" t="n">
        <f aca="false">IF(D1132="","",MAX(0,Z1132-$B$8))</f>
        <v>0</v>
      </c>
      <c r="U1132" s="16" t="n">
        <f aca="false">IF(D1132="","",MAX(0,MIN($B$8,Z1132)))</f>
        <v>41.605816378478</v>
      </c>
      <c r="V1132" s="16" t="str">
        <f aca="false">IF(D1132="","",IF(S1132&gt;0.0000001,"Sim","Não"))</f>
        <v>Não</v>
      </c>
      <c r="W1132" s="16" t="n">
        <f aca="false">IF(D1132="","",U1132-(H1132+E1132-Q1132-O1132-T1132))</f>
        <v>0</v>
      </c>
      <c r="X1132" s="16" t="n">
        <f aca="false">IF(W1132="","",ABS(W1132))</f>
        <v>0</v>
      </c>
      <c r="Y1132" s="16" t="n">
        <f aca="false">IF(U1132="","",IF($B$8=0,0,U1132/$B$8*100))</f>
        <v>88.1105810641211</v>
      </c>
      <c r="Z1132" s="18" t="n">
        <f aca="false">IF(D1132="","",MAX(0,IF(P1132&gt;=0,P1132,IF(K1132+P1132&gt;=0,0,P1132+K1132))))</f>
        <v>41.605816378478</v>
      </c>
      <c r="AA1132" s="18" t="n">
        <f aca="false">IF(D1132="","",IF(H1132&lt;=$B$16,1,IF(H1132&gt;=$B$17,$B$21,MATCH(H1132,Aux_CAV!$A$2:$A$121,1))))</f>
        <v>13</v>
      </c>
      <c r="AB1132" s="18" t="n">
        <f aca="false">IF(D1132="","",IF(L1132&lt;=$B$16,1,IF(L1132&gt;=$B$17,$B$21,MATCH(L1132,Aux_CAV!$A$2:$A$121,1))))</f>
        <v>13</v>
      </c>
      <c r="AC1132" s="19" t="n">
        <f aca="false">IF(D1132="","",COUNT($D$24:D1132))</f>
        <v>1097</v>
      </c>
    </row>
    <row r="1133" customFormat="false" ht="12.75" hidden="false" customHeight="true" outlineLevel="0" collapsed="false">
      <c r="A1133" s="14" t="n">
        <f aca="false">IF(D1133="","",DATE(B1133,C1133,1))</f>
        <v>37408</v>
      </c>
      <c r="B1133" s="15" t="n">
        <f aca="false" t="array" ref="B1133:B1133">IF(D1133="","",IFERROR(VALUE(INDEX(Vazoes_COLAR!$A$2:$A$200,INT((ROW()-24)/12)+1)),""))</f>
        <v>2002</v>
      </c>
      <c r="C1133" s="15" t="n">
        <f aca="false">IF(D1133="","",MOD(ROW()-24,12)+1)</f>
        <v>6</v>
      </c>
      <c r="D1133" s="16" t="n">
        <f aca="false" t="array" ref="D1133: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0.161645786162167</v>
      </c>
      <c r="E1133" s="16" t="n">
        <f aca="false">IF(D1133="","",D1133*$B$15)</f>
        <v>0.418985877732337</v>
      </c>
      <c r="F1133" s="16" t="n">
        <f aca="false" t="array" ref="F1133:F1133">IF(D1133="","",IFERROR(INDEX(Dados_Evap!$C$2:$N$15,MATCH($B$9,Dados_Evap!$A$2:$A$15,0),C1133),0))</f>
        <v>161.3</v>
      </c>
      <c r="G1133" s="16" t="n">
        <f aca="false">IF(F1133="","",F1133/1000)</f>
        <v>0.1613</v>
      </c>
      <c r="H1133" s="16" t="n">
        <f aca="false">IF(D1133="","",MAX(0,MIN($B$8,IFERROR(LOOKUP(2,1/($U$24:U1132&lt;&gt;""),$U$24:U1132),$B$11))))</f>
        <v>41.605816378478</v>
      </c>
      <c r="I1133" s="16" t="n">
        <f aca="false" t="array" ref="I1133: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>6.40946437112162</v>
      </c>
      <c r="J1133" s="16" t="n">
        <f aca="false">IF(D1133="","",$B$12)</f>
        <v>0.35</v>
      </c>
      <c r="K1133" s="16" t="n">
        <f aca="false">IF(J1133="","",J1133*$B$15)</f>
        <v>0.9072</v>
      </c>
      <c r="L1133" s="16" t="n">
        <f aca="false">IF(D1133="","",H1133+E1133-K1133-G1133*I1133)</f>
        <v>40.0837556531484</v>
      </c>
      <c r="M1133" s="16" t="n">
        <f aca="false" t="array" ref="M1133: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>6.25749761631277</v>
      </c>
      <c r="N1133" s="16" t="n">
        <f aca="false">IF(D1133="","",(I1133+M1133)/2)</f>
        <v>6.3334809937172</v>
      </c>
      <c r="O1133" s="16" t="n">
        <f aca="false">IF(D1133="","",G1133*N1133)</f>
        <v>1.02159048428658</v>
      </c>
      <c r="P1133" s="16" t="n">
        <f aca="false">IF(D1133="","",H1133+E1133-K1133-O1133)</f>
        <v>40.0960117719238</v>
      </c>
      <c r="Q1133" s="16" t="n">
        <f aca="false">IF(D1133="","",IF(P1133&gt;=0,K1133,MAX(0,K1133+P1133)))</f>
        <v>0.9072</v>
      </c>
      <c r="R1133" s="16" t="n">
        <f aca="false">IF(D1133="","",Q1133/$B$15)</f>
        <v>0.35</v>
      </c>
      <c r="S1133" s="16" t="n">
        <f aca="false">IF(D1133="","",MAX(0,J1133-R1133))</f>
        <v>0</v>
      </c>
      <c r="T1133" s="16" t="n">
        <f aca="false">IF(D1133="","",MAX(0,Z1133-$B$8))</f>
        <v>0</v>
      </c>
      <c r="U1133" s="16" t="n">
        <f aca="false">IF(D1133="","",MAX(0,MIN($B$8,Z1133)))</f>
        <v>40.0960117719238</v>
      </c>
      <c r="V1133" s="16" t="str">
        <f aca="false">IF(D1133="","",IF(S1133&gt;0.0000001,"Sim","Não"))</f>
        <v>Não</v>
      </c>
      <c r="W1133" s="16" t="n">
        <f aca="false">IF(D1133="","",U1133-(H1133+E1133-Q1133-O1133-T1133))</f>
        <v>0</v>
      </c>
      <c r="X1133" s="16" t="n">
        <f aca="false">IF(W1133="","",ABS(W1133))</f>
        <v>0</v>
      </c>
      <c r="Y1133" s="16" t="n">
        <f aca="false">IF(U1133="","",IF($B$8=0,0,U1133/$B$8*100))</f>
        <v>84.9131973145357</v>
      </c>
      <c r="Z1133" s="18" t="n">
        <f aca="false">IF(D1133="","",MAX(0,IF(P1133&gt;=0,P1133,IF(K1133+P1133&gt;=0,0,P1133+K1133))))</f>
        <v>40.0960117719238</v>
      </c>
      <c r="AA1133" s="18" t="n">
        <f aca="false">IF(D1133="","",IF(H1133&lt;=$B$16,1,IF(H1133&gt;=$B$17,$B$21,MATCH(H1133,Aux_CAV!$A$2:$A$121,1))))</f>
        <v>13</v>
      </c>
      <c r="AB1133" s="18" t="n">
        <f aca="false">IF(D1133="","",IF(L1133&lt;=$B$16,1,IF(L1133&gt;=$B$17,$B$21,MATCH(L1133,Aux_CAV!$A$2:$A$121,1))))</f>
        <v>13</v>
      </c>
      <c r="AC1133" s="19" t="n">
        <f aca="false">IF(D1133="","",COUNT($D$24:D1133))</f>
        <v>1098</v>
      </c>
    </row>
    <row r="1134" customFormat="false" ht="12.75" hidden="false" customHeight="true" outlineLevel="0" collapsed="false">
      <c r="A1134" s="14" t="n">
        <f aca="false">IF(D1134="","",DATE(B1134,C1134,1))</f>
        <v>37438</v>
      </c>
      <c r="B1134" s="15" t="n">
        <f aca="false" t="array" ref="B1134:B1134">IF(D1134="","",IFERROR(VALUE(INDEX(Vazoes_COLAR!$A$2:$A$200,INT((ROW()-24)/12)+1)),""))</f>
        <v>2002</v>
      </c>
      <c r="C1134" s="15" t="n">
        <f aca="false">IF(D1134="","",MOD(ROW()-24,12)+1)</f>
        <v>7</v>
      </c>
      <c r="D1134" s="16" t="n">
        <f aca="false" t="array" ref="D1134: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0.373879084700238</v>
      </c>
      <c r="E1134" s="16" t="n">
        <f aca="false">IF(D1134="","",D1134*$B$15)</f>
        <v>0.969094587543017</v>
      </c>
      <c r="F1134" s="16" t="n">
        <f aca="false" t="array" ref="F1134:F1134">IF(D1134="","",IFERROR(INDEX(Dados_Evap!$C$2:$N$15,MATCH($B$9,Dados_Evap!$A$2:$A$15,0),C1134),0))</f>
        <v>224.8</v>
      </c>
      <c r="G1134" s="16" t="n">
        <f aca="false">IF(F1134="","",F1134/1000)</f>
        <v>0.2248</v>
      </c>
      <c r="H1134" s="16" t="n">
        <f aca="false">IF(D1134="","",MAX(0,MIN($B$8,IFERROR(LOOKUP(2,1/($U$24:U1133&lt;&gt;""),$U$24:U1133),$B$11))))</f>
        <v>40.0960117719238</v>
      </c>
      <c r="I1134" s="16" t="n">
        <f aca="false" t="array" ref="I1134: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>6.25872130112761</v>
      </c>
      <c r="J1134" s="16" t="n">
        <f aca="false">IF(D1134="","",$B$12)</f>
        <v>0.35</v>
      </c>
      <c r="K1134" s="16" t="n">
        <f aca="false">IF(J1134="","",J1134*$B$15)</f>
        <v>0.9072</v>
      </c>
      <c r="L1134" s="16" t="n">
        <f aca="false">IF(D1134="","",H1134+E1134-K1134-G1134*I1134)</f>
        <v>38.7509458109733</v>
      </c>
      <c r="M1134" s="16" t="n">
        <f aca="false" t="array" ref="M1134: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>6.1244261933912</v>
      </c>
      <c r="N1134" s="16" t="n">
        <f aca="false">IF(D1134="","",(I1134+M1134)/2)</f>
        <v>6.1915737472594</v>
      </c>
      <c r="O1134" s="16" t="n">
        <f aca="false">IF(D1134="","",G1134*N1134)</f>
        <v>1.39186577838391</v>
      </c>
      <c r="P1134" s="16" t="n">
        <f aca="false">IF(D1134="","",H1134+E1134-K1134-O1134)</f>
        <v>38.7660405810829</v>
      </c>
      <c r="Q1134" s="16" t="n">
        <f aca="false">IF(D1134="","",IF(P1134&gt;=0,K1134,MAX(0,K1134+P1134)))</f>
        <v>0.9072</v>
      </c>
      <c r="R1134" s="16" t="n">
        <f aca="false">IF(D1134="","",Q1134/$B$15)</f>
        <v>0.35</v>
      </c>
      <c r="S1134" s="16" t="n">
        <f aca="false">IF(D1134="","",MAX(0,J1134-R1134))</f>
        <v>0</v>
      </c>
      <c r="T1134" s="16" t="n">
        <f aca="false">IF(D1134="","",MAX(0,Z1134-$B$8))</f>
        <v>0</v>
      </c>
      <c r="U1134" s="16" t="n">
        <f aca="false">IF(D1134="","",MAX(0,MIN($B$8,Z1134)))</f>
        <v>38.7660405810829</v>
      </c>
      <c r="V1134" s="16" t="str">
        <f aca="false">IF(D1134="","",IF(S1134&gt;0.0000001,"Sim","Não"))</f>
        <v>Não</v>
      </c>
      <c r="W1134" s="16" t="n">
        <f aca="false">IF(D1134="","",U1134-(H1134+E1134-Q1134-O1134-T1134))</f>
        <v>0</v>
      </c>
      <c r="X1134" s="16" t="n">
        <f aca="false">IF(W1134="","",ABS(W1134))</f>
        <v>0</v>
      </c>
      <c r="Y1134" s="16" t="n">
        <f aca="false">IF(U1134="","",IF($B$8=0,0,U1134/$B$8*100))</f>
        <v>82.0966551907727</v>
      </c>
      <c r="Z1134" s="18" t="n">
        <f aca="false">IF(D1134="","",MAX(0,IF(P1134&gt;=0,P1134,IF(K1134+P1134&gt;=0,0,P1134+K1134))))</f>
        <v>38.7660405810829</v>
      </c>
      <c r="AA1134" s="18" t="n">
        <f aca="false">IF(D1134="","",IF(H1134&lt;=$B$16,1,IF(H1134&gt;=$B$17,$B$21,MATCH(H1134,Aux_CAV!$A$2:$A$121,1))))</f>
        <v>13</v>
      </c>
      <c r="AB1134" s="18" t="n">
        <f aca="false">IF(D1134="","",IF(L1134&lt;=$B$16,1,IF(L1134&gt;=$B$17,$B$21,MATCH(L1134,Aux_CAV!$A$2:$A$121,1))))</f>
        <v>13</v>
      </c>
      <c r="AC1134" s="19" t="n">
        <f aca="false">IF(D1134="","",COUNT($D$24:D1134))</f>
        <v>1099</v>
      </c>
    </row>
    <row r="1135" customFormat="false" ht="12.75" hidden="false" customHeight="true" outlineLevel="0" collapsed="false">
      <c r="A1135" s="14" t="n">
        <f aca="false">IF(D1135="","",DATE(B1135,C1135,1))</f>
        <v>37469</v>
      </c>
      <c r="B1135" s="15" t="n">
        <f aca="false" t="array" ref="B1135:B1135">IF(D1135="","",IFERROR(VALUE(INDEX(Vazoes_COLAR!$A$2:$A$200,INT((ROW()-24)/12)+1)),""))</f>
        <v>2002</v>
      </c>
      <c r="C1135" s="15" t="n">
        <f aca="false">IF(D1135="","",MOD(ROW()-24,12)+1)</f>
        <v>8</v>
      </c>
      <c r="D1135" s="16" t="n">
        <f aca="false" t="array" ref="D1135: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0.0190441129365147</v>
      </c>
      <c r="E1135" s="16" t="n">
        <f aca="false">IF(D1135="","",D1135*$B$15)</f>
        <v>0.0493623407314461</v>
      </c>
      <c r="F1135" s="16" t="n">
        <f aca="false" t="array" ref="F1135:F1135">IF(D1135="","",IFERROR(INDEX(Dados_Evap!$C$2:$N$15,MATCH($B$9,Dados_Evap!$A$2:$A$15,0),C1135),0))</f>
        <v>268.7</v>
      </c>
      <c r="G1135" s="16" t="n">
        <f aca="false">IF(F1135="","",F1135/1000)</f>
        <v>0.2687</v>
      </c>
      <c r="H1135" s="16" t="n">
        <f aca="false">IF(D1135="","",MAX(0,MIN($B$8,IFERROR(LOOKUP(2,1/($U$24:U1134&lt;&gt;""),$U$24:U1134),$B$11))))</f>
        <v>38.7660405810829</v>
      </c>
      <c r="I1135" s="16" t="n">
        <f aca="false" t="array" ref="I1135: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>6.12593329701063</v>
      </c>
      <c r="J1135" s="16" t="n">
        <f aca="false">IF(D1135="","",$B$12)</f>
        <v>0.35</v>
      </c>
      <c r="K1135" s="16" t="n">
        <f aca="false">IF(J1135="","",J1135*$B$15)</f>
        <v>0.9072</v>
      </c>
      <c r="L1135" s="16" t="n">
        <f aca="false">IF(D1135="","",H1135+E1135-K1135-G1135*I1135)</f>
        <v>36.2621646449075</v>
      </c>
      <c r="M1135" s="16" t="n">
        <f aca="false" t="array" ref="M1135: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>5.87593939457803</v>
      </c>
      <c r="N1135" s="16" t="n">
        <f aca="false">IF(D1135="","",(I1135+M1135)/2)</f>
        <v>6.00093634579433</v>
      </c>
      <c r="O1135" s="16" t="n">
        <f aca="false">IF(D1135="","",G1135*N1135)</f>
        <v>1.61245159611494</v>
      </c>
      <c r="P1135" s="16" t="n">
        <f aca="false">IF(D1135="","",H1135+E1135-K1135-O1135)</f>
        <v>36.2957513256994</v>
      </c>
      <c r="Q1135" s="16" t="n">
        <f aca="false">IF(D1135="","",IF(P1135&gt;=0,K1135,MAX(0,K1135+P1135)))</f>
        <v>0.9072</v>
      </c>
      <c r="R1135" s="16" t="n">
        <f aca="false">IF(D1135="","",Q1135/$B$15)</f>
        <v>0.35</v>
      </c>
      <c r="S1135" s="16" t="n">
        <f aca="false">IF(D1135="","",MAX(0,J1135-R1135))</f>
        <v>0</v>
      </c>
      <c r="T1135" s="16" t="n">
        <f aca="false">IF(D1135="","",MAX(0,Z1135-$B$8))</f>
        <v>0</v>
      </c>
      <c r="U1135" s="16" t="n">
        <f aca="false">IF(D1135="","",MAX(0,MIN($B$8,Z1135)))</f>
        <v>36.2957513256994</v>
      </c>
      <c r="V1135" s="16" t="str">
        <f aca="false">IF(D1135="","",IF(S1135&gt;0.0000001,"Sim","Não"))</f>
        <v>Não</v>
      </c>
      <c r="W1135" s="16" t="n">
        <f aca="false">IF(D1135="","",U1135-(H1135+E1135-Q1135-O1135-T1135))</f>
        <v>0</v>
      </c>
      <c r="X1135" s="16" t="n">
        <f aca="false">IF(W1135="","",ABS(W1135))</f>
        <v>0</v>
      </c>
      <c r="Y1135" s="16" t="n">
        <f aca="false">IF(U1135="","",IF($B$8=0,0,U1135/$B$8*100))</f>
        <v>76.8652082289271</v>
      </c>
      <c r="Z1135" s="18" t="n">
        <f aca="false">IF(D1135="","",MAX(0,IF(P1135&gt;=0,P1135,IF(K1135+P1135&gt;=0,0,P1135+K1135))))</f>
        <v>36.2957513256994</v>
      </c>
      <c r="AA1135" s="18" t="n">
        <f aca="false">IF(D1135="","",IF(H1135&lt;=$B$16,1,IF(H1135&gt;=$B$17,$B$21,MATCH(H1135,Aux_CAV!$A$2:$A$121,1))))</f>
        <v>13</v>
      </c>
      <c r="AB1135" s="18" t="n">
        <f aca="false">IF(D1135="","",IF(L1135&lt;=$B$16,1,IF(L1135&gt;=$B$17,$B$21,MATCH(L1135,Aux_CAV!$A$2:$A$121,1))))</f>
        <v>13</v>
      </c>
      <c r="AC1135" s="19" t="n">
        <f aca="false">IF(D1135="","",COUNT($D$24:D1135))</f>
        <v>1100</v>
      </c>
    </row>
    <row r="1136" customFormat="false" ht="12.75" hidden="false" customHeight="true" outlineLevel="0" collapsed="false">
      <c r="A1136" s="14" t="n">
        <f aca="false">IF(D1136="","",DATE(B1136,C1136,1))</f>
        <v>37500</v>
      </c>
      <c r="B1136" s="15" t="n">
        <f aca="false" t="array" ref="B1136:B1136">IF(D1136="","",IFERROR(VALUE(INDEX(Vazoes_COLAR!$A$2:$A$200,INT((ROW()-24)/12)+1)),""))</f>
        <v>2002</v>
      </c>
      <c r="C1136" s="15" t="n">
        <f aca="false">IF(D1136="","",MOD(ROW()-24,12)+1)</f>
        <v>9</v>
      </c>
      <c r="D1136" s="16" t="n">
        <f aca="false" t="array" ref="D1136: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0.0243242151737503</v>
      </c>
      <c r="E1136" s="16" t="n">
        <f aca="false">IF(D1136="","",D1136*$B$15)</f>
        <v>0.0630483657303608</v>
      </c>
      <c r="F1136" s="16" t="n">
        <f aca="false" t="array" ref="F1136:F1136">IF(D1136="","",IFERROR(INDEX(Dados_Evap!$C$2:$N$15,MATCH($B$9,Dados_Evap!$A$2:$A$15,0),C1136),0))</f>
        <v>292.8</v>
      </c>
      <c r="G1136" s="16" t="n">
        <f aca="false">IF(F1136="","",F1136/1000)</f>
        <v>0.2928</v>
      </c>
      <c r="H1136" s="16" t="n">
        <f aca="false">IF(D1136="","",MAX(0,MIN($B$8,IFERROR(LOOKUP(2,1/($U$24:U1135&lt;&gt;""),$U$24:U1135),$B$11))))</f>
        <v>36.2957513256994</v>
      </c>
      <c r="I1136" s="16" t="n">
        <f aca="false" t="array" ref="I1136: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>5.87929278173256</v>
      </c>
      <c r="J1136" s="16" t="n">
        <f aca="false">IF(D1136="","",$B$12)</f>
        <v>0.35</v>
      </c>
      <c r="K1136" s="16" t="n">
        <f aca="false">IF(J1136="","",J1136*$B$15)</f>
        <v>0.9072</v>
      </c>
      <c r="L1136" s="16" t="n">
        <f aca="false">IF(D1136="","",H1136+E1136-K1136-G1136*I1136)</f>
        <v>33.7301427649384</v>
      </c>
      <c r="M1136" s="16" t="n">
        <f aca="false" t="array" ref="M1136: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>5.62002453965865</v>
      </c>
      <c r="N1136" s="16" t="n">
        <f aca="false">IF(D1136="","",(I1136+M1136)/2)</f>
        <v>5.74965866069561</v>
      </c>
      <c r="O1136" s="16" t="n">
        <f aca="false">IF(D1136="","",G1136*N1136)</f>
        <v>1.68350005585167</v>
      </c>
      <c r="P1136" s="16" t="n">
        <f aca="false">IF(D1136="","",H1136+E1136-K1136-O1136)</f>
        <v>33.768099635578</v>
      </c>
      <c r="Q1136" s="16" t="n">
        <f aca="false">IF(D1136="","",IF(P1136&gt;=0,K1136,MAX(0,K1136+P1136)))</f>
        <v>0.9072</v>
      </c>
      <c r="R1136" s="16" t="n">
        <f aca="false">IF(D1136="","",Q1136/$B$15)</f>
        <v>0.35</v>
      </c>
      <c r="S1136" s="16" t="n">
        <f aca="false">IF(D1136="","",MAX(0,J1136-R1136))</f>
        <v>0</v>
      </c>
      <c r="T1136" s="16" t="n">
        <f aca="false">IF(D1136="","",MAX(0,Z1136-$B$8))</f>
        <v>0</v>
      </c>
      <c r="U1136" s="16" t="n">
        <f aca="false">IF(D1136="","",MAX(0,MIN($B$8,Z1136)))</f>
        <v>33.768099635578</v>
      </c>
      <c r="V1136" s="16" t="str">
        <f aca="false">IF(D1136="","",IF(S1136&gt;0.0000001,"Sim","Não"))</f>
        <v>Não</v>
      </c>
      <c r="W1136" s="16" t="n">
        <f aca="false">IF(D1136="","",U1136-(H1136+E1136-Q1136-O1136-T1136))</f>
        <v>0</v>
      </c>
      <c r="X1136" s="16" t="n">
        <f aca="false">IF(W1136="","",ABS(W1136))</f>
        <v>0</v>
      </c>
      <c r="Y1136" s="16" t="n">
        <f aca="false">IF(U1136="","",IF($B$8=0,0,U1136/$B$8*100))</f>
        <v>71.5122821592081</v>
      </c>
      <c r="Z1136" s="18" t="n">
        <f aca="false">IF(D1136="","",MAX(0,IF(P1136&gt;=0,P1136,IF(K1136+P1136&gt;=0,0,P1136+K1136))))</f>
        <v>33.768099635578</v>
      </c>
      <c r="AA1136" s="18" t="n">
        <f aca="false">IF(D1136="","",IF(H1136&lt;=$B$16,1,IF(H1136&gt;=$B$17,$B$21,MATCH(H1136,Aux_CAV!$A$2:$A$121,1))))</f>
        <v>13</v>
      </c>
      <c r="AB1136" s="18" t="n">
        <f aca="false">IF(D1136="","",IF(L1136&lt;=$B$16,1,IF(L1136&gt;=$B$17,$B$21,MATCH(L1136,Aux_CAV!$A$2:$A$121,1))))</f>
        <v>12</v>
      </c>
      <c r="AC1136" s="19" t="n">
        <f aca="false">IF(D1136="","",COUNT($D$24:D1136))</f>
        <v>1101</v>
      </c>
    </row>
    <row r="1137" customFormat="false" ht="12.75" hidden="false" customHeight="true" outlineLevel="0" collapsed="false">
      <c r="A1137" s="14" t="n">
        <f aca="false">IF(D1137="","",DATE(B1137,C1137,1))</f>
        <v>37530</v>
      </c>
      <c r="B1137" s="15" t="n">
        <f aca="false" t="array" ref="B1137:B1137">IF(D1137="","",IFERROR(VALUE(INDEX(Vazoes_COLAR!$A$2:$A$200,INT((ROW()-24)/12)+1)),""))</f>
        <v>2002</v>
      </c>
      <c r="C1137" s="15" t="n">
        <f aca="false">IF(D1137="","",MOD(ROW()-24,12)+1)</f>
        <v>10</v>
      </c>
      <c r="D1137" s="16" t="n">
        <f aca="false" t="array" ref="D1137: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0.0188776711248699</v>
      </c>
      <c r="E1137" s="16" t="n">
        <f aca="false">IF(D1137="","",D1137*$B$15)</f>
        <v>0.0489309235556628</v>
      </c>
      <c r="F1137" s="16" t="n">
        <f aca="false" t="array" ref="F1137:F1137">IF(D1137="","",IFERROR(INDEX(Dados_Evap!$C$2:$N$15,MATCH($B$9,Dados_Evap!$A$2:$A$15,0),C1137),0))</f>
        <v>262.9</v>
      </c>
      <c r="G1137" s="16" t="n">
        <f aca="false">IF(F1137="","",F1137/1000)</f>
        <v>0.2629</v>
      </c>
      <c r="H1137" s="16" t="n">
        <f aca="false">IF(D1137="","",MAX(0,MIN($B$8,IFERROR(LOOKUP(2,1/($U$24:U1136&lt;&gt;""),$U$24:U1136),$B$11))))</f>
        <v>33.768099635578</v>
      </c>
      <c r="I1137" s="16" t="n">
        <f aca="false" t="array" ref="I1137: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>5.62396763204549</v>
      </c>
      <c r="J1137" s="16" t="n">
        <f aca="false">IF(D1137="","",$B$12)</f>
        <v>0.35</v>
      </c>
      <c r="K1137" s="16" t="n">
        <f aca="false">IF(J1137="","",J1137*$B$15)</f>
        <v>0.9072</v>
      </c>
      <c r="L1137" s="16" t="n">
        <f aca="false">IF(D1137="","",H1137+E1137-K1137-G1137*I1137)</f>
        <v>31.4312894686689</v>
      </c>
      <c r="M1137" s="16" t="n">
        <f aca="false" t="array" ref="M1137: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>5.38121162441512</v>
      </c>
      <c r="N1137" s="16" t="n">
        <f aca="false">IF(D1137="","",(I1137+M1137)/2)</f>
        <v>5.50258962823031</v>
      </c>
      <c r="O1137" s="16" t="n">
        <f aca="false">IF(D1137="","",G1137*N1137)</f>
        <v>1.44663081326175</v>
      </c>
      <c r="P1137" s="16" t="n">
        <f aca="false">IF(D1137="","",H1137+E1137-K1137-O1137)</f>
        <v>31.463199745872</v>
      </c>
      <c r="Q1137" s="16" t="n">
        <f aca="false">IF(D1137="","",IF(P1137&gt;=0,K1137,MAX(0,K1137+P1137)))</f>
        <v>0.9072</v>
      </c>
      <c r="R1137" s="16" t="n">
        <f aca="false">IF(D1137="","",Q1137/$B$15)</f>
        <v>0.35</v>
      </c>
      <c r="S1137" s="16" t="n">
        <f aca="false">IF(D1137="","",MAX(0,J1137-R1137))</f>
        <v>0</v>
      </c>
      <c r="T1137" s="16" t="n">
        <f aca="false">IF(D1137="","",MAX(0,Z1137-$B$8))</f>
        <v>0</v>
      </c>
      <c r="U1137" s="16" t="n">
        <f aca="false">IF(D1137="","",MAX(0,MIN($B$8,Z1137)))</f>
        <v>31.463199745872</v>
      </c>
      <c r="V1137" s="16" t="str">
        <f aca="false">IF(D1137="","",IF(S1137&gt;0.0000001,"Sim","Não"))</f>
        <v>Não</v>
      </c>
      <c r="W1137" s="16" t="n">
        <f aca="false">IF(D1137="","",U1137-(H1137+E1137-Q1137-O1137-T1137))</f>
        <v>0</v>
      </c>
      <c r="X1137" s="16" t="n">
        <f aca="false">IF(W1137="","",ABS(W1137))</f>
        <v>0</v>
      </c>
      <c r="Y1137" s="16" t="n">
        <f aca="false">IF(U1137="","",IF($B$8=0,0,U1137/$B$8*100))</f>
        <v>66.631087983634</v>
      </c>
      <c r="Z1137" s="18" t="n">
        <f aca="false">IF(D1137="","",MAX(0,IF(P1137&gt;=0,P1137,IF(K1137+P1137&gt;=0,0,P1137+K1137))))</f>
        <v>31.463199745872</v>
      </c>
      <c r="AA1137" s="18" t="n">
        <f aca="false">IF(D1137="","",IF(H1137&lt;=$B$16,1,IF(H1137&gt;=$B$17,$B$21,MATCH(H1137,Aux_CAV!$A$2:$A$121,1))))</f>
        <v>12</v>
      </c>
      <c r="AB1137" s="18" t="n">
        <f aca="false">IF(D1137="","",IF(L1137&lt;=$B$16,1,IF(L1137&gt;=$B$17,$B$21,MATCH(L1137,Aux_CAV!$A$2:$A$121,1))))</f>
        <v>12</v>
      </c>
      <c r="AC1137" s="19" t="n">
        <f aca="false">IF(D1137="","",COUNT($D$24:D1137))</f>
        <v>1102</v>
      </c>
    </row>
    <row r="1138" customFormat="false" ht="12.75" hidden="false" customHeight="true" outlineLevel="0" collapsed="false">
      <c r="A1138" s="14" t="n">
        <f aca="false">IF(D1138="","",DATE(B1138,C1138,1))</f>
        <v>37561</v>
      </c>
      <c r="B1138" s="15" t="n">
        <f aca="false" t="array" ref="B1138:B1138">IF(D1138="","",IFERROR(VALUE(INDEX(Vazoes_COLAR!$A$2:$A$200,INT((ROW()-24)/12)+1)),""))</f>
        <v>2002</v>
      </c>
      <c r="C1138" s="15" t="n">
        <f aca="false">IF(D1138="","",MOD(ROW()-24,12)+1)</f>
        <v>11</v>
      </c>
      <c r="D1138" s="16" t="n">
        <f aca="false" t="array" ref="D1138: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0.0334186444757806</v>
      </c>
      <c r="E1138" s="16" t="n">
        <f aca="false">IF(D1138="","",D1138*$B$15)</f>
        <v>0.0866211264812233</v>
      </c>
      <c r="F1138" s="16" t="n">
        <f aca="false" t="array" ref="F1138:F1138">IF(D1138="","",IFERROR(INDEX(Dados_Evap!$C$2:$N$15,MATCH($B$9,Dados_Evap!$A$2:$A$15,0),C1138),0))</f>
        <v>223.7</v>
      </c>
      <c r="G1138" s="16" t="n">
        <f aca="false">IF(F1138="","",F1138/1000)</f>
        <v>0.2237</v>
      </c>
      <c r="H1138" s="16" t="n">
        <f aca="false">IF(D1138="","",MAX(0,MIN($B$8,IFERROR(LOOKUP(2,1/($U$24:U1137&lt;&gt;""),$U$24:U1137),$B$11))))</f>
        <v>31.463199745872</v>
      </c>
      <c r="I1138" s="16" t="n">
        <f aca="false" t="array" ref="I1138: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>5.38452657554204</v>
      </c>
      <c r="J1138" s="16" t="n">
        <f aca="false">IF(D1138="","",$B$12)</f>
        <v>0.35</v>
      </c>
      <c r="K1138" s="16" t="n">
        <f aca="false">IF(J1138="","",J1138*$B$15)</f>
        <v>0.9072</v>
      </c>
      <c r="L1138" s="16" t="n">
        <f aca="false">IF(D1138="","",H1138+E1138-K1138-G1138*I1138)</f>
        <v>29.4381022774044</v>
      </c>
      <c r="M1138" s="16" t="n">
        <f aca="false" t="array" ref="M1138: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>5.17415237250706</v>
      </c>
      <c r="N1138" s="16" t="n">
        <f aca="false">IF(D1138="","",(I1138+M1138)/2)</f>
        <v>5.27933947402455</v>
      </c>
      <c r="O1138" s="16" t="n">
        <f aca="false">IF(D1138="","",G1138*N1138)</f>
        <v>1.18098824033929</v>
      </c>
      <c r="P1138" s="16" t="n">
        <f aca="false">IF(D1138="","",H1138+E1138-K1138-O1138)</f>
        <v>29.4616326320139</v>
      </c>
      <c r="Q1138" s="16" t="n">
        <f aca="false">IF(D1138="","",IF(P1138&gt;=0,K1138,MAX(0,K1138+P1138)))</f>
        <v>0.9072</v>
      </c>
      <c r="R1138" s="16" t="n">
        <f aca="false">IF(D1138="","",Q1138/$B$15)</f>
        <v>0.35</v>
      </c>
      <c r="S1138" s="16" t="n">
        <f aca="false">IF(D1138="","",MAX(0,J1138-R1138))</f>
        <v>0</v>
      </c>
      <c r="T1138" s="16" t="n">
        <f aca="false">IF(D1138="","",MAX(0,Z1138-$B$8))</f>
        <v>0</v>
      </c>
      <c r="U1138" s="16" t="n">
        <f aca="false">IF(D1138="","",MAX(0,MIN($B$8,Z1138)))</f>
        <v>29.4616326320139</v>
      </c>
      <c r="V1138" s="16" t="str">
        <f aca="false">IF(D1138="","",IF(S1138&gt;0.0000001,"Sim","Não"))</f>
        <v>Não</v>
      </c>
      <c r="W1138" s="16" t="n">
        <f aca="false">IF(D1138="","",U1138-(H1138+E1138-Q1138-O1138-T1138))</f>
        <v>0</v>
      </c>
      <c r="X1138" s="16" t="n">
        <f aca="false">IF(W1138="","",ABS(W1138))</f>
        <v>0</v>
      </c>
      <c r="Y1138" s="16" t="n">
        <f aca="false">IF(U1138="","",IF($B$8=0,0,U1138/$B$8*100))</f>
        <v>62.3922757984199</v>
      </c>
      <c r="Z1138" s="18" t="n">
        <f aca="false">IF(D1138="","",MAX(0,IF(P1138&gt;=0,P1138,IF(K1138+P1138&gt;=0,0,P1138+K1138))))</f>
        <v>29.4616326320139</v>
      </c>
      <c r="AA1138" s="18" t="n">
        <f aca="false">IF(D1138="","",IF(H1138&lt;=$B$16,1,IF(H1138&gt;=$B$17,$B$21,MATCH(H1138,Aux_CAV!$A$2:$A$121,1))))</f>
        <v>12</v>
      </c>
      <c r="AB1138" s="18" t="n">
        <f aca="false">IF(D1138="","",IF(L1138&lt;=$B$16,1,IF(L1138&gt;=$B$17,$B$21,MATCH(L1138,Aux_CAV!$A$2:$A$121,1))))</f>
        <v>12</v>
      </c>
      <c r="AC1138" s="19" t="n">
        <f aca="false">IF(D1138="","",COUNT($D$24:D1138))</f>
        <v>1103</v>
      </c>
    </row>
    <row r="1139" customFormat="false" ht="12.75" hidden="false" customHeight="true" outlineLevel="0" collapsed="false">
      <c r="A1139" s="14" t="n">
        <f aca="false">IF(D1139="","",DATE(B1139,C1139,1))</f>
        <v>37591</v>
      </c>
      <c r="B1139" s="15" t="n">
        <f aca="false" t="array" ref="B1139:B1139">IF(D1139="","",IFERROR(VALUE(INDEX(Vazoes_COLAR!$A$2:$A$200,INT((ROW()-24)/12)+1)),""))</f>
        <v>2002</v>
      </c>
      <c r="C1139" s="15" t="n">
        <f aca="false">IF(D1139="","",MOD(ROW()-24,12)+1)</f>
        <v>12</v>
      </c>
      <c r="D1139" s="16" t="n">
        <f aca="false" t="array" ref="D1139: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0.0247977993260557</v>
      </c>
      <c r="E1139" s="16" t="n">
        <f aca="false">IF(D1139="","",D1139*$B$15)</f>
        <v>0.0642758958531364</v>
      </c>
      <c r="F1139" s="16" t="n">
        <f aca="false" t="array" ref="F1139:F1139">IF(D1139="","",IFERROR(INDEX(Dados_Evap!$C$2:$N$15,MATCH($B$9,Dados_Evap!$A$2:$A$15,0),C1139),0))</f>
        <v>216.1</v>
      </c>
      <c r="G1139" s="16" t="n">
        <f aca="false">IF(F1139="","",F1139/1000)</f>
        <v>0.2161</v>
      </c>
      <c r="H1139" s="16" t="n">
        <f aca="false">IF(D1139="","",MAX(0,MIN($B$8,IFERROR(LOOKUP(2,1/($U$24:U1138&lt;&gt;""),$U$24:U1138),$B$11))))</f>
        <v>29.4616326320139</v>
      </c>
      <c r="I1139" s="16" t="n">
        <f aca="false" t="array" ref="I1139: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>5.17659678798591</v>
      </c>
      <c r="J1139" s="16" t="n">
        <f aca="false">IF(D1139="","",$B$12)</f>
        <v>0.35</v>
      </c>
      <c r="K1139" s="16" t="n">
        <f aca="false">IF(J1139="","",J1139*$B$15)</f>
        <v>0.9072</v>
      </c>
      <c r="L1139" s="16" t="n">
        <f aca="false">IF(D1139="","",H1139+E1139-K1139-G1139*I1139)</f>
        <v>27.5000459619833</v>
      </c>
      <c r="M1139" s="16" t="n">
        <f aca="false" t="array" ref="M1139: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>4.97282030867205</v>
      </c>
      <c r="N1139" s="16" t="n">
        <f aca="false">IF(D1139="","",(I1139+M1139)/2)</f>
        <v>5.07470854832898</v>
      </c>
      <c r="O1139" s="16" t="n">
        <f aca="false">IF(D1139="","",G1139*N1139)</f>
        <v>1.09664451729389</v>
      </c>
      <c r="P1139" s="16" t="n">
        <f aca="false">IF(D1139="","",H1139+E1139-K1139-O1139)</f>
        <v>27.5220640105731</v>
      </c>
      <c r="Q1139" s="16" t="n">
        <f aca="false">IF(D1139="","",IF(P1139&gt;=0,K1139,MAX(0,K1139+P1139)))</f>
        <v>0.9072</v>
      </c>
      <c r="R1139" s="16" t="n">
        <f aca="false">IF(D1139="","",Q1139/$B$15)</f>
        <v>0.35</v>
      </c>
      <c r="S1139" s="16" t="n">
        <f aca="false">IF(D1139="","",MAX(0,J1139-R1139))</f>
        <v>0</v>
      </c>
      <c r="T1139" s="16" t="n">
        <f aca="false">IF(D1139="","",MAX(0,Z1139-$B$8))</f>
        <v>0</v>
      </c>
      <c r="U1139" s="16" t="n">
        <f aca="false">IF(D1139="","",MAX(0,MIN($B$8,Z1139)))</f>
        <v>27.5220640105731</v>
      </c>
      <c r="V1139" s="16" t="str">
        <f aca="false">IF(D1139="","",IF(S1139&gt;0.0000001,"Sim","Não"))</f>
        <v>Não</v>
      </c>
      <c r="W1139" s="16" t="n">
        <f aca="false">IF(D1139="","",U1139-(H1139+E1139-Q1139-O1139-T1139))</f>
        <v>0</v>
      </c>
      <c r="X1139" s="16" t="n">
        <f aca="false">IF(W1139="","",ABS(W1139))</f>
        <v>0</v>
      </c>
      <c r="Y1139" s="16" t="n">
        <f aca="false">IF(U1139="","",IF($B$8=0,0,U1139/$B$8*100))</f>
        <v>58.2847607170121</v>
      </c>
      <c r="Z1139" s="18" t="n">
        <f aca="false">IF(D1139="","",MAX(0,IF(P1139&gt;=0,P1139,IF(K1139+P1139&gt;=0,0,P1139+K1139))))</f>
        <v>27.5220640105731</v>
      </c>
      <c r="AA1139" s="18" t="n">
        <f aca="false">IF(D1139="","",IF(H1139&lt;=$B$16,1,IF(H1139&gt;=$B$17,$B$21,MATCH(H1139,Aux_CAV!$A$2:$A$121,1))))</f>
        <v>12</v>
      </c>
      <c r="AB1139" s="18" t="n">
        <f aca="false">IF(D1139="","",IF(L1139&lt;=$B$16,1,IF(L1139&gt;=$B$17,$B$21,MATCH(L1139,Aux_CAV!$A$2:$A$121,1))))</f>
        <v>12</v>
      </c>
      <c r="AC1139" s="19" t="n">
        <f aca="false">IF(D1139="","",COUNT($D$24:D1139))</f>
        <v>1104</v>
      </c>
    </row>
    <row r="1140" customFormat="false" ht="12.75" hidden="false" customHeight="true" outlineLevel="0" collapsed="false">
      <c r="A1140" s="14" t="n">
        <f aca="false">IF(D1140="","",DATE(B1140,C1140,1))</f>
        <v>37622</v>
      </c>
      <c r="B1140" s="15" t="n">
        <f aca="false" t="array" ref="B1140:B1140">IF(D1140="","",IFERROR(VALUE(INDEX(Vazoes_COLAR!$A$2:$A$200,INT((ROW()-24)/12)+1)),""))</f>
        <v>2003</v>
      </c>
      <c r="C1140" s="15" t="n">
        <f aca="false">IF(D1140="","",MOD(ROW()-24,12)+1)</f>
        <v>1</v>
      </c>
      <c r="D1140" s="16" t="n">
        <f aca="false" t="array" ref="D1140: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0.355610806959576</v>
      </c>
      <c r="E1140" s="16" t="n">
        <f aca="false">IF(D1140="","",D1140*$B$15)</f>
        <v>0.921743211639221</v>
      </c>
      <c r="F1140" s="16" t="n">
        <f aca="false" t="array" ref="F1140:F1140">IF(D1140="","",IFERROR(INDEX(Dados_Evap!$C$2:$N$15,MATCH($B$9,Dados_Evap!$A$2:$A$15,0),C1140),0))</f>
        <v>160</v>
      </c>
      <c r="G1140" s="16" t="n">
        <f aca="false">IF(F1140="","",F1140/1000)</f>
        <v>0.16</v>
      </c>
      <c r="H1140" s="16" t="n">
        <f aca="false">IF(D1140="","",MAX(0,MIN($B$8,IFERROR(LOOKUP(2,1/($U$24:U1139&lt;&gt;""),$U$24:U1139),$B$11))))</f>
        <v>27.5220640105731</v>
      </c>
      <c r="I1140" s="16" t="n">
        <f aca="false" t="array" ref="I1140: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>4.97510762051585</v>
      </c>
      <c r="J1140" s="16" t="n">
        <f aca="false">IF(D1140="","",$B$12)</f>
        <v>0.35</v>
      </c>
      <c r="K1140" s="16" t="n">
        <f aca="false">IF(J1140="","",J1140*$B$15)</f>
        <v>0.9072</v>
      </c>
      <c r="L1140" s="16" t="n">
        <f aca="false">IF(D1140="","",H1140+E1140-K1140-G1140*I1140)</f>
        <v>26.7405900029298</v>
      </c>
      <c r="M1140" s="16" t="n">
        <f aca="false" t="array" ref="M1140: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>4.8939253692364</v>
      </c>
      <c r="N1140" s="16" t="n">
        <f aca="false">IF(D1140="","",(I1140+M1140)/2)</f>
        <v>4.93451649487612</v>
      </c>
      <c r="O1140" s="16" t="n">
        <f aca="false">IF(D1140="","",G1140*N1140)</f>
        <v>0.78952263918018</v>
      </c>
      <c r="P1140" s="16" t="n">
        <f aca="false">IF(D1140="","",H1140+E1140-K1140-O1140)</f>
        <v>26.7470845830322</v>
      </c>
      <c r="Q1140" s="16" t="n">
        <f aca="false">IF(D1140="","",IF(P1140&gt;=0,K1140,MAX(0,K1140+P1140)))</f>
        <v>0.9072</v>
      </c>
      <c r="R1140" s="16" t="n">
        <f aca="false">IF(D1140="","",Q1140/$B$15)</f>
        <v>0.35</v>
      </c>
      <c r="S1140" s="16" t="n">
        <f aca="false">IF(D1140="","",MAX(0,J1140-R1140))</f>
        <v>0</v>
      </c>
      <c r="T1140" s="16" t="n">
        <f aca="false">IF(D1140="","",MAX(0,Z1140-$B$8))</f>
        <v>0</v>
      </c>
      <c r="U1140" s="16" t="n">
        <f aca="false">IF(D1140="","",MAX(0,MIN($B$8,Z1140)))</f>
        <v>26.7470845830322</v>
      </c>
      <c r="V1140" s="16" t="str">
        <f aca="false">IF(D1140="","",IF(S1140&gt;0.0000001,"Sim","Não"))</f>
        <v>Não</v>
      </c>
      <c r="W1140" s="16" t="n">
        <f aca="false">IF(D1140="","",U1140-(H1140+E1140-Q1140-O1140-T1140))</f>
        <v>0</v>
      </c>
      <c r="X1140" s="16" t="n">
        <f aca="false">IF(W1140="","",ABS(W1140))</f>
        <v>0</v>
      </c>
      <c r="Y1140" s="16" t="n">
        <f aca="false">IF(U1140="","",IF($B$8=0,0,U1140/$B$8*100))</f>
        <v>56.643550578213</v>
      </c>
      <c r="Z1140" s="18" t="n">
        <f aca="false">IF(D1140="","",MAX(0,IF(P1140&gt;=0,P1140,IF(K1140+P1140&gt;=0,0,P1140+K1140))))</f>
        <v>26.7470845830322</v>
      </c>
      <c r="AA1140" s="18" t="n">
        <f aca="false">IF(D1140="","",IF(H1140&lt;=$B$16,1,IF(H1140&gt;=$B$17,$B$21,MATCH(H1140,Aux_CAV!$A$2:$A$121,1))))</f>
        <v>12</v>
      </c>
      <c r="AB1140" s="18" t="n">
        <f aca="false">IF(D1140="","",IF(L1140&lt;=$B$16,1,IF(L1140&gt;=$B$17,$B$21,MATCH(L1140,Aux_CAV!$A$2:$A$121,1))))</f>
        <v>12</v>
      </c>
      <c r="AC1140" s="19" t="n">
        <f aca="false">IF(D1140="","",COUNT($D$24:D1140))</f>
        <v>1105</v>
      </c>
    </row>
    <row r="1141" customFormat="false" ht="12.75" hidden="false" customHeight="true" outlineLevel="0" collapsed="false">
      <c r="A1141" s="14" t="n">
        <f aca="false">IF(D1141="","",DATE(B1141,C1141,1))</f>
        <v>37653</v>
      </c>
      <c r="B1141" s="15" t="n">
        <f aca="false" t="array" ref="B1141:B1141">IF(D1141="","",IFERROR(VALUE(INDEX(Vazoes_COLAR!$A$2:$A$200,INT((ROW()-24)/12)+1)),""))</f>
        <v>2003</v>
      </c>
      <c r="C1141" s="15" t="n">
        <f aca="false">IF(D1141="","",MOD(ROW()-24,12)+1)</f>
        <v>2</v>
      </c>
      <c r="D1141" s="16" t="n">
        <f aca="false" t="array" ref="D1141: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0.874291630499912</v>
      </c>
      <c r="E1141" s="16" t="n">
        <f aca="false">IF(D1141="","",D1141*$B$15)</f>
        <v>2.26616390625577</v>
      </c>
      <c r="F1141" s="16" t="n">
        <f aca="false" t="array" ref="F1141:F1141">IF(D1141="","",IFERROR(INDEX(Dados_Evap!$C$2:$N$15,MATCH($B$9,Dados_Evap!$A$2:$A$15,0),C1141),0))</f>
        <v>124.3</v>
      </c>
      <c r="G1141" s="16" t="n">
        <f aca="false">IF(F1141="","",F1141/1000)</f>
        <v>0.1243</v>
      </c>
      <c r="H1141" s="16" t="n">
        <f aca="false">IF(D1141="","",MAX(0,MIN($B$8,IFERROR(LOOKUP(2,1/($U$24:U1140&lt;&gt;""),$U$24:U1140),$B$11))))</f>
        <v>26.7470845830322</v>
      </c>
      <c r="I1141" s="16" t="n">
        <f aca="false" t="array" ref="I1141: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>4.89460004891693</v>
      </c>
      <c r="J1141" s="16" t="n">
        <f aca="false">IF(D1141="","",$B$12)</f>
        <v>0.35</v>
      </c>
      <c r="K1141" s="16" t="n">
        <f aca="false">IF(J1141="","",J1141*$B$15)</f>
        <v>0.9072</v>
      </c>
      <c r="L1141" s="16" t="n">
        <f aca="false">IF(D1141="","",H1141+E1141-K1141-G1141*I1141)</f>
        <v>27.4976497032076</v>
      </c>
      <c r="M1141" s="16" t="n">
        <f aca="false" t="array" ref="M1141: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>4.97257137693516</v>
      </c>
      <c r="N1141" s="16" t="n">
        <f aca="false">IF(D1141="","",(I1141+M1141)/2)</f>
        <v>4.93358571292604</v>
      </c>
      <c r="O1141" s="16" t="n">
        <f aca="false">IF(D1141="","",G1141*N1141)</f>
        <v>0.613244704116707</v>
      </c>
      <c r="P1141" s="16" t="n">
        <f aca="false">IF(D1141="","",H1141+E1141-K1141-O1141)</f>
        <v>27.4928037851712</v>
      </c>
      <c r="Q1141" s="16" t="n">
        <f aca="false">IF(D1141="","",IF(P1141&gt;=0,K1141,MAX(0,K1141+P1141)))</f>
        <v>0.9072</v>
      </c>
      <c r="R1141" s="16" t="n">
        <f aca="false">IF(D1141="","",Q1141/$B$15)</f>
        <v>0.35</v>
      </c>
      <c r="S1141" s="16" t="n">
        <f aca="false">IF(D1141="","",MAX(0,J1141-R1141))</f>
        <v>0</v>
      </c>
      <c r="T1141" s="16" t="n">
        <f aca="false">IF(D1141="","",MAX(0,Z1141-$B$8))</f>
        <v>0</v>
      </c>
      <c r="U1141" s="16" t="n">
        <f aca="false">IF(D1141="","",MAX(0,MIN($B$8,Z1141)))</f>
        <v>27.4928037851712</v>
      </c>
      <c r="V1141" s="16" t="str">
        <f aca="false">IF(D1141="","",IF(S1141&gt;0.0000001,"Sim","Não"))</f>
        <v>Não</v>
      </c>
      <c r="W1141" s="16" t="n">
        <f aca="false">IF(D1141="","",U1141-(H1141+E1141-Q1141-O1141-T1141))</f>
        <v>0</v>
      </c>
      <c r="X1141" s="16" t="n">
        <f aca="false">IF(W1141="","",ABS(W1141))</f>
        <v>0</v>
      </c>
      <c r="Y1141" s="16" t="n">
        <f aca="false">IF(U1141="","",IF($B$8=0,0,U1141/$B$8*100))</f>
        <v>58.2227949707142</v>
      </c>
      <c r="Z1141" s="18" t="n">
        <f aca="false">IF(D1141="","",MAX(0,IF(P1141&gt;=0,P1141,IF(K1141+P1141&gt;=0,0,P1141+K1141))))</f>
        <v>27.4928037851712</v>
      </c>
      <c r="AA1141" s="18" t="n">
        <f aca="false">IF(D1141="","",IF(H1141&lt;=$B$16,1,IF(H1141&gt;=$B$17,$B$21,MATCH(H1141,Aux_CAV!$A$2:$A$121,1))))</f>
        <v>12</v>
      </c>
      <c r="AB1141" s="18" t="n">
        <f aca="false">IF(D1141="","",IF(L1141&lt;=$B$16,1,IF(L1141&gt;=$B$17,$B$21,MATCH(L1141,Aux_CAV!$A$2:$A$121,1))))</f>
        <v>12</v>
      </c>
      <c r="AC1141" s="19" t="n">
        <f aca="false">IF(D1141="","",COUNT($D$24:D1141))</f>
        <v>1106</v>
      </c>
    </row>
    <row r="1142" customFormat="false" ht="12.75" hidden="false" customHeight="true" outlineLevel="0" collapsed="false">
      <c r="A1142" s="14" t="n">
        <f aca="false">IF(D1142="","",DATE(B1142,C1142,1))</f>
        <v>37681</v>
      </c>
      <c r="B1142" s="15" t="n">
        <f aca="false" t="array" ref="B1142:B1142">IF(D1142="","",IFERROR(VALUE(INDEX(Vazoes_COLAR!$A$2:$A$200,INT((ROW()-24)/12)+1)),""))</f>
        <v>2003</v>
      </c>
      <c r="C1142" s="15" t="n">
        <f aca="false">IF(D1142="","",MOD(ROW()-24,12)+1)</f>
        <v>3</v>
      </c>
      <c r="D1142" s="16" t="n">
        <f aca="false" t="array" ref="D1142: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3.36299272977183</v>
      </c>
      <c r="E1142" s="16" t="n">
        <f aca="false">IF(D1142="","",D1142*$B$15)</f>
        <v>8.71687715556858</v>
      </c>
      <c r="F1142" s="16" t="n">
        <f aca="false" t="array" ref="F1142:F1142">IF(D1142="","",IFERROR(INDEX(Dados_Evap!$C$2:$N$15,MATCH($B$9,Dados_Evap!$A$2:$A$15,0),C1142),0))</f>
        <v>107.7</v>
      </c>
      <c r="G1142" s="16" t="n">
        <f aca="false">IF(F1142="","",F1142/1000)</f>
        <v>0.1077</v>
      </c>
      <c r="H1142" s="16" t="n">
        <f aca="false">IF(D1142="","",MAX(0,MIN($B$8,IFERROR(LOOKUP(2,1/($U$24:U1141&lt;&gt;""),$U$24:U1141),$B$11))))</f>
        <v>27.4928037851712</v>
      </c>
      <c r="I1142" s="16" t="n">
        <f aca="false" t="array" ref="I1142: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>4.97206796603235</v>
      </c>
      <c r="J1142" s="16" t="n">
        <f aca="false">IF(D1142="","",$B$12)</f>
        <v>0.35</v>
      </c>
      <c r="K1142" s="16" t="n">
        <f aca="false">IF(J1142="","",J1142*$B$15)</f>
        <v>0.9072</v>
      </c>
      <c r="L1142" s="16" t="n">
        <f aca="false">IF(D1142="","",H1142+E1142-K1142-G1142*I1142)</f>
        <v>34.7669892207981</v>
      </c>
      <c r="M1142" s="16" t="n">
        <f aca="false" t="array" ref="M1142: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>5.72665694264258</v>
      </c>
      <c r="N1142" s="16" t="n">
        <f aca="false">IF(D1142="","",(I1142+M1142)/2)</f>
        <v>5.34936245433747</v>
      </c>
      <c r="O1142" s="16" t="n">
        <f aca="false">IF(D1142="","",G1142*N1142)</f>
        <v>0.576126336332145</v>
      </c>
      <c r="P1142" s="16" t="n">
        <f aca="false">IF(D1142="","",H1142+E1142-K1142-O1142)</f>
        <v>34.7263546044077</v>
      </c>
      <c r="Q1142" s="16" t="n">
        <f aca="false">IF(D1142="","",IF(P1142&gt;=0,K1142,MAX(0,K1142+P1142)))</f>
        <v>0.9072</v>
      </c>
      <c r="R1142" s="16" t="n">
        <f aca="false">IF(D1142="","",Q1142/$B$15)</f>
        <v>0.35</v>
      </c>
      <c r="S1142" s="16" t="n">
        <f aca="false">IF(D1142="","",MAX(0,J1142-R1142))</f>
        <v>0</v>
      </c>
      <c r="T1142" s="16" t="n">
        <f aca="false">IF(D1142="","",MAX(0,Z1142-$B$8))</f>
        <v>0</v>
      </c>
      <c r="U1142" s="16" t="n">
        <f aca="false">IF(D1142="","",MAX(0,MIN($B$8,Z1142)))</f>
        <v>34.7263546044077</v>
      </c>
      <c r="V1142" s="16" t="str">
        <f aca="false">IF(D1142="","",IF(S1142&gt;0.0000001,"Sim","Não"))</f>
        <v>Não</v>
      </c>
      <c r="W1142" s="16" t="n">
        <f aca="false">IF(D1142="","",U1142-(H1142+E1142-Q1142-O1142-T1142))</f>
        <v>0</v>
      </c>
      <c r="X1142" s="16" t="n">
        <f aca="false">IF(W1142="","",ABS(W1142))</f>
        <v>0</v>
      </c>
      <c r="Y1142" s="16" t="n">
        <f aca="false">IF(U1142="","",IF($B$8=0,0,U1142/$B$8*100))</f>
        <v>73.541623473968</v>
      </c>
      <c r="Z1142" s="18" t="n">
        <f aca="false">IF(D1142="","",MAX(0,IF(P1142&gt;=0,P1142,IF(K1142+P1142&gt;=0,0,P1142+K1142))))</f>
        <v>34.7263546044077</v>
      </c>
      <c r="AA1142" s="18" t="n">
        <f aca="false">IF(D1142="","",IF(H1142&lt;=$B$16,1,IF(H1142&gt;=$B$17,$B$21,MATCH(H1142,Aux_CAV!$A$2:$A$121,1))))</f>
        <v>12</v>
      </c>
      <c r="AB1142" s="18" t="n">
        <f aca="false">IF(D1142="","",IF(L1142&lt;=$B$16,1,IF(L1142&gt;=$B$17,$B$21,MATCH(L1142,Aux_CAV!$A$2:$A$121,1))))</f>
        <v>13</v>
      </c>
      <c r="AC1142" s="19" t="n">
        <f aca="false">IF(D1142="","",COUNT($D$24:D1142))</f>
        <v>1107</v>
      </c>
    </row>
    <row r="1143" customFormat="false" ht="12.75" hidden="false" customHeight="true" outlineLevel="0" collapsed="false">
      <c r="A1143" s="14" t="n">
        <f aca="false">IF(D1143="","",DATE(B1143,C1143,1))</f>
        <v>37712</v>
      </c>
      <c r="B1143" s="15" t="n">
        <f aca="false" t="array" ref="B1143:B1143">IF(D1143="","",IFERROR(VALUE(INDEX(Vazoes_COLAR!$A$2:$A$200,INT((ROW()-24)/12)+1)),""))</f>
        <v>2003</v>
      </c>
      <c r="C1143" s="15" t="n">
        <f aca="false">IF(D1143="","",MOD(ROW()-24,12)+1)</f>
        <v>4</v>
      </c>
      <c r="D1143" s="16" t="n">
        <f aca="false" t="array" ref="D1143: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1.91018431304261</v>
      </c>
      <c r="E1143" s="16" t="n">
        <f aca="false">IF(D1143="","",D1143*$B$15)</f>
        <v>4.95119773940645</v>
      </c>
      <c r="F1143" s="16" t="n">
        <f aca="false" t="array" ref="F1143:F1143">IF(D1143="","",IFERROR(INDEX(Dados_Evap!$C$2:$N$15,MATCH($B$9,Dados_Evap!$A$2:$A$15,0),C1143),0))</f>
        <v>100.5</v>
      </c>
      <c r="G1143" s="16" t="n">
        <f aca="false">IF(F1143="","",F1143/1000)</f>
        <v>0.1005</v>
      </c>
      <c r="H1143" s="16" t="n">
        <f aca="false">IF(D1143="","",MAX(0,MIN($B$8,IFERROR(LOOKUP(2,1/($U$24:U1142&lt;&gt;""),$U$24:U1142),$B$11))))</f>
        <v>34.7263546044077</v>
      </c>
      <c r="I1143" s="16" t="n">
        <f aca="false" t="array" ref="I1143: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>5.72259987009416</v>
      </c>
      <c r="J1143" s="16" t="n">
        <f aca="false">IF(D1143="","",$B$12)</f>
        <v>0.35</v>
      </c>
      <c r="K1143" s="16" t="n">
        <f aca="false">IF(J1143="","",J1143*$B$15)</f>
        <v>0.9072</v>
      </c>
      <c r="L1143" s="16" t="n">
        <f aca="false">IF(D1143="","",H1143+E1143-K1143-G1143*I1143)</f>
        <v>38.1952310568697</v>
      </c>
      <c r="M1143" s="16" t="n">
        <f aca="false" t="array" ref="M1143: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>6.0689420945145</v>
      </c>
      <c r="N1143" s="16" t="n">
        <f aca="false">IF(D1143="","",(I1143+M1143)/2)</f>
        <v>5.89577098230433</v>
      </c>
      <c r="O1143" s="16" t="n">
        <f aca="false">IF(D1143="","",G1143*N1143)</f>
        <v>0.592524983721586</v>
      </c>
      <c r="P1143" s="16" t="n">
        <f aca="false">IF(D1143="","",H1143+E1143-K1143-O1143)</f>
        <v>38.1778273600925</v>
      </c>
      <c r="Q1143" s="16" t="n">
        <f aca="false">IF(D1143="","",IF(P1143&gt;=0,K1143,MAX(0,K1143+P1143)))</f>
        <v>0.9072</v>
      </c>
      <c r="R1143" s="16" t="n">
        <f aca="false">IF(D1143="","",Q1143/$B$15)</f>
        <v>0.35</v>
      </c>
      <c r="S1143" s="16" t="n">
        <f aca="false">IF(D1143="","",MAX(0,J1143-R1143))</f>
        <v>0</v>
      </c>
      <c r="T1143" s="16" t="n">
        <f aca="false">IF(D1143="","",MAX(0,Z1143-$B$8))</f>
        <v>0</v>
      </c>
      <c r="U1143" s="16" t="n">
        <f aca="false">IF(D1143="","",MAX(0,MIN($B$8,Z1143)))</f>
        <v>38.1778273600925</v>
      </c>
      <c r="V1143" s="16" t="str">
        <f aca="false">IF(D1143="","",IF(S1143&gt;0.0000001,"Sim","Não"))</f>
        <v>Não</v>
      </c>
      <c r="W1143" s="16" t="n">
        <f aca="false">IF(D1143="","",U1143-(H1143+E1143-Q1143-O1143-T1143))</f>
        <v>0</v>
      </c>
      <c r="X1143" s="16" t="n">
        <f aca="false">IF(W1143="","",ABS(W1143))</f>
        <v>0</v>
      </c>
      <c r="Y1143" s="16" t="n">
        <f aca="false">IF(U1143="","",IF($B$8=0,0,U1143/$B$8*100))</f>
        <v>80.8509685728347</v>
      </c>
      <c r="Z1143" s="18" t="n">
        <f aca="false">IF(D1143="","",MAX(0,IF(P1143&gt;=0,P1143,IF(K1143+P1143&gt;=0,0,P1143+K1143))))</f>
        <v>38.1778273600925</v>
      </c>
      <c r="AA1143" s="18" t="n">
        <f aca="false">IF(D1143="","",IF(H1143&lt;=$B$16,1,IF(H1143&gt;=$B$17,$B$21,MATCH(H1143,Aux_CAV!$A$2:$A$121,1))))</f>
        <v>13</v>
      </c>
      <c r="AB1143" s="18" t="n">
        <f aca="false">IF(D1143="","",IF(L1143&lt;=$B$16,1,IF(L1143&gt;=$B$17,$B$21,MATCH(L1143,Aux_CAV!$A$2:$A$121,1))))</f>
        <v>13</v>
      </c>
      <c r="AC1143" s="19" t="n">
        <f aca="false">IF(D1143="","",COUNT($D$24:D1143))</f>
        <v>1108</v>
      </c>
    </row>
    <row r="1144" customFormat="false" ht="12.75" hidden="false" customHeight="true" outlineLevel="0" collapsed="false">
      <c r="A1144" s="14" t="n">
        <f aca="false">IF(D1144="","",DATE(B1144,C1144,1))</f>
        <v>37742</v>
      </c>
      <c r="B1144" s="15" t="n">
        <f aca="false" t="array" ref="B1144:B1144">IF(D1144="","",IFERROR(VALUE(INDEX(Vazoes_COLAR!$A$2:$A$200,INT((ROW()-24)/12)+1)),""))</f>
        <v>2003</v>
      </c>
      <c r="C1144" s="15" t="n">
        <f aca="false">IF(D1144="","",MOD(ROW()-24,12)+1)</f>
        <v>5</v>
      </c>
      <c r="D1144" s="16" t="n">
        <f aca="false" t="array" ref="D1144: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0.64604667428396</v>
      </c>
      <c r="E1144" s="16" t="n">
        <f aca="false">IF(D1144="","",D1144*$B$15)</f>
        <v>1.67455297974402</v>
      </c>
      <c r="F1144" s="16" t="n">
        <f aca="false" t="array" ref="F1144:F1144">IF(D1144="","",IFERROR(INDEX(Dados_Evap!$C$2:$N$15,MATCH($B$9,Dados_Evap!$A$2:$A$15,0),C1144),0))</f>
        <v>145.8</v>
      </c>
      <c r="G1144" s="16" t="n">
        <f aca="false">IF(F1144="","",F1144/1000)</f>
        <v>0.1458</v>
      </c>
      <c r="H1144" s="16" t="n">
        <f aca="false">IF(D1144="","",MAX(0,MIN($B$8,IFERROR(LOOKUP(2,1/($U$24:U1143&lt;&gt;""),$U$24:U1143),$B$11))))</f>
        <v>38.1778273600925</v>
      </c>
      <c r="I1144" s="16" t="n">
        <f aca="false" t="array" ref="I1144: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>6.0672044612671</v>
      </c>
      <c r="J1144" s="16" t="n">
        <f aca="false">IF(D1144="","",$B$12)</f>
        <v>0.35</v>
      </c>
      <c r="K1144" s="16" t="n">
        <f aca="false">IF(J1144="","",J1144*$B$15)</f>
        <v>0.9072</v>
      </c>
      <c r="L1144" s="16" t="n">
        <f aca="false">IF(D1144="","",H1144+E1144-K1144-G1144*I1144)</f>
        <v>38.0605819293838</v>
      </c>
      <c r="M1144" s="16" t="n">
        <f aca="false" t="array" ref="M1144: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>6.05549835301238</v>
      </c>
      <c r="N1144" s="16" t="n">
        <f aca="false">IF(D1144="","",(I1144+M1144)/2)</f>
        <v>6.06135140713974</v>
      </c>
      <c r="O1144" s="16" t="n">
        <f aca="false">IF(D1144="","",G1144*N1144)</f>
        <v>0.883745035160974</v>
      </c>
      <c r="P1144" s="16" t="n">
        <f aca="false">IF(D1144="","",H1144+E1144-K1144-O1144)</f>
        <v>38.0614353046756</v>
      </c>
      <c r="Q1144" s="16" t="n">
        <f aca="false">IF(D1144="","",IF(P1144&gt;=0,K1144,MAX(0,K1144+P1144)))</f>
        <v>0.9072</v>
      </c>
      <c r="R1144" s="16" t="n">
        <f aca="false">IF(D1144="","",Q1144/$B$15)</f>
        <v>0.35</v>
      </c>
      <c r="S1144" s="16" t="n">
        <f aca="false">IF(D1144="","",MAX(0,J1144-R1144))</f>
        <v>0</v>
      </c>
      <c r="T1144" s="16" t="n">
        <f aca="false">IF(D1144="","",MAX(0,Z1144-$B$8))</f>
        <v>0</v>
      </c>
      <c r="U1144" s="16" t="n">
        <f aca="false">IF(D1144="","",MAX(0,MIN($B$8,Z1144)))</f>
        <v>38.0614353046756</v>
      </c>
      <c r="V1144" s="16" t="str">
        <f aca="false">IF(D1144="","",IF(S1144&gt;0.0000001,"Sim","Não"))</f>
        <v>Não</v>
      </c>
      <c r="W1144" s="16" t="n">
        <f aca="false">IF(D1144="","",U1144-(H1144+E1144-Q1144-O1144-T1144))</f>
        <v>0</v>
      </c>
      <c r="X1144" s="16" t="n">
        <f aca="false">IF(W1144="","",ABS(W1144))</f>
        <v>0</v>
      </c>
      <c r="Y1144" s="16" t="n">
        <f aca="false">IF(U1144="","",IF($B$8=0,0,U1144/$B$8*100))</f>
        <v>80.6044796795332</v>
      </c>
      <c r="Z1144" s="18" t="n">
        <f aca="false">IF(D1144="","",MAX(0,IF(P1144&gt;=0,P1144,IF(K1144+P1144&gt;=0,0,P1144+K1144))))</f>
        <v>38.0614353046756</v>
      </c>
      <c r="AA1144" s="18" t="n">
        <f aca="false">IF(D1144="","",IF(H1144&lt;=$B$16,1,IF(H1144&gt;=$B$17,$B$21,MATCH(H1144,Aux_CAV!$A$2:$A$121,1))))</f>
        <v>13</v>
      </c>
      <c r="AB1144" s="18" t="n">
        <f aca="false">IF(D1144="","",IF(L1144&lt;=$B$16,1,IF(L1144&gt;=$B$17,$B$21,MATCH(L1144,Aux_CAV!$A$2:$A$121,1))))</f>
        <v>13</v>
      </c>
      <c r="AC1144" s="19" t="n">
        <f aca="false">IF(D1144="","",COUNT($D$24:D1144))</f>
        <v>1109</v>
      </c>
    </row>
    <row r="1145" customFormat="false" ht="12.75" hidden="false" customHeight="true" outlineLevel="0" collapsed="false">
      <c r="A1145" s="14" t="n">
        <f aca="false">IF(D1145="","",DATE(B1145,C1145,1))</f>
        <v>37773</v>
      </c>
      <c r="B1145" s="15" t="n">
        <f aca="false" t="array" ref="B1145:B1145">IF(D1145="","",IFERROR(VALUE(INDEX(Vazoes_COLAR!$A$2:$A$200,INT((ROW()-24)/12)+1)),""))</f>
        <v>2003</v>
      </c>
      <c r="C1145" s="15" t="n">
        <f aca="false">IF(D1145="","",MOD(ROW()-24,12)+1)</f>
        <v>6</v>
      </c>
      <c r="D1145" s="16" t="n">
        <f aca="false" t="array" ref="D1145: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0.180041360290746</v>
      </c>
      <c r="E1145" s="16" t="n">
        <f aca="false">IF(D1145="","",D1145*$B$15)</f>
        <v>0.466667205873614</v>
      </c>
      <c r="F1145" s="16" t="n">
        <f aca="false" t="array" ref="F1145:F1145">IF(D1145="","",IFERROR(INDEX(Dados_Evap!$C$2:$N$15,MATCH($B$9,Dados_Evap!$A$2:$A$15,0),C1145),0))</f>
        <v>161.3</v>
      </c>
      <c r="G1145" s="16" t="n">
        <f aca="false">IF(F1145="","",F1145/1000)</f>
        <v>0.1613</v>
      </c>
      <c r="H1145" s="16" t="n">
        <f aca="false">IF(D1145="","",MAX(0,MIN($B$8,IFERROR(LOOKUP(2,1/($U$24:U1144&lt;&gt;""),$U$24:U1144),$B$11))))</f>
        <v>38.0614353046756</v>
      </c>
      <c r="I1145" s="16" t="n">
        <f aca="false" t="array" ref="I1145: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>6.05558355636305</v>
      </c>
      <c r="J1145" s="16" t="n">
        <f aca="false">IF(D1145="","",$B$12)</f>
        <v>0.35</v>
      </c>
      <c r="K1145" s="16" t="n">
        <f aca="false">IF(J1145="","",J1145*$B$15)</f>
        <v>0.9072</v>
      </c>
      <c r="L1145" s="16" t="n">
        <f aca="false">IF(D1145="","",H1145+E1145-K1145-G1145*I1145)</f>
        <v>36.6441368829078</v>
      </c>
      <c r="M1145" s="16" t="n">
        <f aca="false" t="array" ref="M1145: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>5.91407655985007</v>
      </c>
      <c r="N1145" s="16" t="n">
        <f aca="false">IF(D1145="","",(I1145+M1145)/2)</f>
        <v>5.98483005810656</v>
      </c>
      <c r="O1145" s="16" t="n">
        <f aca="false">IF(D1145="","",G1145*N1145)</f>
        <v>0.965353088372588</v>
      </c>
      <c r="P1145" s="16" t="n">
        <f aca="false">IF(D1145="","",H1145+E1145-K1145-O1145)</f>
        <v>36.6555494221766</v>
      </c>
      <c r="Q1145" s="16" t="n">
        <f aca="false">IF(D1145="","",IF(P1145&gt;=0,K1145,MAX(0,K1145+P1145)))</f>
        <v>0.9072</v>
      </c>
      <c r="R1145" s="16" t="n">
        <f aca="false">IF(D1145="","",Q1145/$B$15)</f>
        <v>0.35</v>
      </c>
      <c r="S1145" s="16" t="n">
        <f aca="false">IF(D1145="","",MAX(0,J1145-R1145))</f>
        <v>0</v>
      </c>
      <c r="T1145" s="16" t="n">
        <f aca="false">IF(D1145="","",MAX(0,Z1145-$B$8))</f>
        <v>0</v>
      </c>
      <c r="U1145" s="16" t="n">
        <f aca="false">IF(D1145="","",MAX(0,MIN($B$8,Z1145)))</f>
        <v>36.6555494221766</v>
      </c>
      <c r="V1145" s="16" t="str">
        <f aca="false">IF(D1145="","",IF(S1145&gt;0.0000001,"Sim","Não"))</f>
        <v>Não</v>
      </c>
      <c r="W1145" s="16" t="n">
        <f aca="false">IF(D1145="","",U1145-(H1145+E1145-Q1145-O1145-T1145))</f>
        <v>0</v>
      </c>
      <c r="X1145" s="16" t="n">
        <f aca="false">IF(W1145="","",ABS(W1145))</f>
        <v>0</v>
      </c>
      <c r="Y1145" s="16" t="n">
        <f aca="false">IF(U1145="","",IF($B$8=0,0,U1145/$B$8*100))</f>
        <v>77.6271694667018</v>
      </c>
      <c r="Z1145" s="18" t="n">
        <f aca="false">IF(D1145="","",MAX(0,IF(P1145&gt;=0,P1145,IF(K1145+P1145&gt;=0,0,P1145+K1145))))</f>
        <v>36.6555494221766</v>
      </c>
      <c r="AA1145" s="18" t="n">
        <f aca="false">IF(D1145="","",IF(H1145&lt;=$B$16,1,IF(H1145&gt;=$B$17,$B$21,MATCH(H1145,Aux_CAV!$A$2:$A$121,1))))</f>
        <v>13</v>
      </c>
      <c r="AB1145" s="18" t="n">
        <f aca="false">IF(D1145="","",IF(L1145&lt;=$B$16,1,IF(L1145&gt;=$B$17,$B$21,MATCH(L1145,Aux_CAV!$A$2:$A$121,1))))</f>
        <v>13</v>
      </c>
      <c r="AC1145" s="19" t="n">
        <f aca="false">IF(D1145="","",COUNT($D$24:D1145))</f>
        <v>1110</v>
      </c>
    </row>
    <row r="1146" customFormat="false" ht="12.75" hidden="false" customHeight="true" outlineLevel="0" collapsed="false">
      <c r="A1146" s="14" t="n">
        <f aca="false">IF(D1146="","",DATE(B1146,C1146,1))</f>
        <v>37803</v>
      </c>
      <c r="B1146" s="15" t="n">
        <f aca="false" t="array" ref="B1146:B1146">IF(D1146="","",IFERROR(VALUE(INDEX(Vazoes_COLAR!$A$2:$A$200,INT((ROW()-24)/12)+1)),""))</f>
        <v>2003</v>
      </c>
      <c r="C1146" s="15" t="n">
        <f aca="false">IF(D1146="","",MOD(ROW()-24,12)+1)</f>
        <v>7</v>
      </c>
      <c r="D1146" s="16" t="n">
        <f aca="false" t="array" ref="D1146: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0.0223173364855402</v>
      </c>
      <c r="E1146" s="16" t="n">
        <f aca="false">IF(D1146="","",D1146*$B$15)</f>
        <v>0.0578465361705202</v>
      </c>
      <c r="F1146" s="16" t="n">
        <f aca="false" t="array" ref="F1146:F1146">IF(D1146="","",IFERROR(INDEX(Dados_Evap!$C$2:$N$15,MATCH($B$9,Dados_Evap!$A$2:$A$15,0),C1146),0))</f>
        <v>224.8</v>
      </c>
      <c r="G1146" s="16" t="n">
        <f aca="false">IF(F1146="","",F1146/1000)</f>
        <v>0.2248</v>
      </c>
      <c r="H1146" s="16" t="n">
        <f aca="false">IF(D1146="","",MAX(0,MIN($B$8,IFERROR(LOOKUP(2,1/($U$24:U1145&lt;&gt;""),$U$24:U1145),$B$11))))</f>
        <v>36.6555494221766</v>
      </c>
      <c r="I1146" s="16" t="n">
        <f aca="false" t="array" ref="I1146: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>5.91521601935254</v>
      </c>
      <c r="J1146" s="16" t="n">
        <f aca="false">IF(D1146="","",$B$12)</f>
        <v>0.35</v>
      </c>
      <c r="K1146" s="16" t="n">
        <f aca="false">IF(J1146="","",J1146*$B$15)</f>
        <v>0.9072</v>
      </c>
      <c r="L1146" s="16" t="n">
        <f aca="false">IF(D1146="","",H1146+E1146-K1146-G1146*I1146)</f>
        <v>34.4764553971967</v>
      </c>
      <c r="M1146" s="16" t="n">
        <f aca="false" t="array" ref="M1146: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>5.69755410436897</v>
      </c>
      <c r="N1146" s="16" t="n">
        <f aca="false">IF(D1146="","",(I1146+M1146)/2)</f>
        <v>5.80638506186076</v>
      </c>
      <c r="O1146" s="16" t="n">
        <f aca="false">IF(D1146="","",G1146*N1146)</f>
        <v>1.3052753619063</v>
      </c>
      <c r="P1146" s="16" t="n">
        <f aca="false">IF(D1146="","",H1146+E1146-K1146-O1146)</f>
        <v>34.5009205964408</v>
      </c>
      <c r="Q1146" s="16" t="n">
        <f aca="false">IF(D1146="","",IF(P1146&gt;=0,K1146,MAX(0,K1146+P1146)))</f>
        <v>0.9072</v>
      </c>
      <c r="R1146" s="16" t="n">
        <f aca="false">IF(D1146="","",Q1146/$B$15)</f>
        <v>0.35</v>
      </c>
      <c r="S1146" s="16" t="n">
        <f aca="false">IF(D1146="","",MAX(0,J1146-R1146))</f>
        <v>0</v>
      </c>
      <c r="T1146" s="16" t="n">
        <f aca="false">IF(D1146="","",MAX(0,Z1146-$B$8))</f>
        <v>0</v>
      </c>
      <c r="U1146" s="16" t="n">
        <f aca="false">IF(D1146="","",MAX(0,MIN($B$8,Z1146)))</f>
        <v>34.5009205964408</v>
      </c>
      <c r="V1146" s="16" t="str">
        <f aca="false">IF(D1146="","",IF(S1146&gt;0.0000001,"Sim","Não"))</f>
        <v>Não</v>
      </c>
      <c r="W1146" s="16" t="n">
        <f aca="false">IF(D1146="","",U1146-(H1146+E1146-Q1146-O1146-T1146))</f>
        <v>0</v>
      </c>
      <c r="X1146" s="16" t="n">
        <f aca="false">IF(W1146="","",ABS(W1146))</f>
        <v>0</v>
      </c>
      <c r="Y1146" s="16" t="n">
        <f aca="false">IF(U1146="","",IF($B$8=0,0,U1146/$B$8*100))</f>
        <v>73.0642113435849</v>
      </c>
      <c r="Z1146" s="18" t="n">
        <f aca="false">IF(D1146="","",MAX(0,IF(P1146&gt;=0,P1146,IF(K1146+P1146&gt;=0,0,P1146+K1146))))</f>
        <v>34.5009205964408</v>
      </c>
      <c r="AA1146" s="18" t="n">
        <f aca="false">IF(D1146="","",IF(H1146&lt;=$B$16,1,IF(H1146&gt;=$B$17,$B$21,MATCH(H1146,Aux_CAV!$A$2:$A$121,1))))</f>
        <v>13</v>
      </c>
      <c r="AB1146" s="18" t="n">
        <f aca="false">IF(D1146="","",IF(L1146&lt;=$B$16,1,IF(L1146&gt;=$B$17,$B$21,MATCH(L1146,Aux_CAV!$A$2:$A$121,1))))</f>
        <v>12</v>
      </c>
      <c r="AC1146" s="19" t="n">
        <f aca="false">IF(D1146="","",COUNT($D$24:D1146))</f>
        <v>1111</v>
      </c>
    </row>
    <row r="1147" customFormat="false" ht="12.75" hidden="false" customHeight="true" outlineLevel="0" collapsed="false">
      <c r="A1147" s="14" t="n">
        <f aca="false">IF(D1147="","",DATE(B1147,C1147,1))</f>
        <v>37834</v>
      </c>
      <c r="B1147" s="15" t="n">
        <f aca="false" t="array" ref="B1147:B1147">IF(D1147="","",IFERROR(VALUE(INDEX(Vazoes_COLAR!$A$2:$A$200,INT((ROW()-24)/12)+1)),""))</f>
        <v>2003</v>
      </c>
      <c r="C1147" s="15" t="n">
        <f aca="false">IF(D1147="","",MOD(ROW()-24,12)+1)</f>
        <v>8</v>
      </c>
      <c r="D1147" s="16" t="n">
        <f aca="false" t="array" ref="D1147: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0.0244258516314414</v>
      </c>
      <c r="E1147" s="16" t="n">
        <f aca="false">IF(D1147="","",D1147*$B$15)</f>
        <v>0.0633118074286961</v>
      </c>
      <c r="F1147" s="16" t="n">
        <f aca="false" t="array" ref="F1147:F1147">IF(D1147="","",IFERROR(INDEX(Dados_Evap!$C$2:$N$15,MATCH($B$9,Dados_Evap!$A$2:$A$15,0),C1147),0))</f>
        <v>268.7</v>
      </c>
      <c r="G1147" s="16" t="n">
        <f aca="false">IF(F1147="","",F1147/1000)</f>
        <v>0.2687</v>
      </c>
      <c r="H1147" s="16" t="n">
        <f aca="false">IF(D1147="","",MAX(0,MIN($B$8,IFERROR(LOOKUP(2,1/($U$24:U1146&lt;&gt;""),$U$24:U1146),$B$11))))</f>
        <v>34.5009205964408</v>
      </c>
      <c r="I1147" s="16" t="n">
        <f aca="false" t="array" ref="I1147: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>5.70009191489621</v>
      </c>
      <c r="J1147" s="16" t="n">
        <f aca="false">IF(D1147="","",$B$12)</f>
        <v>0.35</v>
      </c>
      <c r="K1147" s="16" t="n">
        <f aca="false">IF(J1147="","",J1147*$B$15)</f>
        <v>0.9072</v>
      </c>
      <c r="L1147" s="16" t="n">
        <f aca="false">IF(D1147="","",H1147+E1147-K1147-G1147*I1147)</f>
        <v>32.1254177063369</v>
      </c>
      <c r="M1147" s="16" t="n">
        <f aca="false" t="array" ref="M1147: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>5.45332009182335</v>
      </c>
      <c r="N1147" s="16" t="n">
        <f aca="false">IF(D1147="","",(I1147+M1147)/2)</f>
        <v>5.57670600335978</v>
      </c>
      <c r="O1147" s="16" t="n">
        <f aca="false">IF(D1147="","",G1147*N1147)</f>
        <v>1.49846090310277</v>
      </c>
      <c r="P1147" s="16" t="n">
        <f aca="false">IF(D1147="","",H1147+E1147-K1147-O1147)</f>
        <v>32.1585715007667</v>
      </c>
      <c r="Q1147" s="16" t="n">
        <f aca="false">IF(D1147="","",IF(P1147&gt;=0,K1147,MAX(0,K1147+P1147)))</f>
        <v>0.9072</v>
      </c>
      <c r="R1147" s="16" t="n">
        <f aca="false">IF(D1147="","",Q1147/$B$15)</f>
        <v>0.35</v>
      </c>
      <c r="S1147" s="16" t="n">
        <f aca="false">IF(D1147="","",MAX(0,J1147-R1147))</f>
        <v>0</v>
      </c>
      <c r="T1147" s="16" t="n">
        <f aca="false">IF(D1147="","",MAX(0,Z1147-$B$8))</f>
        <v>0</v>
      </c>
      <c r="U1147" s="16" t="n">
        <f aca="false">IF(D1147="","",MAX(0,MIN($B$8,Z1147)))</f>
        <v>32.1585715007667</v>
      </c>
      <c r="V1147" s="16" t="str">
        <f aca="false">IF(D1147="","",IF(S1147&gt;0.0000001,"Sim","Não"))</f>
        <v>Não</v>
      </c>
      <c r="W1147" s="16" t="n">
        <f aca="false">IF(D1147="","",U1147-(H1147+E1147-Q1147-O1147-T1147))</f>
        <v>0</v>
      </c>
      <c r="X1147" s="16" t="n">
        <f aca="false">IF(W1147="","",ABS(W1147))</f>
        <v>0</v>
      </c>
      <c r="Y1147" s="16" t="n">
        <f aca="false">IF(U1147="","",IF($B$8=0,0,U1147/$B$8*100))</f>
        <v>68.1037092349994</v>
      </c>
      <c r="Z1147" s="18" t="n">
        <f aca="false">IF(D1147="","",MAX(0,IF(P1147&gt;=0,P1147,IF(K1147+P1147&gt;=0,0,P1147+K1147))))</f>
        <v>32.1585715007667</v>
      </c>
      <c r="AA1147" s="18" t="n">
        <f aca="false">IF(D1147="","",IF(H1147&lt;=$B$16,1,IF(H1147&gt;=$B$17,$B$21,MATCH(H1147,Aux_CAV!$A$2:$A$121,1))))</f>
        <v>13</v>
      </c>
      <c r="AB1147" s="18" t="n">
        <f aca="false">IF(D1147="","",IF(L1147&lt;=$B$16,1,IF(L1147&gt;=$B$17,$B$21,MATCH(L1147,Aux_CAV!$A$2:$A$121,1))))</f>
        <v>12</v>
      </c>
      <c r="AC1147" s="19" t="n">
        <f aca="false">IF(D1147="","",COUNT($D$24:D1147))</f>
        <v>1112</v>
      </c>
    </row>
    <row r="1148" customFormat="false" ht="12.75" hidden="false" customHeight="true" outlineLevel="0" collapsed="false">
      <c r="A1148" s="14" t="n">
        <f aca="false">IF(D1148="","",DATE(B1148,C1148,1))</f>
        <v>37865</v>
      </c>
      <c r="B1148" s="15" t="n">
        <f aca="false" t="array" ref="B1148:B1148">IF(D1148="","",IFERROR(VALUE(INDEX(Vazoes_COLAR!$A$2:$A$200,INT((ROW()-24)/12)+1)),""))</f>
        <v>2003</v>
      </c>
      <c r="C1148" s="15" t="n">
        <f aca="false">IF(D1148="","",MOD(ROW()-24,12)+1)</f>
        <v>9</v>
      </c>
      <c r="D1148" s="16" t="n">
        <f aca="false" t="array" ref="D1148: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0.011870472566451</v>
      </c>
      <c r="E1148" s="16" t="n">
        <f aca="false">IF(D1148="","",D1148*$B$15)</f>
        <v>0.030768264892241</v>
      </c>
      <c r="F1148" s="16" t="n">
        <f aca="false" t="array" ref="F1148:F1148">IF(D1148="","",IFERROR(INDEX(Dados_Evap!$C$2:$N$15,MATCH($B$9,Dados_Evap!$A$2:$A$15,0),C1148),0))</f>
        <v>292.8</v>
      </c>
      <c r="G1148" s="16" t="n">
        <f aca="false">IF(F1148="","",F1148/1000)</f>
        <v>0.2928</v>
      </c>
      <c r="H1148" s="16" t="n">
        <f aca="false">IF(D1148="","",MAX(0,MIN($B$8,IFERROR(LOOKUP(2,1/($U$24:U1147&lt;&gt;""),$U$24:U1147),$B$11))))</f>
        <v>32.1585715007667</v>
      </c>
      <c r="I1148" s="16" t="n">
        <f aca="false" t="array" ref="I1148: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>5.45676422386606</v>
      </c>
      <c r="J1148" s="16" t="n">
        <f aca="false">IF(D1148="","",$B$12)</f>
        <v>0.35</v>
      </c>
      <c r="K1148" s="16" t="n">
        <f aca="false">IF(J1148="","",J1148*$B$15)</f>
        <v>0.9072</v>
      </c>
      <c r="L1148" s="16" t="n">
        <f aca="false">IF(D1148="","",H1148+E1148-K1148-G1148*I1148)</f>
        <v>29.684399200911</v>
      </c>
      <c r="M1148" s="16" t="n">
        <f aca="false" t="array" ref="M1148: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>5.19973855776454</v>
      </c>
      <c r="N1148" s="16" t="n">
        <f aca="false">IF(D1148="","",(I1148+M1148)/2)</f>
        <v>5.3282513908153</v>
      </c>
      <c r="O1148" s="16" t="n">
        <f aca="false">IF(D1148="","",G1148*N1148)</f>
        <v>1.56011200723072</v>
      </c>
      <c r="P1148" s="16" t="n">
        <f aca="false">IF(D1148="","",H1148+E1148-K1148-O1148)</f>
        <v>29.7220277584283</v>
      </c>
      <c r="Q1148" s="16" t="n">
        <f aca="false">IF(D1148="","",IF(P1148&gt;=0,K1148,MAX(0,K1148+P1148)))</f>
        <v>0.9072</v>
      </c>
      <c r="R1148" s="16" t="n">
        <f aca="false">IF(D1148="","",Q1148/$B$15)</f>
        <v>0.35</v>
      </c>
      <c r="S1148" s="16" t="n">
        <f aca="false">IF(D1148="","",MAX(0,J1148-R1148))</f>
        <v>0</v>
      </c>
      <c r="T1148" s="16" t="n">
        <f aca="false">IF(D1148="","",MAX(0,Z1148-$B$8))</f>
        <v>0</v>
      </c>
      <c r="U1148" s="16" t="n">
        <f aca="false">IF(D1148="","",MAX(0,MIN($B$8,Z1148)))</f>
        <v>29.7220277584283</v>
      </c>
      <c r="V1148" s="16" t="str">
        <f aca="false">IF(D1148="","",IF(S1148&gt;0.0000001,"Sim","Não"))</f>
        <v>Não</v>
      </c>
      <c r="W1148" s="16" t="n">
        <f aca="false">IF(D1148="","",U1148-(H1148+E1148-Q1148-O1148-T1148))</f>
        <v>0</v>
      </c>
      <c r="X1148" s="16" t="n">
        <f aca="false">IF(W1148="","",ABS(W1148))</f>
        <v>0</v>
      </c>
      <c r="Y1148" s="16" t="n">
        <f aca="false">IF(U1148="","",IF($B$8=0,0,U1148/$B$8*100))</f>
        <v>62.943726722635</v>
      </c>
      <c r="Z1148" s="18" t="n">
        <f aca="false">IF(D1148="","",MAX(0,IF(P1148&gt;=0,P1148,IF(K1148+P1148&gt;=0,0,P1148+K1148))))</f>
        <v>29.7220277584283</v>
      </c>
      <c r="AA1148" s="18" t="n">
        <f aca="false">IF(D1148="","",IF(H1148&lt;=$B$16,1,IF(H1148&gt;=$B$17,$B$21,MATCH(H1148,Aux_CAV!$A$2:$A$121,1))))</f>
        <v>12</v>
      </c>
      <c r="AB1148" s="18" t="n">
        <f aca="false">IF(D1148="","",IF(L1148&lt;=$B$16,1,IF(L1148&gt;=$B$17,$B$21,MATCH(L1148,Aux_CAV!$A$2:$A$121,1))))</f>
        <v>12</v>
      </c>
      <c r="AC1148" s="19" t="n">
        <f aca="false">IF(D1148="","",COUNT($D$24:D1148))</f>
        <v>1113</v>
      </c>
    </row>
    <row r="1149" customFormat="false" ht="12.75" hidden="false" customHeight="true" outlineLevel="0" collapsed="false">
      <c r="A1149" s="14" t="n">
        <f aca="false">IF(D1149="","",DATE(B1149,C1149,1))</f>
        <v>37895</v>
      </c>
      <c r="B1149" s="15" t="n">
        <f aca="false" t="array" ref="B1149:B1149">IF(D1149="","",IFERROR(VALUE(INDEX(Vazoes_COLAR!$A$2:$A$200,INT((ROW()-24)/12)+1)),""))</f>
        <v>2003</v>
      </c>
      <c r="C1149" s="15" t="n">
        <f aca="false">IF(D1149="","",MOD(ROW()-24,12)+1)</f>
        <v>10</v>
      </c>
      <c r="D1149" s="16" t="n">
        <f aca="false" t="array" ref="D1149: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0.0151290063902093</v>
      </c>
      <c r="E1149" s="16" t="n">
        <f aca="false">IF(D1149="","",D1149*$B$15)</f>
        <v>0.0392143845634225</v>
      </c>
      <c r="F1149" s="16" t="n">
        <f aca="false" t="array" ref="F1149:F1149">IF(D1149="","",IFERROR(INDEX(Dados_Evap!$C$2:$N$15,MATCH($B$9,Dados_Evap!$A$2:$A$15,0),C1149),0))</f>
        <v>262.9</v>
      </c>
      <c r="G1149" s="16" t="n">
        <f aca="false">IF(F1149="","",F1149/1000)</f>
        <v>0.2629</v>
      </c>
      <c r="H1149" s="16" t="n">
        <f aca="false">IF(D1149="","",MAX(0,MIN($B$8,IFERROR(LOOKUP(2,1/($U$24:U1148&lt;&gt;""),$U$24:U1148),$B$11))))</f>
        <v>29.7220277584283</v>
      </c>
      <c r="I1149" s="16" t="n">
        <f aca="false" t="array" ref="I1149: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>5.20364754383672</v>
      </c>
      <c r="J1149" s="16" t="n">
        <f aca="false">IF(D1149="","",$B$12)</f>
        <v>0.35</v>
      </c>
      <c r="K1149" s="16" t="n">
        <f aca="false">IF(J1149="","",J1149*$B$15)</f>
        <v>0.9072</v>
      </c>
      <c r="L1149" s="16" t="n">
        <f aca="false">IF(D1149="","",H1149+E1149-K1149-G1149*I1149)</f>
        <v>27.486003203717</v>
      </c>
      <c r="M1149" s="16" t="n">
        <f aca="false" t="array" ref="M1149: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>4.97136149786186</v>
      </c>
      <c r="N1149" s="16" t="n">
        <f aca="false">IF(D1149="","",(I1149+M1149)/2)</f>
        <v>5.08750452084929</v>
      </c>
      <c r="O1149" s="16" t="n">
        <f aca="false">IF(D1149="","",G1149*N1149)</f>
        <v>1.33750493853128</v>
      </c>
      <c r="P1149" s="16" t="n">
        <f aca="false">IF(D1149="","",H1149+E1149-K1149-O1149)</f>
        <v>27.5165372044604</v>
      </c>
      <c r="Q1149" s="16" t="n">
        <f aca="false">IF(D1149="","",IF(P1149&gt;=0,K1149,MAX(0,K1149+P1149)))</f>
        <v>0.9072</v>
      </c>
      <c r="R1149" s="16" t="n">
        <f aca="false">IF(D1149="","",Q1149/$B$15)</f>
        <v>0.35</v>
      </c>
      <c r="S1149" s="16" t="n">
        <f aca="false">IF(D1149="","",MAX(0,J1149-R1149))</f>
        <v>0</v>
      </c>
      <c r="T1149" s="16" t="n">
        <f aca="false">IF(D1149="","",MAX(0,Z1149-$B$8))</f>
        <v>0</v>
      </c>
      <c r="U1149" s="16" t="n">
        <f aca="false">IF(D1149="","",MAX(0,MIN($B$8,Z1149)))</f>
        <v>27.5165372044604</v>
      </c>
      <c r="V1149" s="16" t="str">
        <f aca="false">IF(D1149="","",IF(S1149&gt;0.0000001,"Sim","Não"))</f>
        <v>Não</v>
      </c>
      <c r="W1149" s="16" t="n">
        <f aca="false">IF(D1149="","",U1149-(H1149+E1149-Q1149-O1149-T1149))</f>
        <v>0</v>
      </c>
      <c r="X1149" s="16" t="n">
        <f aca="false">IF(W1149="","",ABS(W1149))</f>
        <v>0</v>
      </c>
      <c r="Y1149" s="16" t="n">
        <f aca="false">IF(U1149="","",IF($B$8=0,0,U1149/$B$8*100))</f>
        <v>58.2730563415087</v>
      </c>
      <c r="Z1149" s="18" t="n">
        <f aca="false">IF(D1149="","",MAX(0,IF(P1149&gt;=0,P1149,IF(K1149+P1149&gt;=0,0,P1149+K1149))))</f>
        <v>27.5165372044604</v>
      </c>
      <c r="AA1149" s="18" t="n">
        <f aca="false">IF(D1149="","",IF(H1149&lt;=$B$16,1,IF(H1149&gt;=$B$17,$B$21,MATCH(H1149,Aux_CAV!$A$2:$A$121,1))))</f>
        <v>12</v>
      </c>
      <c r="AB1149" s="18" t="n">
        <f aca="false">IF(D1149="","",IF(L1149&lt;=$B$16,1,IF(L1149&gt;=$B$17,$B$21,MATCH(L1149,Aux_CAV!$A$2:$A$121,1))))</f>
        <v>12</v>
      </c>
      <c r="AC1149" s="19" t="n">
        <f aca="false">IF(D1149="","",COUNT($D$24:D1149))</f>
        <v>1114</v>
      </c>
    </row>
    <row r="1150" customFormat="false" ht="12.75" hidden="false" customHeight="true" outlineLevel="0" collapsed="false">
      <c r="A1150" s="14" t="n">
        <f aca="false">IF(D1150="","",DATE(B1150,C1150,1))</f>
        <v>37926</v>
      </c>
      <c r="B1150" s="15" t="n">
        <f aca="false" t="array" ref="B1150:B1150">IF(D1150="","",IFERROR(VALUE(INDEX(Vazoes_COLAR!$A$2:$A$200,INT((ROW()-24)/12)+1)),""))</f>
        <v>2003</v>
      </c>
      <c r="C1150" s="15" t="n">
        <f aca="false">IF(D1150="","",MOD(ROW()-24,12)+1)</f>
        <v>11</v>
      </c>
      <c r="D1150" s="16" t="n">
        <f aca="false" t="array" ref="D1150: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0.0134321563105531</v>
      </c>
      <c r="E1150" s="16" t="n">
        <f aca="false">IF(D1150="","",D1150*$B$15)</f>
        <v>0.0348161491569536</v>
      </c>
      <c r="F1150" s="16" t="n">
        <f aca="false" t="array" ref="F1150:F1150">IF(D1150="","",IFERROR(INDEX(Dados_Evap!$C$2:$N$15,MATCH($B$9,Dados_Evap!$A$2:$A$15,0),C1150),0))</f>
        <v>223.7</v>
      </c>
      <c r="G1150" s="16" t="n">
        <f aca="false">IF(F1150="","",F1150/1000)</f>
        <v>0.2237</v>
      </c>
      <c r="H1150" s="16" t="n">
        <f aca="false">IF(D1150="","",MAX(0,MIN($B$8,IFERROR(LOOKUP(2,1/($U$24:U1149&lt;&gt;""),$U$24:U1149),$B$11))))</f>
        <v>27.5165372044604</v>
      </c>
      <c r="I1150" s="16" t="n">
        <f aca="false" t="array" ref="I1150: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>4.97453347657987</v>
      </c>
      <c r="J1150" s="16" t="n">
        <f aca="false">IF(D1150="","",$B$12)</f>
        <v>0.35</v>
      </c>
      <c r="K1150" s="16" t="n">
        <f aca="false">IF(J1150="","",J1150*$B$15)</f>
        <v>0.9072</v>
      </c>
      <c r="L1150" s="16" t="n">
        <f aca="false">IF(D1150="","",H1150+E1150-K1150-G1150*I1150)</f>
        <v>25.5313502149064</v>
      </c>
      <c r="M1150" s="16" t="n">
        <f aca="false" t="array" ref="M1150: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>4.76830531358737</v>
      </c>
      <c r="N1150" s="16" t="n">
        <f aca="false">IF(D1150="","",(I1150+M1150)/2)</f>
        <v>4.87141939508362</v>
      </c>
      <c r="O1150" s="16" t="n">
        <f aca="false">IF(D1150="","",G1150*N1150)</f>
        <v>1.08973651868021</v>
      </c>
      <c r="P1150" s="16" t="n">
        <f aca="false">IF(D1150="","",H1150+E1150-K1150-O1150)</f>
        <v>25.5544168349371</v>
      </c>
      <c r="Q1150" s="16" t="n">
        <f aca="false">IF(D1150="","",IF(P1150&gt;=0,K1150,MAX(0,K1150+P1150)))</f>
        <v>0.9072</v>
      </c>
      <c r="R1150" s="16" t="n">
        <f aca="false">IF(D1150="","",Q1150/$B$15)</f>
        <v>0.35</v>
      </c>
      <c r="S1150" s="16" t="n">
        <f aca="false">IF(D1150="","",MAX(0,J1150-R1150))</f>
        <v>0</v>
      </c>
      <c r="T1150" s="16" t="n">
        <f aca="false">IF(D1150="","",MAX(0,Z1150-$B$8))</f>
        <v>0</v>
      </c>
      <c r="U1150" s="16" t="n">
        <f aca="false">IF(D1150="","",MAX(0,MIN($B$8,Z1150)))</f>
        <v>25.5544168349371</v>
      </c>
      <c r="V1150" s="16" t="str">
        <f aca="false">IF(D1150="","",IF(S1150&gt;0.0000001,"Sim","Não"))</f>
        <v>Não</v>
      </c>
      <c r="W1150" s="16" t="n">
        <f aca="false">IF(D1150="","",U1150-(H1150+E1150-Q1150-O1150-T1150))</f>
        <v>0</v>
      </c>
      <c r="X1150" s="16" t="n">
        <f aca="false">IF(W1150="","",ABS(W1150))</f>
        <v>0</v>
      </c>
      <c r="Y1150" s="16" t="n">
        <f aca="false">IF(U1150="","",IF($B$8=0,0,U1150/$B$8*100))</f>
        <v>54.1177823696255</v>
      </c>
      <c r="Z1150" s="18" t="n">
        <f aca="false">IF(D1150="","",MAX(0,IF(P1150&gt;=0,P1150,IF(K1150+P1150&gt;=0,0,P1150+K1150))))</f>
        <v>25.5544168349371</v>
      </c>
      <c r="AA1150" s="18" t="n">
        <f aca="false">IF(D1150="","",IF(H1150&lt;=$B$16,1,IF(H1150&gt;=$B$17,$B$21,MATCH(H1150,Aux_CAV!$A$2:$A$121,1))))</f>
        <v>12</v>
      </c>
      <c r="AB1150" s="18" t="n">
        <f aca="false">IF(D1150="","",IF(L1150&lt;=$B$16,1,IF(L1150&gt;=$B$17,$B$21,MATCH(L1150,Aux_CAV!$A$2:$A$121,1))))</f>
        <v>12</v>
      </c>
      <c r="AC1150" s="19" t="n">
        <f aca="false">IF(D1150="","",COUNT($D$24:D1150))</f>
        <v>1115</v>
      </c>
    </row>
    <row r="1151" customFormat="false" ht="12.75" hidden="false" customHeight="true" outlineLevel="0" collapsed="false">
      <c r="A1151" s="14" t="n">
        <f aca="false">IF(D1151="","",DATE(B1151,C1151,1))</f>
        <v>37956</v>
      </c>
      <c r="B1151" s="15" t="n">
        <f aca="false" t="array" ref="B1151:B1151">IF(D1151="","",IFERROR(VALUE(INDEX(Vazoes_COLAR!$A$2:$A$200,INT((ROW()-24)/12)+1)),""))</f>
        <v>2003</v>
      </c>
      <c r="C1151" s="15" t="n">
        <f aca="false">IF(D1151="","",MOD(ROW()-24,12)+1)</f>
        <v>12</v>
      </c>
      <c r="D1151" s="16" t="n">
        <f aca="false" t="array" ref="D1151: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0.0263220258453329</v>
      </c>
      <c r="E1151" s="16" t="n">
        <f aca="false">IF(D1151="","",D1151*$B$15)</f>
        <v>0.0682266909911029</v>
      </c>
      <c r="F1151" s="16" t="n">
        <f aca="false" t="array" ref="F1151:F1151">IF(D1151="","",IFERROR(INDEX(Dados_Evap!$C$2:$N$15,MATCH($B$9,Dados_Evap!$A$2:$A$15,0),C1151),0))</f>
        <v>216.1</v>
      </c>
      <c r="G1151" s="16" t="n">
        <f aca="false">IF(F1151="","",F1151/1000)</f>
        <v>0.2161</v>
      </c>
      <c r="H1151" s="16" t="n">
        <f aca="false">IF(D1151="","",MAX(0,MIN($B$8,IFERROR(LOOKUP(2,1/($U$24:U1150&lt;&gt;""),$U$24:U1150),$B$11))))</f>
        <v>25.5544168349371</v>
      </c>
      <c r="I1151" s="16" t="n">
        <f aca="false" t="array" ref="I1151: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>4.77070155469735</v>
      </c>
      <c r="J1151" s="16" t="n">
        <f aca="false">IF(D1151="","",$B$12)</f>
        <v>0.35</v>
      </c>
      <c r="K1151" s="16" t="n">
        <f aca="false">IF(J1151="","",J1151*$B$15)</f>
        <v>0.9072</v>
      </c>
      <c r="L1151" s="16" t="n">
        <f aca="false">IF(D1151="","",H1151+E1151-K1151-G1151*I1151)</f>
        <v>23.6844949199581</v>
      </c>
      <c r="M1151" s="16" t="n">
        <f aca="false" t="array" ref="M1151: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>4.56839085628768</v>
      </c>
      <c r="N1151" s="16" t="n">
        <f aca="false">IF(D1151="","",(I1151+M1151)/2)</f>
        <v>4.66954620549252</v>
      </c>
      <c r="O1151" s="16" t="n">
        <f aca="false">IF(D1151="","",G1151*N1151)</f>
        <v>1.00908893500693</v>
      </c>
      <c r="P1151" s="16" t="n">
        <f aca="false">IF(D1151="","",H1151+E1151-K1151-O1151)</f>
        <v>23.7063545909213</v>
      </c>
      <c r="Q1151" s="16" t="n">
        <f aca="false">IF(D1151="","",IF(P1151&gt;=0,K1151,MAX(0,K1151+P1151)))</f>
        <v>0.9072</v>
      </c>
      <c r="R1151" s="16" t="n">
        <f aca="false">IF(D1151="","",Q1151/$B$15)</f>
        <v>0.35</v>
      </c>
      <c r="S1151" s="16" t="n">
        <f aca="false">IF(D1151="","",MAX(0,J1151-R1151))</f>
        <v>0</v>
      </c>
      <c r="T1151" s="16" t="n">
        <f aca="false">IF(D1151="","",MAX(0,Z1151-$B$8))</f>
        <v>0</v>
      </c>
      <c r="U1151" s="16" t="n">
        <f aca="false">IF(D1151="","",MAX(0,MIN($B$8,Z1151)))</f>
        <v>23.7063545909213</v>
      </c>
      <c r="V1151" s="16" t="str">
        <f aca="false">IF(D1151="","",IF(S1151&gt;0.0000001,"Sim","Não"))</f>
        <v>Não</v>
      </c>
      <c r="W1151" s="16" t="n">
        <f aca="false">IF(D1151="","",U1151-(H1151+E1151-Q1151-O1151-T1151))</f>
        <v>0</v>
      </c>
      <c r="X1151" s="16" t="n">
        <f aca="false">IF(W1151="","",ABS(W1151))</f>
        <v>0</v>
      </c>
      <c r="Y1151" s="16" t="n">
        <f aca="false">IF(U1151="","",IF($B$8=0,0,U1151/$B$8*100))</f>
        <v>50.204054618639</v>
      </c>
      <c r="Z1151" s="18" t="n">
        <f aca="false">IF(D1151="","",MAX(0,IF(P1151&gt;=0,P1151,IF(K1151+P1151&gt;=0,0,P1151+K1151))))</f>
        <v>23.7063545909213</v>
      </c>
      <c r="AA1151" s="18" t="n">
        <f aca="false">IF(D1151="","",IF(H1151&lt;=$B$16,1,IF(H1151&gt;=$B$17,$B$21,MATCH(H1151,Aux_CAV!$A$2:$A$121,1))))</f>
        <v>12</v>
      </c>
      <c r="AB1151" s="18" t="n">
        <f aca="false">IF(D1151="","",IF(L1151&lt;=$B$16,1,IF(L1151&gt;=$B$17,$B$21,MATCH(L1151,Aux_CAV!$A$2:$A$121,1))))</f>
        <v>11</v>
      </c>
      <c r="AC1151" s="19" t="n">
        <f aca="false">IF(D1151="","",COUNT($D$24:D1151))</f>
        <v>1116</v>
      </c>
    </row>
    <row r="1152" customFormat="false" ht="12.75" hidden="false" customHeight="true" outlineLevel="0" collapsed="false">
      <c r="A1152" s="14" t="n">
        <f aca="false">IF(D1152="","",DATE(B1152,C1152,1))</f>
        <v>37987</v>
      </c>
      <c r="B1152" s="15" t="n">
        <f aca="false" t="array" ref="B1152:B1152">IF(D1152="","",IFERROR(VALUE(INDEX(Vazoes_COLAR!$A$2:$A$200,INT((ROW()-24)/12)+1)),""))</f>
        <v>2004</v>
      </c>
      <c r="C1152" s="15" t="n">
        <f aca="false">IF(D1152="","",MOD(ROW()-24,12)+1)</f>
        <v>1</v>
      </c>
      <c r="D1152" s="16" t="n">
        <f aca="false" t="array" ref="D1152: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2.41725337359798</v>
      </c>
      <c r="E1152" s="16" t="n">
        <f aca="false">IF(D1152="","",D1152*$B$15)</f>
        <v>6.26552074436597</v>
      </c>
      <c r="F1152" s="16" t="n">
        <f aca="false" t="array" ref="F1152:F1152">IF(D1152="","",IFERROR(INDEX(Dados_Evap!$C$2:$N$15,MATCH($B$9,Dados_Evap!$A$2:$A$15,0),C1152),0))</f>
        <v>160</v>
      </c>
      <c r="G1152" s="16" t="n">
        <f aca="false">IF(F1152="","",F1152/1000)</f>
        <v>0.16</v>
      </c>
      <c r="H1152" s="16" t="n">
        <f aca="false">IF(D1152="","",MAX(0,MIN($B$8,IFERROR(LOOKUP(2,1/($U$24:U1151&lt;&gt;""),$U$24:U1151),$B$11))))</f>
        <v>23.7063545909213</v>
      </c>
      <c r="I1152" s="16" t="n">
        <f aca="false" t="array" ref="I1152: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>4.57100335354913</v>
      </c>
      <c r="J1152" s="16" t="n">
        <f aca="false">IF(D1152="","",$B$12)</f>
        <v>0.35</v>
      </c>
      <c r="K1152" s="16" t="n">
        <f aca="false">IF(J1152="","",J1152*$B$15)</f>
        <v>0.9072</v>
      </c>
      <c r="L1152" s="16" t="n">
        <f aca="false">IF(D1152="","",H1152+E1152-K1152-G1152*I1152)</f>
        <v>28.3333147987194</v>
      </c>
      <c r="M1152" s="16" t="n">
        <f aca="false" t="array" ref="M1152: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>5.05938318782813</v>
      </c>
      <c r="N1152" s="16" t="n">
        <f aca="false">IF(D1152="","",(I1152+M1152)/2)</f>
        <v>4.81519327068863</v>
      </c>
      <c r="O1152" s="16" t="n">
        <f aca="false">IF(D1152="","",G1152*N1152)</f>
        <v>0.770430923310181</v>
      </c>
      <c r="P1152" s="16" t="n">
        <f aca="false">IF(D1152="","",H1152+E1152-K1152-O1152)</f>
        <v>28.2942444119771</v>
      </c>
      <c r="Q1152" s="16" t="n">
        <f aca="false">IF(D1152="","",IF(P1152&gt;=0,K1152,MAX(0,K1152+P1152)))</f>
        <v>0.9072</v>
      </c>
      <c r="R1152" s="16" t="n">
        <f aca="false">IF(D1152="","",Q1152/$B$15)</f>
        <v>0.35</v>
      </c>
      <c r="S1152" s="16" t="n">
        <f aca="false">IF(D1152="","",MAX(0,J1152-R1152))</f>
        <v>0</v>
      </c>
      <c r="T1152" s="16" t="n">
        <f aca="false">IF(D1152="","",MAX(0,Z1152-$B$8))</f>
        <v>0</v>
      </c>
      <c r="U1152" s="16" t="n">
        <f aca="false">IF(D1152="","",MAX(0,MIN($B$8,Z1152)))</f>
        <v>28.2942444119771</v>
      </c>
      <c r="V1152" s="16" t="str">
        <f aca="false">IF(D1152="","",IF(S1152&gt;0.0000001,"Sim","Não"))</f>
        <v>Não</v>
      </c>
      <c r="W1152" s="16" t="n">
        <f aca="false">IF(D1152="","",U1152-(H1152+E1152-Q1152-O1152-T1152))</f>
        <v>0</v>
      </c>
      <c r="X1152" s="16" t="n">
        <f aca="false">IF(W1152="","",ABS(W1152))</f>
        <v>0</v>
      </c>
      <c r="Y1152" s="16" t="n">
        <f aca="false">IF(U1152="","",IF($B$8=0,0,U1152/$B$8*100))</f>
        <v>59.9200432273975</v>
      </c>
      <c r="Z1152" s="18" t="n">
        <f aca="false">IF(D1152="","",MAX(0,IF(P1152&gt;=0,P1152,IF(K1152+P1152&gt;=0,0,P1152+K1152))))</f>
        <v>28.2942444119771</v>
      </c>
      <c r="AA1152" s="18" t="n">
        <f aca="false">IF(D1152="","",IF(H1152&lt;=$B$16,1,IF(H1152&gt;=$B$17,$B$21,MATCH(H1152,Aux_CAV!$A$2:$A$121,1))))</f>
        <v>11</v>
      </c>
      <c r="AB1152" s="18" t="n">
        <f aca="false">IF(D1152="","",IF(L1152&lt;=$B$16,1,IF(L1152&gt;=$B$17,$B$21,MATCH(L1152,Aux_CAV!$A$2:$A$121,1))))</f>
        <v>12</v>
      </c>
      <c r="AC1152" s="19" t="n">
        <f aca="false">IF(D1152="","",COUNT($D$24:D1152))</f>
        <v>1117</v>
      </c>
    </row>
    <row r="1153" customFormat="false" ht="12.75" hidden="false" customHeight="true" outlineLevel="0" collapsed="false">
      <c r="A1153" s="14" t="n">
        <f aca="false">IF(D1153="","",DATE(B1153,C1153,1))</f>
        <v>38018</v>
      </c>
      <c r="B1153" s="15" t="n">
        <f aca="false" t="array" ref="B1153:B1153">IF(D1153="","",IFERROR(VALUE(INDEX(Vazoes_COLAR!$A$2:$A$200,INT((ROW()-24)/12)+1)),""))</f>
        <v>2004</v>
      </c>
      <c r="C1153" s="15" t="n">
        <f aca="false">IF(D1153="","",MOD(ROW()-24,12)+1)</f>
        <v>2</v>
      </c>
      <c r="D1153" s="16" t="n">
        <f aca="false" t="array" ref="D1153: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21.465286774716</v>
      </c>
      <c r="E1153" s="16" t="n">
        <f aca="false">IF(D1153="","",D1153*$B$15)</f>
        <v>55.6380233200639</v>
      </c>
      <c r="F1153" s="16" t="n">
        <f aca="false" t="array" ref="F1153:F1153">IF(D1153="","",IFERROR(INDEX(Dados_Evap!$C$2:$N$15,MATCH($B$9,Dados_Evap!$A$2:$A$15,0),C1153),0))</f>
        <v>124.3</v>
      </c>
      <c r="G1153" s="16" t="n">
        <f aca="false">IF(F1153="","",F1153/1000)</f>
        <v>0.1243</v>
      </c>
      <c r="H1153" s="16" t="n">
        <f aca="false">IF(D1153="","",MAX(0,MIN($B$8,IFERROR(LOOKUP(2,1/($U$24:U1152&lt;&gt;""),$U$24:U1152),$B$11))))</f>
        <v>28.2942444119771</v>
      </c>
      <c r="I1153" s="16" t="n">
        <f aca="false" t="array" ref="I1153: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>5.05532441949665</v>
      </c>
      <c r="J1153" s="16" t="n">
        <f aca="false">IF(D1153="","",$B$12)</f>
        <v>0.35</v>
      </c>
      <c r="K1153" s="16" t="n">
        <f aca="false">IF(J1153="","",J1153*$B$15)</f>
        <v>0.9072</v>
      </c>
      <c r="L1153" s="16" t="n">
        <f aca="false">IF(D1153="","",H1153+E1153-K1153-G1153*I1153)</f>
        <v>82.3966909066975</v>
      </c>
      <c r="M1153" s="16" t="n">
        <f aca="false" t="array" ref="M1153: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>10.9197465012443</v>
      </c>
      <c r="N1153" s="16" t="n">
        <f aca="false">IF(D1153="","",(I1153+M1153)/2)</f>
        <v>7.98753546037047</v>
      </c>
      <c r="O1153" s="16" t="n">
        <f aca="false">IF(D1153="","",G1153*N1153)</f>
        <v>0.992850657724049</v>
      </c>
      <c r="P1153" s="16" t="n">
        <f aca="false">IF(D1153="","",H1153+E1153-K1153-O1153)</f>
        <v>82.0322170743169</v>
      </c>
      <c r="Q1153" s="16" t="n">
        <f aca="false">IF(D1153="","",IF(P1153&gt;=0,K1153,MAX(0,K1153+P1153)))</f>
        <v>0.9072</v>
      </c>
      <c r="R1153" s="16" t="n">
        <f aca="false">IF(D1153="","",Q1153/$B$15)</f>
        <v>0.35</v>
      </c>
      <c r="S1153" s="16" t="n">
        <f aca="false">IF(D1153="","",MAX(0,J1153-R1153))</f>
        <v>0</v>
      </c>
      <c r="T1153" s="16" t="n">
        <f aca="false">IF(D1153="","",MAX(0,Z1153-$B$8))</f>
        <v>34.8122170743169</v>
      </c>
      <c r="U1153" s="16" t="n">
        <f aca="false">IF(D1153="","",MAX(0,MIN($B$8,Z1153)))</f>
        <v>47.22</v>
      </c>
      <c r="V1153" s="16" t="str">
        <f aca="false">IF(D1153="","",IF(S1153&gt;0.0000001,"Sim","Não"))</f>
        <v>Não</v>
      </c>
      <c r="W1153" s="16" t="n">
        <f aca="false">IF(D1153="","",U1153-(H1153+E1153-Q1153-O1153-T1153))</f>
        <v>0</v>
      </c>
      <c r="X1153" s="16" t="n">
        <f aca="false">IF(W1153="","",ABS(W1153))</f>
        <v>0</v>
      </c>
      <c r="Y1153" s="16" t="n">
        <f aca="false">IF(U1153="","",IF($B$8=0,0,U1153/$B$8*100))</f>
        <v>100</v>
      </c>
      <c r="Z1153" s="18" t="n">
        <f aca="false">IF(D1153="","",MAX(0,IF(P1153&gt;=0,P1153,IF(K1153+P1153&gt;=0,0,P1153+K1153))))</f>
        <v>82.0322170743169</v>
      </c>
      <c r="AA1153" s="18" t="n">
        <f aca="false">IF(D1153="","",IF(H1153&lt;=$B$16,1,IF(H1153&gt;=$B$17,$B$21,MATCH(H1153,Aux_CAV!$A$2:$A$121,1))))</f>
        <v>12</v>
      </c>
      <c r="AB1153" s="18" t="n">
        <f aca="false">IF(D1153="","",IF(L1153&lt;=$B$16,1,IF(L1153&gt;=$B$17,$B$21,MATCH(L1153,Aux_CAV!$A$2:$A$121,1))))</f>
        <v>17</v>
      </c>
      <c r="AC1153" s="19" t="n">
        <f aca="false">IF(D1153="","",COUNT($D$24:D1153))</f>
        <v>1118</v>
      </c>
    </row>
    <row r="1154" customFormat="false" ht="12.75" hidden="false" customHeight="true" outlineLevel="0" collapsed="false">
      <c r="A1154" s="14" t="n">
        <f aca="false">IF(D1154="","",DATE(B1154,C1154,1))</f>
        <v>38047</v>
      </c>
      <c r="B1154" s="15" t="n">
        <f aca="false" t="array" ref="B1154:B1154">IF(D1154="","",IFERROR(VALUE(INDEX(Vazoes_COLAR!$A$2:$A$200,INT((ROW()-24)/12)+1)),""))</f>
        <v>2004</v>
      </c>
      <c r="C1154" s="15" t="n">
        <f aca="false">IF(D1154="","",MOD(ROW()-24,12)+1)</f>
        <v>3</v>
      </c>
      <c r="D1154" s="16" t="n">
        <f aca="false" t="array" ref="D1154: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10.5767844748965</v>
      </c>
      <c r="E1154" s="16" t="n">
        <f aca="false">IF(D1154="","",D1154*$B$15)</f>
        <v>27.4150253589317</v>
      </c>
      <c r="F1154" s="16" t="n">
        <f aca="false" t="array" ref="F1154:F1154">IF(D1154="","",IFERROR(INDEX(Dados_Evap!$C$2:$N$15,MATCH($B$9,Dados_Evap!$A$2:$A$15,0),C1154),0))</f>
        <v>107.7</v>
      </c>
      <c r="G1154" s="16" t="n">
        <f aca="false">IF(F1154="","",F1154/1000)</f>
        <v>0.1077</v>
      </c>
      <c r="H1154" s="16" t="n">
        <f aca="false">IF(D1154="","",MAX(0,MIN($B$8,IFERROR(LOOKUP(2,1/($U$24:U1153&lt;&gt;""),$U$24:U1153),$B$11))))</f>
        <v>47.22</v>
      </c>
      <c r="I1154" s="16" t="n">
        <f aca="false" t="array" ref="I1154: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>6.97</v>
      </c>
      <c r="J1154" s="16" t="n">
        <f aca="false">IF(D1154="","",$B$12)</f>
        <v>0.35</v>
      </c>
      <c r="K1154" s="16" t="n">
        <f aca="false">IF(J1154="","",J1154*$B$15)</f>
        <v>0.9072</v>
      </c>
      <c r="L1154" s="16" t="n">
        <f aca="false">IF(D1154="","",H1154+E1154-K1154-G1154*I1154)</f>
        <v>72.9771563589317</v>
      </c>
      <c r="M1154" s="16" t="n">
        <f aca="false" t="array" ref="M1154: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>9.97960101854981</v>
      </c>
      <c r="N1154" s="16" t="n">
        <f aca="false">IF(D1154="","",(I1154+M1154)/2)</f>
        <v>8.4748005092749</v>
      </c>
      <c r="O1154" s="16" t="n">
        <f aca="false">IF(D1154="","",G1154*N1154)</f>
        <v>0.912736014848907</v>
      </c>
      <c r="P1154" s="16" t="n">
        <f aca="false">IF(D1154="","",H1154+E1154-K1154-O1154)</f>
        <v>72.8150893440828</v>
      </c>
      <c r="Q1154" s="16" t="n">
        <f aca="false">IF(D1154="","",IF(P1154&gt;=0,K1154,MAX(0,K1154+P1154)))</f>
        <v>0.9072</v>
      </c>
      <c r="R1154" s="16" t="n">
        <f aca="false">IF(D1154="","",Q1154/$B$15)</f>
        <v>0.35</v>
      </c>
      <c r="S1154" s="16" t="n">
        <f aca="false">IF(D1154="","",MAX(0,J1154-R1154))</f>
        <v>0</v>
      </c>
      <c r="T1154" s="16" t="n">
        <f aca="false">IF(D1154="","",MAX(0,Z1154-$B$8))</f>
        <v>25.5950893440828</v>
      </c>
      <c r="U1154" s="16" t="n">
        <f aca="false">IF(D1154="","",MAX(0,MIN($B$8,Z1154)))</f>
        <v>47.22</v>
      </c>
      <c r="V1154" s="16" t="str">
        <f aca="false">IF(D1154="","",IF(S1154&gt;0.0000001,"Sim","Não"))</f>
        <v>Não</v>
      </c>
      <c r="W1154" s="16" t="n">
        <f aca="false">IF(D1154="","",U1154-(H1154+E1154-Q1154-O1154-T1154))</f>
        <v>0</v>
      </c>
      <c r="X1154" s="16" t="n">
        <f aca="false">IF(W1154="","",ABS(W1154))</f>
        <v>0</v>
      </c>
      <c r="Y1154" s="16" t="n">
        <f aca="false">IF(U1154="","",IF($B$8=0,0,U1154/$B$8*100))</f>
        <v>100</v>
      </c>
      <c r="Z1154" s="18" t="n">
        <f aca="false">IF(D1154="","",MAX(0,IF(P1154&gt;=0,P1154,IF(K1154+P1154&gt;=0,0,P1154+K1154))))</f>
        <v>72.8150893440828</v>
      </c>
      <c r="AA1154" s="18" t="n">
        <f aca="false">IF(D1154="","",IF(H1154&lt;=$B$16,1,IF(H1154&gt;=$B$17,$B$21,MATCH(H1154,Aux_CAV!$A$2:$A$121,1))))</f>
        <v>14</v>
      </c>
      <c r="AB1154" s="18" t="n">
        <f aca="false">IF(D1154="","",IF(L1154&lt;=$B$16,1,IF(L1154&gt;=$B$17,$B$21,MATCH(L1154,Aux_CAV!$A$2:$A$121,1))))</f>
        <v>17</v>
      </c>
      <c r="AC1154" s="19" t="n">
        <f aca="false">IF(D1154="","",COUNT($D$24:D1154))</f>
        <v>1119</v>
      </c>
    </row>
    <row r="1155" customFormat="false" ht="12.75" hidden="false" customHeight="true" outlineLevel="0" collapsed="false">
      <c r="A1155" s="14" t="n">
        <f aca="false">IF(D1155="","",DATE(B1155,C1155,1))</f>
        <v>38078</v>
      </c>
      <c r="B1155" s="15" t="n">
        <f aca="false" t="array" ref="B1155:B1155">IF(D1155="","",IFERROR(VALUE(INDEX(Vazoes_COLAR!$A$2:$A$200,INT((ROW()-24)/12)+1)),""))</f>
        <v>2004</v>
      </c>
      <c r="C1155" s="15" t="n">
        <f aca="false">IF(D1155="","",MOD(ROW()-24,12)+1)</f>
        <v>4</v>
      </c>
      <c r="D1155" s="16" t="n">
        <f aca="false" t="array" ref="D1155: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5.13279686146363</v>
      </c>
      <c r="E1155" s="16" t="n">
        <f aca="false">IF(D1155="","",D1155*$B$15)</f>
        <v>13.3042094649137</v>
      </c>
      <c r="F1155" s="16" t="n">
        <f aca="false" t="array" ref="F1155:F1155">IF(D1155="","",IFERROR(INDEX(Dados_Evap!$C$2:$N$15,MATCH($B$9,Dados_Evap!$A$2:$A$15,0),C1155),0))</f>
        <v>100.5</v>
      </c>
      <c r="G1155" s="16" t="n">
        <f aca="false">IF(F1155="","",F1155/1000)</f>
        <v>0.1005</v>
      </c>
      <c r="H1155" s="16" t="n">
        <f aca="false">IF(D1155="","",MAX(0,MIN($B$8,IFERROR(LOOKUP(2,1/($U$24:U1154&lt;&gt;""),$U$24:U1154),$B$11))))</f>
        <v>47.22</v>
      </c>
      <c r="I1155" s="16" t="n">
        <f aca="false" t="array" ref="I1155: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>6.97</v>
      </c>
      <c r="J1155" s="16" t="n">
        <f aca="false">IF(D1155="","",$B$12)</f>
        <v>0.35</v>
      </c>
      <c r="K1155" s="16" t="n">
        <f aca="false">IF(J1155="","",J1155*$B$15)</f>
        <v>0.9072</v>
      </c>
      <c r="L1155" s="16" t="n">
        <f aca="false">IF(D1155="","",H1155+E1155-K1155-G1155*I1155)</f>
        <v>58.9165244649137</v>
      </c>
      <c r="M1155" s="16" t="n">
        <f aca="false" t="array" ref="M1155: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>8.37442683851313</v>
      </c>
      <c r="N1155" s="16" t="n">
        <f aca="false">IF(D1155="","",(I1155+M1155)/2)</f>
        <v>7.67221341925656</v>
      </c>
      <c r="O1155" s="16" t="n">
        <f aca="false">IF(D1155="","",G1155*N1155)</f>
        <v>0.771057448635285</v>
      </c>
      <c r="P1155" s="16" t="n">
        <f aca="false">IF(D1155="","",H1155+E1155-K1155-O1155)</f>
        <v>58.8459520162784</v>
      </c>
      <c r="Q1155" s="16" t="n">
        <f aca="false">IF(D1155="","",IF(P1155&gt;=0,K1155,MAX(0,K1155+P1155)))</f>
        <v>0.9072</v>
      </c>
      <c r="R1155" s="16" t="n">
        <f aca="false">IF(D1155="","",Q1155/$B$15)</f>
        <v>0.35</v>
      </c>
      <c r="S1155" s="16" t="n">
        <f aca="false">IF(D1155="","",MAX(0,J1155-R1155))</f>
        <v>0</v>
      </c>
      <c r="T1155" s="16" t="n">
        <f aca="false">IF(D1155="","",MAX(0,Z1155-$B$8))</f>
        <v>11.6259520162784</v>
      </c>
      <c r="U1155" s="16" t="n">
        <f aca="false">IF(D1155="","",MAX(0,MIN($B$8,Z1155)))</f>
        <v>47.22</v>
      </c>
      <c r="V1155" s="16" t="str">
        <f aca="false">IF(D1155="","",IF(S1155&gt;0.0000001,"Sim","Não"))</f>
        <v>Não</v>
      </c>
      <c r="W1155" s="16" t="n">
        <f aca="false">IF(D1155="","",U1155-(H1155+E1155-Q1155-O1155-T1155))</f>
        <v>0</v>
      </c>
      <c r="X1155" s="16" t="n">
        <f aca="false">IF(W1155="","",ABS(W1155))</f>
        <v>0</v>
      </c>
      <c r="Y1155" s="16" t="n">
        <f aca="false">IF(U1155="","",IF($B$8=0,0,U1155/$B$8*100))</f>
        <v>100</v>
      </c>
      <c r="Z1155" s="18" t="n">
        <f aca="false">IF(D1155="","",MAX(0,IF(P1155&gt;=0,P1155,IF(K1155+P1155&gt;=0,0,P1155+K1155))))</f>
        <v>58.8459520162784</v>
      </c>
      <c r="AA1155" s="18" t="n">
        <f aca="false">IF(D1155="","",IF(H1155&lt;=$B$16,1,IF(H1155&gt;=$B$17,$B$21,MATCH(H1155,Aux_CAV!$A$2:$A$121,1))))</f>
        <v>14</v>
      </c>
      <c r="AB1155" s="18" t="n">
        <f aca="false">IF(D1155="","",IF(L1155&lt;=$B$16,1,IF(L1155&gt;=$B$17,$B$21,MATCH(L1155,Aux_CAV!$A$2:$A$121,1))))</f>
        <v>15</v>
      </c>
      <c r="AC1155" s="19" t="n">
        <f aca="false">IF(D1155="","",COUNT($D$24:D1155))</f>
        <v>1120</v>
      </c>
    </row>
    <row r="1156" customFormat="false" ht="12.75" hidden="false" customHeight="true" outlineLevel="0" collapsed="false">
      <c r="A1156" s="14" t="n">
        <f aca="false">IF(D1156="","",DATE(B1156,C1156,1))</f>
        <v>38108</v>
      </c>
      <c r="B1156" s="15" t="n">
        <f aca="false" t="array" ref="B1156:B1156">IF(D1156="","",IFERROR(VALUE(INDEX(Vazoes_COLAR!$A$2:$A$200,INT((ROW()-24)/12)+1)),""))</f>
        <v>2004</v>
      </c>
      <c r="C1156" s="15" t="n">
        <f aca="false">IF(D1156="","",MOD(ROW()-24,12)+1)</f>
        <v>5</v>
      </c>
      <c r="D1156" s="16" t="n">
        <f aca="false" t="array" ref="D1156: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3.7834902138894</v>
      </c>
      <c r="E1156" s="16" t="n">
        <f aca="false">IF(D1156="","",D1156*$B$15)</f>
        <v>9.80680663440132</v>
      </c>
      <c r="F1156" s="16" t="n">
        <f aca="false" t="array" ref="F1156:F1156">IF(D1156="","",IFERROR(INDEX(Dados_Evap!$C$2:$N$15,MATCH($B$9,Dados_Evap!$A$2:$A$15,0),C1156),0))</f>
        <v>145.8</v>
      </c>
      <c r="G1156" s="16" t="n">
        <f aca="false">IF(F1156="","",F1156/1000)</f>
        <v>0.1458</v>
      </c>
      <c r="H1156" s="16" t="n">
        <f aca="false">IF(D1156="","",MAX(0,MIN($B$8,IFERROR(LOOKUP(2,1/($U$24:U1155&lt;&gt;""),$U$24:U1155),$B$11))))</f>
        <v>47.22</v>
      </c>
      <c r="I1156" s="16" t="n">
        <f aca="false" t="array" ref="I1156: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>6.97</v>
      </c>
      <c r="J1156" s="16" t="n">
        <f aca="false">IF(D1156="","",$B$12)</f>
        <v>0.35</v>
      </c>
      <c r="K1156" s="16" t="n">
        <f aca="false">IF(J1156="","",J1156*$B$15)</f>
        <v>0.9072</v>
      </c>
      <c r="L1156" s="16" t="n">
        <f aca="false">IF(D1156="","",H1156+E1156-K1156-G1156*I1156)</f>
        <v>55.1033806344013</v>
      </c>
      <c r="M1156" s="16" t="n">
        <f aca="false" t="array" ref="M1156: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>7.90232331664016</v>
      </c>
      <c r="N1156" s="16" t="n">
        <f aca="false">IF(D1156="","",(I1156+M1156)/2)</f>
        <v>7.43616165832008</v>
      </c>
      <c r="O1156" s="16" t="n">
        <f aca="false">IF(D1156="","",G1156*N1156)</f>
        <v>1.08419236978307</v>
      </c>
      <c r="P1156" s="16" t="n">
        <f aca="false">IF(D1156="","",H1156+E1156-K1156-O1156)</f>
        <v>55.0354142646183</v>
      </c>
      <c r="Q1156" s="16" t="n">
        <f aca="false">IF(D1156="","",IF(P1156&gt;=0,K1156,MAX(0,K1156+P1156)))</f>
        <v>0.9072</v>
      </c>
      <c r="R1156" s="16" t="n">
        <f aca="false">IF(D1156="","",Q1156/$B$15)</f>
        <v>0.35</v>
      </c>
      <c r="S1156" s="16" t="n">
        <f aca="false">IF(D1156="","",MAX(0,J1156-R1156))</f>
        <v>0</v>
      </c>
      <c r="T1156" s="16" t="n">
        <f aca="false">IF(D1156="","",MAX(0,Z1156-$B$8))</f>
        <v>7.81541426461826</v>
      </c>
      <c r="U1156" s="16" t="n">
        <f aca="false">IF(D1156="","",MAX(0,MIN($B$8,Z1156)))</f>
        <v>47.22</v>
      </c>
      <c r="V1156" s="16" t="str">
        <f aca="false">IF(D1156="","",IF(S1156&gt;0.0000001,"Sim","Não"))</f>
        <v>Não</v>
      </c>
      <c r="W1156" s="16" t="n">
        <f aca="false">IF(D1156="","",U1156-(H1156+E1156-Q1156-O1156-T1156))</f>
        <v>0</v>
      </c>
      <c r="X1156" s="16" t="n">
        <f aca="false">IF(W1156="","",ABS(W1156))</f>
        <v>0</v>
      </c>
      <c r="Y1156" s="16" t="n">
        <f aca="false">IF(U1156="","",IF($B$8=0,0,U1156/$B$8*100))</f>
        <v>100</v>
      </c>
      <c r="Z1156" s="18" t="n">
        <f aca="false">IF(D1156="","",MAX(0,IF(P1156&gt;=0,P1156,IF(K1156+P1156&gt;=0,0,P1156+K1156))))</f>
        <v>55.0354142646183</v>
      </c>
      <c r="AA1156" s="18" t="n">
        <f aca="false">IF(D1156="","",IF(H1156&lt;=$B$16,1,IF(H1156&gt;=$B$17,$B$21,MATCH(H1156,Aux_CAV!$A$2:$A$121,1))))</f>
        <v>14</v>
      </c>
      <c r="AB1156" s="18" t="n">
        <f aca="false">IF(D1156="","",IF(L1156&lt;=$B$16,1,IF(L1156&gt;=$B$17,$B$21,MATCH(L1156,Aux_CAV!$A$2:$A$121,1))))</f>
        <v>15</v>
      </c>
      <c r="AC1156" s="19" t="n">
        <f aca="false">IF(D1156="","",COUNT($D$24:D1156))</f>
        <v>1121</v>
      </c>
    </row>
    <row r="1157" customFormat="false" ht="12.75" hidden="false" customHeight="true" outlineLevel="0" collapsed="false">
      <c r="A1157" s="14" t="n">
        <f aca="false">IF(D1157="","",DATE(B1157,C1157,1))</f>
        <v>38139</v>
      </c>
      <c r="B1157" s="15" t="n">
        <f aca="false" t="array" ref="B1157:B1157">IF(D1157="","",IFERROR(VALUE(INDEX(Vazoes_COLAR!$A$2:$A$200,INT((ROW()-24)/12)+1)),""))</f>
        <v>2004</v>
      </c>
      <c r="C1157" s="15" t="n">
        <f aca="false">IF(D1157="","",MOD(ROW()-24,12)+1)</f>
        <v>6</v>
      </c>
      <c r="D1157" s="16" t="n">
        <f aca="false" t="array" ref="D1157: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0.835259950148077</v>
      </c>
      <c r="E1157" s="16" t="n">
        <f aca="false">IF(D1157="","",D1157*$B$15)</f>
        <v>2.16499379078382</v>
      </c>
      <c r="F1157" s="16" t="n">
        <f aca="false" t="array" ref="F1157:F1157">IF(D1157="","",IFERROR(INDEX(Dados_Evap!$C$2:$N$15,MATCH($B$9,Dados_Evap!$A$2:$A$15,0),C1157),0))</f>
        <v>161.3</v>
      </c>
      <c r="G1157" s="16" t="n">
        <f aca="false">IF(F1157="","",F1157/1000)</f>
        <v>0.1613</v>
      </c>
      <c r="H1157" s="16" t="n">
        <f aca="false">IF(D1157="","",MAX(0,MIN($B$8,IFERROR(LOOKUP(2,1/($U$24:U1156&lt;&gt;""),$U$24:U1156),$B$11))))</f>
        <v>47.22</v>
      </c>
      <c r="I1157" s="16" t="n">
        <f aca="false" t="array" ref="I1157: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>6.97</v>
      </c>
      <c r="J1157" s="16" t="n">
        <f aca="false">IF(D1157="","",$B$12)</f>
        <v>0.35</v>
      </c>
      <c r="K1157" s="16" t="n">
        <f aca="false">IF(J1157="","",J1157*$B$15)</f>
        <v>0.9072</v>
      </c>
      <c r="L1157" s="16" t="n">
        <f aca="false">IF(D1157="","",H1157+E1157-K1157-G1157*I1157)</f>
        <v>47.3535327907838</v>
      </c>
      <c r="M1157" s="16" t="n">
        <f aca="false" t="array" ref="M1157: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>6.98574167045826</v>
      </c>
      <c r="N1157" s="16" t="n">
        <f aca="false">IF(D1157="","",(I1157+M1157)/2)</f>
        <v>6.97787083522913</v>
      </c>
      <c r="O1157" s="16" t="n">
        <f aca="false">IF(D1157="","",G1157*N1157)</f>
        <v>1.12553056572246</v>
      </c>
      <c r="P1157" s="16" t="n">
        <f aca="false">IF(D1157="","",H1157+E1157-K1157-O1157)</f>
        <v>47.3522632250614</v>
      </c>
      <c r="Q1157" s="16" t="n">
        <f aca="false">IF(D1157="","",IF(P1157&gt;=0,K1157,MAX(0,K1157+P1157)))</f>
        <v>0.9072</v>
      </c>
      <c r="R1157" s="16" t="n">
        <f aca="false">IF(D1157="","",Q1157/$B$15)</f>
        <v>0.35</v>
      </c>
      <c r="S1157" s="16" t="n">
        <f aca="false">IF(D1157="","",MAX(0,J1157-R1157))</f>
        <v>0</v>
      </c>
      <c r="T1157" s="16" t="n">
        <f aca="false">IF(D1157="","",MAX(0,Z1157-$B$8))</f>
        <v>0.132263225061358</v>
      </c>
      <c r="U1157" s="16" t="n">
        <f aca="false">IF(D1157="","",MAX(0,MIN($B$8,Z1157)))</f>
        <v>47.22</v>
      </c>
      <c r="V1157" s="16" t="str">
        <f aca="false">IF(D1157="","",IF(S1157&gt;0.0000001,"Sim","Não"))</f>
        <v>Não</v>
      </c>
      <c r="W1157" s="16" t="n">
        <f aca="false">IF(D1157="","",U1157-(H1157+E1157-Q1157-O1157-T1157))</f>
        <v>0</v>
      </c>
      <c r="X1157" s="16" t="n">
        <f aca="false">IF(W1157="","",ABS(W1157))</f>
        <v>0</v>
      </c>
      <c r="Y1157" s="16" t="n">
        <f aca="false">IF(U1157="","",IF($B$8=0,0,U1157/$B$8*100))</f>
        <v>100</v>
      </c>
      <c r="Z1157" s="18" t="n">
        <f aca="false">IF(D1157="","",MAX(0,IF(P1157&gt;=0,P1157,IF(K1157+P1157&gt;=0,0,P1157+K1157))))</f>
        <v>47.3522632250614</v>
      </c>
      <c r="AA1157" s="18" t="n">
        <f aca="false">IF(D1157="","",IF(H1157&lt;=$B$16,1,IF(H1157&gt;=$B$17,$B$21,MATCH(H1157,Aux_CAV!$A$2:$A$121,1))))</f>
        <v>14</v>
      </c>
      <c r="AB1157" s="18" t="n">
        <f aca="false">IF(D1157="","",IF(L1157&lt;=$B$16,1,IF(L1157&gt;=$B$17,$B$21,MATCH(L1157,Aux_CAV!$A$2:$A$121,1))))</f>
        <v>14</v>
      </c>
      <c r="AC1157" s="19" t="n">
        <f aca="false">IF(D1157="","",COUNT($D$24:D1157))</f>
        <v>1122</v>
      </c>
    </row>
    <row r="1158" customFormat="false" ht="12.75" hidden="false" customHeight="true" outlineLevel="0" collapsed="false">
      <c r="A1158" s="14" t="n">
        <f aca="false">IF(D1158="","",DATE(B1158,C1158,1))</f>
        <v>38169</v>
      </c>
      <c r="B1158" s="15" t="n">
        <f aca="false" t="array" ref="B1158:B1158">IF(D1158="","",IFERROR(VALUE(INDEX(Vazoes_COLAR!$A$2:$A$200,INT((ROW()-24)/12)+1)),""))</f>
        <v>2004</v>
      </c>
      <c r="C1158" s="15" t="n">
        <f aca="false">IF(D1158="","",MOD(ROW()-24,12)+1)</f>
        <v>7</v>
      </c>
      <c r="D1158" s="16" t="n">
        <f aca="false" t="array" ref="D1158: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0.191275621991121</v>
      </c>
      <c r="E1158" s="16" t="n">
        <f aca="false">IF(D1158="","",D1158*$B$15)</f>
        <v>0.495786412200986</v>
      </c>
      <c r="F1158" s="16" t="n">
        <f aca="false" t="array" ref="F1158:F1158">IF(D1158="","",IFERROR(INDEX(Dados_Evap!$C$2:$N$15,MATCH($B$9,Dados_Evap!$A$2:$A$15,0),C1158),0))</f>
        <v>224.8</v>
      </c>
      <c r="G1158" s="16" t="n">
        <f aca="false">IF(F1158="","",F1158/1000)</f>
        <v>0.2248</v>
      </c>
      <c r="H1158" s="16" t="n">
        <f aca="false">IF(D1158="","",MAX(0,MIN($B$8,IFERROR(LOOKUP(2,1/($U$24:U1157&lt;&gt;""),$U$24:U1157),$B$11))))</f>
        <v>47.22</v>
      </c>
      <c r="I1158" s="16" t="n">
        <f aca="false" t="array" ref="I1158: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>6.97</v>
      </c>
      <c r="J1158" s="16" t="n">
        <f aca="false">IF(D1158="","",$B$12)</f>
        <v>0.35</v>
      </c>
      <c r="K1158" s="16" t="n">
        <f aca="false">IF(J1158="","",J1158*$B$15)</f>
        <v>0.9072</v>
      </c>
      <c r="L1158" s="16" t="n">
        <f aca="false">IF(D1158="","",H1158+E1158-K1158-G1158*I1158)</f>
        <v>45.241730412201</v>
      </c>
      <c r="M1158" s="16" t="n">
        <f aca="false" t="array" ref="M1158: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>6.77248408989743</v>
      </c>
      <c r="N1158" s="16" t="n">
        <f aca="false">IF(D1158="","",(I1158+M1158)/2)</f>
        <v>6.87124204494871</v>
      </c>
      <c r="O1158" s="16" t="n">
        <f aca="false">IF(D1158="","",G1158*N1158)</f>
        <v>1.54465521170447</v>
      </c>
      <c r="P1158" s="16" t="n">
        <f aca="false">IF(D1158="","",H1158+E1158-K1158-O1158)</f>
        <v>45.2639312004965</v>
      </c>
      <c r="Q1158" s="16" t="n">
        <f aca="false">IF(D1158="","",IF(P1158&gt;=0,K1158,MAX(0,K1158+P1158)))</f>
        <v>0.9072</v>
      </c>
      <c r="R1158" s="16" t="n">
        <f aca="false">IF(D1158="","",Q1158/$B$15)</f>
        <v>0.35</v>
      </c>
      <c r="S1158" s="16" t="n">
        <f aca="false">IF(D1158="","",MAX(0,J1158-R1158))</f>
        <v>0</v>
      </c>
      <c r="T1158" s="16" t="n">
        <f aca="false">IF(D1158="","",MAX(0,Z1158-$B$8))</f>
        <v>0</v>
      </c>
      <c r="U1158" s="16" t="n">
        <f aca="false">IF(D1158="","",MAX(0,MIN($B$8,Z1158)))</f>
        <v>45.2639312004965</v>
      </c>
      <c r="V1158" s="16" t="str">
        <f aca="false">IF(D1158="","",IF(S1158&gt;0.0000001,"Sim","Não"))</f>
        <v>Não</v>
      </c>
      <c r="W1158" s="16" t="n">
        <f aca="false">IF(D1158="","",U1158-(H1158+E1158-Q1158-O1158-T1158))</f>
        <v>0</v>
      </c>
      <c r="X1158" s="16" t="n">
        <f aca="false">IF(W1158="","",ABS(W1158))</f>
        <v>0</v>
      </c>
      <c r="Y1158" s="16" t="n">
        <f aca="false">IF(U1158="","",IF($B$8=0,0,U1158/$B$8*100))</f>
        <v>95.8575417206618</v>
      </c>
      <c r="Z1158" s="18" t="n">
        <f aca="false">IF(D1158="","",MAX(0,IF(P1158&gt;=0,P1158,IF(K1158+P1158&gt;=0,0,P1158+K1158))))</f>
        <v>45.2639312004965</v>
      </c>
      <c r="AA1158" s="18" t="n">
        <f aca="false">IF(D1158="","",IF(H1158&lt;=$B$16,1,IF(H1158&gt;=$B$17,$B$21,MATCH(H1158,Aux_CAV!$A$2:$A$121,1))))</f>
        <v>14</v>
      </c>
      <c r="AB1158" s="18" t="n">
        <f aca="false">IF(D1158="","",IF(L1158&lt;=$B$16,1,IF(L1158&gt;=$B$17,$B$21,MATCH(L1158,Aux_CAV!$A$2:$A$121,1))))</f>
        <v>13</v>
      </c>
      <c r="AC1158" s="19" t="n">
        <f aca="false">IF(D1158="","",COUNT($D$24:D1158))</f>
        <v>1123</v>
      </c>
    </row>
    <row r="1159" customFormat="false" ht="12.75" hidden="false" customHeight="true" outlineLevel="0" collapsed="false">
      <c r="A1159" s="14" t="n">
        <f aca="false">IF(D1159="","",DATE(B1159,C1159,1))</f>
        <v>38200</v>
      </c>
      <c r="B1159" s="15" t="n">
        <f aca="false" t="array" ref="B1159:B1159">IF(D1159="","",IFERROR(VALUE(INDEX(Vazoes_COLAR!$A$2:$A$200,INT((ROW()-24)/12)+1)),""))</f>
        <v>2004</v>
      </c>
      <c r="C1159" s="15" t="n">
        <f aca="false">IF(D1159="","",MOD(ROW()-24,12)+1)</f>
        <v>8</v>
      </c>
      <c r="D1159" s="16" t="n">
        <f aca="false" t="array" ref="D1159: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0.0524680359907227</v>
      </c>
      <c r="E1159" s="16" t="n">
        <f aca="false">IF(D1159="","",D1159*$B$15)</f>
        <v>0.135997149287953</v>
      </c>
      <c r="F1159" s="16" t="n">
        <f aca="false" t="array" ref="F1159:F1159">IF(D1159="","",IFERROR(INDEX(Dados_Evap!$C$2:$N$15,MATCH($B$9,Dados_Evap!$A$2:$A$15,0),C1159),0))</f>
        <v>268.7</v>
      </c>
      <c r="G1159" s="16" t="n">
        <f aca="false">IF(F1159="","",F1159/1000)</f>
        <v>0.2687</v>
      </c>
      <c r="H1159" s="16" t="n">
        <f aca="false">IF(D1159="","",MAX(0,MIN($B$8,IFERROR(LOOKUP(2,1/($U$24:U1158&lt;&gt;""),$U$24:U1158),$B$11))))</f>
        <v>45.2639312004965</v>
      </c>
      <c r="I1159" s="16" t="n">
        <f aca="false" t="array" ref="I1159: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>6.77470067803699</v>
      </c>
      <c r="J1159" s="16" t="n">
        <f aca="false">IF(D1159="","",$B$12)</f>
        <v>0.35</v>
      </c>
      <c r="K1159" s="16" t="n">
        <f aca="false">IF(J1159="","",J1159*$B$15)</f>
        <v>0.9072</v>
      </c>
      <c r="L1159" s="16" t="n">
        <f aca="false">IF(D1159="","",H1159+E1159-K1159-G1159*I1159)</f>
        <v>42.6723662775959</v>
      </c>
      <c r="M1159" s="16" t="n">
        <f aca="false" t="array" ref="M1159: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>6.5159516645084</v>
      </c>
      <c r="N1159" s="16" t="n">
        <f aca="false">IF(D1159="","",(I1159+M1159)/2)</f>
        <v>6.6453261712727</v>
      </c>
      <c r="O1159" s="16" t="n">
        <f aca="false">IF(D1159="","",G1159*N1159)</f>
        <v>1.78559914222097</v>
      </c>
      <c r="P1159" s="16" t="n">
        <f aca="false">IF(D1159="","",H1159+E1159-K1159-O1159)</f>
        <v>42.7071292075635</v>
      </c>
      <c r="Q1159" s="16" t="n">
        <f aca="false">IF(D1159="","",IF(P1159&gt;=0,K1159,MAX(0,K1159+P1159)))</f>
        <v>0.9072</v>
      </c>
      <c r="R1159" s="16" t="n">
        <f aca="false">IF(D1159="","",Q1159/$B$15)</f>
        <v>0.35</v>
      </c>
      <c r="S1159" s="16" t="n">
        <f aca="false">IF(D1159="","",MAX(0,J1159-R1159))</f>
        <v>0</v>
      </c>
      <c r="T1159" s="16" t="n">
        <f aca="false">IF(D1159="","",MAX(0,Z1159-$B$8))</f>
        <v>0</v>
      </c>
      <c r="U1159" s="16" t="n">
        <f aca="false">IF(D1159="","",MAX(0,MIN($B$8,Z1159)))</f>
        <v>42.7071292075635</v>
      </c>
      <c r="V1159" s="16" t="str">
        <f aca="false">IF(D1159="","",IF(S1159&gt;0.0000001,"Sim","Não"))</f>
        <v>Não</v>
      </c>
      <c r="W1159" s="16" t="n">
        <f aca="false">IF(D1159="","",U1159-(H1159+E1159-Q1159-O1159-T1159))</f>
        <v>0</v>
      </c>
      <c r="X1159" s="16" t="n">
        <f aca="false">IF(W1159="","",ABS(W1159))</f>
        <v>0</v>
      </c>
      <c r="Y1159" s="16" t="n">
        <f aca="false">IF(U1159="","",IF($B$8=0,0,U1159/$B$8*100))</f>
        <v>90.4428826928494</v>
      </c>
      <c r="Z1159" s="18" t="n">
        <f aca="false">IF(D1159="","",MAX(0,IF(P1159&gt;=0,P1159,IF(K1159+P1159&gt;=0,0,P1159+K1159))))</f>
        <v>42.7071292075635</v>
      </c>
      <c r="AA1159" s="18" t="n">
        <f aca="false">IF(D1159="","",IF(H1159&lt;=$B$16,1,IF(H1159&gt;=$B$17,$B$21,MATCH(H1159,Aux_CAV!$A$2:$A$121,1))))</f>
        <v>13</v>
      </c>
      <c r="AB1159" s="18" t="n">
        <f aca="false">IF(D1159="","",IF(L1159&lt;=$B$16,1,IF(L1159&gt;=$B$17,$B$21,MATCH(L1159,Aux_CAV!$A$2:$A$121,1))))</f>
        <v>13</v>
      </c>
      <c r="AC1159" s="19" t="n">
        <f aca="false">IF(D1159="","",COUNT($D$24:D1159))</f>
        <v>1124</v>
      </c>
    </row>
    <row r="1160" customFormat="false" ht="12.75" hidden="false" customHeight="true" outlineLevel="0" collapsed="false">
      <c r="A1160" s="14" t="n">
        <f aca="false">IF(D1160="","",DATE(B1160,C1160,1))</f>
        <v>38231</v>
      </c>
      <c r="B1160" s="15" t="n">
        <f aca="false" t="array" ref="B1160:B1160">IF(D1160="","",IFERROR(VALUE(INDEX(Vazoes_COLAR!$A$2:$A$200,INT((ROW()-24)/12)+1)),""))</f>
        <v>2004</v>
      </c>
      <c r="C1160" s="15" t="n">
        <f aca="false">IF(D1160="","",MOD(ROW()-24,12)+1)</f>
        <v>9</v>
      </c>
      <c r="D1160" s="16" t="n">
        <f aca="false" t="array" ref="D1160: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0.0369022091828727</v>
      </c>
      <c r="E1160" s="16" t="n">
        <f aca="false">IF(D1160="","",D1160*$B$15)</f>
        <v>0.0956505262020061</v>
      </c>
      <c r="F1160" s="16" t="n">
        <f aca="false" t="array" ref="F1160:F1160">IF(D1160="","",IFERROR(INDEX(Dados_Evap!$C$2:$N$15,MATCH($B$9,Dados_Evap!$A$2:$A$15,0),C1160),0))</f>
        <v>292.8</v>
      </c>
      <c r="G1160" s="16" t="n">
        <f aca="false">IF(F1160="","",F1160/1000)</f>
        <v>0.2928</v>
      </c>
      <c r="H1160" s="16" t="n">
        <f aca="false">IF(D1160="","",MAX(0,MIN($B$8,IFERROR(LOOKUP(2,1/($U$24:U1159&lt;&gt;""),$U$24:U1159),$B$11))))</f>
        <v>42.7071292075635</v>
      </c>
      <c r="I1160" s="16" t="n">
        <f aca="false" t="array" ref="I1160: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>6.51942249163566</v>
      </c>
      <c r="J1160" s="16" t="n">
        <f aca="false">IF(D1160="","",$B$12)</f>
        <v>0.35</v>
      </c>
      <c r="K1160" s="16" t="n">
        <f aca="false">IF(J1160="","",J1160*$B$15)</f>
        <v>0.9072</v>
      </c>
      <c r="L1160" s="16" t="n">
        <f aca="false">IF(D1160="","",H1160+E1160-K1160-G1160*I1160)</f>
        <v>39.9866928282146</v>
      </c>
      <c r="M1160" s="16" t="n">
        <f aca="false" t="array" ref="M1160: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>6.24780659526985</v>
      </c>
      <c r="N1160" s="16" t="n">
        <f aca="false">IF(D1160="","",(I1160+M1160)/2)</f>
        <v>6.38361454345276</v>
      </c>
      <c r="O1160" s="16" t="n">
        <f aca="false">IF(D1160="","",G1160*N1160)</f>
        <v>1.86912233832297</v>
      </c>
      <c r="P1160" s="16" t="n">
        <f aca="false">IF(D1160="","",H1160+E1160-K1160-O1160)</f>
        <v>40.0264573954425</v>
      </c>
      <c r="Q1160" s="16" t="n">
        <f aca="false">IF(D1160="","",IF(P1160&gt;=0,K1160,MAX(0,K1160+P1160)))</f>
        <v>0.9072</v>
      </c>
      <c r="R1160" s="16" t="n">
        <f aca="false">IF(D1160="","",Q1160/$B$15)</f>
        <v>0.35</v>
      </c>
      <c r="S1160" s="16" t="n">
        <f aca="false">IF(D1160="","",MAX(0,J1160-R1160))</f>
        <v>0</v>
      </c>
      <c r="T1160" s="16" t="n">
        <f aca="false">IF(D1160="","",MAX(0,Z1160-$B$8))</f>
        <v>0</v>
      </c>
      <c r="U1160" s="16" t="n">
        <f aca="false">IF(D1160="","",MAX(0,MIN($B$8,Z1160)))</f>
        <v>40.0264573954425</v>
      </c>
      <c r="V1160" s="16" t="str">
        <f aca="false">IF(D1160="","",IF(S1160&gt;0.0000001,"Sim","Não"))</f>
        <v>Não</v>
      </c>
      <c r="W1160" s="16" t="n">
        <f aca="false">IF(D1160="","",U1160-(H1160+E1160-Q1160-O1160-T1160))</f>
        <v>0</v>
      </c>
      <c r="X1160" s="16" t="n">
        <f aca="false">IF(W1160="","",ABS(W1160))</f>
        <v>0</v>
      </c>
      <c r="Y1160" s="16" t="n">
        <f aca="false">IF(U1160="","",IF($B$8=0,0,U1160/$B$8*100))</f>
        <v>84.7658987620553</v>
      </c>
      <c r="Z1160" s="18" t="n">
        <f aca="false">IF(D1160="","",MAX(0,IF(P1160&gt;=0,P1160,IF(K1160+P1160&gt;=0,0,P1160+K1160))))</f>
        <v>40.0264573954425</v>
      </c>
      <c r="AA1160" s="18" t="n">
        <f aca="false">IF(D1160="","",IF(H1160&lt;=$B$16,1,IF(H1160&gt;=$B$17,$B$21,MATCH(H1160,Aux_CAV!$A$2:$A$121,1))))</f>
        <v>13</v>
      </c>
      <c r="AB1160" s="18" t="n">
        <f aca="false">IF(D1160="","",IF(L1160&lt;=$B$16,1,IF(L1160&gt;=$B$17,$B$21,MATCH(L1160,Aux_CAV!$A$2:$A$121,1))))</f>
        <v>13</v>
      </c>
      <c r="AC1160" s="19" t="n">
        <f aca="false">IF(D1160="","",COUNT($D$24:D1160))</f>
        <v>1125</v>
      </c>
    </row>
    <row r="1161" customFormat="false" ht="12.75" hidden="false" customHeight="true" outlineLevel="0" collapsed="false">
      <c r="A1161" s="14" t="n">
        <f aca="false">IF(D1161="","",DATE(B1161,C1161,1))</f>
        <v>38261</v>
      </c>
      <c r="B1161" s="15" t="n">
        <f aca="false" t="array" ref="B1161:B1161">IF(D1161="","",IFERROR(VALUE(INDEX(Vazoes_COLAR!$A$2:$A$200,INT((ROW()-24)/12)+1)),""))</f>
        <v>2004</v>
      </c>
      <c r="C1161" s="15" t="n">
        <f aca="false">IF(D1161="","",MOD(ROW()-24,12)+1)</f>
        <v>10</v>
      </c>
      <c r="D1161" s="16" t="n">
        <f aca="false" t="array" ref="D1161: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0.0319469122766265</v>
      </c>
      <c r="E1161" s="16" t="n">
        <f aca="false">IF(D1161="","",D1161*$B$15)</f>
        <v>0.0828063966210159</v>
      </c>
      <c r="F1161" s="16" t="n">
        <f aca="false" t="array" ref="F1161:F1161">IF(D1161="","",IFERROR(INDEX(Dados_Evap!$C$2:$N$15,MATCH($B$9,Dados_Evap!$A$2:$A$15,0),C1161),0))</f>
        <v>262.9</v>
      </c>
      <c r="G1161" s="16" t="n">
        <f aca="false">IF(F1161="","",F1161/1000)</f>
        <v>0.2629</v>
      </c>
      <c r="H1161" s="16" t="n">
        <f aca="false">IF(D1161="","",MAX(0,MIN($B$8,IFERROR(LOOKUP(2,1/($U$24:U1160&lt;&gt;""),$U$24:U1160),$B$11))))</f>
        <v>40.0264573954425</v>
      </c>
      <c r="I1161" s="16" t="n">
        <f aca="false" t="array" ref="I1161: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>6.2517767997022</v>
      </c>
      <c r="J1161" s="16" t="n">
        <f aca="false">IF(D1161="","",$B$12)</f>
        <v>0.35</v>
      </c>
      <c r="K1161" s="16" t="n">
        <f aca="false">IF(J1161="","",J1161*$B$15)</f>
        <v>0.9072</v>
      </c>
      <c r="L1161" s="16" t="n">
        <f aca="false">IF(D1161="","",H1161+E1161-K1161-G1161*I1161)</f>
        <v>37.5584716714218</v>
      </c>
      <c r="M1161" s="16" t="n">
        <f aca="false" t="array" ref="M1161: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>6.00536627536995</v>
      </c>
      <c r="N1161" s="16" t="n">
        <f aca="false">IF(D1161="","",(I1161+M1161)/2)</f>
        <v>6.12857153753607</v>
      </c>
      <c r="O1161" s="16" t="n">
        <f aca="false">IF(D1161="","",G1161*N1161)</f>
        <v>1.61120145721823</v>
      </c>
      <c r="P1161" s="16" t="n">
        <f aca="false">IF(D1161="","",H1161+E1161-K1161-O1161)</f>
        <v>37.5908623348453</v>
      </c>
      <c r="Q1161" s="16" t="n">
        <f aca="false">IF(D1161="","",IF(P1161&gt;=0,K1161,MAX(0,K1161+P1161)))</f>
        <v>0.9072</v>
      </c>
      <c r="R1161" s="16" t="n">
        <f aca="false">IF(D1161="","",Q1161/$B$15)</f>
        <v>0.35</v>
      </c>
      <c r="S1161" s="16" t="n">
        <f aca="false">IF(D1161="","",MAX(0,J1161-R1161))</f>
        <v>0</v>
      </c>
      <c r="T1161" s="16" t="n">
        <f aca="false">IF(D1161="","",MAX(0,Z1161-$B$8))</f>
        <v>0</v>
      </c>
      <c r="U1161" s="16" t="n">
        <f aca="false">IF(D1161="","",MAX(0,MIN($B$8,Z1161)))</f>
        <v>37.5908623348453</v>
      </c>
      <c r="V1161" s="16" t="str">
        <f aca="false">IF(D1161="","",IF(S1161&gt;0.0000001,"Sim","Não"))</f>
        <v>Não</v>
      </c>
      <c r="W1161" s="16" t="n">
        <f aca="false">IF(D1161="","",U1161-(H1161+E1161-Q1161-O1161-T1161))</f>
        <v>0</v>
      </c>
      <c r="X1161" s="16" t="n">
        <f aca="false">IF(W1161="","",ABS(W1161))</f>
        <v>0</v>
      </c>
      <c r="Y1161" s="16" t="n">
        <f aca="false">IF(U1161="","",IF($B$8=0,0,U1161/$B$8*100))</f>
        <v>79.6079253173344</v>
      </c>
      <c r="Z1161" s="18" t="n">
        <f aca="false">IF(D1161="","",MAX(0,IF(P1161&gt;=0,P1161,IF(K1161+P1161&gt;=0,0,P1161+K1161))))</f>
        <v>37.5908623348453</v>
      </c>
      <c r="AA1161" s="18" t="n">
        <f aca="false">IF(D1161="","",IF(H1161&lt;=$B$16,1,IF(H1161&gt;=$B$17,$B$21,MATCH(H1161,Aux_CAV!$A$2:$A$121,1))))</f>
        <v>13</v>
      </c>
      <c r="AB1161" s="18" t="n">
        <f aca="false">IF(D1161="","",IF(L1161&lt;=$B$16,1,IF(L1161&gt;=$B$17,$B$21,MATCH(L1161,Aux_CAV!$A$2:$A$121,1))))</f>
        <v>13</v>
      </c>
      <c r="AC1161" s="19" t="n">
        <f aca="false">IF(D1161="","",COUNT($D$24:D1161))</f>
        <v>1126</v>
      </c>
    </row>
    <row r="1162" customFormat="false" ht="12.75" hidden="false" customHeight="true" outlineLevel="0" collapsed="false">
      <c r="A1162" s="14" t="n">
        <f aca="false">IF(D1162="","",DATE(B1162,C1162,1))</f>
        <v>38292</v>
      </c>
      <c r="B1162" s="15" t="n">
        <f aca="false" t="array" ref="B1162:B1162">IF(D1162="","",IFERROR(VALUE(INDEX(Vazoes_COLAR!$A$2:$A$200,INT((ROW()-24)/12)+1)),""))</f>
        <v>2004</v>
      </c>
      <c r="C1162" s="15" t="n">
        <f aca="false">IF(D1162="","",MOD(ROW()-24,12)+1)</f>
        <v>11</v>
      </c>
      <c r="D1162" s="16" t="n">
        <f aca="false" t="array" ref="D1162: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0.0343315528207323</v>
      </c>
      <c r="E1162" s="16" t="n">
        <f aca="false">IF(D1162="","",D1162*$B$15)</f>
        <v>0.0889873849113381</v>
      </c>
      <c r="F1162" s="16" t="n">
        <f aca="false" t="array" ref="F1162:F1162">IF(D1162="","",IFERROR(INDEX(Dados_Evap!$C$2:$N$15,MATCH($B$9,Dados_Evap!$A$2:$A$15,0),C1162),0))</f>
        <v>223.7</v>
      </c>
      <c r="G1162" s="16" t="n">
        <f aca="false">IF(F1162="","",F1162/1000)</f>
        <v>0.2237</v>
      </c>
      <c r="H1162" s="16" t="n">
        <f aca="false">IF(D1162="","",MAX(0,MIN($B$8,IFERROR(LOOKUP(2,1/($U$24:U1161&lt;&gt;""),$U$24:U1161),$B$11))))</f>
        <v>37.5908623348453</v>
      </c>
      <c r="I1162" s="16" t="n">
        <f aca="false" t="array" ref="I1162: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>6.00860024884069</v>
      </c>
      <c r="J1162" s="16" t="n">
        <f aca="false">IF(D1162="","",$B$12)</f>
        <v>0.35</v>
      </c>
      <c r="K1162" s="16" t="n">
        <f aca="false">IF(J1162="","",J1162*$B$15)</f>
        <v>0.9072</v>
      </c>
      <c r="L1162" s="16" t="n">
        <f aca="false">IF(D1162="","",H1162+E1162-K1162-G1162*I1162)</f>
        <v>35.428525844091</v>
      </c>
      <c r="M1162" s="16" t="n">
        <f aca="false" t="array" ref="M1162: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>5.79270658977952</v>
      </c>
      <c r="N1162" s="16" t="n">
        <f aca="false">IF(D1162="","",(I1162+M1162)/2)</f>
        <v>5.90065341931011</v>
      </c>
      <c r="O1162" s="16" t="n">
        <f aca="false">IF(D1162="","",G1162*N1162)</f>
        <v>1.31997616989967</v>
      </c>
      <c r="P1162" s="16" t="n">
        <f aca="false">IF(D1162="","",H1162+E1162-K1162-O1162)</f>
        <v>35.452673549857</v>
      </c>
      <c r="Q1162" s="16" t="n">
        <f aca="false">IF(D1162="","",IF(P1162&gt;=0,K1162,MAX(0,K1162+P1162)))</f>
        <v>0.9072</v>
      </c>
      <c r="R1162" s="16" t="n">
        <f aca="false">IF(D1162="","",Q1162/$B$15)</f>
        <v>0.35</v>
      </c>
      <c r="S1162" s="16" t="n">
        <f aca="false">IF(D1162="","",MAX(0,J1162-R1162))</f>
        <v>0</v>
      </c>
      <c r="T1162" s="16" t="n">
        <f aca="false">IF(D1162="","",MAX(0,Z1162-$B$8))</f>
        <v>0</v>
      </c>
      <c r="U1162" s="16" t="n">
        <f aca="false">IF(D1162="","",MAX(0,MIN($B$8,Z1162)))</f>
        <v>35.452673549857</v>
      </c>
      <c r="V1162" s="16" t="str">
        <f aca="false">IF(D1162="","",IF(S1162&gt;0.0000001,"Sim","Não"))</f>
        <v>Não</v>
      </c>
      <c r="W1162" s="16" t="n">
        <f aca="false">IF(D1162="","",U1162-(H1162+E1162-Q1162-O1162-T1162))</f>
        <v>0</v>
      </c>
      <c r="X1162" s="16" t="n">
        <f aca="false">IF(W1162="","",ABS(W1162))</f>
        <v>0</v>
      </c>
      <c r="Y1162" s="16" t="n">
        <f aca="false">IF(U1162="","",IF($B$8=0,0,U1162/$B$8*100))</f>
        <v>75.0797830365459</v>
      </c>
      <c r="Z1162" s="18" t="n">
        <f aca="false">IF(D1162="","",MAX(0,IF(P1162&gt;=0,P1162,IF(K1162+P1162&gt;=0,0,P1162+K1162))))</f>
        <v>35.452673549857</v>
      </c>
      <c r="AA1162" s="18" t="n">
        <f aca="false">IF(D1162="","",IF(H1162&lt;=$B$16,1,IF(H1162&gt;=$B$17,$B$21,MATCH(H1162,Aux_CAV!$A$2:$A$121,1))))</f>
        <v>13</v>
      </c>
      <c r="AB1162" s="18" t="n">
        <f aca="false">IF(D1162="","",IF(L1162&lt;=$B$16,1,IF(L1162&gt;=$B$17,$B$21,MATCH(L1162,Aux_CAV!$A$2:$A$121,1))))</f>
        <v>13</v>
      </c>
      <c r="AC1162" s="19" t="n">
        <f aca="false">IF(D1162="","",COUNT($D$24:D1162))</f>
        <v>1127</v>
      </c>
    </row>
    <row r="1163" customFormat="false" ht="12.75" hidden="false" customHeight="true" outlineLevel="0" collapsed="false">
      <c r="A1163" s="14" t="n">
        <f aca="false">IF(D1163="","",DATE(B1163,C1163,1))</f>
        <v>38322</v>
      </c>
      <c r="B1163" s="15" t="n">
        <f aca="false" t="array" ref="B1163:B1163">IF(D1163="","",IFERROR(VALUE(INDEX(Vazoes_COLAR!$A$2:$A$200,INT((ROW()-24)/12)+1)),""))</f>
        <v>2004</v>
      </c>
      <c r="C1163" s="15" t="n">
        <f aca="false">IF(D1163="","",MOD(ROW()-24,12)+1)</f>
        <v>12</v>
      </c>
      <c r="D1163" s="16" t="n">
        <f aca="false" t="array" ref="D1163: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0.0268410831024643</v>
      </c>
      <c r="E1163" s="16" t="n">
        <f aca="false">IF(D1163="","",D1163*$B$15)</f>
        <v>0.0695720874015875</v>
      </c>
      <c r="F1163" s="16" t="n">
        <f aca="false" t="array" ref="F1163:F1163">IF(D1163="","",IFERROR(INDEX(Dados_Evap!$C$2:$N$15,MATCH($B$9,Dados_Evap!$A$2:$A$15,0),C1163),0))</f>
        <v>216.1</v>
      </c>
      <c r="G1163" s="16" t="n">
        <f aca="false">IF(F1163="","",F1163/1000)</f>
        <v>0.2161</v>
      </c>
      <c r="H1163" s="16" t="n">
        <f aca="false">IF(D1163="","",MAX(0,MIN($B$8,IFERROR(LOOKUP(2,1/($U$24:U1162&lt;&gt;""),$U$24:U1162),$B$11))))</f>
        <v>35.452673549857</v>
      </c>
      <c r="I1163" s="16" t="n">
        <f aca="false" t="array" ref="I1163: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>5.79511756354704</v>
      </c>
      <c r="J1163" s="16" t="n">
        <f aca="false">IF(D1163="","",$B$12)</f>
        <v>0.35</v>
      </c>
      <c r="K1163" s="16" t="n">
        <f aca="false">IF(J1163="","",J1163*$B$15)</f>
        <v>0.9072</v>
      </c>
      <c r="L1163" s="16" t="n">
        <f aca="false">IF(D1163="","",H1163+E1163-K1163-G1163*I1163)</f>
        <v>33.362720731776</v>
      </c>
      <c r="M1163" s="16" t="n">
        <f aca="false" t="array" ref="M1163: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>5.58185545466023</v>
      </c>
      <c r="N1163" s="16" t="n">
        <f aca="false">IF(D1163="","",(I1163+M1163)/2)</f>
        <v>5.68848650910364</v>
      </c>
      <c r="O1163" s="16" t="n">
        <f aca="false">IF(D1163="","",G1163*N1163)</f>
        <v>1.2292819346173</v>
      </c>
      <c r="P1163" s="16" t="n">
        <f aca="false">IF(D1163="","",H1163+E1163-K1163-O1163)</f>
        <v>33.3857637026413</v>
      </c>
      <c r="Q1163" s="16" t="n">
        <f aca="false">IF(D1163="","",IF(P1163&gt;=0,K1163,MAX(0,K1163+P1163)))</f>
        <v>0.9072</v>
      </c>
      <c r="R1163" s="16" t="n">
        <f aca="false">IF(D1163="","",Q1163/$B$15)</f>
        <v>0.35</v>
      </c>
      <c r="S1163" s="16" t="n">
        <f aca="false">IF(D1163="","",MAX(0,J1163-R1163))</f>
        <v>0</v>
      </c>
      <c r="T1163" s="16" t="n">
        <f aca="false">IF(D1163="","",MAX(0,Z1163-$B$8))</f>
        <v>0</v>
      </c>
      <c r="U1163" s="16" t="n">
        <f aca="false">IF(D1163="","",MAX(0,MIN($B$8,Z1163)))</f>
        <v>33.3857637026413</v>
      </c>
      <c r="V1163" s="16" t="str">
        <f aca="false">IF(D1163="","",IF(S1163&gt;0.0000001,"Sim","Não"))</f>
        <v>Não</v>
      </c>
      <c r="W1163" s="16" t="n">
        <f aca="false">IF(D1163="","",U1163-(H1163+E1163-Q1163-O1163-T1163))</f>
        <v>0</v>
      </c>
      <c r="X1163" s="16" t="n">
        <f aca="false">IF(W1163="","",ABS(W1163))</f>
        <v>0</v>
      </c>
      <c r="Y1163" s="16" t="n">
        <f aca="false">IF(U1163="","",IF($B$8=0,0,U1163/$B$8*100))</f>
        <v>70.7025914922517</v>
      </c>
      <c r="Z1163" s="18" t="n">
        <f aca="false">IF(D1163="","",MAX(0,IF(P1163&gt;=0,P1163,IF(K1163+P1163&gt;=0,0,P1163+K1163))))</f>
        <v>33.3857637026413</v>
      </c>
      <c r="AA1163" s="18" t="n">
        <f aca="false">IF(D1163="","",IF(H1163&lt;=$B$16,1,IF(H1163&gt;=$B$17,$B$21,MATCH(H1163,Aux_CAV!$A$2:$A$121,1))))</f>
        <v>13</v>
      </c>
      <c r="AB1163" s="18" t="n">
        <f aca="false">IF(D1163="","",IF(L1163&lt;=$B$16,1,IF(L1163&gt;=$B$17,$B$21,MATCH(L1163,Aux_CAV!$A$2:$A$121,1))))</f>
        <v>12</v>
      </c>
      <c r="AC1163" s="19" t="n">
        <f aca="false">IF(D1163="","",COUNT($D$24:D1163))</f>
        <v>1128</v>
      </c>
    </row>
    <row r="1164" customFormat="false" ht="12.75" hidden="false" customHeight="true" outlineLevel="0" collapsed="false">
      <c r="A1164" s="14" t="n">
        <f aca="false">IF(D1164="","",DATE(B1164,C1164,1))</f>
        <v>38353</v>
      </c>
      <c r="B1164" s="15" t="n">
        <f aca="false" t="array" ref="B1164:B1164">IF(D1164="","",IFERROR(VALUE(INDEX(Vazoes_COLAR!$A$2:$A$200,INT((ROW()-24)/12)+1)),""))</f>
        <v>2005</v>
      </c>
      <c r="C1164" s="15" t="n">
        <f aca="false">IF(D1164="","",MOD(ROW()-24,12)+1)</f>
        <v>1</v>
      </c>
      <c r="D1164" s="16" t="n">
        <f aca="false" t="array" ref="D1164: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0.10100803435134</v>
      </c>
      <c r="E1164" s="16" t="n">
        <f aca="false">IF(D1164="","",D1164*$B$15)</f>
        <v>0.261812825038673</v>
      </c>
      <c r="F1164" s="16" t="n">
        <f aca="false" t="array" ref="F1164:F1164">IF(D1164="","",IFERROR(INDEX(Dados_Evap!$C$2:$N$15,MATCH($B$9,Dados_Evap!$A$2:$A$15,0),C1164),0))</f>
        <v>160</v>
      </c>
      <c r="G1164" s="16" t="n">
        <f aca="false">IF(F1164="","",F1164/1000)</f>
        <v>0.16</v>
      </c>
      <c r="H1164" s="16" t="n">
        <f aca="false">IF(D1164="","",MAX(0,MIN($B$8,IFERROR(LOOKUP(2,1/($U$24:U1163&lt;&gt;""),$U$24:U1163),$B$11))))</f>
        <v>33.3857637026413</v>
      </c>
      <c r="I1164" s="16" t="n">
        <f aca="false" t="array" ref="I1164: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>5.58424923901225</v>
      </c>
      <c r="J1164" s="16" t="n">
        <f aca="false">IF(D1164="","",$B$12)</f>
        <v>0.35</v>
      </c>
      <c r="K1164" s="16" t="n">
        <f aca="false">IF(J1164="","",J1164*$B$15)</f>
        <v>0.9072</v>
      </c>
      <c r="L1164" s="16" t="n">
        <f aca="false">IF(D1164="","",H1164+E1164-K1164-G1164*I1164)</f>
        <v>31.846896649438</v>
      </c>
      <c r="M1164" s="16" t="n">
        <f aca="false" t="array" ref="M1164: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>5.42438635096103</v>
      </c>
      <c r="N1164" s="16" t="n">
        <f aca="false">IF(D1164="","",(I1164+M1164)/2)</f>
        <v>5.50431779498664</v>
      </c>
      <c r="O1164" s="16" t="n">
        <f aca="false">IF(D1164="","",G1164*N1164)</f>
        <v>0.880690847197862</v>
      </c>
      <c r="P1164" s="16" t="n">
        <f aca="false">IF(D1164="","",H1164+E1164-K1164-O1164)</f>
        <v>31.8596856804821</v>
      </c>
      <c r="Q1164" s="16" t="n">
        <f aca="false">IF(D1164="","",IF(P1164&gt;=0,K1164,MAX(0,K1164+P1164)))</f>
        <v>0.9072</v>
      </c>
      <c r="R1164" s="16" t="n">
        <f aca="false">IF(D1164="","",Q1164/$B$15)</f>
        <v>0.35</v>
      </c>
      <c r="S1164" s="16" t="n">
        <f aca="false">IF(D1164="","",MAX(0,J1164-R1164))</f>
        <v>0</v>
      </c>
      <c r="T1164" s="16" t="n">
        <f aca="false">IF(D1164="","",MAX(0,Z1164-$B$8))</f>
        <v>0</v>
      </c>
      <c r="U1164" s="16" t="n">
        <f aca="false">IF(D1164="","",MAX(0,MIN($B$8,Z1164)))</f>
        <v>31.8596856804821</v>
      </c>
      <c r="V1164" s="16" t="str">
        <f aca="false">IF(D1164="","",IF(S1164&gt;0.0000001,"Sim","Não"))</f>
        <v>Não</v>
      </c>
      <c r="W1164" s="16" t="n">
        <f aca="false">IF(D1164="","",U1164-(H1164+E1164-Q1164-O1164-T1164))</f>
        <v>0</v>
      </c>
      <c r="X1164" s="16" t="n">
        <f aca="false">IF(W1164="","",ABS(W1164))</f>
        <v>0</v>
      </c>
      <c r="Y1164" s="16" t="n">
        <f aca="false">IF(U1164="","",IF($B$8=0,0,U1164/$B$8*100))</f>
        <v>67.4707447701865</v>
      </c>
      <c r="Z1164" s="18" t="n">
        <f aca="false">IF(D1164="","",MAX(0,IF(P1164&gt;=0,P1164,IF(K1164+P1164&gt;=0,0,P1164+K1164))))</f>
        <v>31.8596856804821</v>
      </c>
      <c r="AA1164" s="18" t="n">
        <f aca="false">IF(D1164="","",IF(H1164&lt;=$B$16,1,IF(H1164&gt;=$B$17,$B$21,MATCH(H1164,Aux_CAV!$A$2:$A$121,1))))</f>
        <v>12</v>
      </c>
      <c r="AB1164" s="18" t="n">
        <f aca="false">IF(D1164="","",IF(L1164&lt;=$B$16,1,IF(L1164&gt;=$B$17,$B$21,MATCH(L1164,Aux_CAV!$A$2:$A$121,1))))</f>
        <v>12</v>
      </c>
      <c r="AC1164" s="19" t="n">
        <f aca="false">IF(D1164="","",COUNT($D$24:D1164))</f>
        <v>1129</v>
      </c>
    </row>
    <row r="1165" customFormat="false" ht="12.75" hidden="false" customHeight="true" outlineLevel="0" collapsed="false">
      <c r="A1165" s="14" t="n">
        <f aca="false">IF(D1165="","",DATE(B1165,C1165,1))</f>
        <v>38384</v>
      </c>
      <c r="B1165" s="15" t="n">
        <f aca="false" t="array" ref="B1165:B1165">IF(D1165="","",IFERROR(VALUE(INDEX(Vazoes_COLAR!$A$2:$A$200,INT((ROW()-24)/12)+1)),""))</f>
        <v>2005</v>
      </c>
      <c r="C1165" s="15" t="n">
        <f aca="false">IF(D1165="","",MOD(ROW()-24,12)+1)</f>
        <v>2</v>
      </c>
      <c r="D1165" s="16" t="n">
        <f aca="false" t="array" ref="D1165: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0.0676867342729991</v>
      </c>
      <c r="E1165" s="16" t="n">
        <f aca="false">IF(D1165="","",D1165*$B$15)</f>
        <v>0.175444015235614</v>
      </c>
      <c r="F1165" s="16" t="n">
        <f aca="false" t="array" ref="F1165:F1165">IF(D1165="","",IFERROR(INDEX(Dados_Evap!$C$2:$N$15,MATCH($B$9,Dados_Evap!$A$2:$A$15,0),C1165),0))</f>
        <v>124.3</v>
      </c>
      <c r="G1165" s="16" t="n">
        <f aca="false">IF(F1165="","",F1165/1000)</f>
        <v>0.1243</v>
      </c>
      <c r="H1165" s="16" t="n">
        <f aca="false">IF(D1165="","",MAX(0,MIN($B$8,IFERROR(LOOKUP(2,1/($U$24:U1164&lt;&gt;""),$U$24:U1164),$B$11))))</f>
        <v>31.8596856804821</v>
      </c>
      <c r="I1165" s="16" t="n">
        <f aca="false" t="array" ref="I1165: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>5.42571492020542</v>
      </c>
      <c r="J1165" s="16" t="n">
        <f aca="false">IF(D1165="","",$B$12)</f>
        <v>0.35</v>
      </c>
      <c r="K1165" s="16" t="n">
        <f aca="false">IF(J1165="","",J1165*$B$15)</f>
        <v>0.9072</v>
      </c>
      <c r="L1165" s="16" t="n">
        <f aca="false">IF(D1165="","",H1165+E1165-K1165-G1165*I1165)</f>
        <v>30.4535133311361</v>
      </c>
      <c r="M1165" s="16" t="n">
        <f aca="false" t="array" ref="M1165: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>5.27963682177822</v>
      </c>
      <c r="N1165" s="16" t="n">
        <f aca="false">IF(D1165="","",(I1165+M1165)/2)</f>
        <v>5.35267587099182</v>
      </c>
      <c r="O1165" s="16" t="n">
        <f aca="false">IF(D1165="","",G1165*N1165)</f>
        <v>0.665337610764283</v>
      </c>
      <c r="P1165" s="16" t="n">
        <f aca="false">IF(D1165="","",H1165+E1165-K1165-O1165)</f>
        <v>30.4625920849534</v>
      </c>
      <c r="Q1165" s="16" t="n">
        <f aca="false">IF(D1165="","",IF(P1165&gt;=0,K1165,MAX(0,K1165+P1165)))</f>
        <v>0.9072</v>
      </c>
      <c r="R1165" s="16" t="n">
        <f aca="false">IF(D1165="","",Q1165/$B$15)</f>
        <v>0.35</v>
      </c>
      <c r="S1165" s="16" t="n">
        <f aca="false">IF(D1165="","",MAX(0,J1165-R1165))</f>
        <v>0</v>
      </c>
      <c r="T1165" s="16" t="n">
        <f aca="false">IF(D1165="","",MAX(0,Z1165-$B$8))</f>
        <v>0</v>
      </c>
      <c r="U1165" s="16" t="n">
        <f aca="false">IF(D1165="","",MAX(0,MIN($B$8,Z1165)))</f>
        <v>30.4625920849534</v>
      </c>
      <c r="V1165" s="16" t="str">
        <f aca="false">IF(D1165="","",IF(S1165&gt;0.0000001,"Sim","Não"))</f>
        <v>Não</v>
      </c>
      <c r="W1165" s="16" t="n">
        <f aca="false">IF(D1165="","",U1165-(H1165+E1165-Q1165-O1165-T1165))</f>
        <v>0</v>
      </c>
      <c r="X1165" s="16" t="n">
        <f aca="false">IF(W1165="","",ABS(W1165))</f>
        <v>0</v>
      </c>
      <c r="Y1165" s="16" t="n">
        <f aca="false">IF(U1165="","",IF($B$8=0,0,U1165/$B$8*100))</f>
        <v>64.5120543942257</v>
      </c>
      <c r="Z1165" s="18" t="n">
        <f aca="false">IF(D1165="","",MAX(0,IF(P1165&gt;=0,P1165,IF(K1165+P1165&gt;=0,0,P1165+K1165))))</f>
        <v>30.4625920849534</v>
      </c>
      <c r="AA1165" s="18" t="n">
        <f aca="false">IF(D1165="","",IF(H1165&lt;=$B$16,1,IF(H1165&gt;=$B$17,$B$21,MATCH(H1165,Aux_CAV!$A$2:$A$121,1))))</f>
        <v>12</v>
      </c>
      <c r="AB1165" s="18" t="n">
        <f aca="false">IF(D1165="","",IF(L1165&lt;=$B$16,1,IF(L1165&gt;=$B$17,$B$21,MATCH(L1165,Aux_CAV!$A$2:$A$121,1))))</f>
        <v>12</v>
      </c>
      <c r="AC1165" s="19" t="n">
        <f aca="false">IF(D1165="","",COUNT($D$24:D1165))</f>
        <v>1130</v>
      </c>
    </row>
    <row r="1166" customFormat="false" ht="12.75" hidden="false" customHeight="true" outlineLevel="0" collapsed="false">
      <c r="A1166" s="14" t="n">
        <f aca="false">IF(D1166="","",DATE(B1166,C1166,1))</f>
        <v>38412</v>
      </c>
      <c r="B1166" s="15" t="n">
        <f aca="false" t="array" ref="B1166:B1166">IF(D1166="","",IFERROR(VALUE(INDEX(Vazoes_COLAR!$A$2:$A$200,INT((ROW()-24)/12)+1)),""))</f>
        <v>2005</v>
      </c>
      <c r="C1166" s="15" t="n">
        <f aca="false">IF(D1166="","",MOD(ROW()-24,12)+1)</f>
        <v>3</v>
      </c>
      <c r="D1166" s="16" t="n">
        <f aca="false" t="array" ref="D1166: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1.00579184721796</v>
      </c>
      <c r="E1166" s="16" t="n">
        <f aca="false">IF(D1166="","",D1166*$B$15)</f>
        <v>2.60701246798895</v>
      </c>
      <c r="F1166" s="16" t="n">
        <f aca="false" t="array" ref="F1166:F1166">IF(D1166="","",IFERROR(INDEX(Dados_Evap!$C$2:$N$15,MATCH($B$9,Dados_Evap!$A$2:$A$15,0),C1166),0))</f>
        <v>107.7</v>
      </c>
      <c r="G1166" s="16" t="n">
        <f aca="false">IF(F1166="","",F1166/1000)</f>
        <v>0.1077</v>
      </c>
      <c r="H1166" s="16" t="n">
        <f aca="false">IF(D1166="","",MAX(0,MIN($B$8,IFERROR(LOOKUP(2,1/($U$24:U1165&lt;&gt;""),$U$24:U1165),$B$11))))</f>
        <v>30.4625920849534</v>
      </c>
      <c r="I1166" s="16" t="n">
        <f aca="false" t="array" ref="I1166: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>5.28057995445632</v>
      </c>
      <c r="J1166" s="16" t="n">
        <f aca="false">IF(D1166="","",$B$12)</f>
        <v>0.35</v>
      </c>
      <c r="K1166" s="16" t="n">
        <f aca="false">IF(J1166="","",J1166*$B$15)</f>
        <v>0.9072</v>
      </c>
      <c r="L1166" s="16" t="n">
        <f aca="false">IF(D1166="","",H1166+E1166-K1166-G1166*I1166)</f>
        <v>31.5936860918474</v>
      </c>
      <c r="M1166" s="16" t="n">
        <f aca="false" t="array" ref="M1166: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>5.39808195323075</v>
      </c>
      <c r="N1166" s="16" t="n">
        <f aca="false">IF(D1166="","",(I1166+M1166)/2)</f>
        <v>5.33933095384354</v>
      </c>
      <c r="O1166" s="16" t="n">
        <f aca="false">IF(D1166="","",G1166*N1166)</f>
        <v>0.575045943728949</v>
      </c>
      <c r="P1166" s="16" t="n">
        <f aca="false">IF(D1166="","",H1166+E1166-K1166-O1166)</f>
        <v>31.5873586092134</v>
      </c>
      <c r="Q1166" s="16" t="n">
        <f aca="false">IF(D1166="","",IF(P1166&gt;=0,K1166,MAX(0,K1166+P1166)))</f>
        <v>0.9072</v>
      </c>
      <c r="R1166" s="16" t="n">
        <f aca="false">IF(D1166="","",Q1166/$B$15)</f>
        <v>0.35</v>
      </c>
      <c r="S1166" s="16" t="n">
        <f aca="false">IF(D1166="","",MAX(0,J1166-R1166))</f>
        <v>0</v>
      </c>
      <c r="T1166" s="16" t="n">
        <f aca="false">IF(D1166="","",MAX(0,Z1166-$B$8))</f>
        <v>0</v>
      </c>
      <c r="U1166" s="16" t="n">
        <f aca="false">IF(D1166="","",MAX(0,MIN($B$8,Z1166)))</f>
        <v>31.5873586092134</v>
      </c>
      <c r="V1166" s="16" t="str">
        <f aca="false">IF(D1166="","",IF(S1166&gt;0.0000001,"Sim","Não"))</f>
        <v>Não</v>
      </c>
      <c r="W1166" s="16" t="n">
        <f aca="false">IF(D1166="","",U1166-(H1166+E1166-Q1166-O1166-T1166))</f>
        <v>0</v>
      </c>
      <c r="X1166" s="16" t="n">
        <f aca="false">IF(W1166="","",ABS(W1166))</f>
        <v>0</v>
      </c>
      <c r="Y1166" s="16" t="n">
        <f aca="false">IF(U1166="","",IF($B$8=0,0,U1166/$B$8*100))</f>
        <v>66.8940250089229</v>
      </c>
      <c r="Z1166" s="18" t="n">
        <f aca="false">IF(D1166="","",MAX(0,IF(P1166&gt;=0,P1166,IF(K1166+P1166&gt;=0,0,P1166+K1166))))</f>
        <v>31.5873586092134</v>
      </c>
      <c r="AA1166" s="18" t="n">
        <f aca="false">IF(D1166="","",IF(H1166&lt;=$B$16,1,IF(H1166&gt;=$B$17,$B$21,MATCH(H1166,Aux_CAV!$A$2:$A$121,1))))</f>
        <v>12</v>
      </c>
      <c r="AB1166" s="18" t="n">
        <f aca="false">IF(D1166="","",IF(L1166&lt;=$B$16,1,IF(L1166&gt;=$B$17,$B$21,MATCH(L1166,Aux_CAV!$A$2:$A$121,1))))</f>
        <v>12</v>
      </c>
      <c r="AC1166" s="19" t="n">
        <f aca="false">IF(D1166="","",COUNT($D$24:D1166))</f>
        <v>1131</v>
      </c>
    </row>
    <row r="1167" customFormat="false" ht="12.75" hidden="false" customHeight="true" outlineLevel="0" collapsed="false">
      <c r="A1167" s="14" t="n">
        <f aca="false">IF(D1167="","",DATE(B1167,C1167,1))</f>
        <v>38443</v>
      </c>
      <c r="B1167" s="15" t="n">
        <f aca="false" t="array" ref="B1167:B1167">IF(D1167="","",IFERROR(VALUE(INDEX(Vazoes_COLAR!$A$2:$A$200,INT((ROW()-24)/12)+1)),""))</f>
        <v>2005</v>
      </c>
      <c r="C1167" s="15" t="n">
        <f aca="false">IF(D1167="","",MOD(ROW()-24,12)+1)</f>
        <v>4</v>
      </c>
      <c r="D1167" s="16" t="n">
        <f aca="false" t="array" ref="D1167: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0.648473620948158</v>
      </c>
      <c r="E1167" s="16" t="n">
        <f aca="false">IF(D1167="","",D1167*$B$15)</f>
        <v>1.68084362549763</v>
      </c>
      <c r="F1167" s="16" t="n">
        <f aca="false" t="array" ref="F1167:F1167">IF(D1167="","",IFERROR(INDEX(Dados_Evap!$C$2:$N$15,MATCH($B$9,Dados_Evap!$A$2:$A$15,0),C1167),0))</f>
        <v>100.5</v>
      </c>
      <c r="G1167" s="16" t="n">
        <f aca="false">IF(F1167="","",F1167/1000)</f>
        <v>0.1005</v>
      </c>
      <c r="H1167" s="16" t="n">
        <f aca="false">IF(D1167="","",MAX(0,MIN($B$8,IFERROR(LOOKUP(2,1/($U$24:U1166&lt;&gt;""),$U$24:U1166),$B$11))))</f>
        <v>31.5873586092134</v>
      </c>
      <c r="I1167" s="16" t="n">
        <f aca="false" t="array" ref="I1167: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>5.39742463221926</v>
      </c>
      <c r="J1167" s="16" t="n">
        <f aca="false">IF(D1167="","",$B$12)</f>
        <v>0.35</v>
      </c>
      <c r="K1167" s="16" t="n">
        <f aca="false">IF(J1167="","",J1167*$B$15)</f>
        <v>0.9072</v>
      </c>
      <c r="L1167" s="16" t="n">
        <f aca="false">IF(D1167="","",H1167+E1167-K1167-G1167*I1167)</f>
        <v>31.818561059173</v>
      </c>
      <c r="M1167" s="16" t="n">
        <f aca="false" t="array" ref="M1167: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>5.42144275080729</v>
      </c>
      <c r="N1167" s="16" t="n">
        <f aca="false">IF(D1167="","",(I1167+M1167)/2)</f>
        <v>5.40943369151327</v>
      </c>
      <c r="O1167" s="16" t="n">
        <f aca="false">IF(D1167="","",G1167*N1167)</f>
        <v>0.543648085997084</v>
      </c>
      <c r="P1167" s="16" t="n">
        <f aca="false">IF(D1167="","",H1167+E1167-K1167-O1167)</f>
        <v>31.8173541487139</v>
      </c>
      <c r="Q1167" s="16" t="n">
        <f aca="false">IF(D1167="","",IF(P1167&gt;=0,K1167,MAX(0,K1167+P1167)))</f>
        <v>0.9072</v>
      </c>
      <c r="R1167" s="16" t="n">
        <f aca="false">IF(D1167="","",Q1167/$B$15)</f>
        <v>0.35</v>
      </c>
      <c r="S1167" s="16" t="n">
        <f aca="false">IF(D1167="","",MAX(0,J1167-R1167))</f>
        <v>0</v>
      </c>
      <c r="T1167" s="16" t="n">
        <f aca="false">IF(D1167="","",MAX(0,Z1167-$B$8))</f>
        <v>0</v>
      </c>
      <c r="U1167" s="16" t="n">
        <f aca="false">IF(D1167="","",MAX(0,MIN($B$8,Z1167)))</f>
        <v>31.8173541487139</v>
      </c>
      <c r="V1167" s="16" t="str">
        <f aca="false">IF(D1167="","",IF(S1167&gt;0.0000001,"Sim","Não"))</f>
        <v>Não</v>
      </c>
      <c r="W1167" s="16" t="n">
        <f aca="false">IF(D1167="","",U1167-(H1167+E1167-Q1167-O1167-T1167))</f>
        <v>0</v>
      </c>
      <c r="X1167" s="16" t="n">
        <f aca="false">IF(W1167="","",ABS(W1167))</f>
        <v>0</v>
      </c>
      <c r="Y1167" s="16" t="n">
        <f aca="false">IF(U1167="","",IF($B$8=0,0,U1167/$B$8*100))</f>
        <v>67.3810973077381</v>
      </c>
      <c r="Z1167" s="18" t="n">
        <f aca="false">IF(D1167="","",MAX(0,IF(P1167&gt;=0,P1167,IF(K1167+P1167&gt;=0,0,P1167+K1167))))</f>
        <v>31.8173541487139</v>
      </c>
      <c r="AA1167" s="18" t="n">
        <f aca="false">IF(D1167="","",IF(H1167&lt;=$B$16,1,IF(H1167&gt;=$B$17,$B$21,MATCH(H1167,Aux_CAV!$A$2:$A$121,1))))</f>
        <v>12</v>
      </c>
      <c r="AB1167" s="18" t="n">
        <f aca="false">IF(D1167="","",IF(L1167&lt;=$B$16,1,IF(L1167&gt;=$B$17,$B$21,MATCH(L1167,Aux_CAV!$A$2:$A$121,1))))</f>
        <v>12</v>
      </c>
      <c r="AC1167" s="19" t="n">
        <f aca="false">IF(D1167="","",COUNT($D$24:D1167))</f>
        <v>1132</v>
      </c>
    </row>
    <row r="1168" customFormat="false" ht="12.75" hidden="false" customHeight="true" outlineLevel="0" collapsed="false">
      <c r="A1168" s="14" t="n">
        <f aca="false">IF(D1168="","",DATE(B1168,C1168,1))</f>
        <v>38473</v>
      </c>
      <c r="B1168" s="15" t="n">
        <f aca="false" t="array" ref="B1168:B1168">IF(D1168="","",IFERROR(VALUE(INDEX(Vazoes_COLAR!$A$2:$A$200,INT((ROW()-24)/12)+1)),""))</f>
        <v>2005</v>
      </c>
      <c r="C1168" s="15" t="n">
        <f aca="false">IF(D1168="","",MOD(ROW()-24,12)+1)</f>
        <v>5</v>
      </c>
      <c r="D1168" s="16" t="n">
        <f aca="false" t="array" ref="D1168: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0.507404880646571</v>
      </c>
      <c r="E1168" s="16" t="n">
        <f aca="false">IF(D1168="","",D1168*$B$15)</f>
        <v>1.31519345063591</v>
      </c>
      <c r="F1168" s="16" t="n">
        <f aca="false" t="array" ref="F1168:F1168">IF(D1168="","",IFERROR(INDEX(Dados_Evap!$C$2:$N$15,MATCH($B$9,Dados_Evap!$A$2:$A$15,0),C1168),0))</f>
        <v>145.8</v>
      </c>
      <c r="G1168" s="16" t="n">
        <f aca="false">IF(F1168="","",F1168/1000)</f>
        <v>0.1458</v>
      </c>
      <c r="H1168" s="16" t="n">
        <f aca="false">IF(D1168="","",MAX(0,MIN($B$8,IFERROR(LOOKUP(2,1/($U$24:U1167&lt;&gt;""),$U$24:U1167),$B$11))))</f>
        <v>31.8173541487139</v>
      </c>
      <c r="I1168" s="16" t="n">
        <f aca="false" t="array" ref="I1168: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>5.42131737273048</v>
      </c>
      <c r="J1168" s="16" t="n">
        <f aca="false">IF(D1168="","",$B$12)</f>
        <v>0.35</v>
      </c>
      <c r="K1168" s="16" t="n">
        <f aca="false">IF(J1168="","",J1168*$B$15)</f>
        <v>0.9072</v>
      </c>
      <c r="L1168" s="16" t="n">
        <f aca="false">IF(D1168="","",H1168+E1168-K1168-G1168*I1168)</f>
        <v>31.4349195264057</v>
      </c>
      <c r="M1168" s="16" t="n">
        <f aca="false" t="array" ref="M1168: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>5.3815887275004</v>
      </c>
      <c r="N1168" s="16" t="n">
        <f aca="false">IF(D1168="","",(I1168+M1168)/2)</f>
        <v>5.40145305011544</v>
      </c>
      <c r="O1168" s="16" t="n">
        <f aca="false">IF(D1168="","",G1168*N1168)</f>
        <v>0.787531854706831</v>
      </c>
      <c r="P1168" s="16" t="n">
        <f aca="false">IF(D1168="","",H1168+E1168-K1168-O1168)</f>
        <v>31.437815744643</v>
      </c>
      <c r="Q1168" s="16" t="n">
        <f aca="false">IF(D1168="","",IF(P1168&gt;=0,K1168,MAX(0,K1168+P1168)))</f>
        <v>0.9072</v>
      </c>
      <c r="R1168" s="16" t="n">
        <f aca="false">IF(D1168="","",Q1168/$B$15)</f>
        <v>0.35</v>
      </c>
      <c r="S1168" s="16" t="n">
        <f aca="false">IF(D1168="","",MAX(0,J1168-R1168))</f>
        <v>0</v>
      </c>
      <c r="T1168" s="16" t="n">
        <f aca="false">IF(D1168="","",MAX(0,Z1168-$B$8))</f>
        <v>0</v>
      </c>
      <c r="U1168" s="16" t="n">
        <f aca="false">IF(D1168="","",MAX(0,MIN($B$8,Z1168)))</f>
        <v>31.437815744643</v>
      </c>
      <c r="V1168" s="16" t="str">
        <f aca="false">IF(D1168="","",IF(S1168&gt;0.0000001,"Sim","Não"))</f>
        <v>Não</v>
      </c>
      <c r="W1168" s="16" t="n">
        <f aca="false">IF(D1168="","",U1168-(H1168+E1168-Q1168-O1168-T1168))</f>
        <v>0</v>
      </c>
      <c r="X1168" s="16" t="n">
        <f aca="false">IF(W1168="","",ABS(W1168))</f>
        <v>0</v>
      </c>
      <c r="Y1168" s="16" t="n">
        <f aca="false">IF(U1168="","",IF($B$8=0,0,U1168/$B$8*100))</f>
        <v>66.5773310983546</v>
      </c>
      <c r="Z1168" s="18" t="n">
        <f aca="false">IF(D1168="","",MAX(0,IF(P1168&gt;=0,P1168,IF(K1168+P1168&gt;=0,0,P1168+K1168))))</f>
        <v>31.437815744643</v>
      </c>
      <c r="AA1168" s="18" t="n">
        <f aca="false">IF(D1168="","",IF(H1168&lt;=$B$16,1,IF(H1168&gt;=$B$17,$B$21,MATCH(H1168,Aux_CAV!$A$2:$A$121,1))))</f>
        <v>12</v>
      </c>
      <c r="AB1168" s="18" t="n">
        <f aca="false">IF(D1168="","",IF(L1168&lt;=$B$16,1,IF(L1168&gt;=$B$17,$B$21,MATCH(L1168,Aux_CAV!$A$2:$A$121,1))))</f>
        <v>12</v>
      </c>
      <c r="AC1168" s="19" t="n">
        <f aca="false">IF(D1168="","",COUNT($D$24:D1168))</f>
        <v>1133</v>
      </c>
    </row>
    <row r="1169" customFormat="false" ht="12.75" hidden="false" customHeight="true" outlineLevel="0" collapsed="false">
      <c r="A1169" s="14" t="n">
        <f aca="false">IF(D1169="","",DATE(B1169,C1169,1))</f>
        <v>38504</v>
      </c>
      <c r="B1169" s="15" t="n">
        <f aca="false" t="array" ref="B1169:B1169">IF(D1169="","",IFERROR(VALUE(INDEX(Vazoes_COLAR!$A$2:$A$200,INT((ROW()-24)/12)+1)),""))</f>
        <v>2005</v>
      </c>
      <c r="C1169" s="15" t="n">
        <f aca="false">IF(D1169="","",MOD(ROW()-24,12)+1)</f>
        <v>6</v>
      </c>
      <c r="D1169" s="16" t="n">
        <f aca="false" t="array" ref="D1169: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0.122480704433332</v>
      </c>
      <c r="E1169" s="16" t="n">
        <f aca="false">IF(D1169="","",D1169*$B$15)</f>
        <v>0.317469985891197</v>
      </c>
      <c r="F1169" s="16" t="n">
        <f aca="false" t="array" ref="F1169:F1169">IF(D1169="","",IFERROR(INDEX(Dados_Evap!$C$2:$N$15,MATCH($B$9,Dados_Evap!$A$2:$A$15,0),C1169),0))</f>
        <v>161.3</v>
      </c>
      <c r="G1169" s="16" t="n">
        <f aca="false">IF(F1169="","",F1169/1000)</f>
        <v>0.1613</v>
      </c>
      <c r="H1169" s="16" t="n">
        <f aca="false">IF(D1169="","",MAX(0,MIN($B$8,IFERROR(LOOKUP(2,1/($U$24:U1168&lt;&gt;""),$U$24:U1168),$B$11))))</f>
        <v>31.437815744643</v>
      </c>
      <c r="I1169" s="16" t="n">
        <f aca="false" t="array" ref="I1169: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>5.3818895967736</v>
      </c>
      <c r="J1169" s="16" t="n">
        <f aca="false">IF(D1169="","",$B$12)</f>
        <v>0.35</v>
      </c>
      <c r="K1169" s="16" t="n">
        <f aca="false">IF(J1169="","",J1169*$B$15)</f>
        <v>0.9072</v>
      </c>
      <c r="L1169" s="16" t="n">
        <f aca="false">IF(D1169="","",H1169+E1169-K1169-G1169*I1169)</f>
        <v>29.9799869385746</v>
      </c>
      <c r="M1169" s="16" t="n">
        <f aca="false" t="array" ref="M1169: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>5.23044524507523</v>
      </c>
      <c r="N1169" s="16" t="n">
        <f aca="false">IF(D1169="","",(I1169+M1169)/2)</f>
        <v>5.30616742092441</v>
      </c>
      <c r="O1169" s="16" t="n">
        <f aca="false">IF(D1169="","",G1169*N1169)</f>
        <v>0.855884804995108</v>
      </c>
      <c r="P1169" s="16" t="n">
        <f aca="false">IF(D1169="","",H1169+E1169-K1169-O1169)</f>
        <v>29.9922009255391</v>
      </c>
      <c r="Q1169" s="16" t="n">
        <f aca="false">IF(D1169="","",IF(P1169&gt;=0,K1169,MAX(0,K1169+P1169)))</f>
        <v>0.9072</v>
      </c>
      <c r="R1169" s="16" t="n">
        <f aca="false">IF(D1169="","",Q1169/$B$15)</f>
        <v>0.35</v>
      </c>
      <c r="S1169" s="16" t="n">
        <f aca="false">IF(D1169="","",MAX(0,J1169-R1169))</f>
        <v>0</v>
      </c>
      <c r="T1169" s="16" t="n">
        <f aca="false">IF(D1169="","",MAX(0,Z1169-$B$8))</f>
        <v>0</v>
      </c>
      <c r="U1169" s="16" t="n">
        <f aca="false">IF(D1169="","",MAX(0,MIN($B$8,Z1169)))</f>
        <v>29.9922009255391</v>
      </c>
      <c r="V1169" s="16" t="str">
        <f aca="false">IF(D1169="","",IF(S1169&gt;0.0000001,"Sim","Não"))</f>
        <v>Não</v>
      </c>
      <c r="W1169" s="16" t="n">
        <f aca="false">IF(D1169="","",U1169-(H1169+E1169-Q1169-O1169-T1169))</f>
        <v>0</v>
      </c>
      <c r="X1169" s="16" t="n">
        <f aca="false">IF(W1169="","",ABS(W1169))</f>
        <v>0</v>
      </c>
      <c r="Y1169" s="16" t="n">
        <f aca="false">IF(U1169="","",IF($B$8=0,0,U1169/$B$8*100))</f>
        <v>63.5158850604386</v>
      </c>
      <c r="Z1169" s="18" t="n">
        <f aca="false">IF(D1169="","",MAX(0,IF(P1169&gt;=0,P1169,IF(K1169+P1169&gt;=0,0,P1169+K1169))))</f>
        <v>29.9922009255391</v>
      </c>
      <c r="AA1169" s="18" t="n">
        <f aca="false">IF(D1169="","",IF(H1169&lt;=$B$16,1,IF(H1169&gt;=$B$17,$B$21,MATCH(H1169,Aux_CAV!$A$2:$A$121,1))))</f>
        <v>12</v>
      </c>
      <c r="AB1169" s="18" t="n">
        <f aca="false">IF(D1169="","",IF(L1169&lt;=$B$16,1,IF(L1169&gt;=$B$17,$B$21,MATCH(L1169,Aux_CAV!$A$2:$A$121,1))))</f>
        <v>12</v>
      </c>
      <c r="AC1169" s="19" t="n">
        <f aca="false">IF(D1169="","",COUNT($D$24:D1169))</f>
        <v>1134</v>
      </c>
    </row>
    <row r="1170" customFormat="false" ht="12.75" hidden="false" customHeight="true" outlineLevel="0" collapsed="false">
      <c r="A1170" s="14" t="n">
        <f aca="false">IF(D1170="","",DATE(B1170,C1170,1))</f>
        <v>38534</v>
      </c>
      <c r="B1170" s="15" t="n">
        <f aca="false" t="array" ref="B1170:B1170">IF(D1170="","",IFERROR(VALUE(INDEX(Vazoes_COLAR!$A$2:$A$200,INT((ROW()-24)/12)+1)),""))</f>
        <v>2005</v>
      </c>
      <c r="C1170" s="15" t="n">
        <f aca="false">IF(D1170="","",MOD(ROW()-24,12)+1)</f>
        <v>7</v>
      </c>
      <c r="D1170" s="16" t="n">
        <f aca="false" t="array" ref="D1170: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0.0229642280830957</v>
      </c>
      <c r="E1170" s="16" t="n">
        <f aca="false">IF(D1170="","",D1170*$B$15)</f>
        <v>0.0595232791913841</v>
      </c>
      <c r="F1170" s="16" t="n">
        <f aca="false" t="array" ref="F1170:F1170">IF(D1170="","",IFERROR(INDEX(Dados_Evap!$C$2:$N$15,MATCH($B$9,Dados_Evap!$A$2:$A$15,0),C1170),0))</f>
        <v>224.8</v>
      </c>
      <c r="G1170" s="16" t="n">
        <f aca="false">IF(F1170="","",F1170/1000)</f>
        <v>0.2248</v>
      </c>
      <c r="H1170" s="16" t="n">
        <f aca="false">IF(D1170="","",MAX(0,MIN($B$8,IFERROR(LOOKUP(2,1/($U$24:U1169&lt;&gt;""),$U$24:U1169),$B$11))))</f>
        <v>29.9922009255391</v>
      </c>
      <c r="I1170" s="16" t="n">
        <f aca="false" t="array" ref="I1170: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>5.23171407673076</v>
      </c>
      <c r="J1170" s="16" t="n">
        <f aca="false">IF(D1170="","",$B$12)</f>
        <v>0.35</v>
      </c>
      <c r="K1170" s="16" t="n">
        <f aca="false">IF(J1170="","",J1170*$B$15)</f>
        <v>0.9072</v>
      </c>
      <c r="L1170" s="16" t="n">
        <f aca="false">IF(D1170="","",H1170+E1170-K1170-G1170*I1170)</f>
        <v>27.9684348802814</v>
      </c>
      <c r="M1170" s="16" t="n">
        <f aca="false" t="array" ref="M1170: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>5.02147818659234</v>
      </c>
      <c r="N1170" s="16" t="n">
        <f aca="false">IF(D1170="","",(I1170+M1170)/2)</f>
        <v>5.12659613166155</v>
      </c>
      <c r="O1170" s="16" t="n">
        <f aca="false">IF(D1170="","",G1170*N1170)</f>
        <v>1.15245881039752</v>
      </c>
      <c r="P1170" s="16" t="n">
        <f aca="false">IF(D1170="","",H1170+E1170-K1170-O1170)</f>
        <v>27.992065394333</v>
      </c>
      <c r="Q1170" s="16" t="n">
        <f aca="false">IF(D1170="","",IF(P1170&gt;=0,K1170,MAX(0,K1170+P1170)))</f>
        <v>0.9072</v>
      </c>
      <c r="R1170" s="16" t="n">
        <f aca="false">IF(D1170="","",Q1170/$B$15)</f>
        <v>0.35</v>
      </c>
      <c r="S1170" s="16" t="n">
        <f aca="false">IF(D1170="","",MAX(0,J1170-R1170))</f>
        <v>0</v>
      </c>
      <c r="T1170" s="16" t="n">
        <f aca="false">IF(D1170="","",MAX(0,Z1170-$B$8))</f>
        <v>0</v>
      </c>
      <c r="U1170" s="16" t="n">
        <f aca="false">IF(D1170="","",MAX(0,MIN($B$8,Z1170)))</f>
        <v>27.992065394333</v>
      </c>
      <c r="V1170" s="16" t="str">
        <f aca="false">IF(D1170="","",IF(S1170&gt;0.0000001,"Sim","Não"))</f>
        <v>Não</v>
      </c>
      <c r="W1170" s="16" t="n">
        <f aca="false">IF(D1170="","",U1170-(H1170+E1170-Q1170-O1170-T1170))</f>
        <v>0</v>
      </c>
      <c r="X1170" s="16" t="n">
        <f aca="false">IF(W1170="","",ABS(W1170))</f>
        <v>0</v>
      </c>
      <c r="Y1170" s="16" t="n">
        <f aca="false">IF(U1170="","",IF($B$8=0,0,U1170/$B$8*100))</f>
        <v>59.2801046046865</v>
      </c>
      <c r="Z1170" s="18" t="n">
        <f aca="false">IF(D1170="","",MAX(0,IF(P1170&gt;=0,P1170,IF(K1170+P1170&gt;=0,0,P1170+K1170))))</f>
        <v>27.992065394333</v>
      </c>
      <c r="AA1170" s="18" t="n">
        <f aca="false">IF(D1170="","",IF(H1170&lt;=$B$16,1,IF(H1170&gt;=$B$17,$B$21,MATCH(H1170,Aux_CAV!$A$2:$A$121,1))))</f>
        <v>12</v>
      </c>
      <c r="AB1170" s="18" t="n">
        <f aca="false">IF(D1170="","",IF(L1170&lt;=$B$16,1,IF(L1170&gt;=$B$17,$B$21,MATCH(L1170,Aux_CAV!$A$2:$A$121,1))))</f>
        <v>12</v>
      </c>
      <c r="AC1170" s="19" t="n">
        <f aca="false">IF(D1170="","",COUNT($D$24:D1170))</f>
        <v>1135</v>
      </c>
    </row>
    <row r="1171" customFormat="false" ht="12.75" hidden="false" customHeight="true" outlineLevel="0" collapsed="false">
      <c r="A1171" s="14" t="n">
        <f aca="false">IF(D1171="","",DATE(B1171,C1171,1))</f>
        <v>38565</v>
      </c>
      <c r="B1171" s="15" t="n">
        <f aca="false" t="array" ref="B1171:B1171">IF(D1171="","",IFERROR(VALUE(INDEX(Vazoes_COLAR!$A$2:$A$200,INT((ROW()-24)/12)+1)),""))</f>
        <v>2005</v>
      </c>
      <c r="C1171" s="15" t="n">
        <f aca="false">IF(D1171="","",MOD(ROW()-24,12)+1)</f>
        <v>8</v>
      </c>
      <c r="D1171" s="16" t="n">
        <f aca="false" t="array" ref="D1171: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0.010874572164394</v>
      </c>
      <c r="E1171" s="16" t="n">
        <f aca="false">IF(D1171="","",D1171*$B$15)</f>
        <v>0.0281868910501092</v>
      </c>
      <c r="F1171" s="16" t="n">
        <f aca="false" t="array" ref="F1171:F1171">IF(D1171="","",IFERROR(INDEX(Dados_Evap!$C$2:$N$15,MATCH($B$9,Dados_Evap!$A$2:$A$15,0),C1171),0))</f>
        <v>268.7</v>
      </c>
      <c r="G1171" s="16" t="n">
        <f aca="false">IF(F1171="","",F1171/1000)</f>
        <v>0.2687</v>
      </c>
      <c r="H1171" s="16" t="n">
        <f aca="false">IF(D1171="","",MAX(0,MIN($B$8,IFERROR(LOOKUP(2,1/($U$24:U1170&lt;&gt;""),$U$24:U1170),$B$11))))</f>
        <v>27.992065394333</v>
      </c>
      <c r="I1171" s="16" t="n">
        <f aca="false" t="array" ref="I1171: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>5.02393300698411</v>
      </c>
      <c r="J1171" s="16" t="n">
        <f aca="false">IF(D1171="","",$B$12)</f>
        <v>0.35</v>
      </c>
      <c r="K1171" s="16" t="n">
        <f aca="false">IF(J1171="","",J1171*$B$15)</f>
        <v>0.9072</v>
      </c>
      <c r="L1171" s="16" t="n">
        <f aca="false">IF(D1171="","",H1171+E1171-K1171-G1171*I1171)</f>
        <v>25.7631214864065</v>
      </c>
      <c r="M1171" s="16" t="n">
        <f aca="false" t="array" ref="M1171: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>4.79238252334514</v>
      </c>
      <c r="N1171" s="16" t="n">
        <f aca="false">IF(D1171="","",(I1171+M1171)/2)</f>
        <v>4.90815776516462</v>
      </c>
      <c r="O1171" s="16" t="n">
        <f aca="false">IF(D1171="","",G1171*N1171)</f>
        <v>1.31882199149973</v>
      </c>
      <c r="P1171" s="16" t="n">
        <f aca="false">IF(D1171="","",H1171+E1171-K1171-O1171)</f>
        <v>25.7942302938834</v>
      </c>
      <c r="Q1171" s="16" t="n">
        <f aca="false">IF(D1171="","",IF(P1171&gt;=0,K1171,MAX(0,K1171+P1171)))</f>
        <v>0.9072</v>
      </c>
      <c r="R1171" s="16" t="n">
        <f aca="false">IF(D1171="","",Q1171/$B$15)</f>
        <v>0.35</v>
      </c>
      <c r="S1171" s="16" t="n">
        <f aca="false">IF(D1171="","",MAX(0,J1171-R1171))</f>
        <v>0</v>
      </c>
      <c r="T1171" s="16" t="n">
        <f aca="false">IF(D1171="","",MAX(0,Z1171-$B$8))</f>
        <v>0</v>
      </c>
      <c r="U1171" s="16" t="n">
        <f aca="false">IF(D1171="","",MAX(0,MIN($B$8,Z1171)))</f>
        <v>25.7942302938834</v>
      </c>
      <c r="V1171" s="16" t="str">
        <f aca="false">IF(D1171="","",IF(S1171&gt;0.0000001,"Sim","Não"))</f>
        <v>Não</v>
      </c>
      <c r="W1171" s="16" t="n">
        <f aca="false">IF(D1171="","",U1171-(H1171+E1171-Q1171-O1171-T1171))</f>
        <v>0</v>
      </c>
      <c r="X1171" s="16" t="n">
        <f aca="false">IF(W1171="","",ABS(W1171))</f>
        <v>0</v>
      </c>
      <c r="Y1171" s="16" t="n">
        <f aca="false">IF(U1171="","",IF($B$8=0,0,U1171/$B$8*100))</f>
        <v>54.6256465351193</v>
      </c>
      <c r="Z1171" s="18" t="n">
        <f aca="false">IF(D1171="","",MAX(0,IF(P1171&gt;=0,P1171,IF(K1171+P1171&gt;=0,0,P1171+K1171))))</f>
        <v>25.7942302938834</v>
      </c>
      <c r="AA1171" s="18" t="n">
        <f aca="false">IF(D1171="","",IF(H1171&lt;=$B$16,1,IF(H1171&gt;=$B$17,$B$21,MATCH(H1171,Aux_CAV!$A$2:$A$121,1))))</f>
        <v>12</v>
      </c>
      <c r="AB1171" s="18" t="n">
        <f aca="false">IF(D1171="","",IF(L1171&lt;=$B$16,1,IF(L1171&gt;=$B$17,$B$21,MATCH(L1171,Aux_CAV!$A$2:$A$121,1))))</f>
        <v>12</v>
      </c>
      <c r="AC1171" s="19" t="n">
        <f aca="false">IF(D1171="","",COUNT($D$24:D1171))</f>
        <v>1136</v>
      </c>
    </row>
    <row r="1172" customFormat="false" ht="12.75" hidden="false" customHeight="true" outlineLevel="0" collapsed="false">
      <c r="A1172" s="14" t="n">
        <f aca="false">IF(D1172="","",DATE(B1172,C1172,1))</f>
        <v>38596</v>
      </c>
      <c r="B1172" s="15" t="n">
        <f aca="false" t="array" ref="B1172:B1172">IF(D1172="","",IFERROR(VALUE(INDEX(Vazoes_COLAR!$A$2:$A$200,INT((ROW()-24)/12)+1)),""))</f>
        <v>2005</v>
      </c>
      <c r="C1172" s="15" t="n">
        <f aca="false">IF(D1172="","",MOD(ROW()-24,12)+1)</f>
        <v>9</v>
      </c>
      <c r="D1172" s="16" t="n">
        <f aca="false" t="array" ref="D1172: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0.00816876029687384</v>
      </c>
      <c r="E1172" s="16" t="n">
        <f aca="false">IF(D1172="","",D1172*$B$15)</f>
        <v>0.021173426689497</v>
      </c>
      <c r="F1172" s="16" t="n">
        <f aca="false" t="array" ref="F1172:F1172">IF(D1172="","",IFERROR(INDEX(Dados_Evap!$C$2:$N$15,MATCH($B$9,Dados_Evap!$A$2:$A$15,0),C1172),0))</f>
        <v>292.8</v>
      </c>
      <c r="G1172" s="16" t="n">
        <f aca="false">IF(F1172="","",F1172/1000)</f>
        <v>0.2928</v>
      </c>
      <c r="H1172" s="16" t="n">
        <f aca="false">IF(D1172="","",MAX(0,MIN($B$8,IFERROR(LOOKUP(2,1/($U$24:U1171&lt;&gt;""),$U$24:U1171),$B$11))))</f>
        <v>25.7942302938834</v>
      </c>
      <c r="I1172" s="16" t="n">
        <f aca="false" t="array" ref="I1172: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>4.79561421499565</v>
      </c>
      <c r="J1172" s="16" t="n">
        <f aca="false">IF(D1172="","",$B$12)</f>
        <v>0.35</v>
      </c>
      <c r="K1172" s="16" t="n">
        <f aca="false">IF(J1172="","",J1172*$B$15)</f>
        <v>0.9072</v>
      </c>
      <c r="L1172" s="16" t="n">
        <f aca="false">IF(D1172="","",H1172+E1172-K1172-G1172*I1172)</f>
        <v>23.5040478784221</v>
      </c>
      <c r="M1172" s="16" t="n">
        <f aca="false" t="array" ref="M1172: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>4.54682523425045</v>
      </c>
      <c r="N1172" s="16" t="n">
        <f aca="false">IF(D1172="","",(I1172+M1172)/2)</f>
        <v>4.67121972462305</v>
      </c>
      <c r="O1172" s="16" t="n">
        <f aca="false">IF(D1172="","",G1172*N1172)</f>
        <v>1.36773313536963</v>
      </c>
      <c r="P1172" s="16" t="n">
        <f aca="false">IF(D1172="","",H1172+E1172-K1172-O1172)</f>
        <v>23.5404705852032</v>
      </c>
      <c r="Q1172" s="16" t="n">
        <f aca="false">IF(D1172="","",IF(P1172&gt;=0,K1172,MAX(0,K1172+P1172)))</f>
        <v>0.9072</v>
      </c>
      <c r="R1172" s="16" t="n">
        <f aca="false">IF(D1172="","",Q1172/$B$15)</f>
        <v>0.35</v>
      </c>
      <c r="S1172" s="16" t="n">
        <f aca="false">IF(D1172="","",MAX(0,J1172-R1172))</f>
        <v>0</v>
      </c>
      <c r="T1172" s="16" t="n">
        <f aca="false">IF(D1172="","",MAX(0,Z1172-$B$8))</f>
        <v>0</v>
      </c>
      <c r="U1172" s="16" t="n">
        <f aca="false">IF(D1172="","",MAX(0,MIN($B$8,Z1172)))</f>
        <v>23.5404705852032</v>
      </c>
      <c r="V1172" s="16" t="str">
        <f aca="false">IF(D1172="","",IF(S1172&gt;0.0000001,"Sim","Não"))</f>
        <v>Não</v>
      </c>
      <c r="W1172" s="16" t="n">
        <f aca="false">IF(D1172="","",U1172-(H1172+E1172-Q1172-O1172-T1172))</f>
        <v>0</v>
      </c>
      <c r="X1172" s="16" t="n">
        <f aca="false">IF(W1172="","",ABS(W1172))</f>
        <v>0</v>
      </c>
      <c r="Y1172" s="16" t="n">
        <f aca="false">IF(U1172="","",IF($B$8=0,0,U1172/$B$8*100))</f>
        <v>49.8527543100449</v>
      </c>
      <c r="Z1172" s="18" t="n">
        <f aca="false">IF(D1172="","",MAX(0,IF(P1172&gt;=0,P1172,IF(K1172+P1172&gt;=0,0,P1172+K1172))))</f>
        <v>23.5404705852032</v>
      </c>
      <c r="AA1172" s="18" t="n">
        <f aca="false">IF(D1172="","",IF(H1172&lt;=$B$16,1,IF(H1172&gt;=$B$17,$B$21,MATCH(H1172,Aux_CAV!$A$2:$A$121,1))))</f>
        <v>12</v>
      </c>
      <c r="AB1172" s="18" t="n">
        <f aca="false">IF(D1172="","",IF(L1172&lt;=$B$16,1,IF(L1172&gt;=$B$17,$B$21,MATCH(L1172,Aux_CAV!$A$2:$A$121,1))))</f>
        <v>11</v>
      </c>
      <c r="AC1172" s="19" t="n">
        <f aca="false">IF(D1172="","",COUNT($D$24:D1172))</f>
        <v>1137</v>
      </c>
    </row>
    <row r="1173" customFormat="false" ht="12.75" hidden="false" customHeight="true" outlineLevel="0" collapsed="false">
      <c r="A1173" s="14" t="n">
        <f aca="false">IF(D1173="","",DATE(B1173,C1173,1))</f>
        <v>38626</v>
      </c>
      <c r="B1173" s="15" t="n">
        <f aca="false" t="array" ref="B1173:B1173">IF(D1173="","",IFERROR(VALUE(INDEX(Vazoes_COLAR!$A$2:$A$200,INT((ROW()-24)/12)+1)),""))</f>
        <v>2005</v>
      </c>
      <c r="C1173" s="15" t="n">
        <f aca="false">IF(D1173="","",MOD(ROW()-24,12)+1)</f>
        <v>10</v>
      </c>
      <c r="D1173" s="16" t="n">
        <f aca="false" t="array" ref="D1173: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0.00685649004971427</v>
      </c>
      <c r="E1173" s="16" t="n">
        <f aca="false">IF(D1173="","",D1173*$B$15)</f>
        <v>0.0177720222088594</v>
      </c>
      <c r="F1173" s="16" t="n">
        <f aca="false" t="array" ref="F1173:F1173">IF(D1173="","",IFERROR(INDEX(Dados_Evap!$C$2:$N$15,MATCH($B$9,Dados_Evap!$A$2:$A$15,0),C1173),0))</f>
        <v>262.9</v>
      </c>
      <c r="G1173" s="16" t="n">
        <f aca="false">IF(F1173="","",F1173/1000)</f>
        <v>0.2629</v>
      </c>
      <c r="H1173" s="16" t="n">
        <f aca="false">IF(D1173="","",MAX(0,MIN($B$8,IFERROR(LOOKUP(2,1/($U$24:U1172&lt;&gt;""),$U$24:U1172),$B$11))))</f>
        <v>23.5404705852032</v>
      </c>
      <c r="I1173" s="16" t="n">
        <f aca="false" t="array" ref="I1173: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>4.55117819189014</v>
      </c>
      <c r="J1173" s="16" t="n">
        <f aca="false">IF(D1173="","",$B$12)</f>
        <v>0.35</v>
      </c>
      <c r="K1173" s="16" t="n">
        <f aca="false">IF(J1173="","",J1173*$B$15)</f>
        <v>0.9072</v>
      </c>
      <c r="L1173" s="16" t="n">
        <f aca="false">IF(D1173="","",H1173+E1173-K1173-G1173*I1173)</f>
        <v>21.4545378607642</v>
      </c>
      <c r="M1173" s="16" t="n">
        <f aca="false" t="array" ref="M1173: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>4.30188379311572</v>
      </c>
      <c r="N1173" s="16" t="n">
        <f aca="false">IF(D1173="","",(I1173+M1173)/2)</f>
        <v>4.42653099250293</v>
      </c>
      <c r="O1173" s="16" t="n">
        <f aca="false">IF(D1173="","",G1173*N1173)</f>
        <v>1.16373499792902</v>
      </c>
      <c r="P1173" s="16" t="n">
        <f aca="false">IF(D1173="","",H1173+E1173-K1173-O1173)</f>
        <v>21.4873076094831</v>
      </c>
      <c r="Q1173" s="16" t="n">
        <f aca="false">IF(D1173="","",IF(P1173&gt;=0,K1173,MAX(0,K1173+P1173)))</f>
        <v>0.9072</v>
      </c>
      <c r="R1173" s="16" t="n">
        <f aca="false">IF(D1173="","",Q1173/$B$15)</f>
        <v>0.35</v>
      </c>
      <c r="S1173" s="16" t="n">
        <f aca="false">IF(D1173="","",MAX(0,J1173-R1173))</f>
        <v>0</v>
      </c>
      <c r="T1173" s="16" t="n">
        <f aca="false">IF(D1173="","",MAX(0,Z1173-$B$8))</f>
        <v>0</v>
      </c>
      <c r="U1173" s="16" t="n">
        <f aca="false">IF(D1173="","",MAX(0,MIN($B$8,Z1173)))</f>
        <v>21.4873076094831</v>
      </c>
      <c r="V1173" s="16" t="str">
        <f aca="false">IF(D1173="","",IF(S1173&gt;0.0000001,"Sim","Não"))</f>
        <v>Não</v>
      </c>
      <c r="W1173" s="16" t="n">
        <f aca="false">IF(D1173="","",U1173-(H1173+E1173-Q1173-O1173-T1173))</f>
        <v>0</v>
      </c>
      <c r="X1173" s="16" t="n">
        <f aca="false">IF(W1173="","",ABS(W1173))</f>
        <v>0</v>
      </c>
      <c r="Y1173" s="16" t="n">
        <f aca="false">IF(U1173="","",IF($B$8=0,0,U1173/$B$8*100))</f>
        <v>45.5046751577363</v>
      </c>
      <c r="Z1173" s="18" t="n">
        <f aca="false">IF(D1173="","",MAX(0,IF(P1173&gt;=0,P1173,IF(K1173+P1173&gt;=0,0,P1173+K1173))))</f>
        <v>21.4873076094831</v>
      </c>
      <c r="AA1173" s="18" t="n">
        <f aca="false">IF(D1173="","",IF(H1173&lt;=$B$16,1,IF(H1173&gt;=$B$17,$B$21,MATCH(H1173,Aux_CAV!$A$2:$A$121,1))))</f>
        <v>11</v>
      </c>
      <c r="AB1173" s="18" t="n">
        <f aca="false">IF(D1173="","",IF(L1173&lt;=$B$16,1,IF(L1173&gt;=$B$17,$B$21,MATCH(L1173,Aux_CAV!$A$2:$A$121,1))))</f>
        <v>11</v>
      </c>
      <c r="AC1173" s="19" t="n">
        <f aca="false">IF(D1173="","",COUNT($D$24:D1173))</f>
        <v>1138</v>
      </c>
    </row>
    <row r="1174" customFormat="false" ht="12.75" hidden="false" customHeight="true" outlineLevel="0" collapsed="false">
      <c r="A1174" s="14" t="n">
        <f aca="false">IF(D1174="","",DATE(B1174,C1174,1))</f>
        <v>38657</v>
      </c>
      <c r="B1174" s="15" t="n">
        <f aca="false" t="array" ref="B1174:B1174">IF(D1174="","",IFERROR(VALUE(INDEX(Vazoes_COLAR!$A$2:$A$200,INT((ROW()-24)/12)+1)),""))</f>
        <v>2005</v>
      </c>
      <c r="C1174" s="15" t="n">
        <f aca="false">IF(D1174="","",MOD(ROW()-24,12)+1)</f>
        <v>11</v>
      </c>
      <c r="D1174" s="16" t="n">
        <f aca="false" t="array" ref="D1174: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0.00592278567745281</v>
      </c>
      <c r="E1174" s="16" t="n">
        <f aca="false">IF(D1174="","",D1174*$B$15)</f>
        <v>0.0153518604759577</v>
      </c>
      <c r="F1174" s="16" t="n">
        <f aca="false" t="array" ref="F1174:F1174">IF(D1174="","",IFERROR(INDEX(Dados_Evap!$C$2:$N$15,MATCH($B$9,Dados_Evap!$A$2:$A$15,0),C1174),0))</f>
        <v>223.7</v>
      </c>
      <c r="G1174" s="16" t="n">
        <f aca="false">IF(F1174="","",F1174/1000)</f>
        <v>0.2237</v>
      </c>
      <c r="H1174" s="16" t="n">
        <f aca="false">IF(D1174="","",MAX(0,MIN($B$8,IFERROR(LOOKUP(2,1/($U$24:U1173&lt;&gt;""),$U$24:U1173),$B$11))))</f>
        <v>21.4873076094831</v>
      </c>
      <c r="I1174" s="16" t="n">
        <f aca="false" t="array" ref="I1174: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>4.30580017771871</v>
      </c>
      <c r="J1174" s="16" t="n">
        <f aca="false">IF(D1174="","",$B$12)</f>
        <v>0.35</v>
      </c>
      <c r="K1174" s="16" t="n">
        <f aca="false">IF(J1174="","",J1174*$B$15)</f>
        <v>0.9072</v>
      </c>
      <c r="L1174" s="16" t="n">
        <f aca="false">IF(D1174="","",H1174+E1174-K1174-G1174*I1174)</f>
        <v>19.6322519702033</v>
      </c>
      <c r="M1174" s="16" t="n">
        <f aca="false" t="array" ref="M1174: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>4.08409840619503</v>
      </c>
      <c r="N1174" s="16" t="n">
        <f aca="false">IF(D1174="","",(I1174+M1174)/2)</f>
        <v>4.19494929195687</v>
      </c>
      <c r="O1174" s="16" t="n">
        <f aca="false">IF(D1174="","",G1174*N1174)</f>
        <v>0.938410156610752</v>
      </c>
      <c r="P1174" s="16" t="n">
        <f aca="false">IF(D1174="","",H1174+E1174-K1174-O1174)</f>
        <v>19.6570493133483</v>
      </c>
      <c r="Q1174" s="16" t="n">
        <f aca="false">IF(D1174="","",IF(P1174&gt;=0,K1174,MAX(0,K1174+P1174)))</f>
        <v>0.9072</v>
      </c>
      <c r="R1174" s="16" t="n">
        <f aca="false">IF(D1174="","",Q1174/$B$15)</f>
        <v>0.35</v>
      </c>
      <c r="S1174" s="16" t="n">
        <f aca="false">IF(D1174="","",MAX(0,J1174-R1174))</f>
        <v>0</v>
      </c>
      <c r="T1174" s="16" t="n">
        <f aca="false">IF(D1174="","",MAX(0,Z1174-$B$8))</f>
        <v>0</v>
      </c>
      <c r="U1174" s="16" t="n">
        <f aca="false">IF(D1174="","",MAX(0,MIN($B$8,Z1174)))</f>
        <v>19.6570493133483</v>
      </c>
      <c r="V1174" s="16" t="str">
        <f aca="false">IF(D1174="","",IF(S1174&gt;0.0000001,"Sim","Não"))</f>
        <v>Não</v>
      </c>
      <c r="W1174" s="16" t="n">
        <f aca="false">IF(D1174="","",U1174-(H1174+E1174-Q1174-O1174-T1174))</f>
        <v>0</v>
      </c>
      <c r="X1174" s="16" t="n">
        <f aca="false">IF(W1174="","",ABS(W1174))</f>
        <v>0</v>
      </c>
      <c r="Y1174" s="16" t="n">
        <f aca="false">IF(U1174="","",IF($B$8=0,0,U1174/$B$8*100))</f>
        <v>41.6286516589332</v>
      </c>
      <c r="Z1174" s="18" t="n">
        <f aca="false">IF(D1174="","",MAX(0,IF(P1174&gt;=0,P1174,IF(K1174+P1174&gt;=0,0,P1174+K1174))))</f>
        <v>19.6570493133483</v>
      </c>
      <c r="AA1174" s="18" t="n">
        <f aca="false">IF(D1174="","",IF(H1174&lt;=$B$16,1,IF(H1174&gt;=$B$17,$B$21,MATCH(H1174,Aux_CAV!$A$2:$A$121,1))))</f>
        <v>11</v>
      </c>
      <c r="AB1174" s="18" t="n">
        <f aca="false">IF(D1174="","",IF(L1174&lt;=$B$16,1,IF(L1174&gt;=$B$17,$B$21,MATCH(L1174,Aux_CAV!$A$2:$A$121,1))))</f>
        <v>11</v>
      </c>
      <c r="AC1174" s="19" t="n">
        <f aca="false">IF(D1174="","",COUNT($D$24:D1174))</f>
        <v>1139</v>
      </c>
    </row>
    <row r="1175" customFormat="false" ht="12.75" hidden="false" customHeight="true" outlineLevel="0" collapsed="false">
      <c r="A1175" s="14" t="n">
        <f aca="false">IF(D1175="","",DATE(B1175,C1175,1))</f>
        <v>38687</v>
      </c>
      <c r="B1175" s="15" t="n">
        <f aca="false" t="array" ref="B1175:B1175">IF(D1175="","",IFERROR(VALUE(INDEX(Vazoes_COLAR!$A$2:$A$200,INT((ROW()-24)/12)+1)),""))</f>
        <v>2005</v>
      </c>
      <c r="C1175" s="15" t="n">
        <f aca="false">IF(D1175="","",MOD(ROW()-24,12)+1)</f>
        <v>12</v>
      </c>
      <c r="D1175" s="16" t="n">
        <f aca="false" t="array" ref="D1175: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0.0343074260451408</v>
      </c>
      <c r="E1175" s="16" t="n">
        <f aca="false">IF(D1175="","",D1175*$B$15)</f>
        <v>0.088924848309005</v>
      </c>
      <c r="F1175" s="16" t="n">
        <f aca="false" t="array" ref="F1175:F1175">IF(D1175="","",IFERROR(INDEX(Dados_Evap!$C$2:$N$15,MATCH($B$9,Dados_Evap!$A$2:$A$15,0),C1175),0))</f>
        <v>216.1</v>
      </c>
      <c r="G1175" s="16" t="n">
        <f aca="false">IF(F1175="","",F1175/1000)</f>
        <v>0.2161</v>
      </c>
      <c r="H1175" s="16" t="n">
        <f aca="false">IF(D1175="","",MAX(0,MIN($B$8,IFERROR(LOOKUP(2,1/($U$24:U1174&lt;&gt;""),$U$24:U1174),$B$11))))</f>
        <v>19.6570493133483</v>
      </c>
      <c r="I1175" s="16" t="n">
        <f aca="false" t="array" ref="I1175: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>4.08706199110748</v>
      </c>
      <c r="J1175" s="16" t="n">
        <f aca="false">IF(D1175="","",$B$12)</f>
        <v>0.35</v>
      </c>
      <c r="K1175" s="16" t="n">
        <f aca="false">IF(J1175="","",J1175*$B$15)</f>
        <v>0.9072</v>
      </c>
      <c r="L1175" s="16" t="n">
        <f aca="false">IF(D1175="","",H1175+E1175-K1175-G1175*I1175)</f>
        <v>17.9555600653789</v>
      </c>
      <c r="M1175" s="16" t="n">
        <f aca="false" t="array" ref="M1175: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>3.88371327610626</v>
      </c>
      <c r="N1175" s="16" t="n">
        <f aca="false">IF(D1175="","",(I1175+M1175)/2)</f>
        <v>3.98538763360687</v>
      </c>
      <c r="O1175" s="16" t="n">
        <f aca="false">IF(D1175="","",G1175*N1175)</f>
        <v>0.861242267622445</v>
      </c>
      <c r="P1175" s="16" t="n">
        <f aca="false">IF(D1175="","",H1175+E1175-K1175-O1175)</f>
        <v>17.9775318940348</v>
      </c>
      <c r="Q1175" s="16" t="n">
        <f aca="false">IF(D1175="","",IF(P1175&gt;=0,K1175,MAX(0,K1175+P1175)))</f>
        <v>0.9072</v>
      </c>
      <c r="R1175" s="16" t="n">
        <f aca="false">IF(D1175="","",Q1175/$B$15)</f>
        <v>0.35</v>
      </c>
      <c r="S1175" s="16" t="n">
        <f aca="false">IF(D1175="","",MAX(0,J1175-R1175))</f>
        <v>0</v>
      </c>
      <c r="T1175" s="16" t="n">
        <f aca="false">IF(D1175="","",MAX(0,Z1175-$B$8))</f>
        <v>0</v>
      </c>
      <c r="U1175" s="16" t="n">
        <f aca="false">IF(D1175="","",MAX(0,MIN($B$8,Z1175)))</f>
        <v>17.9775318940348</v>
      </c>
      <c r="V1175" s="16" t="str">
        <f aca="false">IF(D1175="","",IF(S1175&gt;0.0000001,"Sim","Não"))</f>
        <v>Não</v>
      </c>
      <c r="W1175" s="16" t="n">
        <f aca="false">IF(D1175="","",U1175-(H1175+E1175-Q1175-O1175-T1175))</f>
        <v>0</v>
      </c>
      <c r="X1175" s="16" t="n">
        <f aca="false">IF(W1175="","",ABS(W1175))</f>
        <v>0</v>
      </c>
      <c r="Y1175" s="16" t="n">
        <f aca="false">IF(U1175="","",IF($B$8=0,0,U1175/$B$8*100))</f>
        <v>38.0718591572106</v>
      </c>
      <c r="Z1175" s="18" t="n">
        <f aca="false">IF(D1175="","",MAX(0,IF(P1175&gt;=0,P1175,IF(K1175+P1175&gt;=0,0,P1175+K1175))))</f>
        <v>17.9775318940348</v>
      </c>
      <c r="AA1175" s="18" t="n">
        <f aca="false">IF(D1175="","",IF(H1175&lt;=$B$16,1,IF(H1175&gt;=$B$17,$B$21,MATCH(H1175,Aux_CAV!$A$2:$A$121,1))))</f>
        <v>11</v>
      </c>
      <c r="AB1175" s="18" t="n">
        <f aca="false">IF(D1175="","",IF(L1175&lt;=$B$16,1,IF(L1175&gt;=$B$17,$B$21,MATCH(L1175,Aux_CAV!$A$2:$A$121,1))))</f>
        <v>11</v>
      </c>
      <c r="AC1175" s="19" t="n">
        <f aca="false">IF(D1175="","",COUNT($D$24:D1175))</f>
        <v>1140</v>
      </c>
    </row>
    <row r="1176" customFormat="false" ht="12.75" hidden="false" customHeight="true" outlineLevel="0" collapsed="false">
      <c r="A1176" s="14" t="n">
        <f aca="false">IF(D1176="","",DATE(B1176,C1176,1))</f>
        <v>38718</v>
      </c>
      <c r="B1176" s="15" t="n">
        <f aca="false" t="array" ref="B1176:B1176">IF(D1176="","",IFERROR(VALUE(INDEX(Vazoes_COLAR!$A$2:$A$200,INT((ROW()-24)/12)+1)),""))</f>
        <v>2006</v>
      </c>
      <c r="C1176" s="15" t="n">
        <f aca="false">IF(D1176="","",MOD(ROW()-24,12)+1)</f>
        <v>1</v>
      </c>
      <c r="D1176" s="16" t="n">
        <f aca="false" t="array" ref="D1176: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0.023447841373608</v>
      </c>
      <c r="E1176" s="16" t="n">
        <f aca="false">IF(D1176="","",D1176*$B$15)</f>
        <v>0.0607768048403919</v>
      </c>
      <c r="F1176" s="16" t="n">
        <f aca="false" t="array" ref="F1176:F1176">IF(D1176="","",IFERROR(INDEX(Dados_Evap!$C$2:$N$15,MATCH($B$9,Dados_Evap!$A$2:$A$15,0),C1176),0))</f>
        <v>160</v>
      </c>
      <c r="G1176" s="16" t="n">
        <f aca="false">IF(F1176="","",F1176/1000)</f>
        <v>0.16</v>
      </c>
      <c r="H1176" s="16" t="n">
        <f aca="false">IF(D1176="","",MAX(0,MIN($B$8,IFERROR(LOOKUP(2,1/($U$24:U1175&lt;&gt;""),$U$24:U1175),$B$11))))</f>
        <v>17.9775318940348</v>
      </c>
      <c r="I1176" s="16" t="n">
        <f aca="false" t="array" ref="I1176: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>3.88633917757977</v>
      </c>
      <c r="J1176" s="16" t="n">
        <f aca="false">IF(D1176="","",$B$12)</f>
        <v>0.35</v>
      </c>
      <c r="K1176" s="16" t="n">
        <f aca="false">IF(J1176="","",J1176*$B$15)</f>
        <v>0.9072</v>
      </c>
      <c r="L1176" s="16" t="n">
        <f aca="false">IF(D1176="","",H1176+E1176-K1176-G1176*I1176)</f>
        <v>16.5092944304625</v>
      </c>
      <c r="M1176" s="16" t="n">
        <f aca="false" t="array" ref="M1176: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>3.71086689534795</v>
      </c>
      <c r="N1176" s="16" t="n">
        <f aca="false">IF(D1176="","",(I1176+M1176)/2)</f>
        <v>3.79860303646386</v>
      </c>
      <c r="O1176" s="16" t="n">
        <f aca="false">IF(D1176="","",G1176*N1176)</f>
        <v>0.607776485834218</v>
      </c>
      <c r="P1176" s="16" t="n">
        <f aca="false">IF(D1176="","",H1176+E1176-K1176-O1176)</f>
        <v>16.523332213041</v>
      </c>
      <c r="Q1176" s="16" t="n">
        <f aca="false">IF(D1176="","",IF(P1176&gt;=0,K1176,MAX(0,K1176+P1176)))</f>
        <v>0.9072</v>
      </c>
      <c r="R1176" s="16" t="n">
        <f aca="false">IF(D1176="","",Q1176/$B$15)</f>
        <v>0.35</v>
      </c>
      <c r="S1176" s="16" t="n">
        <f aca="false">IF(D1176="","",MAX(0,J1176-R1176))</f>
        <v>0</v>
      </c>
      <c r="T1176" s="16" t="n">
        <f aca="false">IF(D1176="","",MAX(0,Z1176-$B$8))</f>
        <v>0</v>
      </c>
      <c r="U1176" s="16" t="n">
        <f aca="false">IF(D1176="","",MAX(0,MIN($B$8,Z1176)))</f>
        <v>16.523332213041</v>
      </c>
      <c r="V1176" s="16" t="str">
        <f aca="false">IF(D1176="","",IF(S1176&gt;0.0000001,"Sim","Não"))</f>
        <v>Não</v>
      </c>
      <c r="W1176" s="16" t="n">
        <f aca="false">IF(D1176="","",U1176-(H1176+E1176-Q1176-O1176-T1176))</f>
        <v>0</v>
      </c>
      <c r="X1176" s="16" t="n">
        <f aca="false">IF(W1176="","",ABS(W1176))</f>
        <v>0</v>
      </c>
      <c r="Y1176" s="16" t="n">
        <f aca="false">IF(U1176="","",IF($B$8=0,0,U1176/$B$8*100))</f>
        <v>34.9922325562071</v>
      </c>
      <c r="Z1176" s="18" t="n">
        <f aca="false">IF(D1176="","",MAX(0,IF(P1176&gt;=0,P1176,IF(K1176+P1176&gt;=0,0,P1176+K1176))))</f>
        <v>16.523332213041</v>
      </c>
      <c r="AA1176" s="18" t="n">
        <f aca="false">IF(D1176="","",IF(H1176&lt;=$B$16,1,IF(H1176&gt;=$B$17,$B$21,MATCH(H1176,Aux_CAV!$A$2:$A$121,1))))</f>
        <v>11</v>
      </c>
      <c r="AB1176" s="18" t="n">
        <f aca="false">IF(D1176="","",IF(L1176&lt;=$B$16,1,IF(L1176&gt;=$B$17,$B$21,MATCH(L1176,Aux_CAV!$A$2:$A$121,1))))</f>
        <v>11</v>
      </c>
      <c r="AC1176" s="19" t="n">
        <f aca="false">IF(D1176="","",COUNT($D$24:D1176))</f>
        <v>1141</v>
      </c>
    </row>
    <row r="1177" customFormat="false" ht="12.75" hidden="false" customHeight="true" outlineLevel="0" collapsed="false">
      <c r="A1177" s="14" t="n">
        <f aca="false">IF(D1177="","",DATE(B1177,C1177,1))</f>
        <v>38749</v>
      </c>
      <c r="B1177" s="15" t="n">
        <f aca="false" t="array" ref="B1177:B1177">IF(D1177="","",IFERROR(VALUE(INDEX(Vazoes_COLAR!$A$2:$A$200,INT((ROW()-24)/12)+1)),""))</f>
        <v>2006</v>
      </c>
      <c r="C1177" s="15" t="n">
        <f aca="false">IF(D1177="","",MOD(ROW()-24,12)+1)</f>
        <v>2</v>
      </c>
      <c r="D1177" s="16" t="n">
        <f aca="false" t="array" ref="D1177: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0.335458085166953</v>
      </c>
      <c r="E1177" s="16" t="n">
        <f aca="false">IF(D1177="","",D1177*$B$15)</f>
        <v>0.869507356752742</v>
      </c>
      <c r="F1177" s="16" t="n">
        <f aca="false" t="array" ref="F1177:F1177">IF(D1177="","",IFERROR(INDEX(Dados_Evap!$C$2:$N$15,MATCH($B$9,Dados_Evap!$A$2:$A$15,0),C1177),0))</f>
        <v>124.3</v>
      </c>
      <c r="G1177" s="16" t="n">
        <f aca="false">IF(F1177="","",F1177/1000)</f>
        <v>0.1243</v>
      </c>
      <c r="H1177" s="16" t="n">
        <f aca="false">IF(D1177="","",MAX(0,MIN($B$8,IFERROR(LOOKUP(2,1/($U$24:U1176&lt;&gt;""),$U$24:U1176),$B$11))))</f>
        <v>16.523332213041</v>
      </c>
      <c r="I1177" s="16" t="n">
        <f aca="false" t="array" ref="I1177: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>3.71254458155856</v>
      </c>
      <c r="J1177" s="16" t="n">
        <f aca="false">IF(D1177="","",$B$12)</f>
        <v>0.35</v>
      </c>
      <c r="K1177" s="16" t="n">
        <f aca="false">IF(J1177="","",J1177*$B$15)</f>
        <v>0.9072</v>
      </c>
      <c r="L1177" s="16" t="n">
        <f aca="false">IF(D1177="","",H1177+E1177-K1177-G1177*I1177)</f>
        <v>16.024170278306</v>
      </c>
      <c r="M1177" s="16" t="n">
        <f aca="false" t="array" ref="M1177: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>3.65288864301706</v>
      </c>
      <c r="N1177" s="16" t="n">
        <f aca="false">IF(D1177="","",(I1177+M1177)/2)</f>
        <v>3.68271661228781</v>
      </c>
      <c r="O1177" s="16" t="n">
        <f aca="false">IF(D1177="","",G1177*N1177)</f>
        <v>0.457761674907375</v>
      </c>
      <c r="P1177" s="16" t="n">
        <f aca="false">IF(D1177="","",H1177+E1177-K1177-O1177)</f>
        <v>16.0278778948864</v>
      </c>
      <c r="Q1177" s="16" t="n">
        <f aca="false">IF(D1177="","",IF(P1177&gt;=0,K1177,MAX(0,K1177+P1177)))</f>
        <v>0.9072</v>
      </c>
      <c r="R1177" s="16" t="n">
        <f aca="false">IF(D1177="","",Q1177/$B$15)</f>
        <v>0.35</v>
      </c>
      <c r="S1177" s="16" t="n">
        <f aca="false">IF(D1177="","",MAX(0,J1177-R1177))</f>
        <v>0</v>
      </c>
      <c r="T1177" s="16" t="n">
        <f aca="false">IF(D1177="","",MAX(0,Z1177-$B$8))</f>
        <v>0</v>
      </c>
      <c r="U1177" s="16" t="n">
        <f aca="false">IF(D1177="","",MAX(0,MIN($B$8,Z1177)))</f>
        <v>16.0278778948864</v>
      </c>
      <c r="V1177" s="16" t="str">
        <f aca="false">IF(D1177="","",IF(S1177&gt;0.0000001,"Sim","Não"))</f>
        <v>Não</v>
      </c>
      <c r="W1177" s="16" t="n">
        <f aca="false">IF(D1177="","",U1177-(H1177+E1177-Q1177-O1177-T1177))</f>
        <v>0</v>
      </c>
      <c r="X1177" s="16" t="n">
        <f aca="false">IF(W1177="","",ABS(W1177))</f>
        <v>0</v>
      </c>
      <c r="Y1177" s="16" t="n">
        <f aca="false">IF(U1177="","",IF($B$8=0,0,U1177/$B$8*100))</f>
        <v>33.9429858002676</v>
      </c>
      <c r="Z1177" s="18" t="n">
        <f aca="false">IF(D1177="","",MAX(0,IF(P1177&gt;=0,P1177,IF(K1177+P1177&gt;=0,0,P1177+K1177))))</f>
        <v>16.0278778948864</v>
      </c>
      <c r="AA1177" s="18" t="n">
        <f aca="false">IF(D1177="","",IF(H1177&lt;=$B$16,1,IF(H1177&gt;=$B$17,$B$21,MATCH(H1177,Aux_CAV!$A$2:$A$121,1))))</f>
        <v>11</v>
      </c>
      <c r="AB1177" s="18" t="n">
        <f aca="false">IF(D1177="","",IF(L1177&lt;=$B$16,1,IF(L1177&gt;=$B$17,$B$21,MATCH(L1177,Aux_CAV!$A$2:$A$121,1))))</f>
        <v>11</v>
      </c>
      <c r="AC1177" s="19" t="n">
        <f aca="false">IF(D1177="","",COUNT($D$24:D1177))</f>
        <v>1142</v>
      </c>
    </row>
    <row r="1178" customFormat="false" ht="12.75" hidden="false" customHeight="true" outlineLevel="0" collapsed="false">
      <c r="A1178" s="14" t="n">
        <f aca="false">IF(D1178="","",DATE(B1178,C1178,1))</f>
        <v>38777</v>
      </c>
      <c r="B1178" s="15" t="n">
        <f aca="false" t="array" ref="B1178:B1178">IF(D1178="","",IFERROR(VALUE(INDEX(Vazoes_COLAR!$A$2:$A$200,INT((ROW()-24)/12)+1)),""))</f>
        <v>2006</v>
      </c>
      <c r="C1178" s="15" t="n">
        <f aca="false">IF(D1178="","",MOD(ROW()-24,12)+1)</f>
        <v>3</v>
      </c>
      <c r="D1178" s="16" t="n">
        <f aca="false" t="array" ref="D1178: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1.52832263374292</v>
      </c>
      <c r="E1178" s="16" t="n">
        <f aca="false">IF(D1178="","",D1178*$B$15)</f>
        <v>3.96141226666165</v>
      </c>
      <c r="F1178" s="16" t="n">
        <f aca="false" t="array" ref="F1178:F1178">IF(D1178="","",IFERROR(INDEX(Dados_Evap!$C$2:$N$15,MATCH($B$9,Dados_Evap!$A$2:$A$15,0),C1178),0))</f>
        <v>107.7</v>
      </c>
      <c r="G1178" s="16" t="n">
        <f aca="false">IF(F1178="","",F1178/1000)</f>
        <v>0.1077</v>
      </c>
      <c r="H1178" s="16" t="n">
        <f aca="false">IF(D1178="","",MAX(0,MIN($B$8,IFERROR(LOOKUP(2,1/($U$24:U1177&lt;&gt;""),$U$24:U1177),$B$11))))</f>
        <v>16.0278778948864</v>
      </c>
      <c r="I1178" s="16" t="n">
        <f aca="false" t="array" ref="I1178: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>3.65333174841325</v>
      </c>
      <c r="J1178" s="16" t="n">
        <f aca="false">IF(D1178="","",$B$12)</f>
        <v>0.35</v>
      </c>
      <c r="K1178" s="16" t="n">
        <f aca="false">IF(J1178="","",J1178*$B$15)</f>
        <v>0.9072</v>
      </c>
      <c r="L1178" s="16" t="n">
        <f aca="false">IF(D1178="","",H1178+E1178-K1178-G1178*I1178)</f>
        <v>18.6886263322439</v>
      </c>
      <c r="M1178" s="16" t="n">
        <f aca="false" t="array" ref="M1178: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>3.97132363482915</v>
      </c>
      <c r="N1178" s="16" t="n">
        <f aca="false">IF(D1178="","",(I1178+M1178)/2)</f>
        <v>3.8123276916212</v>
      </c>
      <c r="O1178" s="16" t="n">
        <f aca="false">IF(D1178="","",G1178*N1178)</f>
        <v>0.410587692387603</v>
      </c>
      <c r="P1178" s="16" t="n">
        <f aca="false">IF(D1178="","",H1178+E1178-K1178-O1178)</f>
        <v>18.6715024691604</v>
      </c>
      <c r="Q1178" s="16" t="n">
        <f aca="false">IF(D1178="","",IF(P1178&gt;=0,K1178,MAX(0,K1178+P1178)))</f>
        <v>0.9072</v>
      </c>
      <c r="R1178" s="16" t="n">
        <f aca="false">IF(D1178="","",Q1178/$B$15)</f>
        <v>0.35</v>
      </c>
      <c r="S1178" s="16" t="n">
        <f aca="false">IF(D1178="","",MAX(0,J1178-R1178))</f>
        <v>0</v>
      </c>
      <c r="T1178" s="16" t="n">
        <f aca="false">IF(D1178="","",MAX(0,Z1178-$B$8))</f>
        <v>0</v>
      </c>
      <c r="U1178" s="16" t="n">
        <f aca="false">IF(D1178="","",MAX(0,MIN($B$8,Z1178)))</f>
        <v>18.6715024691604</v>
      </c>
      <c r="V1178" s="16" t="str">
        <f aca="false">IF(D1178="","",IF(S1178&gt;0.0000001,"Sim","Não"))</f>
        <v>Não</v>
      </c>
      <c r="W1178" s="16" t="n">
        <f aca="false">IF(D1178="","",U1178-(H1178+E1178-Q1178-O1178-T1178))</f>
        <v>0</v>
      </c>
      <c r="X1178" s="16" t="n">
        <f aca="false">IF(W1178="","",ABS(W1178))</f>
        <v>0</v>
      </c>
      <c r="Y1178" s="16" t="n">
        <f aca="false">IF(U1178="","",IF($B$8=0,0,U1178/$B$8*100))</f>
        <v>39.5415130647192</v>
      </c>
      <c r="Z1178" s="18" t="n">
        <f aca="false">IF(D1178="","",MAX(0,IF(P1178&gt;=0,P1178,IF(K1178+P1178&gt;=0,0,P1178+K1178))))</f>
        <v>18.6715024691604</v>
      </c>
      <c r="AA1178" s="18" t="n">
        <f aca="false">IF(D1178="","",IF(H1178&lt;=$B$16,1,IF(H1178&gt;=$B$17,$B$21,MATCH(H1178,Aux_CAV!$A$2:$A$121,1))))</f>
        <v>11</v>
      </c>
      <c r="AB1178" s="18" t="n">
        <f aca="false">IF(D1178="","",IF(L1178&lt;=$B$16,1,IF(L1178&gt;=$B$17,$B$21,MATCH(L1178,Aux_CAV!$A$2:$A$121,1))))</f>
        <v>11</v>
      </c>
      <c r="AC1178" s="19" t="n">
        <f aca="false">IF(D1178="","",COUNT($D$24:D1178))</f>
        <v>1143</v>
      </c>
    </row>
    <row r="1179" customFormat="false" ht="12.75" hidden="false" customHeight="true" outlineLevel="0" collapsed="false">
      <c r="A1179" s="14" t="n">
        <f aca="false">IF(D1179="","",DATE(B1179,C1179,1))</f>
        <v>38808</v>
      </c>
      <c r="B1179" s="15" t="n">
        <f aca="false" t="array" ref="B1179:B1179">IF(D1179="","",IFERROR(VALUE(INDEX(Vazoes_COLAR!$A$2:$A$200,INT((ROW()-24)/12)+1)),""))</f>
        <v>2006</v>
      </c>
      <c r="C1179" s="15" t="n">
        <f aca="false">IF(D1179="","",MOD(ROW()-24,12)+1)</f>
        <v>4</v>
      </c>
      <c r="D1179" s="16" t="n">
        <f aca="false" t="array" ref="D1179: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5.53407732362455</v>
      </c>
      <c r="E1179" s="16" t="n">
        <f aca="false">IF(D1179="","",D1179*$B$15)</f>
        <v>14.3443284228348</v>
      </c>
      <c r="F1179" s="16" t="n">
        <f aca="false" t="array" ref="F1179:F1179">IF(D1179="","",IFERROR(INDEX(Dados_Evap!$C$2:$N$15,MATCH($B$9,Dados_Evap!$A$2:$A$15,0),C1179),0))</f>
        <v>100.5</v>
      </c>
      <c r="G1179" s="16" t="n">
        <f aca="false">IF(F1179="","",F1179/1000)</f>
        <v>0.1005</v>
      </c>
      <c r="H1179" s="16" t="n">
        <f aca="false">IF(D1179="","",MAX(0,MIN($B$8,IFERROR(LOOKUP(2,1/($U$24:U1178&lt;&gt;""),$U$24:U1178),$B$11))))</f>
        <v>18.6715024691604</v>
      </c>
      <c r="I1179" s="16" t="n">
        <f aca="false" t="array" ref="I1179: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>3.96927712436307</v>
      </c>
      <c r="J1179" s="16" t="n">
        <f aca="false">IF(D1179="","",$B$12)</f>
        <v>0.35</v>
      </c>
      <c r="K1179" s="16" t="n">
        <f aca="false">IF(J1179="","",J1179*$B$15)</f>
        <v>0.9072</v>
      </c>
      <c r="L1179" s="16" t="n">
        <f aca="false">IF(D1179="","",H1179+E1179-K1179-G1179*I1179)</f>
        <v>31.7097185409968</v>
      </c>
      <c r="M1179" s="16" t="n">
        <f aca="false" t="array" ref="M1179: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>5.41013580959869</v>
      </c>
      <c r="N1179" s="16" t="n">
        <f aca="false">IF(D1179="","",(I1179+M1179)/2)</f>
        <v>4.68970646698088</v>
      </c>
      <c r="O1179" s="16" t="n">
        <f aca="false">IF(D1179="","",G1179*N1179)</f>
        <v>0.471315499931579</v>
      </c>
      <c r="P1179" s="16" t="n">
        <f aca="false">IF(D1179="","",H1179+E1179-K1179-O1179)</f>
        <v>31.6373153920637</v>
      </c>
      <c r="Q1179" s="16" t="n">
        <f aca="false">IF(D1179="","",IF(P1179&gt;=0,K1179,MAX(0,K1179+P1179)))</f>
        <v>0.9072</v>
      </c>
      <c r="R1179" s="16" t="n">
        <f aca="false">IF(D1179="","",Q1179/$B$15)</f>
        <v>0.35</v>
      </c>
      <c r="S1179" s="16" t="n">
        <f aca="false">IF(D1179="","",MAX(0,J1179-R1179))</f>
        <v>0</v>
      </c>
      <c r="T1179" s="16" t="n">
        <f aca="false">IF(D1179="","",MAX(0,Z1179-$B$8))</f>
        <v>0</v>
      </c>
      <c r="U1179" s="16" t="n">
        <f aca="false">IF(D1179="","",MAX(0,MIN($B$8,Z1179)))</f>
        <v>31.6373153920637</v>
      </c>
      <c r="V1179" s="16" t="str">
        <f aca="false">IF(D1179="","",IF(S1179&gt;0.0000001,"Sim","Não"))</f>
        <v>Não</v>
      </c>
      <c r="W1179" s="16" t="n">
        <f aca="false">IF(D1179="","",U1179-(H1179+E1179-Q1179-O1179-T1179))</f>
        <v>0</v>
      </c>
      <c r="X1179" s="16" t="n">
        <f aca="false">IF(W1179="","",ABS(W1179))</f>
        <v>0</v>
      </c>
      <c r="Y1179" s="16" t="n">
        <f aca="false">IF(U1179="","",IF($B$8=0,0,U1179/$B$8*100))</f>
        <v>66.9998208218206</v>
      </c>
      <c r="Z1179" s="18" t="n">
        <f aca="false">IF(D1179="","",MAX(0,IF(P1179&gt;=0,P1179,IF(K1179+P1179&gt;=0,0,P1179+K1179))))</f>
        <v>31.6373153920637</v>
      </c>
      <c r="AA1179" s="18" t="n">
        <f aca="false">IF(D1179="","",IF(H1179&lt;=$B$16,1,IF(H1179&gt;=$B$17,$B$21,MATCH(H1179,Aux_CAV!$A$2:$A$121,1))))</f>
        <v>11</v>
      </c>
      <c r="AB1179" s="18" t="n">
        <f aca="false">IF(D1179="","",IF(L1179&lt;=$B$16,1,IF(L1179&gt;=$B$17,$B$21,MATCH(L1179,Aux_CAV!$A$2:$A$121,1))))</f>
        <v>12</v>
      </c>
      <c r="AC1179" s="19" t="n">
        <f aca="false">IF(D1179="","",COUNT($D$24:D1179))</f>
        <v>1144</v>
      </c>
    </row>
    <row r="1180" customFormat="false" ht="12.75" hidden="false" customHeight="true" outlineLevel="0" collapsed="false">
      <c r="A1180" s="14" t="n">
        <f aca="false">IF(D1180="","",DATE(B1180,C1180,1))</f>
        <v>38838</v>
      </c>
      <c r="B1180" s="15" t="n">
        <f aca="false" t="array" ref="B1180:B1180">IF(D1180="","",IFERROR(VALUE(INDEX(Vazoes_COLAR!$A$2:$A$200,INT((ROW()-24)/12)+1)),""))</f>
        <v>2006</v>
      </c>
      <c r="C1180" s="15" t="n">
        <f aca="false">IF(D1180="","",MOD(ROW()-24,12)+1)</f>
        <v>5</v>
      </c>
      <c r="D1180" s="16" t="n">
        <f aca="false" t="array" ref="D1180: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2.359688799158</v>
      </c>
      <c r="E1180" s="16" t="n">
        <f aca="false">IF(D1180="","",D1180*$B$15)</f>
        <v>6.11631336741754</v>
      </c>
      <c r="F1180" s="16" t="n">
        <f aca="false" t="array" ref="F1180:F1180">IF(D1180="","",IFERROR(INDEX(Dados_Evap!$C$2:$N$15,MATCH($B$9,Dados_Evap!$A$2:$A$15,0),C1180),0))</f>
        <v>145.8</v>
      </c>
      <c r="G1180" s="16" t="n">
        <f aca="false">IF(F1180="","",F1180/1000)</f>
        <v>0.1458</v>
      </c>
      <c r="H1180" s="16" t="n">
        <f aca="false">IF(D1180="","",MAX(0,MIN($B$8,IFERROR(LOOKUP(2,1/($U$24:U1179&lt;&gt;""),$U$24:U1179),$B$11))))</f>
        <v>31.6373153920637</v>
      </c>
      <c r="I1180" s="16" t="n">
        <f aca="false" t="array" ref="I1180: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>5.40261431742797</v>
      </c>
      <c r="J1180" s="16" t="n">
        <f aca="false">IF(D1180="","",$B$12)</f>
        <v>0.35</v>
      </c>
      <c r="K1180" s="16" t="n">
        <f aca="false">IF(J1180="","",J1180*$B$15)</f>
        <v>0.9072</v>
      </c>
      <c r="L1180" s="16" t="n">
        <f aca="false">IF(D1180="","",H1180+E1180-K1180-G1180*I1180)</f>
        <v>36.0587275920002</v>
      </c>
      <c r="M1180" s="16" t="n">
        <f aca="false" t="array" ref="M1180: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>5.8556276762453</v>
      </c>
      <c r="N1180" s="16" t="n">
        <f aca="false">IF(D1180="","",(I1180+M1180)/2)</f>
        <v>5.62912099683664</v>
      </c>
      <c r="O1180" s="16" t="n">
        <f aca="false">IF(D1180="","",G1180*N1180)</f>
        <v>0.820725841338782</v>
      </c>
      <c r="P1180" s="16" t="n">
        <f aca="false">IF(D1180="","",H1180+E1180-K1180-O1180)</f>
        <v>36.0257029181424</v>
      </c>
      <c r="Q1180" s="16" t="n">
        <f aca="false">IF(D1180="","",IF(P1180&gt;=0,K1180,MAX(0,K1180+P1180)))</f>
        <v>0.9072</v>
      </c>
      <c r="R1180" s="16" t="n">
        <f aca="false">IF(D1180="","",Q1180/$B$15)</f>
        <v>0.35</v>
      </c>
      <c r="S1180" s="16" t="n">
        <f aca="false">IF(D1180="","",MAX(0,J1180-R1180))</f>
        <v>0</v>
      </c>
      <c r="T1180" s="16" t="n">
        <f aca="false">IF(D1180="","",MAX(0,Z1180-$B$8))</f>
        <v>0</v>
      </c>
      <c r="U1180" s="16" t="n">
        <f aca="false">IF(D1180="","",MAX(0,MIN($B$8,Z1180)))</f>
        <v>36.0257029181424</v>
      </c>
      <c r="V1180" s="16" t="str">
        <f aca="false">IF(D1180="","",IF(S1180&gt;0.0000001,"Sim","Não"))</f>
        <v>Não</v>
      </c>
      <c r="W1180" s="16" t="n">
        <f aca="false">IF(D1180="","",U1180-(H1180+E1180-Q1180-O1180-T1180))</f>
        <v>0</v>
      </c>
      <c r="X1180" s="16" t="n">
        <f aca="false">IF(W1180="","",ABS(W1180))</f>
        <v>0</v>
      </c>
      <c r="Y1180" s="16" t="n">
        <f aca="false">IF(U1180="","",IF($B$8=0,0,U1180/$B$8*100))</f>
        <v>76.2933141002593</v>
      </c>
      <c r="Z1180" s="18" t="n">
        <f aca="false">IF(D1180="","",MAX(0,IF(P1180&gt;=0,P1180,IF(K1180+P1180&gt;=0,0,P1180+K1180))))</f>
        <v>36.0257029181424</v>
      </c>
      <c r="AA1180" s="18" t="n">
        <f aca="false">IF(D1180="","",IF(H1180&lt;=$B$16,1,IF(H1180&gt;=$B$17,$B$21,MATCH(H1180,Aux_CAV!$A$2:$A$121,1))))</f>
        <v>12</v>
      </c>
      <c r="AB1180" s="18" t="n">
        <f aca="false">IF(D1180="","",IF(L1180&lt;=$B$16,1,IF(L1180&gt;=$B$17,$B$21,MATCH(L1180,Aux_CAV!$A$2:$A$121,1))))</f>
        <v>13</v>
      </c>
      <c r="AC1180" s="19" t="n">
        <f aca="false">IF(D1180="","",COUNT($D$24:D1180))</f>
        <v>1145</v>
      </c>
    </row>
    <row r="1181" customFormat="false" ht="12.75" hidden="false" customHeight="true" outlineLevel="0" collapsed="false">
      <c r="A1181" s="14" t="n">
        <f aca="false">IF(D1181="","",DATE(B1181,C1181,1))</f>
        <v>38869</v>
      </c>
      <c r="B1181" s="15" t="n">
        <f aca="false" t="array" ref="B1181:B1181">IF(D1181="","",IFERROR(VALUE(INDEX(Vazoes_COLAR!$A$2:$A$200,INT((ROW()-24)/12)+1)),""))</f>
        <v>2006</v>
      </c>
      <c r="C1181" s="15" t="n">
        <f aca="false">IF(D1181="","",MOD(ROW()-24,12)+1)</f>
        <v>6</v>
      </c>
      <c r="D1181" s="16" t="n">
        <f aca="false" t="array" ref="D1181: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0.285659444561491</v>
      </c>
      <c r="E1181" s="16" t="n">
        <f aca="false">IF(D1181="","",D1181*$B$15)</f>
        <v>0.740429280303385</v>
      </c>
      <c r="F1181" s="16" t="n">
        <f aca="false" t="array" ref="F1181:F1181">IF(D1181="","",IFERROR(INDEX(Dados_Evap!$C$2:$N$15,MATCH($B$9,Dados_Evap!$A$2:$A$15,0),C1181),0))</f>
        <v>161.3</v>
      </c>
      <c r="G1181" s="16" t="n">
        <f aca="false">IF(F1181="","",F1181/1000)</f>
        <v>0.1613</v>
      </c>
      <c r="H1181" s="16" t="n">
        <f aca="false">IF(D1181="","",MAX(0,MIN($B$8,IFERROR(LOOKUP(2,1/($U$24:U1180&lt;&gt;""),$U$24:U1180),$B$11))))</f>
        <v>36.0257029181424</v>
      </c>
      <c r="I1181" s="16" t="n">
        <f aca="false" t="array" ref="I1181: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>5.85233040141831</v>
      </c>
      <c r="J1181" s="16" t="n">
        <f aca="false">IF(D1181="","",$B$12)</f>
        <v>0.35</v>
      </c>
      <c r="K1181" s="16" t="n">
        <f aca="false">IF(J1181="","",J1181*$B$15)</f>
        <v>0.9072</v>
      </c>
      <c r="L1181" s="16" t="n">
        <f aca="false">IF(D1181="","",H1181+E1181-K1181-G1181*I1181)</f>
        <v>34.914951304697</v>
      </c>
      <c r="M1181" s="16" t="n">
        <f aca="false" t="array" ref="M1181: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>5.74142988655387</v>
      </c>
      <c r="N1181" s="16" t="n">
        <f aca="false">IF(D1181="","",(I1181+M1181)/2)</f>
        <v>5.79688014398609</v>
      </c>
      <c r="O1181" s="16" t="n">
        <f aca="false">IF(D1181="","",G1181*N1181)</f>
        <v>0.935036767224956</v>
      </c>
      <c r="P1181" s="16" t="n">
        <f aca="false">IF(D1181="","",H1181+E1181-K1181-O1181)</f>
        <v>34.9238954312208</v>
      </c>
      <c r="Q1181" s="16" t="n">
        <f aca="false">IF(D1181="","",IF(P1181&gt;=0,K1181,MAX(0,K1181+P1181)))</f>
        <v>0.9072</v>
      </c>
      <c r="R1181" s="16" t="n">
        <f aca="false">IF(D1181="","",Q1181/$B$15)</f>
        <v>0.35</v>
      </c>
      <c r="S1181" s="16" t="n">
        <f aca="false">IF(D1181="","",MAX(0,J1181-R1181))</f>
        <v>0</v>
      </c>
      <c r="T1181" s="16" t="n">
        <f aca="false">IF(D1181="","",MAX(0,Z1181-$B$8))</f>
        <v>0</v>
      </c>
      <c r="U1181" s="16" t="n">
        <f aca="false">IF(D1181="","",MAX(0,MIN($B$8,Z1181)))</f>
        <v>34.9238954312208</v>
      </c>
      <c r="V1181" s="16" t="str">
        <f aca="false">IF(D1181="","",IF(S1181&gt;0.0000001,"Sim","Não"))</f>
        <v>Não</v>
      </c>
      <c r="W1181" s="16" t="n">
        <f aca="false">IF(D1181="","",U1181-(H1181+E1181-Q1181-O1181-T1181))</f>
        <v>0</v>
      </c>
      <c r="X1181" s="16" t="n">
        <f aca="false">IF(W1181="","",ABS(W1181))</f>
        <v>0</v>
      </c>
      <c r="Y1181" s="16" t="n">
        <f aca="false">IF(U1181="","",IF($B$8=0,0,U1181/$B$8*100))</f>
        <v>73.9599649115223</v>
      </c>
      <c r="Z1181" s="18" t="n">
        <f aca="false">IF(D1181="","",MAX(0,IF(P1181&gt;=0,P1181,IF(K1181+P1181&gt;=0,0,P1181+K1181))))</f>
        <v>34.9238954312208</v>
      </c>
      <c r="AA1181" s="18" t="n">
        <f aca="false">IF(D1181="","",IF(H1181&lt;=$B$16,1,IF(H1181&gt;=$B$17,$B$21,MATCH(H1181,Aux_CAV!$A$2:$A$121,1))))</f>
        <v>13</v>
      </c>
      <c r="AB1181" s="18" t="n">
        <f aca="false">IF(D1181="","",IF(L1181&lt;=$B$16,1,IF(L1181&gt;=$B$17,$B$21,MATCH(L1181,Aux_CAV!$A$2:$A$121,1))))</f>
        <v>13</v>
      </c>
      <c r="AC1181" s="19" t="n">
        <f aca="false">IF(D1181="","",COUNT($D$24:D1181))</f>
        <v>1146</v>
      </c>
    </row>
    <row r="1182" customFormat="false" ht="12.75" hidden="false" customHeight="true" outlineLevel="0" collapsed="false">
      <c r="A1182" s="14" t="n">
        <f aca="false">IF(D1182="","",DATE(B1182,C1182,1))</f>
        <v>38899</v>
      </c>
      <c r="B1182" s="15" t="n">
        <f aca="false" t="array" ref="B1182:B1182">IF(D1182="","",IFERROR(VALUE(INDEX(Vazoes_COLAR!$A$2:$A$200,INT((ROW()-24)/12)+1)),""))</f>
        <v>2006</v>
      </c>
      <c r="C1182" s="15" t="n">
        <f aca="false">IF(D1182="","",MOD(ROW()-24,12)+1)</f>
        <v>7</v>
      </c>
      <c r="D1182" s="16" t="n">
        <f aca="false" t="array" ref="D1182: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0.0808643282777845</v>
      </c>
      <c r="E1182" s="16" t="n">
        <f aca="false">IF(D1182="","",D1182*$B$15)</f>
        <v>0.209600338896017</v>
      </c>
      <c r="F1182" s="16" t="n">
        <f aca="false" t="array" ref="F1182:F1182">IF(D1182="","",IFERROR(INDEX(Dados_Evap!$C$2:$N$15,MATCH($B$9,Dados_Evap!$A$2:$A$15,0),C1182),0))</f>
        <v>224.8</v>
      </c>
      <c r="G1182" s="16" t="n">
        <f aca="false">IF(F1182="","",F1182/1000)</f>
        <v>0.2248</v>
      </c>
      <c r="H1182" s="16" t="n">
        <f aca="false">IF(D1182="","",MAX(0,MIN($B$8,IFERROR(LOOKUP(2,1/($U$24:U1181&lt;&gt;""),$U$24:U1181),$B$11))))</f>
        <v>34.9238954312208</v>
      </c>
      <c r="I1182" s="16" t="n">
        <f aca="false" t="array" ref="I1182: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>5.74232289289705</v>
      </c>
      <c r="J1182" s="16" t="n">
        <f aca="false">IF(D1182="","",$B$12)</f>
        <v>0.35</v>
      </c>
      <c r="K1182" s="16" t="n">
        <f aca="false">IF(J1182="","",J1182*$B$15)</f>
        <v>0.9072</v>
      </c>
      <c r="L1182" s="16" t="n">
        <f aca="false">IF(D1182="","",H1182+E1182-K1182-G1182*I1182)</f>
        <v>32.9354215837936</v>
      </c>
      <c r="M1182" s="16" t="n">
        <f aca="false" t="array" ref="M1182: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>5.53746612569506</v>
      </c>
      <c r="N1182" s="16" t="n">
        <f aca="false">IF(D1182="","",(I1182+M1182)/2)</f>
        <v>5.63989450929606</v>
      </c>
      <c r="O1182" s="16" t="n">
        <f aca="false">IF(D1182="","",G1182*N1182)</f>
        <v>1.26784828568975</v>
      </c>
      <c r="P1182" s="16" t="n">
        <f aca="false">IF(D1182="","",H1182+E1182-K1182-O1182)</f>
        <v>32.9584474844271</v>
      </c>
      <c r="Q1182" s="16" t="n">
        <f aca="false">IF(D1182="","",IF(P1182&gt;=0,K1182,MAX(0,K1182+P1182)))</f>
        <v>0.9072</v>
      </c>
      <c r="R1182" s="16" t="n">
        <f aca="false">IF(D1182="","",Q1182/$B$15)</f>
        <v>0.35</v>
      </c>
      <c r="S1182" s="16" t="n">
        <f aca="false">IF(D1182="","",MAX(0,J1182-R1182))</f>
        <v>0</v>
      </c>
      <c r="T1182" s="16" t="n">
        <f aca="false">IF(D1182="","",MAX(0,Z1182-$B$8))</f>
        <v>0</v>
      </c>
      <c r="U1182" s="16" t="n">
        <f aca="false">IF(D1182="","",MAX(0,MIN($B$8,Z1182)))</f>
        <v>32.9584474844271</v>
      </c>
      <c r="V1182" s="16" t="str">
        <f aca="false">IF(D1182="","",IF(S1182&gt;0.0000001,"Sim","Não"))</f>
        <v>Não</v>
      </c>
      <c r="W1182" s="16" t="n">
        <f aca="false">IF(D1182="","",U1182-(H1182+E1182-Q1182-O1182-T1182))</f>
        <v>0</v>
      </c>
      <c r="X1182" s="16" t="n">
        <f aca="false">IF(W1182="","",ABS(W1182))</f>
        <v>0</v>
      </c>
      <c r="Y1182" s="16" t="n">
        <f aca="false">IF(U1182="","",IF($B$8=0,0,U1182/$B$8*100))</f>
        <v>69.7976439737973</v>
      </c>
      <c r="Z1182" s="18" t="n">
        <f aca="false">IF(D1182="","",MAX(0,IF(P1182&gt;=0,P1182,IF(K1182+P1182&gt;=0,0,P1182+K1182))))</f>
        <v>32.9584474844271</v>
      </c>
      <c r="AA1182" s="18" t="n">
        <f aca="false">IF(D1182="","",IF(H1182&lt;=$B$16,1,IF(H1182&gt;=$B$17,$B$21,MATCH(H1182,Aux_CAV!$A$2:$A$121,1))))</f>
        <v>13</v>
      </c>
      <c r="AB1182" s="18" t="n">
        <f aca="false">IF(D1182="","",IF(L1182&lt;=$B$16,1,IF(L1182&gt;=$B$17,$B$21,MATCH(L1182,Aux_CAV!$A$2:$A$121,1))))</f>
        <v>12</v>
      </c>
      <c r="AC1182" s="19" t="n">
        <f aca="false">IF(D1182="","",COUNT($D$24:D1182))</f>
        <v>1147</v>
      </c>
    </row>
    <row r="1183" customFormat="false" ht="12.75" hidden="false" customHeight="true" outlineLevel="0" collapsed="false">
      <c r="A1183" s="14" t="n">
        <f aca="false">IF(D1183="","",DATE(B1183,C1183,1))</f>
        <v>38930</v>
      </c>
      <c r="B1183" s="15" t="n">
        <f aca="false" t="array" ref="B1183:B1183">IF(D1183="","",IFERROR(VALUE(INDEX(Vazoes_COLAR!$A$2:$A$200,INT((ROW()-24)/12)+1)),""))</f>
        <v>2006</v>
      </c>
      <c r="C1183" s="15" t="n">
        <f aca="false">IF(D1183="","",MOD(ROW()-24,12)+1)</f>
        <v>8</v>
      </c>
      <c r="D1183" s="16" t="n">
        <f aca="false" t="array" ref="D1183: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0.020743120069516</v>
      </c>
      <c r="E1183" s="16" t="n">
        <f aca="false">IF(D1183="","",D1183*$B$15)</f>
        <v>0.0537661672201855</v>
      </c>
      <c r="F1183" s="16" t="n">
        <f aca="false" t="array" ref="F1183:F1183">IF(D1183="","",IFERROR(INDEX(Dados_Evap!$C$2:$N$15,MATCH($B$9,Dados_Evap!$A$2:$A$15,0),C1183),0))</f>
        <v>268.7</v>
      </c>
      <c r="G1183" s="16" t="n">
        <f aca="false">IF(F1183="","",F1183/1000)</f>
        <v>0.2687</v>
      </c>
      <c r="H1183" s="16" t="n">
        <f aca="false">IF(D1183="","",MAX(0,MIN($B$8,IFERROR(LOOKUP(2,1/($U$24:U1182&lt;&gt;""),$U$24:U1182),$B$11))))</f>
        <v>32.9584474844271</v>
      </c>
      <c r="I1183" s="16" t="n">
        <f aca="false" t="array" ref="I1183: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>5.53985813673175</v>
      </c>
      <c r="J1183" s="16" t="n">
        <f aca="false">IF(D1183="","",$B$12)</f>
        <v>0.35</v>
      </c>
      <c r="K1183" s="16" t="n">
        <f aca="false">IF(J1183="","",J1183*$B$15)</f>
        <v>0.9072</v>
      </c>
      <c r="L1183" s="16" t="n">
        <f aca="false">IF(D1183="","",H1183+E1183-K1183-G1183*I1183)</f>
        <v>30.6164537703075</v>
      </c>
      <c r="M1183" s="16" t="n">
        <f aca="false" t="array" ref="M1183: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>5.2965636440999</v>
      </c>
      <c r="N1183" s="16" t="n">
        <f aca="false">IF(D1183="","",(I1183+M1183)/2)</f>
        <v>5.41821089041583</v>
      </c>
      <c r="O1183" s="16" t="n">
        <f aca="false">IF(D1183="","",G1183*N1183)</f>
        <v>1.45587326625473</v>
      </c>
      <c r="P1183" s="16" t="n">
        <f aca="false">IF(D1183="","",H1183+E1183-K1183-O1183)</f>
        <v>30.6491403853926</v>
      </c>
      <c r="Q1183" s="16" t="n">
        <f aca="false">IF(D1183="","",IF(P1183&gt;=0,K1183,MAX(0,K1183+P1183)))</f>
        <v>0.9072</v>
      </c>
      <c r="R1183" s="16" t="n">
        <f aca="false">IF(D1183="","",Q1183/$B$15)</f>
        <v>0.35</v>
      </c>
      <c r="S1183" s="16" t="n">
        <f aca="false">IF(D1183="","",MAX(0,J1183-R1183))</f>
        <v>0</v>
      </c>
      <c r="T1183" s="16" t="n">
        <f aca="false">IF(D1183="","",MAX(0,Z1183-$B$8))</f>
        <v>0</v>
      </c>
      <c r="U1183" s="16" t="n">
        <f aca="false">IF(D1183="","",MAX(0,MIN($B$8,Z1183)))</f>
        <v>30.6491403853926</v>
      </c>
      <c r="V1183" s="16" t="str">
        <f aca="false">IF(D1183="","",IF(S1183&gt;0.0000001,"Sim","Não"))</f>
        <v>Não</v>
      </c>
      <c r="W1183" s="16" t="n">
        <f aca="false">IF(D1183="","",U1183-(H1183+E1183-Q1183-O1183-T1183))</f>
        <v>0</v>
      </c>
      <c r="X1183" s="16" t="n">
        <f aca="false">IF(W1183="","",ABS(W1183))</f>
        <v>0</v>
      </c>
      <c r="Y1183" s="16" t="n">
        <f aca="false">IF(U1183="","",IF($B$8=0,0,U1183/$B$8*100))</f>
        <v>64.9071164451346</v>
      </c>
      <c r="Z1183" s="18" t="n">
        <f aca="false">IF(D1183="","",MAX(0,IF(P1183&gt;=0,P1183,IF(K1183+P1183&gt;=0,0,P1183+K1183))))</f>
        <v>30.6491403853926</v>
      </c>
      <c r="AA1183" s="18" t="n">
        <f aca="false">IF(D1183="","",IF(H1183&lt;=$B$16,1,IF(H1183&gt;=$B$17,$B$21,MATCH(H1183,Aux_CAV!$A$2:$A$121,1))))</f>
        <v>12</v>
      </c>
      <c r="AB1183" s="18" t="n">
        <f aca="false">IF(D1183="","",IF(L1183&lt;=$B$16,1,IF(L1183&gt;=$B$17,$B$21,MATCH(L1183,Aux_CAV!$A$2:$A$121,1))))</f>
        <v>12</v>
      </c>
      <c r="AC1183" s="19" t="n">
        <f aca="false">IF(D1183="","",COUNT($D$24:D1183))</f>
        <v>1148</v>
      </c>
    </row>
    <row r="1184" customFormat="false" ht="12.75" hidden="false" customHeight="true" outlineLevel="0" collapsed="false">
      <c r="A1184" s="14" t="n">
        <f aca="false">IF(D1184="","",DATE(B1184,C1184,1))</f>
        <v>38961</v>
      </c>
      <c r="B1184" s="15" t="n">
        <f aca="false" t="array" ref="B1184:B1184">IF(D1184="","",IFERROR(VALUE(INDEX(Vazoes_COLAR!$A$2:$A$200,INT((ROW()-24)/12)+1)),""))</f>
        <v>2006</v>
      </c>
      <c r="C1184" s="15" t="n">
        <f aca="false">IF(D1184="","",MOD(ROW()-24,12)+1)</f>
        <v>9</v>
      </c>
      <c r="D1184" s="16" t="n">
        <f aca="false" t="array" ref="D1184: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0.0162473271103575</v>
      </c>
      <c r="E1184" s="16" t="n">
        <f aca="false">IF(D1184="","",D1184*$B$15)</f>
        <v>0.0421130718700466</v>
      </c>
      <c r="F1184" s="16" t="n">
        <f aca="false" t="array" ref="F1184:F1184">IF(D1184="","",IFERROR(INDEX(Dados_Evap!$C$2:$N$15,MATCH($B$9,Dados_Evap!$A$2:$A$15,0),C1184),0))</f>
        <v>292.8</v>
      </c>
      <c r="G1184" s="16" t="n">
        <f aca="false">IF(F1184="","",F1184/1000)</f>
        <v>0.2928</v>
      </c>
      <c r="H1184" s="16" t="n">
        <f aca="false">IF(D1184="","",MAX(0,MIN($B$8,IFERROR(LOOKUP(2,1/($U$24:U1183&lt;&gt;""),$U$24:U1183),$B$11))))</f>
        <v>30.6491403853926</v>
      </c>
      <c r="I1184" s="16" t="n">
        <f aca="false" t="array" ref="I1184: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>5.29995924391942</v>
      </c>
      <c r="J1184" s="16" t="n">
        <f aca="false">IF(D1184="","",$B$12)</f>
        <v>0.35</v>
      </c>
      <c r="K1184" s="16" t="n">
        <f aca="false">IF(J1184="","",J1184*$B$15)</f>
        <v>0.9072</v>
      </c>
      <c r="L1184" s="16" t="n">
        <f aca="false">IF(D1184="","",H1184+E1184-K1184-G1184*I1184)</f>
        <v>28.232225390643</v>
      </c>
      <c r="M1184" s="16" t="n">
        <f aca="false" t="array" ref="M1184: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>5.04888166679495</v>
      </c>
      <c r="N1184" s="16" t="n">
        <f aca="false">IF(D1184="","",(I1184+M1184)/2)</f>
        <v>5.17442045535719</v>
      </c>
      <c r="O1184" s="16" t="n">
        <f aca="false">IF(D1184="","",G1184*N1184)</f>
        <v>1.51507030932858</v>
      </c>
      <c r="P1184" s="16" t="n">
        <f aca="false">IF(D1184="","",H1184+E1184-K1184-O1184)</f>
        <v>28.268983147934</v>
      </c>
      <c r="Q1184" s="16" t="n">
        <f aca="false">IF(D1184="","",IF(P1184&gt;=0,K1184,MAX(0,K1184+P1184)))</f>
        <v>0.9072</v>
      </c>
      <c r="R1184" s="16" t="n">
        <f aca="false">IF(D1184="","",Q1184/$B$15)</f>
        <v>0.35</v>
      </c>
      <c r="S1184" s="16" t="n">
        <f aca="false">IF(D1184="","",MAX(0,J1184-R1184))</f>
        <v>0</v>
      </c>
      <c r="T1184" s="16" t="n">
        <f aca="false">IF(D1184="","",MAX(0,Z1184-$B$8))</f>
        <v>0</v>
      </c>
      <c r="U1184" s="16" t="n">
        <f aca="false">IF(D1184="","",MAX(0,MIN($B$8,Z1184)))</f>
        <v>28.268983147934</v>
      </c>
      <c r="V1184" s="16" t="str">
        <f aca="false">IF(D1184="","",IF(S1184&gt;0.0000001,"Sim","Não"))</f>
        <v>Não</v>
      </c>
      <c r="W1184" s="16" t="n">
        <f aca="false">IF(D1184="","",U1184-(H1184+E1184-Q1184-O1184-T1184))</f>
        <v>0</v>
      </c>
      <c r="X1184" s="16" t="n">
        <f aca="false">IF(W1184="","",ABS(W1184))</f>
        <v>0</v>
      </c>
      <c r="Y1184" s="16" t="n">
        <f aca="false">IF(U1184="","",IF($B$8=0,0,U1184/$B$8*100))</f>
        <v>59.8665462683906</v>
      </c>
      <c r="Z1184" s="18" t="n">
        <f aca="false">IF(D1184="","",MAX(0,IF(P1184&gt;=0,P1184,IF(K1184+P1184&gt;=0,0,P1184+K1184))))</f>
        <v>28.268983147934</v>
      </c>
      <c r="AA1184" s="18" t="n">
        <f aca="false">IF(D1184="","",IF(H1184&lt;=$B$16,1,IF(H1184&gt;=$B$17,$B$21,MATCH(H1184,Aux_CAV!$A$2:$A$121,1))))</f>
        <v>12</v>
      </c>
      <c r="AB1184" s="18" t="n">
        <f aca="false">IF(D1184="","",IF(L1184&lt;=$B$16,1,IF(L1184&gt;=$B$17,$B$21,MATCH(L1184,Aux_CAV!$A$2:$A$121,1))))</f>
        <v>12</v>
      </c>
      <c r="AC1184" s="19" t="n">
        <f aca="false">IF(D1184="","",COUNT($D$24:D1184))</f>
        <v>1149</v>
      </c>
    </row>
    <row r="1185" customFormat="false" ht="12.75" hidden="false" customHeight="true" outlineLevel="0" collapsed="false">
      <c r="A1185" s="14" t="n">
        <f aca="false">IF(D1185="","",DATE(B1185,C1185,1))</f>
        <v>38991</v>
      </c>
      <c r="B1185" s="15" t="n">
        <f aca="false" t="array" ref="B1185:B1185">IF(D1185="","",IFERROR(VALUE(INDEX(Vazoes_COLAR!$A$2:$A$200,INT((ROW()-24)/12)+1)),""))</f>
        <v>2006</v>
      </c>
      <c r="C1185" s="15" t="n">
        <f aca="false">IF(D1185="","",MOD(ROW()-24,12)+1)</f>
        <v>10</v>
      </c>
      <c r="D1185" s="16" t="n">
        <f aca="false" t="array" ref="D1185: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0.0226422575456408</v>
      </c>
      <c r="E1185" s="16" t="n">
        <f aca="false">IF(D1185="","",D1185*$B$15)</f>
        <v>0.058688731558301</v>
      </c>
      <c r="F1185" s="16" t="n">
        <f aca="false" t="array" ref="F1185:F1185">IF(D1185="","",IFERROR(INDEX(Dados_Evap!$C$2:$N$15,MATCH($B$9,Dados_Evap!$A$2:$A$15,0),C1185),0))</f>
        <v>262.9</v>
      </c>
      <c r="G1185" s="16" t="n">
        <f aca="false">IF(F1185="","",F1185/1000)</f>
        <v>0.2629</v>
      </c>
      <c r="H1185" s="16" t="n">
        <f aca="false">IF(D1185="","",MAX(0,MIN($B$8,IFERROR(LOOKUP(2,1/($U$24:U1184&lt;&gt;""),$U$24:U1184),$B$11))))</f>
        <v>28.268983147934</v>
      </c>
      <c r="I1185" s="16" t="n">
        <f aca="false" t="array" ref="I1185: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>5.05270019109606</v>
      </c>
      <c r="J1185" s="16" t="n">
        <f aca="false">IF(D1185="","",$B$12)</f>
        <v>0.35</v>
      </c>
      <c r="K1185" s="16" t="n">
        <f aca="false">IF(J1185="","",J1185*$B$15)</f>
        <v>0.9072</v>
      </c>
      <c r="L1185" s="16" t="n">
        <f aca="false">IF(D1185="","",H1185+E1185-K1185-G1185*I1185)</f>
        <v>26.0921169992532</v>
      </c>
      <c r="M1185" s="16" t="n">
        <f aca="false" t="array" ref="M1185: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>4.82655972710688</v>
      </c>
      <c r="N1185" s="16" t="n">
        <f aca="false">IF(D1185="","",(I1185+M1185)/2)</f>
        <v>4.93962995910147</v>
      </c>
      <c r="O1185" s="16" t="n">
        <f aca="false">IF(D1185="","",G1185*N1185)</f>
        <v>1.29862871624778</v>
      </c>
      <c r="P1185" s="16" t="n">
        <f aca="false">IF(D1185="","",H1185+E1185-K1185-O1185)</f>
        <v>26.1218431632445</v>
      </c>
      <c r="Q1185" s="16" t="n">
        <f aca="false">IF(D1185="","",IF(P1185&gt;=0,K1185,MAX(0,K1185+P1185)))</f>
        <v>0.9072</v>
      </c>
      <c r="R1185" s="16" t="n">
        <f aca="false">IF(D1185="","",Q1185/$B$15)</f>
        <v>0.35</v>
      </c>
      <c r="S1185" s="16" t="n">
        <f aca="false">IF(D1185="","",MAX(0,J1185-R1185))</f>
        <v>0</v>
      </c>
      <c r="T1185" s="16" t="n">
        <f aca="false">IF(D1185="","",MAX(0,Z1185-$B$8))</f>
        <v>0</v>
      </c>
      <c r="U1185" s="16" t="n">
        <f aca="false">IF(D1185="","",MAX(0,MIN($B$8,Z1185)))</f>
        <v>26.1218431632445</v>
      </c>
      <c r="V1185" s="16" t="str">
        <f aca="false">IF(D1185="","",IF(S1185&gt;0.0000001,"Sim","Não"))</f>
        <v>Não</v>
      </c>
      <c r="W1185" s="16" t="n">
        <f aca="false">IF(D1185="","",U1185-(H1185+E1185-Q1185-O1185-T1185))</f>
        <v>0</v>
      </c>
      <c r="X1185" s="16" t="n">
        <f aca="false">IF(W1185="","",ABS(W1185))</f>
        <v>0</v>
      </c>
      <c r="Y1185" s="16" t="n">
        <f aca="false">IF(U1185="","",IF($B$8=0,0,U1185/$B$8*100))</f>
        <v>55.3194476138173</v>
      </c>
      <c r="Z1185" s="18" t="n">
        <f aca="false">IF(D1185="","",MAX(0,IF(P1185&gt;=0,P1185,IF(K1185+P1185&gt;=0,0,P1185+K1185))))</f>
        <v>26.1218431632445</v>
      </c>
      <c r="AA1185" s="18" t="n">
        <f aca="false">IF(D1185="","",IF(H1185&lt;=$B$16,1,IF(H1185&gt;=$B$17,$B$21,MATCH(H1185,Aux_CAV!$A$2:$A$121,1))))</f>
        <v>12</v>
      </c>
      <c r="AB1185" s="18" t="n">
        <f aca="false">IF(D1185="","",IF(L1185&lt;=$B$16,1,IF(L1185&gt;=$B$17,$B$21,MATCH(L1185,Aux_CAV!$A$2:$A$121,1))))</f>
        <v>12</v>
      </c>
      <c r="AC1185" s="19" t="n">
        <f aca="false">IF(D1185="","",COUNT($D$24:D1185))</f>
        <v>1150</v>
      </c>
    </row>
    <row r="1186" customFormat="false" ht="12.75" hidden="false" customHeight="true" outlineLevel="0" collapsed="false">
      <c r="A1186" s="14" t="n">
        <f aca="false">IF(D1186="","",DATE(B1186,C1186,1))</f>
        <v>39022</v>
      </c>
      <c r="B1186" s="15" t="n">
        <f aca="false" t="array" ref="B1186:B1186">IF(D1186="","",IFERROR(VALUE(INDEX(Vazoes_COLAR!$A$2:$A$200,INT((ROW()-24)/12)+1)),""))</f>
        <v>2006</v>
      </c>
      <c r="C1186" s="15" t="n">
        <f aca="false">IF(D1186="","",MOD(ROW()-24,12)+1)</f>
        <v>11</v>
      </c>
      <c r="D1186" s="16" t="n">
        <f aca="false" t="array" ref="D1186: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0.0192945653697008</v>
      </c>
      <c r="E1186" s="16" t="n">
        <f aca="false">IF(D1186="","",D1186*$B$15)</f>
        <v>0.0500115134382645</v>
      </c>
      <c r="F1186" s="16" t="n">
        <f aca="false" t="array" ref="F1186:F1186">IF(D1186="","",IFERROR(INDEX(Dados_Evap!$C$2:$N$15,MATCH($B$9,Dados_Evap!$A$2:$A$15,0),C1186),0))</f>
        <v>223.7</v>
      </c>
      <c r="G1186" s="16" t="n">
        <f aca="false">IF(F1186="","",F1186/1000)</f>
        <v>0.2237</v>
      </c>
      <c r="H1186" s="16" t="n">
        <f aca="false">IF(D1186="","",MAX(0,MIN($B$8,IFERROR(LOOKUP(2,1/($U$24:U1185&lt;&gt;""),$U$24:U1185),$B$11))))</f>
        <v>26.1218431632445</v>
      </c>
      <c r="I1186" s="16" t="n">
        <f aca="false" t="array" ref="I1186: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>4.82964778491958</v>
      </c>
      <c r="J1186" s="16" t="n">
        <f aca="false">IF(D1186="","",$B$12)</f>
        <v>0.35</v>
      </c>
      <c r="K1186" s="16" t="n">
        <f aca="false">IF(J1186="","",J1186*$B$15)</f>
        <v>0.9072</v>
      </c>
      <c r="L1186" s="16" t="n">
        <f aca="false">IF(D1186="","",H1186+E1186-K1186-G1186*I1186)</f>
        <v>24.1842624671963</v>
      </c>
      <c r="M1186" s="16" t="n">
        <f aca="false" t="array" ref="M1186: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>4.62811917290883</v>
      </c>
      <c r="N1186" s="16" t="n">
        <f aca="false">IF(D1186="","",(I1186+M1186)/2)</f>
        <v>4.7288834789142</v>
      </c>
      <c r="O1186" s="16" t="n">
        <f aca="false">IF(D1186="","",G1186*N1186)</f>
        <v>1.05785123423311</v>
      </c>
      <c r="P1186" s="16" t="n">
        <f aca="false">IF(D1186="","",H1186+E1186-K1186-O1186)</f>
        <v>24.2068034424497</v>
      </c>
      <c r="Q1186" s="16" t="n">
        <f aca="false">IF(D1186="","",IF(P1186&gt;=0,K1186,MAX(0,K1186+P1186)))</f>
        <v>0.9072</v>
      </c>
      <c r="R1186" s="16" t="n">
        <f aca="false">IF(D1186="","",Q1186/$B$15)</f>
        <v>0.35</v>
      </c>
      <c r="S1186" s="16" t="n">
        <f aca="false">IF(D1186="","",MAX(0,J1186-R1186))</f>
        <v>0</v>
      </c>
      <c r="T1186" s="16" t="n">
        <f aca="false">IF(D1186="","",MAX(0,Z1186-$B$8))</f>
        <v>0</v>
      </c>
      <c r="U1186" s="16" t="n">
        <f aca="false">IF(D1186="","",MAX(0,MIN($B$8,Z1186)))</f>
        <v>24.2068034424497</v>
      </c>
      <c r="V1186" s="16" t="str">
        <f aca="false">IF(D1186="","",IF(S1186&gt;0.0000001,"Sim","Não"))</f>
        <v>Não</v>
      </c>
      <c r="W1186" s="16" t="n">
        <f aca="false">IF(D1186="","",U1186-(H1186+E1186-Q1186-O1186-T1186))</f>
        <v>0</v>
      </c>
      <c r="X1186" s="16" t="n">
        <f aca="false">IF(W1186="","",ABS(W1186))</f>
        <v>0</v>
      </c>
      <c r="Y1186" s="16" t="n">
        <f aca="false">IF(U1186="","",IF($B$8=0,0,U1186/$B$8*100))</f>
        <v>51.2638785312361</v>
      </c>
      <c r="Z1186" s="18" t="n">
        <f aca="false">IF(D1186="","",MAX(0,IF(P1186&gt;=0,P1186,IF(K1186+P1186&gt;=0,0,P1186+K1186))))</f>
        <v>24.2068034424497</v>
      </c>
      <c r="AA1186" s="18" t="n">
        <f aca="false">IF(D1186="","",IF(H1186&lt;=$B$16,1,IF(H1186&gt;=$B$17,$B$21,MATCH(H1186,Aux_CAV!$A$2:$A$121,1))))</f>
        <v>12</v>
      </c>
      <c r="AB1186" s="18" t="n">
        <f aca="false">IF(D1186="","",IF(L1186&lt;=$B$16,1,IF(L1186&gt;=$B$17,$B$21,MATCH(L1186,Aux_CAV!$A$2:$A$121,1))))</f>
        <v>11</v>
      </c>
      <c r="AC1186" s="19" t="n">
        <f aca="false">IF(D1186="","",COUNT($D$24:D1186))</f>
        <v>1151</v>
      </c>
    </row>
    <row r="1187" customFormat="false" ht="12.75" hidden="false" customHeight="true" outlineLevel="0" collapsed="false">
      <c r="A1187" s="14" t="n">
        <f aca="false">IF(D1187="","",DATE(B1187,C1187,1))</f>
        <v>39052</v>
      </c>
      <c r="B1187" s="15" t="n">
        <f aca="false" t="array" ref="B1187:B1187">IF(D1187="","",IFERROR(VALUE(INDEX(Vazoes_COLAR!$A$2:$A$200,INT((ROW()-24)/12)+1)),""))</f>
        <v>2006</v>
      </c>
      <c r="C1187" s="15" t="n">
        <f aca="false">IF(D1187="","",MOD(ROW()-24,12)+1)</f>
        <v>12</v>
      </c>
      <c r="D1187" s="16" t="n">
        <f aca="false" t="array" ref="D1187: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0.120006612357916</v>
      </c>
      <c r="E1187" s="16" t="n">
        <f aca="false">IF(D1187="","",D1187*$B$15)</f>
        <v>0.311057139231718</v>
      </c>
      <c r="F1187" s="16" t="n">
        <f aca="false" t="array" ref="F1187:F1187">IF(D1187="","",IFERROR(INDEX(Dados_Evap!$C$2:$N$15,MATCH($B$9,Dados_Evap!$A$2:$A$15,0),C1187),0))</f>
        <v>216.1</v>
      </c>
      <c r="G1187" s="16" t="n">
        <f aca="false">IF(F1187="","",F1187/1000)</f>
        <v>0.2161</v>
      </c>
      <c r="H1187" s="16" t="n">
        <f aca="false">IF(D1187="","",MAX(0,MIN($B$8,IFERROR(LOOKUP(2,1/($U$24:U1186&lt;&gt;""),$U$24:U1186),$B$11))))</f>
        <v>24.2068034424497</v>
      </c>
      <c r="I1187" s="16" t="n">
        <f aca="false" t="array" ref="I1187: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>4.6307067653807</v>
      </c>
      <c r="J1187" s="16" t="n">
        <f aca="false">IF(D1187="","",$B$12)</f>
        <v>0.35</v>
      </c>
      <c r="K1187" s="16" t="n">
        <f aca="false">IF(J1187="","",J1187*$B$15)</f>
        <v>0.9072</v>
      </c>
      <c r="L1187" s="16" t="n">
        <f aca="false">IF(D1187="","",H1187+E1187-K1187-G1187*I1187)</f>
        <v>22.6099648496826</v>
      </c>
      <c r="M1187" s="16" t="n">
        <f aca="false" t="array" ref="M1187: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>4.43997140886451</v>
      </c>
      <c r="N1187" s="16" t="n">
        <f aca="false">IF(D1187="","",(I1187+M1187)/2)</f>
        <v>4.53533908712261</v>
      </c>
      <c r="O1187" s="16" t="n">
        <f aca="false">IF(D1187="","",G1187*N1187)</f>
        <v>0.980086776727195</v>
      </c>
      <c r="P1187" s="16" t="n">
        <f aca="false">IF(D1187="","",H1187+E1187-K1187-O1187)</f>
        <v>22.6305738049542</v>
      </c>
      <c r="Q1187" s="16" t="n">
        <f aca="false">IF(D1187="","",IF(P1187&gt;=0,K1187,MAX(0,K1187+P1187)))</f>
        <v>0.9072</v>
      </c>
      <c r="R1187" s="16" t="n">
        <f aca="false">IF(D1187="","",Q1187/$B$15)</f>
        <v>0.35</v>
      </c>
      <c r="S1187" s="16" t="n">
        <f aca="false">IF(D1187="","",MAX(0,J1187-R1187))</f>
        <v>0</v>
      </c>
      <c r="T1187" s="16" t="n">
        <f aca="false">IF(D1187="","",MAX(0,Z1187-$B$8))</f>
        <v>0</v>
      </c>
      <c r="U1187" s="16" t="n">
        <f aca="false">IF(D1187="","",MAX(0,MIN($B$8,Z1187)))</f>
        <v>22.6305738049542</v>
      </c>
      <c r="V1187" s="16" t="str">
        <f aca="false">IF(D1187="","",IF(S1187&gt;0.0000001,"Sim","Não"))</f>
        <v>Não</v>
      </c>
      <c r="W1187" s="16" t="n">
        <f aca="false">IF(D1187="","",U1187-(H1187+E1187-Q1187-O1187-T1187))</f>
        <v>0</v>
      </c>
      <c r="X1187" s="16" t="n">
        <f aca="false">IF(W1187="","",ABS(W1187))</f>
        <v>0</v>
      </c>
      <c r="Y1187" s="16" t="n">
        <f aca="false">IF(U1187="","",IF($B$8=0,0,U1187/$B$8*100))</f>
        <v>47.9258233904155</v>
      </c>
      <c r="Z1187" s="18" t="n">
        <f aca="false">IF(D1187="","",MAX(0,IF(P1187&gt;=0,P1187,IF(K1187+P1187&gt;=0,0,P1187+K1187))))</f>
        <v>22.6305738049542</v>
      </c>
      <c r="AA1187" s="18" t="n">
        <f aca="false">IF(D1187="","",IF(H1187&lt;=$B$16,1,IF(H1187&gt;=$B$17,$B$21,MATCH(H1187,Aux_CAV!$A$2:$A$121,1))))</f>
        <v>12</v>
      </c>
      <c r="AB1187" s="18" t="n">
        <f aca="false">IF(D1187="","",IF(L1187&lt;=$B$16,1,IF(L1187&gt;=$B$17,$B$21,MATCH(L1187,Aux_CAV!$A$2:$A$121,1))))</f>
        <v>11</v>
      </c>
      <c r="AC1187" s="19" t="n">
        <f aca="false">IF(D1187="","",COUNT($D$24:D1187))</f>
        <v>1152</v>
      </c>
    </row>
    <row r="1188" customFormat="false" ht="12.75" hidden="false" customHeight="true" outlineLevel="0" collapsed="false">
      <c r="A1188" s="14" t="n">
        <f aca="false">IF(D1188="","",DATE(B1188,C1188,1))</f>
        <v>39083</v>
      </c>
      <c r="B1188" s="15" t="n">
        <f aca="false" t="array" ref="B1188:B1188">IF(D1188="","",IFERROR(VALUE(INDEX(Vazoes_COLAR!$A$2:$A$200,INT((ROW()-24)/12)+1)),""))</f>
        <v>2007</v>
      </c>
      <c r="C1188" s="15" t="n">
        <f aca="false">IF(D1188="","",MOD(ROW()-24,12)+1)</f>
        <v>1</v>
      </c>
      <c r="D1188" s="16" t="n">
        <f aca="false" t="array" ref="D1188: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0.136072095920944</v>
      </c>
      <c r="E1188" s="16" t="n">
        <f aca="false">IF(D1188="","",D1188*$B$15)</f>
        <v>0.352698872627087</v>
      </c>
      <c r="F1188" s="16" t="n">
        <f aca="false" t="array" ref="F1188:F1188">IF(D1188="","",IFERROR(INDEX(Dados_Evap!$C$2:$N$15,MATCH($B$9,Dados_Evap!$A$2:$A$15,0),C1188),0))</f>
        <v>160</v>
      </c>
      <c r="G1188" s="16" t="n">
        <f aca="false">IF(F1188="","",F1188/1000)</f>
        <v>0.16</v>
      </c>
      <c r="H1188" s="16" t="n">
        <f aca="false">IF(D1188="","",MAX(0,MIN($B$8,IFERROR(LOOKUP(2,1/($U$24:U1187&lt;&gt;""),$U$24:U1187),$B$11))))</f>
        <v>22.6305738049542</v>
      </c>
      <c r="I1188" s="16" t="n">
        <f aca="false" t="array" ref="I1188: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>4.44243443034819</v>
      </c>
      <c r="J1188" s="16" t="n">
        <f aca="false">IF(D1188="","",$B$12)</f>
        <v>0.35</v>
      </c>
      <c r="K1188" s="16" t="n">
        <f aca="false">IF(J1188="","",J1188*$B$15)</f>
        <v>0.9072</v>
      </c>
      <c r="L1188" s="16" t="n">
        <f aca="false">IF(D1188="","",H1188+E1188-K1188-G1188*I1188)</f>
        <v>21.3652831687256</v>
      </c>
      <c r="M1188" s="16" t="n">
        <f aca="false" t="array" ref="M1188: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>4.29121676894525</v>
      </c>
      <c r="N1188" s="16" t="n">
        <f aca="false">IF(D1188="","",(I1188+M1188)/2)</f>
        <v>4.36682559964672</v>
      </c>
      <c r="O1188" s="16" t="n">
        <f aca="false">IF(D1188="","",G1188*N1188)</f>
        <v>0.698692095943475</v>
      </c>
      <c r="P1188" s="16" t="n">
        <f aca="false">IF(D1188="","",H1188+E1188-K1188-O1188)</f>
        <v>21.3773805816378</v>
      </c>
      <c r="Q1188" s="16" t="n">
        <f aca="false">IF(D1188="","",IF(P1188&gt;=0,K1188,MAX(0,K1188+P1188)))</f>
        <v>0.9072</v>
      </c>
      <c r="R1188" s="16" t="n">
        <f aca="false">IF(D1188="","",Q1188/$B$15)</f>
        <v>0.35</v>
      </c>
      <c r="S1188" s="16" t="n">
        <f aca="false">IF(D1188="","",MAX(0,J1188-R1188))</f>
        <v>0</v>
      </c>
      <c r="T1188" s="16" t="n">
        <f aca="false">IF(D1188="","",MAX(0,Z1188-$B$8))</f>
        <v>0</v>
      </c>
      <c r="U1188" s="16" t="n">
        <f aca="false">IF(D1188="","",MAX(0,MIN($B$8,Z1188)))</f>
        <v>21.3773805816378</v>
      </c>
      <c r="V1188" s="16" t="str">
        <f aca="false">IF(D1188="","",IF(S1188&gt;0.0000001,"Sim","Não"))</f>
        <v>Não</v>
      </c>
      <c r="W1188" s="16" t="n">
        <f aca="false">IF(D1188="","",U1188-(H1188+E1188-Q1188-O1188-T1188))</f>
        <v>0</v>
      </c>
      <c r="X1188" s="16" t="n">
        <f aca="false">IF(W1188="","",ABS(W1188))</f>
        <v>0</v>
      </c>
      <c r="Y1188" s="16" t="n">
        <f aca="false">IF(U1188="","",IF($B$8=0,0,U1188/$B$8*100))</f>
        <v>45.2718775553533</v>
      </c>
      <c r="Z1188" s="18" t="n">
        <f aca="false">IF(D1188="","",MAX(0,IF(P1188&gt;=0,P1188,IF(K1188+P1188&gt;=0,0,P1188+K1188))))</f>
        <v>21.3773805816378</v>
      </c>
      <c r="AA1188" s="18" t="n">
        <f aca="false">IF(D1188="","",IF(H1188&lt;=$B$16,1,IF(H1188&gt;=$B$17,$B$21,MATCH(H1188,Aux_CAV!$A$2:$A$121,1))))</f>
        <v>11</v>
      </c>
      <c r="AB1188" s="18" t="n">
        <f aca="false">IF(D1188="","",IF(L1188&lt;=$B$16,1,IF(L1188&gt;=$B$17,$B$21,MATCH(L1188,Aux_CAV!$A$2:$A$121,1))))</f>
        <v>11</v>
      </c>
      <c r="AC1188" s="19" t="n">
        <f aca="false">IF(D1188="","",COUNT($D$24:D1188))</f>
        <v>1153</v>
      </c>
    </row>
    <row r="1189" customFormat="false" ht="12.75" hidden="false" customHeight="true" outlineLevel="0" collapsed="false">
      <c r="A1189" s="14" t="n">
        <f aca="false">IF(D1189="","",DATE(B1189,C1189,1))</f>
        <v>39114</v>
      </c>
      <c r="B1189" s="15" t="n">
        <f aca="false" t="array" ref="B1189:B1189">IF(D1189="","",IFERROR(VALUE(INDEX(Vazoes_COLAR!$A$2:$A$200,INT((ROW()-24)/12)+1)),""))</f>
        <v>2007</v>
      </c>
      <c r="C1189" s="15" t="n">
        <f aca="false">IF(D1189="","",MOD(ROW()-24,12)+1)</f>
        <v>2</v>
      </c>
      <c r="D1189" s="16" t="n">
        <f aca="false" t="array" ref="D1189: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1.47944986199245</v>
      </c>
      <c r="E1189" s="16" t="n">
        <f aca="false">IF(D1189="","",D1189*$B$15)</f>
        <v>3.83473404228443</v>
      </c>
      <c r="F1189" s="16" t="n">
        <f aca="false" t="array" ref="F1189:F1189">IF(D1189="","",IFERROR(INDEX(Dados_Evap!$C$2:$N$15,MATCH($B$9,Dados_Evap!$A$2:$A$15,0),C1189),0))</f>
        <v>124.3</v>
      </c>
      <c r="G1189" s="16" t="n">
        <f aca="false">IF(F1189="","",F1189/1000)</f>
        <v>0.1243</v>
      </c>
      <c r="H1189" s="16" t="n">
        <f aca="false">IF(D1189="","",MAX(0,MIN($B$8,IFERROR(LOOKUP(2,1/($U$24:U1188&lt;&gt;""),$U$24:U1188),$B$11))))</f>
        <v>21.3773805816378</v>
      </c>
      <c r="I1189" s="16" t="n">
        <f aca="false" t="array" ref="I1189: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>4.29266255731769</v>
      </c>
      <c r="J1189" s="16" t="n">
        <f aca="false">IF(D1189="","",$B$12)</f>
        <v>0.35</v>
      </c>
      <c r="K1189" s="16" t="n">
        <f aca="false">IF(J1189="","",J1189*$B$15)</f>
        <v>0.9072</v>
      </c>
      <c r="L1189" s="16" t="n">
        <f aca="false">IF(D1189="","",H1189+E1189-K1189-G1189*I1189)</f>
        <v>23.7713366680477</v>
      </c>
      <c r="M1189" s="16" t="n">
        <f aca="false" t="array" ref="M1189: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>4.57876950423009</v>
      </c>
      <c r="N1189" s="16" t="n">
        <f aca="false">IF(D1189="","",(I1189+M1189)/2)</f>
        <v>4.43571603077389</v>
      </c>
      <c r="O1189" s="16" t="n">
        <f aca="false">IF(D1189="","",G1189*N1189)</f>
        <v>0.551359502625195</v>
      </c>
      <c r="P1189" s="16" t="n">
        <f aca="false">IF(D1189="","",H1189+E1189-K1189-O1189)</f>
        <v>23.7535551212971</v>
      </c>
      <c r="Q1189" s="16" t="n">
        <f aca="false">IF(D1189="","",IF(P1189&gt;=0,K1189,MAX(0,K1189+P1189)))</f>
        <v>0.9072</v>
      </c>
      <c r="R1189" s="16" t="n">
        <f aca="false">IF(D1189="","",Q1189/$B$15)</f>
        <v>0.35</v>
      </c>
      <c r="S1189" s="16" t="n">
        <f aca="false">IF(D1189="","",MAX(0,J1189-R1189))</f>
        <v>0</v>
      </c>
      <c r="T1189" s="16" t="n">
        <f aca="false">IF(D1189="","",MAX(0,Z1189-$B$8))</f>
        <v>0</v>
      </c>
      <c r="U1189" s="16" t="n">
        <f aca="false">IF(D1189="","",MAX(0,MIN($B$8,Z1189)))</f>
        <v>23.7535551212971</v>
      </c>
      <c r="V1189" s="16" t="str">
        <f aca="false">IF(D1189="","",IF(S1189&gt;0.0000001,"Sim","Não"))</f>
        <v>Não</v>
      </c>
      <c r="W1189" s="16" t="n">
        <f aca="false">IF(D1189="","",U1189-(H1189+E1189-Q1189-O1189-T1189))</f>
        <v>0</v>
      </c>
      <c r="X1189" s="16" t="n">
        <f aca="false">IF(W1189="","",ABS(W1189))</f>
        <v>0</v>
      </c>
      <c r="Y1189" s="16" t="n">
        <f aca="false">IF(U1189="","",IF($B$8=0,0,U1189/$B$8*100))</f>
        <v>50.3040133869061</v>
      </c>
      <c r="Z1189" s="18" t="n">
        <f aca="false">IF(D1189="","",MAX(0,IF(P1189&gt;=0,P1189,IF(K1189+P1189&gt;=0,0,P1189+K1189))))</f>
        <v>23.7535551212971</v>
      </c>
      <c r="AA1189" s="18" t="n">
        <f aca="false">IF(D1189="","",IF(H1189&lt;=$B$16,1,IF(H1189&gt;=$B$17,$B$21,MATCH(H1189,Aux_CAV!$A$2:$A$121,1))))</f>
        <v>11</v>
      </c>
      <c r="AB1189" s="18" t="n">
        <f aca="false">IF(D1189="","",IF(L1189&lt;=$B$16,1,IF(L1189&gt;=$B$17,$B$21,MATCH(L1189,Aux_CAV!$A$2:$A$121,1))))</f>
        <v>11</v>
      </c>
      <c r="AC1189" s="19" t="n">
        <f aca="false">IF(D1189="","",COUNT($D$24:D1189))</f>
        <v>1154</v>
      </c>
    </row>
    <row r="1190" customFormat="false" ht="12.75" hidden="false" customHeight="true" outlineLevel="0" collapsed="false">
      <c r="A1190" s="14" t="n">
        <f aca="false">IF(D1190="","",DATE(B1190,C1190,1))</f>
        <v>39142</v>
      </c>
      <c r="B1190" s="15" t="n">
        <f aca="false" t="array" ref="B1190:B1190">IF(D1190="","",IFERROR(VALUE(INDEX(Vazoes_COLAR!$A$2:$A$200,INT((ROW()-24)/12)+1)),""))</f>
        <v>2007</v>
      </c>
      <c r="C1190" s="15" t="n">
        <f aca="false">IF(D1190="","",MOD(ROW()-24,12)+1)</f>
        <v>3</v>
      </c>
      <c r="D1190" s="16" t="n">
        <f aca="false" t="array" ref="D1190: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1.47008292269852</v>
      </c>
      <c r="E1190" s="16" t="n">
        <f aca="false">IF(D1190="","",D1190*$B$15)</f>
        <v>3.81045493563456</v>
      </c>
      <c r="F1190" s="16" t="n">
        <f aca="false" t="array" ref="F1190:F1190">IF(D1190="","",IFERROR(INDEX(Dados_Evap!$C$2:$N$15,MATCH($B$9,Dados_Evap!$A$2:$A$15,0),C1190),0))</f>
        <v>107.7</v>
      </c>
      <c r="G1190" s="16" t="n">
        <f aca="false">IF(F1190="","",F1190/1000)</f>
        <v>0.1077</v>
      </c>
      <c r="H1190" s="16" t="n">
        <f aca="false">IF(D1190="","",MAX(0,MIN($B$8,IFERROR(LOOKUP(2,1/($U$24:U1189&lt;&gt;""),$U$24:U1189),$B$11))))</f>
        <v>23.7535551212971</v>
      </c>
      <c r="I1190" s="16" t="n">
        <f aca="false" t="array" ref="I1190: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>4.57664439254526</v>
      </c>
      <c r="J1190" s="16" t="n">
        <f aca="false">IF(D1190="","",$B$12)</f>
        <v>0.35</v>
      </c>
      <c r="K1190" s="16" t="n">
        <f aca="false">IF(J1190="","",J1190*$B$15)</f>
        <v>0.9072</v>
      </c>
      <c r="L1190" s="16" t="n">
        <f aca="false">IF(D1190="","",H1190+E1190-K1190-G1190*I1190)</f>
        <v>26.1639054558545</v>
      </c>
      <c r="M1190" s="16" t="n">
        <f aca="false" t="array" ref="M1190: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>4.83401736288974</v>
      </c>
      <c r="N1190" s="16" t="n">
        <f aca="false">IF(D1190="","",(I1190+M1190)/2)</f>
        <v>4.7053308777175</v>
      </c>
      <c r="O1190" s="16" t="n">
        <f aca="false">IF(D1190="","",G1190*N1190)</f>
        <v>0.506764135530175</v>
      </c>
      <c r="P1190" s="16" t="n">
        <f aca="false">IF(D1190="","",H1190+E1190-K1190-O1190)</f>
        <v>26.1500459214015</v>
      </c>
      <c r="Q1190" s="16" t="n">
        <f aca="false">IF(D1190="","",IF(P1190&gt;=0,K1190,MAX(0,K1190+P1190)))</f>
        <v>0.9072</v>
      </c>
      <c r="R1190" s="16" t="n">
        <f aca="false">IF(D1190="","",Q1190/$B$15)</f>
        <v>0.35</v>
      </c>
      <c r="S1190" s="16" t="n">
        <f aca="false">IF(D1190="","",MAX(0,J1190-R1190))</f>
        <v>0</v>
      </c>
      <c r="T1190" s="16" t="n">
        <f aca="false">IF(D1190="","",MAX(0,Z1190-$B$8))</f>
        <v>0</v>
      </c>
      <c r="U1190" s="16" t="n">
        <f aca="false">IF(D1190="","",MAX(0,MIN($B$8,Z1190)))</f>
        <v>26.1500459214015</v>
      </c>
      <c r="V1190" s="16" t="str">
        <f aca="false">IF(D1190="","",IF(S1190&gt;0.0000001,"Sim","Não"))</f>
        <v>Não</v>
      </c>
      <c r="W1190" s="16" t="n">
        <f aca="false">IF(D1190="","",U1190-(H1190+E1190-Q1190-O1190-T1190))</f>
        <v>0</v>
      </c>
      <c r="X1190" s="16" t="n">
        <f aca="false">IF(W1190="","",ABS(W1190))</f>
        <v>0</v>
      </c>
      <c r="Y1190" s="16" t="n">
        <f aca="false">IF(U1190="","",IF($B$8=0,0,U1190/$B$8*100))</f>
        <v>55.3791739123284</v>
      </c>
      <c r="Z1190" s="18" t="n">
        <f aca="false">IF(D1190="","",MAX(0,IF(P1190&gt;=0,P1190,IF(K1190+P1190&gt;=0,0,P1190+K1190))))</f>
        <v>26.1500459214015</v>
      </c>
      <c r="AA1190" s="18" t="n">
        <f aca="false">IF(D1190="","",IF(H1190&lt;=$B$16,1,IF(H1190&gt;=$B$17,$B$21,MATCH(H1190,Aux_CAV!$A$2:$A$121,1))))</f>
        <v>11</v>
      </c>
      <c r="AB1190" s="18" t="n">
        <f aca="false">IF(D1190="","",IF(L1190&lt;=$B$16,1,IF(L1190&gt;=$B$17,$B$21,MATCH(L1190,Aux_CAV!$A$2:$A$121,1))))</f>
        <v>12</v>
      </c>
      <c r="AC1190" s="19" t="n">
        <f aca="false">IF(D1190="","",COUNT($D$24:D1190))</f>
        <v>1155</v>
      </c>
    </row>
    <row r="1191" customFormat="false" ht="12.75" hidden="false" customHeight="true" outlineLevel="0" collapsed="false">
      <c r="A1191" s="14" t="n">
        <f aca="false">IF(D1191="","",DATE(B1191,C1191,1))</f>
        <v>39173</v>
      </c>
      <c r="B1191" s="15" t="n">
        <f aca="false" t="array" ref="B1191:B1191">IF(D1191="","",IFERROR(VALUE(INDEX(Vazoes_COLAR!$A$2:$A$200,INT((ROW()-24)/12)+1)),""))</f>
        <v>2007</v>
      </c>
      <c r="C1191" s="15" t="n">
        <f aca="false">IF(D1191="","",MOD(ROW()-24,12)+1)</f>
        <v>4</v>
      </c>
      <c r="D1191" s="16" t="n">
        <f aca="false" t="array" ref="D1191: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2.29011064394712</v>
      </c>
      <c r="E1191" s="16" t="n">
        <f aca="false">IF(D1191="","",D1191*$B$15)</f>
        <v>5.93596678911094</v>
      </c>
      <c r="F1191" s="16" t="n">
        <f aca="false" t="array" ref="F1191:F1191">IF(D1191="","",IFERROR(INDEX(Dados_Evap!$C$2:$N$15,MATCH($B$9,Dados_Evap!$A$2:$A$15,0),C1191),0))</f>
        <v>100.5</v>
      </c>
      <c r="G1191" s="16" t="n">
        <f aca="false">IF(F1191="","",F1191/1000)</f>
        <v>0.1005</v>
      </c>
      <c r="H1191" s="16" t="n">
        <f aca="false">IF(D1191="","",MAX(0,MIN($B$8,IFERROR(LOOKUP(2,1/($U$24:U1190&lt;&gt;""),$U$24:U1190),$B$11))))</f>
        <v>26.1500459214015</v>
      </c>
      <c r="I1191" s="16" t="n">
        <f aca="false" t="array" ref="I1191: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>4.83257758600967</v>
      </c>
      <c r="J1191" s="16" t="n">
        <f aca="false">IF(D1191="","",$B$12)</f>
        <v>0.35</v>
      </c>
      <c r="K1191" s="16" t="n">
        <f aca="false">IF(J1191="","",J1191*$B$15)</f>
        <v>0.9072</v>
      </c>
      <c r="L1191" s="16" t="n">
        <f aca="false">IF(D1191="","",H1191+E1191-K1191-G1191*I1191)</f>
        <v>30.6931386631184</v>
      </c>
      <c r="M1191" s="16" t="n">
        <f aca="false" t="array" ref="M1191: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>5.30452993878997</v>
      </c>
      <c r="N1191" s="16" t="n">
        <f aca="false">IF(D1191="","",(I1191+M1191)/2)</f>
        <v>5.06855376239982</v>
      </c>
      <c r="O1191" s="16" t="n">
        <f aca="false">IF(D1191="","",G1191*N1191)</f>
        <v>0.509389653121182</v>
      </c>
      <c r="P1191" s="16" t="n">
        <f aca="false">IF(D1191="","",H1191+E1191-K1191-O1191)</f>
        <v>30.6694230573912</v>
      </c>
      <c r="Q1191" s="16" t="n">
        <f aca="false">IF(D1191="","",IF(P1191&gt;=0,K1191,MAX(0,K1191+P1191)))</f>
        <v>0.9072</v>
      </c>
      <c r="R1191" s="16" t="n">
        <f aca="false">IF(D1191="","",Q1191/$B$15)</f>
        <v>0.35</v>
      </c>
      <c r="S1191" s="16" t="n">
        <f aca="false">IF(D1191="","",MAX(0,J1191-R1191))</f>
        <v>0</v>
      </c>
      <c r="T1191" s="16" t="n">
        <f aca="false">IF(D1191="","",MAX(0,Z1191-$B$8))</f>
        <v>0</v>
      </c>
      <c r="U1191" s="16" t="n">
        <f aca="false">IF(D1191="","",MAX(0,MIN($B$8,Z1191)))</f>
        <v>30.6694230573912</v>
      </c>
      <c r="V1191" s="16" t="str">
        <f aca="false">IF(D1191="","",IF(S1191&gt;0.0000001,"Sim","Não"))</f>
        <v>Não</v>
      </c>
      <c r="W1191" s="16" t="n">
        <f aca="false">IF(D1191="","",U1191-(H1191+E1191-Q1191-O1191-T1191))</f>
        <v>0</v>
      </c>
      <c r="X1191" s="16" t="n">
        <f aca="false">IF(W1191="","",ABS(W1191))</f>
        <v>0</v>
      </c>
      <c r="Y1191" s="16" t="n">
        <f aca="false">IF(U1191="","",IF($B$8=0,0,U1191/$B$8*100))</f>
        <v>64.9500700071817</v>
      </c>
      <c r="Z1191" s="18" t="n">
        <f aca="false">IF(D1191="","",MAX(0,IF(P1191&gt;=0,P1191,IF(K1191+P1191&gt;=0,0,P1191+K1191))))</f>
        <v>30.6694230573912</v>
      </c>
      <c r="AA1191" s="18" t="n">
        <f aca="false">IF(D1191="","",IF(H1191&lt;=$B$16,1,IF(H1191&gt;=$B$17,$B$21,MATCH(H1191,Aux_CAV!$A$2:$A$121,1))))</f>
        <v>12</v>
      </c>
      <c r="AB1191" s="18" t="n">
        <f aca="false">IF(D1191="","",IF(L1191&lt;=$B$16,1,IF(L1191&gt;=$B$17,$B$21,MATCH(L1191,Aux_CAV!$A$2:$A$121,1))))</f>
        <v>12</v>
      </c>
      <c r="AC1191" s="19" t="n">
        <f aca="false">IF(D1191="","",COUNT($D$24:D1191))</f>
        <v>1156</v>
      </c>
    </row>
    <row r="1192" customFormat="false" ht="12.75" hidden="false" customHeight="true" outlineLevel="0" collapsed="false">
      <c r="A1192" s="14" t="n">
        <f aca="false">IF(D1192="","",DATE(B1192,C1192,1))</f>
        <v>39203</v>
      </c>
      <c r="B1192" s="15" t="n">
        <f aca="false" t="array" ref="B1192:B1192">IF(D1192="","",IFERROR(VALUE(INDEX(Vazoes_COLAR!$A$2:$A$200,INT((ROW()-24)/12)+1)),""))</f>
        <v>2007</v>
      </c>
      <c r="C1192" s="15" t="n">
        <f aca="false">IF(D1192="","",MOD(ROW()-24,12)+1)</f>
        <v>5</v>
      </c>
      <c r="D1192" s="16" t="n">
        <f aca="false" t="array" ref="D1192: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0.779520801962861</v>
      </c>
      <c r="E1192" s="16" t="n">
        <f aca="false">IF(D1192="","",D1192*$B$15)</f>
        <v>2.02051791868774</v>
      </c>
      <c r="F1192" s="16" t="n">
        <f aca="false" t="array" ref="F1192:F1192">IF(D1192="","",IFERROR(INDEX(Dados_Evap!$C$2:$N$15,MATCH($B$9,Dados_Evap!$A$2:$A$15,0),C1192),0))</f>
        <v>145.8</v>
      </c>
      <c r="G1192" s="16" t="n">
        <f aca="false">IF(F1192="","",F1192/1000)</f>
        <v>0.1458</v>
      </c>
      <c r="H1192" s="16" t="n">
        <f aca="false">IF(D1192="","",MAX(0,MIN($B$8,IFERROR(LOOKUP(2,1/($U$24:U1191&lt;&gt;""),$U$24:U1191),$B$11))))</f>
        <v>30.6694230573912</v>
      </c>
      <c r="I1192" s="16" t="n">
        <f aca="false" t="array" ref="I1192: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>5.30206627877753</v>
      </c>
      <c r="J1192" s="16" t="n">
        <f aca="false">IF(D1192="","",$B$12)</f>
        <v>0.35</v>
      </c>
      <c r="K1192" s="16" t="n">
        <f aca="false">IF(J1192="","",J1192*$B$15)</f>
        <v>0.9072</v>
      </c>
      <c r="L1192" s="16" t="n">
        <f aca="false">IF(D1192="","",H1192+E1192-K1192-G1192*I1192)</f>
        <v>31.0096997126332</v>
      </c>
      <c r="M1192" s="16" t="n">
        <f aca="false" t="array" ref="M1192: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>5.33741540704054</v>
      </c>
      <c r="N1192" s="16" t="n">
        <f aca="false">IF(D1192="","",(I1192+M1192)/2)</f>
        <v>5.31974084290903</v>
      </c>
      <c r="O1192" s="16" t="n">
        <f aca="false">IF(D1192="","",G1192*N1192)</f>
        <v>0.775618214896137</v>
      </c>
      <c r="P1192" s="16" t="n">
        <f aca="false">IF(D1192="","",H1192+E1192-K1192-O1192)</f>
        <v>31.0071227611828</v>
      </c>
      <c r="Q1192" s="16" t="n">
        <f aca="false">IF(D1192="","",IF(P1192&gt;=0,K1192,MAX(0,K1192+P1192)))</f>
        <v>0.9072</v>
      </c>
      <c r="R1192" s="16" t="n">
        <f aca="false">IF(D1192="","",Q1192/$B$15)</f>
        <v>0.35</v>
      </c>
      <c r="S1192" s="16" t="n">
        <f aca="false">IF(D1192="","",MAX(0,J1192-R1192))</f>
        <v>0</v>
      </c>
      <c r="T1192" s="16" t="n">
        <f aca="false">IF(D1192="","",MAX(0,Z1192-$B$8))</f>
        <v>0</v>
      </c>
      <c r="U1192" s="16" t="n">
        <f aca="false">IF(D1192="","",MAX(0,MIN($B$8,Z1192)))</f>
        <v>31.0071227611828</v>
      </c>
      <c r="V1192" s="16" t="str">
        <f aca="false">IF(D1192="","",IF(S1192&gt;0.0000001,"Sim","Não"))</f>
        <v>Não</v>
      </c>
      <c r="W1192" s="16" t="n">
        <f aca="false">IF(D1192="","",U1192-(H1192+E1192-Q1192-O1192-T1192))</f>
        <v>0</v>
      </c>
      <c r="X1192" s="16" t="n">
        <f aca="false">IF(W1192="","",ABS(W1192))</f>
        <v>0</v>
      </c>
      <c r="Y1192" s="16" t="n">
        <f aca="false">IF(U1192="","",IF($B$8=0,0,U1192/$B$8*100))</f>
        <v>65.6652324463846</v>
      </c>
      <c r="Z1192" s="18" t="n">
        <f aca="false">IF(D1192="","",MAX(0,IF(P1192&gt;=0,P1192,IF(K1192+P1192&gt;=0,0,P1192+K1192))))</f>
        <v>31.0071227611828</v>
      </c>
      <c r="AA1192" s="18" t="n">
        <f aca="false">IF(D1192="","",IF(H1192&lt;=$B$16,1,IF(H1192&gt;=$B$17,$B$21,MATCH(H1192,Aux_CAV!$A$2:$A$121,1))))</f>
        <v>12</v>
      </c>
      <c r="AB1192" s="18" t="n">
        <f aca="false">IF(D1192="","",IF(L1192&lt;=$B$16,1,IF(L1192&gt;=$B$17,$B$21,MATCH(L1192,Aux_CAV!$A$2:$A$121,1))))</f>
        <v>12</v>
      </c>
      <c r="AC1192" s="19" t="n">
        <f aca="false">IF(D1192="","",COUNT($D$24:D1192))</f>
        <v>1157</v>
      </c>
    </row>
    <row r="1193" customFormat="false" ht="12.75" hidden="false" customHeight="true" outlineLevel="0" collapsed="false">
      <c r="A1193" s="14" t="n">
        <f aca="false">IF(D1193="","",DATE(B1193,C1193,1))</f>
        <v>39234</v>
      </c>
      <c r="B1193" s="15" t="n">
        <f aca="false" t="array" ref="B1193:B1193">IF(D1193="","",IFERROR(VALUE(INDEX(Vazoes_COLAR!$A$2:$A$200,INT((ROW()-24)/12)+1)),""))</f>
        <v>2007</v>
      </c>
      <c r="C1193" s="15" t="n">
        <f aca="false">IF(D1193="","",MOD(ROW()-24,12)+1)</f>
        <v>6</v>
      </c>
      <c r="D1193" s="16" t="n">
        <f aca="false" t="array" ref="D1193: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0.351763352420303</v>
      </c>
      <c r="E1193" s="16" t="n">
        <f aca="false">IF(D1193="","",D1193*$B$15)</f>
        <v>0.911770609473425</v>
      </c>
      <c r="F1193" s="16" t="n">
        <f aca="false" t="array" ref="F1193:F1193">IF(D1193="","",IFERROR(INDEX(Dados_Evap!$C$2:$N$15,MATCH($B$9,Dados_Evap!$A$2:$A$15,0),C1193),0))</f>
        <v>161.3</v>
      </c>
      <c r="G1193" s="16" t="n">
        <f aca="false">IF(F1193="","",F1193/1000)</f>
        <v>0.1613</v>
      </c>
      <c r="H1193" s="16" t="n">
        <f aca="false">IF(D1193="","",MAX(0,MIN($B$8,IFERROR(LOOKUP(2,1/($U$24:U1192&lt;&gt;""),$U$24:U1192),$B$11))))</f>
        <v>31.0071227611828</v>
      </c>
      <c r="I1193" s="16" t="n">
        <f aca="false" t="array" ref="I1193: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>5.33714770431705</v>
      </c>
      <c r="J1193" s="16" t="n">
        <f aca="false">IF(D1193="","",$B$12)</f>
        <v>0.35</v>
      </c>
      <c r="K1193" s="16" t="n">
        <f aca="false">IF(J1193="","",J1193*$B$15)</f>
        <v>0.9072</v>
      </c>
      <c r="L1193" s="16" t="n">
        <f aca="false">IF(D1193="","",H1193+E1193-K1193-G1193*I1193)</f>
        <v>30.1508114459499</v>
      </c>
      <c r="M1193" s="16" t="n">
        <f aca="false" t="array" ref="M1193: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>5.2481910919579</v>
      </c>
      <c r="N1193" s="16" t="n">
        <f aca="false">IF(D1193="","",(I1193+M1193)/2)</f>
        <v>5.29266939813748</v>
      </c>
      <c r="O1193" s="16" t="n">
        <f aca="false">IF(D1193="","",G1193*N1193)</f>
        <v>0.853707573919575</v>
      </c>
      <c r="P1193" s="16" t="n">
        <f aca="false">IF(D1193="","",H1193+E1193-K1193-O1193)</f>
        <v>30.1579857967367</v>
      </c>
      <c r="Q1193" s="16" t="n">
        <f aca="false">IF(D1193="","",IF(P1193&gt;=0,K1193,MAX(0,K1193+P1193)))</f>
        <v>0.9072</v>
      </c>
      <c r="R1193" s="16" t="n">
        <f aca="false">IF(D1193="","",Q1193/$B$15)</f>
        <v>0.35</v>
      </c>
      <c r="S1193" s="16" t="n">
        <f aca="false">IF(D1193="","",MAX(0,J1193-R1193))</f>
        <v>0</v>
      </c>
      <c r="T1193" s="16" t="n">
        <f aca="false">IF(D1193="","",MAX(0,Z1193-$B$8))</f>
        <v>0</v>
      </c>
      <c r="U1193" s="16" t="n">
        <f aca="false">IF(D1193="","",MAX(0,MIN($B$8,Z1193)))</f>
        <v>30.1579857967367</v>
      </c>
      <c r="V1193" s="16" t="str">
        <f aca="false">IF(D1193="","",IF(S1193&gt;0.0000001,"Sim","Não"))</f>
        <v>Não</v>
      </c>
      <c r="W1193" s="16" t="n">
        <f aca="false">IF(D1193="","",U1193-(H1193+E1193-Q1193-O1193-T1193))</f>
        <v>0</v>
      </c>
      <c r="X1193" s="16" t="n">
        <f aca="false">IF(W1193="","",ABS(W1193))</f>
        <v>0</v>
      </c>
      <c r="Y1193" s="16" t="n">
        <f aca="false">IF(U1193="","",IF($B$8=0,0,U1193/$B$8*100))</f>
        <v>63.8669754272271</v>
      </c>
      <c r="Z1193" s="18" t="n">
        <f aca="false">IF(D1193="","",MAX(0,IF(P1193&gt;=0,P1193,IF(K1193+P1193&gt;=0,0,P1193+K1193))))</f>
        <v>30.1579857967367</v>
      </c>
      <c r="AA1193" s="18" t="n">
        <f aca="false">IF(D1193="","",IF(H1193&lt;=$B$16,1,IF(H1193&gt;=$B$17,$B$21,MATCH(H1193,Aux_CAV!$A$2:$A$121,1))))</f>
        <v>12</v>
      </c>
      <c r="AB1193" s="18" t="n">
        <f aca="false">IF(D1193="","",IF(L1193&lt;=$B$16,1,IF(L1193&gt;=$B$17,$B$21,MATCH(L1193,Aux_CAV!$A$2:$A$121,1))))</f>
        <v>12</v>
      </c>
      <c r="AC1193" s="19" t="n">
        <f aca="false">IF(D1193="","",COUNT($D$24:D1193))</f>
        <v>1158</v>
      </c>
    </row>
    <row r="1194" customFormat="false" ht="12.75" hidden="false" customHeight="true" outlineLevel="0" collapsed="false">
      <c r="A1194" s="14" t="n">
        <f aca="false">IF(D1194="","",DATE(B1194,C1194,1))</f>
        <v>39264</v>
      </c>
      <c r="B1194" s="15" t="n">
        <f aca="false" t="array" ref="B1194:B1194">IF(D1194="","",IFERROR(VALUE(INDEX(Vazoes_COLAR!$A$2:$A$200,INT((ROW()-24)/12)+1)),""))</f>
        <v>2007</v>
      </c>
      <c r="C1194" s="15" t="n">
        <f aca="false">IF(D1194="","",MOD(ROW()-24,12)+1)</f>
        <v>7</v>
      </c>
      <c r="D1194" s="16" t="n">
        <f aca="false" t="array" ref="D1194: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0.0180289255147142</v>
      </c>
      <c r="E1194" s="16" t="n">
        <f aca="false">IF(D1194="","",D1194*$B$15)</f>
        <v>0.0467309749341392</v>
      </c>
      <c r="F1194" s="16" t="n">
        <f aca="false" t="array" ref="F1194:F1194">IF(D1194="","",IFERROR(INDEX(Dados_Evap!$C$2:$N$15,MATCH($B$9,Dados_Evap!$A$2:$A$15,0),C1194),0))</f>
        <v>224.8</v>
      </c>
      <c r="G1194" s="16" t="n">
        <f aca="false">IF(F1194="","",F1194/1000)</f>
        <v>0.2248</v>
      </c>
      <c r="H1194" s="16" t="n">
        <f aca="false">IF(D1194="","",MAX(0,MIN($B$8,IFERROR(LOOKUP(2,1/($U$24:U1193&lt;&gt;""),$U$24:U1193),$B$11))))</f>
        <v>30.1579857967367</v>
      </c>
      <c r="I1194" s="16" t="n">
        <f aca="false" t="array" ref="I1194: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>5.24893638859303</v>
      </c>
      <c r="J1194" s="16" t="n">
        <f aca="false">IF(D1194="","",$B$12)</f>
        <v>0.35</v>
      </c>
      <c r="K1194" s="16" t="n">
        <f aca="false">IF(J1194="","",J1194*$B$15)</f>
        <v>0.9072</v>
      </c>
      <c r="L1194" s="16" t="n">
        <f aca="false">IF(D1194="","",H1194+E1194-K1194-G1194*I1194)</f>
        <v>28.1175558715151</v>
      </c>
      <c r="M1194" s="16" t="n">
        <f aca="false" t="array" ref="M1194: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>5.03696939636128</v>
      </c>
      <c r="N1194" s="16" t="n">
        <f aca="false">IF(D1194="","",(I1194+M1194)/2)</f>
        <v>5.14295289247715</v>
      </c>
      <c r="O1194" s="16" t="n">
        <f aca="false">IF(D1194="","",G1194*N1194)</f>
        <v>1.15613581022886</v>
      </c>
      <c r="P1194" s="16" t="n">
        <f aca="false">IF(D1194="","",H1194+E1194-K1194-O1194)</f>
        <v>28.1413809614419</v>
      </c>
      <c r="Q1194" s="16" t="n">
        <f aca="false">IF(D1194="","",IF(P1194&gt;=0,K1194,MAX(0,K1194+P1194)))</f>
        <v>0.9072</v>
      </c>
      <c r="R1194" s="16" t="n">
        <f aca="false">IF(D1194="","",Q1194/$B$15)</f>
        <v>0.35</v>
      </c>
      <c r="S1194" s="16" t="n">
        <f aca="false">IF(D1194="","",MAX(0,J1194-R1194))</f>
        <v>0</v>
      </c>
      <c r="T1194" s="16" t="n">
        <f aca="false">IF(D1194="","",MAX(0,Z1194-$B$8))</f>
        <v>0</v>
      </c>
      <c r="U1194" s="16" t="n">
        <f aca="false">IF(D1194="","",MAX(0,MIN($B$8,Z1194)))</f>
        <v>28.1413809614419</v>
      </c>
      <c r="V1194" s="16" t="str">
        <f aca="false">IF(D1194="","",IF(S1194&gt;0.0000001,"Sim","Não"))</f>
        <v>Não</v>
      </c>
      <c r="W1194" s="16" t="n">
        <f aca="false">IF(D1194="","",U1194-(H1194+E1194-Q1194-O1194-T1194))</f>
        <v>0</v>
      </c>
      <c r="X1194" s="16" t="n">
        <f aca="false">IF(W1194="","",ABS(W1194))</f>
        <v>0</v>
      </c>
      <c r="Y1194" s="16" t="n">
        <f aca="false">IF(U1194="","",IF($B$8=0,0,U1194/$B$8*100))</f>
        <v>59.5963171568021</v>
      </c>
      <c r="Z1194" s="18" t="n">
        <f aca="false">IF(D1194="","",MAX(0,IF(P1194&gt;=0,P1194,IF(K1194+P1194&gt;=0,0,P1194+K1194))))</f>
        <v>28.1413809614419</v>
      </c>
      <c r="AA1194" s="18" t="n">
        <f aca="false">IF(D1194="","",IF(H1194&lt;=$B$16,1,IF(H1194&gt;=$B$17,$B$21,MATCH(H1194,Aux_CAV!$A$2:$A$121,1))))</f>
        <v>12</v>
      </c>
      <c r="AB1194" s="18" t="n">
        <f aca="false">IF(D1194="","",IF(L1194&lt;=$B$16,1,IF(L1194&gt;=$B$17,$B$21,MATCH(L1194,Aux_CAV!$A$2:$A$121,1))))</f>
        <v>12</v>
      </c>
      <c r="AC1194" s="19" t="n">
        <f aca="false">IF(D1194="","",COUNT($D$24:D1194))</f>
        <v>1159</v>
      </c>
    </row>
    <row r="1195" customFormat="false" ht="12.75" hidden="false" customHeight="true" outlineLevel="0" collapsed="false">
      <c r="A1195" s="14" t="n">
        <f aca="false">IF(D1195="","",DATE(B1195,C1195,1))</f>
        <v>39295</v>
      </c>
      <c r="B1195" s="15" t="n">
        <f aca="false" t="array" ref="B1195:B1195">IF(D1195="","",IFERROR(VALUE(INDEX(Vazoes_COLAR!$A$2:$A$200,INT((ROW()-24)/12)+1)),""))</f>
        <v>2007</v>
      </c>
      <c r="C1195" s="15" t="n">
        <f aca="false">IF(D1195="","",MOD(ROW()-24,12)+1)</f>
        <v>8</v>
      </c>
      <c r="D1195" s="16" t="n">
        <f aca="false" t="array" ref="D1195: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0.014982570846351</v>
      </c>
      <c r="E1195" s="16" t="n">
        <f aca="false">IF(D1195="","",D1195*$B$15)</f>
        <v>0.0388348236337418</v>
      </c>
      <c r="F1195" s="16" t="n">
        <f aca="false" t="array" ref="F1195:F1195">IF(D1195="","",IFERROR(INDEX(Dados_Evap!$C$2:$N$15,MATCH($B$9,Dados_Evap!$A$2:$A$15,0),C1195),0))</f>
        <v>268.7</v>
      </c>
      <c r="G1195" s="16" t="n">
        <f aca="false">IF(F1195="","",F1195/1000)</f>
        <v>0.2687</v>
      </c>
      <c r="H1195" s="16" t="n">
        <f aca="false">IF(D1195="","",MAX(0,MIN($B$8,IFERROR(LOOKUP(2,1/($U$24:U1194&lt;&gt;""),$U$24:U1194),$B$11))))</f>
        <v>28.1413809614419</v>
      </c>
      <c r="I1195" s="16" t="n">
        <f aca="false" t="array" ref="I1195: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>5.03944442997504</v>
      </c>
      <c r="J1195" s="16" t="n">
        <f aca="false">IF(D1195="","",$B$12)</f>
        <v>0.35</v>
      </c>
      <c r="K1195" s="16" t="n">
        <f aca="false">IF(J1195="","",J1195*$B$15)</f>
        <v>0.9072</v>
      </c>
      <c r="L1195" s="16" t="n">
        <f aca="false">IF(D1195="","",H1195+E1195-K1195-G1195*I1195)</f>
        <v>25.9189170667414</v>
      </c>
      <c r="M1195" s="16" t="n">
        <f aca="false" t="array" ref="M1195: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>4.80856711275857</v>
      </c>
      <c r="N1195" s="16" t="n">
        <f aca="false">IF(D1195="","",(I1195+M1195)/2)</f>
        <v>4.9240057713668</v>
      </c>
      <c r="O1195" s="16" t="n">
        <f aca="false">IF(D1195="","",G1195*N1195)</f>
        <v>1.32308035076626</v>
      </c>
      <c r="P1195" s="16" t="n">
        <f aca="false">IF(D1195="","",H1195+E1195-K1195-O1195)</f>
        <v>25.9499354343094</v>
      </c>
      <c r="Q1195" s="16" t="n">
        <f aca="false">IF(D1195="","",IF(P1195&gt;=0,K1195,MAX(0,K1195+P1195)))</f>
        <v>0.9072</v>
      </c>
      <c r="R1195" s="16" t="n">
        <f aca="false">IF(D1195="","",Q1195/$B$15)</f>
        <v>0.35</v>
      </c>
      <c r="S1195" s="16" t="n">
        <f aca="false">IF(D1195="","",MAX(0,J1195-R1195))</f>
        <v>0</v>
      </c>
      <c r="T1195" s="16" t="n">
        <f aca="false">IF(D1195="","",MAX(0,Z1195-$B$8))</f>
        <v>0</v>
      </c>
      <c r="U1195" s="16" t="n">
        <f aca="false">IF(D1195="","",MAX(0,MIN($B$8,Z1195)))</f>
        <v>25.9499354343094</v>
      </c>
      <c r="V1195" s="16" t="str">
        <f aca="false">IF(D1195="","",IF(S1195&gt;0.0000001,"Sim","Não"))</f>
        <v>Não</v>
      </c>
      <c r="W1195" s="16" t="n">
        <f aca="false">IF(D1195="","",U1195-(H1195+E1195-Q1195-O1195-T1195))</f>
        <v>0</v>
      </c>
      <c r="X1195" s="16" t="n">
        <f aca="false">IF(W1195="","",ABS(W1195))</f>
        <v>0</v>
      </c>
      <c r="Y1195" s="16" t="n">
        <f aca="false">IF(U1195="","",IF($B$8=0,0,U1195/$B$8*100))</f>
        <v>54.9553905851534</v>
      </c>
      <c r="Z1195" s="18" t="n">
        <f aca="false">IF(D1195="","",MAX(0,IF(P1195&gt;=0,P1195,IF(K1195+P1195&gt;=0,0,P1195+K1195))))</f>
        <v>25.9499354343094</v>
      </c>
      <c r="AA1195" s="18" t="n">
        <f aca="false">IF(D1195="","",IF(H1195&lt;=$B$16,1,IF(H1195&gt;=$B$17,$B$21,MATCH(H1195,Aux_CAV!$A$2:$A$121,1))))</f>
        <v>12</v>
      </c>
      <c r="AB1195" s="18" t="n">
        <f aca="false">IF(D1195="","",IF(L1195&lt;=$B$16,1,IF(L1195&gt;=$B$17,$B$21,MATCH(L1195,Aux_CAV!$A$2:$A$121,1))))</f>
        <v>12</v>
      </c>
      <c r="AC1195" s="19" t="n">
        <f aca="false">IF(D1195="","",COUNT($D$24:D1195))</f>
        <v>1160</v>
      </c>
    </row>
    <row r="1196" customFormat="false" ht="12.75" hidden="false" customHeight="true" outlineLevel="0" collapsed="false">
      <c r="A1196" s="14" t="n">
        <f aca="false">IF(D1196="","",DATE(B1196,C1196,1))</f>
        <v>39326</v>
      </c>
      <c r="B1196" s="15" t="n">
        <f aca="false" t="array" ref="B1196:B1196">IF(D1196="","",IFERROR(VALUE(INDEX(Vazoes_COLAR!$A$2:$A$200,INT((ROW()-24)/12)+1)),""))</f>
        <v>2007</v>
      </c>
      <c r="C1196" s="15" t="n">
        <f aca="false">IF(D1196="","",MOD(ROW()-24,12)+1)</f>
        <v>9</v>
      </c>
      <c r="D1196" s="16" t="n">
        <f aca="false" t="array" ref="D1196: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0.0217964991779687</v>
      </c>
      <c r="E1196" s="16" t="n">
        <f aca="false">IF(D1196="","",D1196*$B$15)</f>
        <v>0.0564965258692949</v>
      </c>
      <c r="F1196" s="16" t="n">
        <f aca="false" t="array" ref="F1196:F1196">IF(D1196="","",IFERROR(INDEX(Dados_Evap!$C$2:$N$15,MATCH($B$9,Dados_Evap!$A$2:$A$15,0),C1196),0))</f>
        <v>292.8</v>
      </c>
      <c r="G1196" s="16" t="n">
        <f aca="false">IF(F1196="","",F1196/1000)</f>
        <v>0.2928</v>
      </c>
      <c r="H1196" s="16" t="n">
        <f aca="false">IF(D1196="","",MAX(0,MIN($B$8,IFERROR(LOOKUP(2,1/($U$24:U1195&lt;&gt;""),$U$24:U1195),$B$11))))</f>
        <v>25.9499354343094</v>
      </c>
      <c r="I1196" s="16" t="n">
        <f aca="false" t="array" ref="I1196: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>4.81178940919525</v>
      </c>
      <c r="J1196" s="16" t="n">
        <f aca="false">IF(D1196="","",$B$12)</f>
        <v>0.35</v>
      </c>
      <c r="K1196" s="16" t="n">
        <f aca="false">IF(J1196="","",J1196*$B$15)</f>
        <v>0.9072</v>
      </c>
      <c r="L1196" s="16" t="n">
        <f aca="false">IF(D1196="","",H1196+E1196-K1196-G1196*I1196)</f>
        <v>23.6903400211663</v>
      </c>
      <c r="M1196" s="16" t="n">
        <f aca="false" t="array" ref="M1196: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>4.56908941716378</v>
      </c>
      <c r="N1196" s="16" t="n">
        <f aca="false">IF(D1196="","",(I1196+M1196)/2)</f>
        <v>4.69043941317952</v>
      </c>
      <c r="O1196" s="16" t="n">
        <f aca="false">IF(D1196="","",G1196*N1196)</f>
        <v>1.37336066017896</v>
      </c>
      <c r="P1196" s="16" t="n">
        <f aca="false">IF(D1196="","",H1196+E1196-K1196-O1196)</f>
        <v>23.7258712999997</v>
      </c>
      <c r="Q1196" s="16" t="n">
        <f aca="false">IF(D1196="","",IF(P1196&gt;=0,K1196,MAX(0,K1196+P1196)))</f>
        <v>0.9072</v>
      </c>
      <c r="R1196" s="16" t="n">
        <f aca="false">IF(D1196="","",Q1196/$B$15)</f>
        <v>0.35</v>
      </c>
      <c r="S1196" s="16" t="n">
        <f aca="false">IF(D1196="","",MAX(0,J1196-R1196))</f>
        <v>0</v>
      </c>
      <c r="T1196" s="16" t="n">
        <f aca="false">IF(D1196="","",MAX(0,Z1196-$B$8))</f>
        <v>0</v>
      </c>
      <c r="U1196" s="16" t="n">
        <f aca="false">IF(D1196="","",MAX(0,MIN($B$8,Z1196)))</f>
        <v>23.7258712999997</v>
      </c>
      <c r="V1196" s="16" t="str">
        <f aca="false">IF(D1196="","",IF(S1196&gt;0.0000001,"Sim","Não"))</f>
        <v>Não</v>
      </c>
      <c r="W1196" s="16" t="n">
        <f aca="false">IF(D1196="","",U1196-(H1196+E1196-Q1196-O1196-T1196))</f>
        <v>0</v>
      </c>
      <c r="X1196" s="16" t="n">
        <f aca="false">IF(W1196="","",ABS(W1196))</f>
        <v>0</v>
      </c>
      <c r="Y1196" s="16" t="n">
        <f aca="false">IF(U1196="","",IF($B$8=0,0,U1196/$B$8*100))</f>
        <v>50.2453860652261</v>
      </c>
      <c r="Z1196" s="18" t="n">
        <f aca="false">IF(D1196="","",MAX(0,IF(P1196&gt;=0,P1196,IF(K1196+P1196&gt;=0,0,P1196+K1196))))</f>
        <v>23.7258712999997</v>
      </c>
      <c r="AA1196" s="18" t="n">
        <f aca="false">IF(D1196="","",IF(H1196&lt;=$B$16,1,IF(H1196&gt;=$B$17,$B$21,MATCH(H1196,Aux_CAV!$A$2:$A$121,1))))</f>
        <v>12</v>
      </c>
      <c r="AB1196" s="18" t="n">
        <f aca="false">IF(D1196="","",IF(L1196&lt;=$B$16,1,IF(L1196&gt;=$B$17,$B$21,MATCH(L1196,Aux_CAV!$A$2:$A$121,1))))</f>
        <v>11</v>
      </c>
      <c r="AC1196" s="19" t="n">
        <f aca="false">IF(D1196="","",COUNT($D$24:D1196))</f>
        <v>1161</v>
      </c>
    </row>
    <row r="1197" customFormat="false" ht="12.75" hidden="false" customHeight="true" outlineLevel="0" collapsed="false">
      <c r="A1197" s="14" t="n">
        <f aca="false">IF(D1197="","",DATE(B1197,C1197,1))</f>
        <v>39356</v>
      </c>
      <c r="B1197" s="15" t="n">
        <f aca="false" t="array" ref="B1197:B1197">IF(D1197="","",IFERROR(VALUE(INDEX(Vazoes_COLAR!$A$2:$A$200,INT((ROW()-24)/12)+1)),""))</f>
        <v>2007</v>
      </c>
      <c r="C1197" s="15" t="n">
        <f aca="false">IF(D1197="","",MOD(ROW()-24,12)+1)</f>
        <v>10</v>
      </c>
      <c r="D1197" s="16" t="n">
        <f aca="false" t="array" ref="D1197: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0.0260564197839014</v>
      </c>
      <c r="E1197" s="16" t="n">
        <f aca="false">IF(D1197="","",D1197*$B$15)</f>
        <v>0.0675382400798724</v>
      </c>
      <c r="F1197" s="16" t="n">
        <f aca="false" t="array" ref="F1197:F1197">IF(D1197="","",IFERROR(INDEX(Dados_Evap!$C$2:$N$15,MATCH($B$9,Dados_Evap!$A$2:$A$15,0),C1197),0))</f>
        <v>262.9</v>
      </c>
      <c r="G1197" s="16" t="n">
        <f aca="false">IF(F1197="","",F1197/1000)</f>
        <v>0.2629</v>
      </c>
      <c r="H1197" s="16" t="n">
        <f aca="false">IF(D1197="","",MAX(0,MIN($B$8,IFERROR(LOOKUP(2,1/($U$24:U1196&lt;&gt;""),$U$24:U1196),$B$11))))</f>
        <v>23.7258712999997</v>
      </c>
      <c r="I1197" s="16" t="n">
        <f aca="false" t="array" ref="I1197: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>4.57333583829265</v>
      </c>
      <c r="J1197" s="16" t="n">
        <f aca="false">IF(D1197="","",$B$12)</f>
        <v>0.35</v>
      </c>
      <c r="K1197" s="16" t="n">
        <f aca="false">IF(J1197="","",J1197*$B$15)</f>
        <v>0.9072</v>
      </c>
      <c r="L1197" s="16" t="n">
        <f aca="false">IF(D1197="","",H1197+E1197-K1197-G1197*I1197)</f>
        <v>21.6838795481925</v>
      </c>
      <c r="M1197" s="16" t="n">
        <f aca="false" t="array" ref="M1197: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>4.32929292161325</v>
      </c>
      <c r="N1197" s="16" t="n">
        <f aca="false">IF(D1197="","",(I1197+M1197)/2)</f>
        <v>4.45131437995295</v>
      </c>
      <c r="O1197" s="16" t="n">
        <f aca="false">IF(D1197="","",G1197*N1197)</f>
        <v>1.17025055048963</v>
      </c>
      <c r="P1197" s="16" t="n">
        <f aca="false">IF(D1197="","",H1197+E1197-K1197-O1197)</f>
        <v>21.71595898959</v>
      </c>
      <c r="Q1197" s="16" t="n">
        <f aca="false">IF(D1197="","",IF(P1197&gt;=0,K1197,MAX(0,K1197+P1197)))</f>
        <v>0.9072</v>
      </c>
      <c r="R1197" s="16" t="n">
        <f aca="false">IF(D1197="","",Q1197/$B$15)</f>
        <v>0.35</v>
      </c>
      <c r="S1197" s="16" t="n">
        <f aca="false">IF(D1197="","",MAX(0,J1197-R1197))</f>
        <v>0</v>
      </c>
      <c r="T1197" s="16" t="n">
        <f aca="false">IF(D1197="","",MAX(0,Z1197-$B$8))</f>
        <v>0</v>
      </c>
      <c r="U1197" s="16" t="n">
        <f aca="false">IF(D1197="","",MAX(0,MIN($B$8,Z1197)))</f>
        <v>21.71595898959</v>
      </c>
      <c r="V1197" s="16" t="str">
        <f aca="false">IF(D1197="","",IF(S1197&gt;0.0000001,"Sim","Não"))</f>
        <v>Não</v>
      </c>
      <c r="W1197" s="16" t="n">
        <f aca="false">IF(D1197="","",U1197-(H1197+E1197-Q1197-O1197-T1197))</f>
        <v>0</v>
      </c>
      <c r="X1197" s="16" t="n">
        <f aca="false">IF(W1197="","",ABS(W1197))</f>
        <v>0</v>
      </c>
      <c r="Y1197" s="16" t="n">
        <f aca="false">IF(U1197="","",IF($B$8=0,0,U1197/$B$8*100))</f>
        <v>45.9889008674079</v>
      </c>
      <c r="Z1197" s="18" t="n">
        <f aca="false">IF(D1197="","",MAX(0,IF(P1197&gt;=0,P1197,IF(K1197+P1197&gt;=0,0,P1197+K1197))))</f>
        <v>21.71595898959</v>
      </c>
      <c r="AA1197" s="18" t="n">
        <f aca="false">IF(D1197="","",IF(H1197&lt;=$B$16,1,IF(H1197&gt;=$B$17,$B$21,MATCH(H1197,Aux_CAV!$A$2:$A$121,1))))</f>
        <v>11</v>
      </c>
      <c r="AB1197" s="18" t="n">
        <f aca="false">IF(D1197="","",IF(L1197&lt;=$B$16,1,IF(L1197&gt;=$B$17,$B$21,MATCH(L1197,Aux_CAV!$A$2:$A$121,1))))</f>
        <v>11</v>
      </c>
      <c r="AC1197" s="19" t="n">
        <f aca="false">IF(D1197="","",COUNT($D$24:D1197))</f>
        <v>1162</v>
      </c>
    </row>
    <row r="1198" customFormat="false" ht="12.75" hidden="false" customHeight="true" outlineLevel="0" collapsed="false">
      <c r="A1198" s="14" t="n">
        <f aca="false">IF(D1198="","",DATE(B1198,C1198,1))</f>
        <v>39387</v>
      </c>
      <c r="B1198" s="15" t="n">
        <f aca="false" t="array" ref="B1198:B1198">IF(D1198="","",IFERROR(VALUE(INDEX(Vazoes_COLAR!$A$2:$A$200,INT((ROW()-24)/12)+1)),""))</f>
        <v>2007</v>
      </c>
      <c r="C1198" s="15" t="n">
        <f aca="false">IF(D1198="","",MOD(ROW()-24,12)+1)</f>
        <v>11</v>
      </c>
      <c r="D1198" s="16" t="n">
        <f aca="false" t="array" ref="D1198: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0.0236399036950307</v>
      </c>
      <c r="E1198" s="16" t="n">
        <f aca="false">IF(D1198="","",D1198*$B$15)</f>
        <v>0.0612746303775196</v>
      </c>
      <c r="F1198" s="16" t="n">
        <f aca="false" t="array" ref="F1198:F1198">IF(D1198="","",IFERROR(INDEX(Dados_Evap!$C$2:$N$15,MATCH($B$9,Dados_Evap!$A$2:$A$15,0),C1198),0))</f>
        <v>223.7</v>
      </c>
      <c r="G1198" s="16" t="n">
        <f aca="false">IF(F1198="","",F1198/1000)</f>
        <v>0.2237</v>
      </c>
      <c r="H1198" s="16" t="n">
        <f aca="false">IF(D1198="","",MAX(0,MIN($B$8,IFERROR(LOOKUP(2,1/($U$24:U1197&lt;&gt;""),$U$24:U1197),$B$11))))</f>
        <v>21.71595898959</v>
      </c>
      <c r="I1198" s="16" t="n">
        <f aca="false" t="array" ref="I1198: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>4.33312680607295</v>
      </c>
      <c r="J1198" s="16" t="n">
        <f aca="false">IF(D1198="","",$B$12)</f>
        <v>0.35</v>
      </c>
      <c r="K1198" s="16" t="n">
        <f aca="false">IF(J1198="","",J1198*$B$15)</f>
        <v>0.9072</v>
      </c>
      <c r="L1198" s="16" t="n">
        <f aca="false">IF(D1198="","",H1198+E1198-K1198-G1198*I1198)</f>
        <v>19.900713153449</v>
      </c>
      <c r="M1198" s="16" t="n">
        <f aca="false" t="array" ref="M1198: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>4.11618279150976</v>
      </c>
      <c r="N1198" s="16" t="n">
        <f aca="false">IF(D1198="","",(I1198+M1198)/2)</f>
        <v>4.22465479879135</v>
      </c>
      <c r="O1198" s="16" t="n">
        <f aca="false">IF(D1198="","",G1198*N1198)</f>
        <v>0.945055278489626</v>
      </c>
      <c r="P1198" s="16" t="n">
        <f aca="false">IF(D1198="","",H1198+E1198-K1198-O1198)</f>
        <v>19.9249783414779</v>
      </c>
      <c r="Q1198" s="16" t="n">
        <f aca="false">IF(D1198="","",IF(P1198&gt;=0,K1198,MAX(0,K1198+P1198)))</f>
        <v>0.9072</v>
      </c>
      <c r="R1198" s="16" t="n">
        <f aca="false">IF(D1198="","",Q1198/$B$15)</f>
        <v>0.35</v>
      </c>
      <c r="S1198" s="16" t="n">
        <f aca="false">IF(D1198="","",MAX(0,J1198-R1198))</f>
        <v>0</v>
      </c>
      <c r="T1198" s="16" t="n">
        <f aca="false">IF(D1198="","",MAX(0,Z1198-$B$8))</f>
        <v>0</v>
      </c>
      <c r="U1198" s="16" t="n">
        <f aca="false">IF(D1198="","",MAX(0,MIN($B$8,Z1198)))</f>
        <v>19.9249783414779</v>
      </c>
      <c r="V1198" s="16" t="str">
        <f aca="false">IF(D1198="","",IF(S1198&gt;0.0000001,"Sim","Não"))</f>
        <v>Não</v>
      </c>
      <c r="W1198" s="16" t="n">
        <f aca="false">IF(D1198="","",U1198-(H1198+E1198-Q1198-O1198-T1198))</f>
        <v>0</v>
      </c>
      <c r="X1198" s="16" t="n">
        <f aca="false">IF(W1198="","",ABS(W1198))</f>
        <v>0</v>
      </c>
      <c r="Y1198" s="16" t="n">
        <f aca="false">IF(U1198="","",IF($B$8=0,0,U1198/$B$8*100))</f>
        <v>42.1960574787757</v>
      </c>
      <c r="Z1198" s="18" t="n">
        <f aca="false">IF(D1198="","",MAX(0,IF(P1198&gt;=0,P1198,IF(K1198+P1198&gt;=0,0,P1198+K1198))))</f>
        <v>19.9249783414779</v>
      </c>
      <c r="AA1198" s="18" t="n">
        <f aca="false">IF(D1198="","",IF(H1198&lt;=$B$16,1,IF(H1198&gt;=$B$17,$B$21,MATCH(H1198,Aux_CAV!$A$2:$A$121,1))))</f>
        <v>11</v>
      </c>
      <c r="AB1198" s="18" t="n">
        <f aca="false">IF(D1198="","",IF(L1198&lt;=$B$16,1,IF(L1198&gt;=$B$17,$B$21,MATCH(L1198,Aux_CAV!$A$2:$A$121,1))))</f>
        <v>11</v>
      </c>
      <c r="AC1198" s="19" t="n">
        <f aca="false">IF(D1198="","",COUNT($D$24:D1198))</f>
        <v>1163</v>
      </c>
    </row>
    <row r="1199" customFormat="false" ht="12.75" hidden="false" customHeight="true" outlineLevel="0" collapsed="false">
      <c r="A1199" s="14" t="n">
        <f aca="false">IF(D1199="","",DATE(B1199,C1199,1))</f>
        <v>39417</v>
      </c>
      <c r="B1199" s="15" t="n">
        <f aca="false" t="array" ref="B1199:B1199">IF(D1199="","",IFERROR(VALUE(INDEX(Vazoes_COLAR!$A$2:$A$200,INT((ROW()-24)/12)+1)),""))</f>
        <v>2007</v>
      </c>
      <c r="C1199" s="15" t="n">
        <f aca="false">IF(D1199="","",MOD(ROW()-24,12)+1)</f>
        <v>12</v>
      </c>
      <c r="D1199" s="16" t="n">
        <f aca="false" t="array" ref="D1199: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0.0928146177902847</v>
      </c>
      <c r="E1199" s="16" t="n">
        <f aca="false">IF(D1199="","",D1199*$B$15)</f>
        <v>0.240575489312418</v>
      </c>
      <c r="F1199" s="16" t="n">
        <f aca="false" t="array" ref="F1199:F1199">IF(D1199="","",IFERROR(INDEX(Dados_Evap!$C$2:$N$15,MATCH($B$9,Dados_Evap!$A$2:$A$15,0),C1199),0))</f>
        <v>216.1</v>
      </c>
      <c r="G1199" s="16" t="n">
        <f aca="false">IF(F1199="","",F1199/1000)</f>
        <v>0.2161</v>
      </c>
      <c r="H1199" s="16" t="n">
        <f aca="false">IF(D1199="","",MAX(0,MIN($B$8,IFERROR(LOOKUP(2,1/($U$24:U1198&lt;&gt;""),$U$24:U1198),$B$11))))</f>
        <v>19.9249783414779</v>
      </c>
      <c r="I1199" s="16" t="n">
        <f aca="false" t="array" ref="I1199: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>4.11908277739614</v>
      </c>
      <c r="J1199" s="16" t="n">
        <f aca="false">IF(D1199="","",$B$12)</f>
        <v>0.35</v>
      </c>
      <c r="K1199" s="16" t="n">
        <f aca="false">IF(J1199="","",J1199*$B$15)</f>
        <v>0.9072</v>
      </c>
      <c r="L1199" s="16" t="n">
        <f aca="false">IF(D1199="","",H1199+E1199-K1199-G1199*I1199)</f>
        <v>18.368220042595</v>
      </c>
      <c r="M1199" s="16" t="n">
        <f aca="false" t="array" ref="M1199: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>3.93303117582233</v>
      </c>
      <c r="N1199" s="16" t="n">
        <f aca="false">IF(D1199="","",(I1199+M1199)/2)</f>
        <v>4.02605697660923</v>
      </c>
      <c r="O1199" s="16" t="n">
        <f aca="false">IF(D1199="","",G1199*N1199)</f>
        <v>0.870030912645255</v>
      </c>
      <c r="P1199" s="16" t="n">
        <f aca="false">IF(D1199="","",H1199+E1199-K1199-O1199)</f>
        <v>18.388322918145</v>
      </c>
      <c r="Q1199" s="16" t="n">
        <f aca="false">IF(D1199="","",IF(P1199&gt;=0,K1199,MAX(0,K1199+P1199)))</f>
        <v>0.9072</v>
      </c>
      <c r="R1199" s="16" t="n">
        <f aca="false">IF(D1199="","",Q1199/$B$15)</f>
        <v>0.35</v>
      </c>
      <c r="S1199" s="16" t="n">
        <f aca="false">IF(D1199="","",MAX(0,J1199-R1199))</f>
        <v>0</v>
      </c>
      <c r="T1199" s="16" t="n">
        <f aca="false">IF(D1199="","",MAX(0,Z1199-$B$8))</f>
        <v>0</v>
      </c>
      <c r="U1199" s="16" t="n">
        <f aca="false">IF(D1199="","",MAX(0,MIN($B$8,Z1199)))</f>
        <v>18.388322918145</v>
      </c>
      <c r="V1199" s="16" t="str">
        <f aca="false">IF(D1199="","",IF(S1199&gt;0.0000001,"Sim","Não"))</f>
        <v>Não</v>
      </c>
      <c r="W1199" s="16" t="n">
        <f aca="false">IF(D1199="","",U1199-(H1199+E1199-Q1199-O1199-T1199))</f>
        <v>0</v>
      </c>
      <c r="X1199" s="16" t="n">
        <f aca="false">IF(W1199="","",ABS(W1199))</f>
        <v>0</v>
      </c>
      <c r="Y1199" s="16" t="n">
        <f aca="false">IF(U1199="","",IF($B$8=0,0,U1199/$B$8*100))</f>
        <v>38.9418105000954</v>
      </c>
      <c r="Z1199" s="18" t="n">
        <f aca="false">IF(D1199="","",MAX(0,IF(P1199&gt;=0,P1199,IF(K1199+P1199&gt;=0,0,P1199+K1199))))</f>
        <v>18.388322918145</v>
      </c>
      <c r="AA1199" s="18" t="n">
        <f aca="false">IF(D1199="","",IF(H1199&lt;=$B$16,1,IF(H1199&gt;=$B$17,$B$21,MATCH(H1199,Aux_CAV!$A$2:$A$121,1))))</f>
        <v>11</v>
      </c>
      <c r="AB1199" s="18" t="n">
        <f aca="false">IF(D1199="","",IF(L1199&lt;=$B$16,1,IF(L1199&gt;=$B$17,$B$21,MATCH(L1199,Aux_CAV!$A$2:$A$121,1))))</f>
        <v>11</v>
      </c>
      <c r="AC1199" s="19" t="n">
        <f aca="false">IF(D1199="","",COUNT($D$24:D1199))</f>
        <v>1164</v>
      </c>
    </row>
    <row r="1200" customFormat="false" ht="12.75" hidden="false" customHeight="true" outlineLevel="0" collapsed="false">
      <c r="A1200" s="14" t="n">
        <f aca="false">IF(D1200="","",DATE(B1200,C1200,1))</f>
        <v>39448</v>
      </c>
      <c r="B1200" s="15" t="n">
        <f aca="false" t="array" ref="B1200:B1200">IF(D1200="","",IFERROR(VALUE(INDEX(Vazoes_COLAR!$A$2:$A$200,INT((ROW()-24)/12)+1)),""))</f>
        <v>2008</v>
      </c>
      <c r="C1200" s="15" t="n">
        <f aca="false">IF(D1200="","",MOD(ROW()-24,12)+1)</f>
        <v>1</v>
      </c>
      <c r="D1200" s="16" t="n">
        <f aca="false" t="array" ref="D1200: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0.623453354647308</v>
      </c>
      <c r="E1200" s="16" t="n">
        <f aca="false">IF(D1200="","",D1200*$B$15)</f>
        <v>1.61599109524582</v>
      </c>
      <c r="F1200" s="16" t="n">
        <f aca="false" t="array" ref="F1200:F1200">IF(D1200="","",IFERROR(INDEX(Dados_Evap!$C$2:$N$15,MATCH($B$9,Dados_Evap!$A$2:$A$15,0),C1200),0))</f>
        <v>160</v>
      </c>
      <c r="G1200" s="16" t="n">
        <f aca="false">IF(F1200="","",F1200/1000)</f>
        <v>0.16</v>
      </c>
      <c r="H1200" s="16" t="n">
        <f aca="false">IF(D1200="","",MAX(0,MIN($B$8,IFERROR(LOOKUP(2,1/($U$24:U1199&lt;&gt;""),$U$24:U1199),$B$11))))</f>
        <v>18.388322918145</v>
      </c>
      <c r="I1200" s="16" t="n">
        <f aca="false" t="array" ref="I1200: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>3.93543371460758</v>
      </c>
      <c r="J1200" s="16" t="n">
        <f aca="false">IF(D1200="","",$B$12)</f>
        <v>0.35</v>
      </c>
      <c r="K1200" s="16" t="n">
        <f aca="false">IF(J1200="","",J1200*$B$15)</f>
        <v>0.9072</v>
      </c>
      <c r="L1200" s="16" t="n">
        <f aca="false">IF(D1200="","",H1200+E1200-K1200-G1200*I1200)</f>
        <v>18.4674446190537</v>
      </c>
      <c r="M1200" s="16" t="n">
        <f aca="false" t="array" ref="M1200: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>3.94488972276495</v>
      </c>
      <c r="N1200" s="16" t="n">
        <f aca="false">IF(D1200="","",(I1200+M1200)/2)</f>
        <v>3.94016171868626</v>
      </c>
      <c r="O1200" s="16" t="n">
        <f aca="false">IF(D1200="","",G1200*N1200)</f>
        <v>0.630425874989802</v>
      </c>
      <c r="P1200" s="16" t="n">
        <f aca="false">IF(D1200="","",H1200+E1200-K1200-O1200)</f>
        <v>18.4666881384011</v>
      </c>
      <c r="Q1200" s="16" t="n">
        <f aca="false">IF(D1200="","",IF(P1200&gt;=0,K1200,MAX(0,K1200+P1200)))</f>
        <v>0.9072</v>
      </c>
      <c r="R1200" s="16" t="n">
        <f aca="false">IF(D1200="","",Q1200/$B$15)</f>
        <v>0.35</v>
      </c>
      <c r="S1200" s="16" t="n">
        <f aca="false">IF(D1200="","",MAX(0,J1200-R1200))</f>
        <v>0</v>
      </c>
      <c r="T1200" s="16" t="n">
        <f aca="false">IF(D1200="","",MAX(0,Z1200-$B$8))</f>
        <v>0</v>
      </c>
      <c r="U1200" s="16" t="n">
        <f aca="false">IF(D1200="","",MAX(0,MIN($B$8,Z1200)))</f>
        <v>18.4666881384011</v>
      </c>
      <c r="V1200" s="16" t="str">
        <f aca="false">IF(D1200="","",IF(S1200&gt;0.0000001,"Sim","Não"))</f>
        <v>Não</v>
      </c>
      <c r="W1200" s="16" t="n">
        <f aca="false">IF(D1200="","",U1200-(H1200+E1200-Q1200-O1200-T1200))</f>
        <v>0</v>
      </c>
      <c r="X1200" s="16" t="n">
        <f aca="false">IF(W1200="","",ABS(W1200))</f>
        <v>0</v>
      </c>
      <c r="Y1200" s="16" t="n">
        <f aca="false">IF(U1200="","",IF($B$8=0,0,U1200/$B$8*100))</f>
        <v>39.1077681880582</v>
      </c>
      <c r="Z1200" s="18" t="n">
        <f aca="false">IF(D1200="","",MAX(0,IF(P1200&gt;=0,P1200,IF(K1200+P1200&gt;=0,0,P1200+K1200))))</f>
        <v>18.4666881384011</v>
      </c>
      <c r="AA1200" s="18" t="n">
        <f aca="false">IF(D1200="","",IF(H1200&lt;=$B$16,1,IF(H1200&gt;=$B$17,$B$21,MATCH(H1200,Aux_CAV!$A$2:$A$121,1))))</f>
        <v>11</v>
      </c>
      <c r="AB1200" s="18" t="n">
        <f aca="false">IF(D1200="","",IF(L1200&lt;=$B$16,1,IF(L1200&gt;=$B$17,$B$21,MATCH(L1200,Aux_CAV!$A$2:$A$121,1))))</f>
        <v>11</v>
      </c>
      <c r="AC1200" s="19" t="n">
        <f aca="false">IF(D1200="","",COUNT($D$24:D1200))</f>
        <v>1165</v>
      </c>
    </row>
    <row r="1201" customFormat="false" ht="12.75" hidden="false" customHeight="true" outlineLevel="0" collapsed="false">
      <c r="A1201" s="14" t="n">
        <f aca="false">IF(D1201="","",DATE(B1201,C1201,1))</f>
        <v>39479</v>
      </c>
      <c r="B1201" s="15" t="n">
        <f aca="false" t="array" ref="B1201:B1201">IF(D1201="","",IFERROR(VALUE(INDEX(Vazoes_COLAR!$A$2:$A$200,INT((ROW()-24)/12)+1)),""))</f>
        <v>2008</v>
      </c>
      <c r="C1201" s="15" t="n">
        <f aca="false">IF(D1201="","",MOD(ROW()-24,12)+1)</f>
        <v>2</v>
      </c>
      <c r="D1201" s="16" t="n">
        <f aca="false" t="array" ref="D1201: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1.86430815308359</v>
      </c>
      <c r="E1201" s="16" t="n">
        <f aca="false">IF(D1201="","",D1201*$B$15)</f>
        <v>4.83228673279267</v>
      </c>
      <c r="F1201" s="16" t="n">
        <f aca="false" t="array" ref="F1201:F1201">IF(D1201="","",IFERROR(INDEX(Dados_Evap!$C$2:$N$15,MATCH($B$9,Dados_Evap!$A$2:$A$15,0),C1201),0))</f>
        <v>124.3</v>
      </c>
      <c r="G1201" s="16" t="n">
        <f aca="false">IF(F1201="","",F1201/1000)</f>
        <v>0.1243</v>
      </c>
      <c r="H1201" s="16" t="n">
        <f aca="false">IF(D1201="","",MAX(0,MIN($B$8,IFERROR(LOOKUP(2,1/($U$24:U1200&lt;&gt;""),$U$24:U1200),$B$11))))</f>
        <v>18.4666881384011</v>
      </c>
      <c r="I1201" s="16" t="n">
        <f aca="false" t="array" ref="I1201: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>3.94479931410159</v>
      </c>
      <c r="J1201" s="16" t="n">
        <f aca="false">IF(D1201="","",$B$12)</f>
        <v>0.35</v>
      </c>
      <c r="K1201" s="16" t="n">
        <f aca="false">IF(J1201="","",J1201*$B$15)</f>
        <v>0.9072</v>
      </c>
      <c r="L1201" s="16" t="n">
        <f aca="false">IF(D1201="","",H1201+E1201-K1201-G1201*I1201)</f>
        <v>21.9014363164509</v>
      </c>
      <c r="M1201" s="16" t="n">
        <f aca="false" t="array" ref="M1201: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>4.35529360855145</v>
      </c>
      <c r="N1201" s="16" t="n">
        <f aca="false">IF(D1201="","",(I1201+M1201)/2)</f>
        <v>4.15004646132652</v>
      </c>
      <c r="O1201" s="16" t="n">
        <f aca="false">IF(D1201="","",G1201*N1201)</f>
        <v>0.515850775142886</v>
      </c>
      <c r="P1201" s="16" t="n">
        <f aca="false">IF(D1201="","",H1201+E1201-K1201-O1201)</f>
        <v>21.8759240960508</v>
      </c>
      <c r="Q1201" s="16" t="n">
        <f aca="false">IF(D1201="","",IF(P1201&gt;=0,K1201,MAX(0,K1201+P1201)))</f>
        <v>0.9072</v>
      </c>
      <c r="R1201" s="16" t="n">
        <f aca="false">IF(D1201="","",Q1201/$B$15)</f>
        <v>0.35</v>
      </c>
      <c r="S1201" s="16" t="n">
        <f aca="false">IF(D1201="","",MAX(0,J1201-R1201))</f>
        <v>0</v>
      </c>
      <c r="T1201" s="16" t="n">
        <f aca="false">IF(D1201="","",MAX(0,Z1201-$B$8))</f>
        <v>0</v>
      </c>
      <c r="U1201" s="16" t="n">
        <f aca="false">IF(D1201="","",MAX(0,MIN($B$8,Z1201)))</f>
        <v>21.8759240960508</v>
      </c>
      <c r="V1201" s="16" t="str">
        <f aca="false">IF(D1201="","",IF(S1201&gt;0.0000001,"Sim","Não"))</f>
        <v>Não</v>
      </c>
      <c r="W1201" s="16" t="n">
        <f aca="false">IF(D1201="","",U1201-(H1201+E1201-Q1201-O1201-T1201))</f>
        <v>0</v>
      </c>
      <c r="X1201" s="16" t="n">
        <f aca="false">IF(W1201="","",ABS(W1201))</f>
        <v>0</v>
      </c>
      <c r="Y1201" s="16" t="n">
        <f aca="false">IF(U1201="","",IF($B$8=0,0,U1201/$B$8*100))</f>
        <v>46.3276664465287</v>
      </c>
      <c r="Z1201" s="18" t="n">
        <f aca="false">IF(D1201="","",MAX(0,IF(P1201&gt;=0,P1201,IF(K1201+P1201&gt;=0,0,P1201+K1201))))</f>
        <v>21.8759240960508</v>
      </c>
      <c r="AA1201" s="18" t="n">
        <f aca="false">IF(D1201="","",IF(H1201&lt;=$B$16,1,IF(H1201&gt;=$B$17,$B$21,MATCH(H1201,Aux_CAV!$A$2:$A$121,1))))</f>
        <v>11</v>
      </c>
      <c r="AB1201" s="18" t="n">
        <f aca="false">IF(D1201="","",IF(L1201&lt;=$B$16,1,IF(L1201&gt;=$B$17,$B$21,MATCH(L1201,Aux_CAV!$A$2:$A$121,1))))</f>
        <v>11</v>
      </c>
      <c r="AC1201" s="19" t="n">
        <f aca="false">IF(D1201="","",COUNT($D$24:D1201))</f>
        <v>1166</v>
      </c>
    </row>
    <row r="1202" customFormat="false" ht="12.75" hidden="false" customHeight="true" outlineLevel="0" collapsed="false">
      <c r="A1202" s="14" t="n">
        <f aca="false">IF(D1202="","",DATE(B1202,C1202,1))</f>
        <v>39508</v>
      </c>
      <c r="B1202" s="15" t="n">
        <f aca="false" t="array" ref="B1202:B1202">IF(D1202="","",IFERROR(VALUE(INDEX(Vazoes_COLAR!$A$2:$A$200,INT((ROW()-24)/12)+1)),""))</f>
        <v>2008</v>
      </c>
      <c r="C1202" s="15" t="n">
        <f aca="false">IF(D1202="","",MOD(ROW()-24,12)+1)</f>
        <v>3</v>
      </c>
      <c r="D1202" s="16" t="n">
        <f aca="false" t="array" ref="D1202: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19.6982918397945</v>
      </c>
      <c r="E1202" s="16" t="n">
        <f aca="false">IF(D1202="","",D1202*$B$15)</f>
        <v>51.0579724487473</v>
      </c>
      <c r="F1202" s="16" t="n">
        <f aca="false" t="array" ref="F1202:F1202">IF(D1202="","",IFERROR(INDEX(Dados_Evap!$C$2:$N$15,MATCH($B$9,Dados_Evap!$A$2:$A$15,0),C1202),0))</f>
        <v>107.7</v>
      </c>
      <c r="G1202" s="16" t="n">
        <f aca="false">IF(F1202="","",F1202/1000)</f>
        <v>0.1077</v>
      </c>
      <c r="H1202" s="16" t="n">
        <f aca="false">IF(D1202="","",MAX(0,MIN($B$8,IFERROR(LOOKUP(2,1/($U$24:U1201&lt;&gt;""),$U$24:U1201),$B$11))))</f>
        <v>21.8759240960508</v>
      </c>
      <c r="I1202" s="16" t="n">
        <f aca="false" t="array" ref="I1202: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>4.352244587089</v>
      </c>
      <c r="J1202" s="16" t="n">
        <f aca="false">IF(D1202="","",$B$12)</f>
        <v>0.35</v>
      </c>
      <c r="K1202" s="16" t="n">
        <f aca="false">IF(J1202="","",J1202*$B$15)</f>
        <v>0.9072</v>
      </c>
      <c r="L1202" s="16" t="n">
        <f aca="false">IF(D1202="","",H1202+E1202-K1202-G1202*I1202)</f>
        <v>71.5579598027687</v>
      </c>
      <c r="M1202" s="16" t="n">
        <f aca="false" t="array" ref="M1202: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>9.82885695041359</v>
      </c>
      <c r="N1202" s="16" t="n">
        <f aca="false">IF(D1202="","",(I1202+M1202)/2)</f>
        <v>7.09055076875129</v>
      </c>
      <c r="O1202" s="16" t="n">
        <f aca="false">IF(D1202="","",G1202*N1202)</f>
        <v>0.763652317794514</v>
      </c>
      <c r="P1202" s="16" t="n">
        <f aca="false">IF(D1202="","",H1202+E1202-K1202-O1202)</f>
        <v>71.2630442270037</v>
      </c>
      <c r="Q1202" s="16" t="n">
        <f aca="false">IF(D1202="","",IF(P1202&gt;=0,K1202,MAX(0,K1202+P1202)))</f>
        <v>0.9072</v>
      </c>
      <c r="R1202" s="16" t="n">
        <f aca="false">IF(D1202="","",Q1202/$B$15)</f>
        <v>0.35</v>
      </c>
      <c r="S1202" s="16" t="n">
        <f aca="false">IF(D1202="","",MAX(0,J1202-R1202))</f>
        <v>0</v>
      </c>
      <c r="T1202" s="16" t="n">
        <f aca="false">IF(D1202="","",MAX(0,Z1202-$B$8))</f>
        <v>24.0430442270037</v>
      </c>
      <c r="U1202" s="16" t="n">
        <f aca="false">IF(D1202="","",MAX(0,MIN($B$8,Z1202)))</f>
        <v>47.22</v>
      </c>
      <c r="V1202" s="16" t="str">
        <f aca="false">IF(D1202="","",IF(S1202&gt;0.0000001,"Sim","Não"))</f>
        <v>Não</v>
      </c>
      <c r="W1202" s="16" t="n">
        <f aca="false">IF(D1202="","",U1202-(H1202+E1202-Q1202-O1202-T1202))</f>
        <v>0</v>
      </c>
      <c r="X1202" s="16" t="n">
        <f aca="false">IF(W1202="","",ABS(W1202))</f>
        <v>0</v>
      </c>
      <c r="Y1202" s="16" t="n">
        <f aca="false">IF(U1202="","",IF($B$8=0,0,U1202/$B$8*100))</f>
        <v>100</v>
      </c>
      <c r="Z1202" s="18" t="n">
        <f aca="false">IF(D1202="","",MAX(0,IF(P1202&gt;=0,P1202,IF(K1202+P1202&gt;=0,0,P1202+K1202))))</f>
        <v>71.2630442270037</v>
      </c>
      <c r="AA1202" s="18" t="n">
        <f aca="false">IF(D1202="","",IF(H1202&lt;=$B$16,1,IF(H1202&gt;=$B$17,$B$21,MATCH(H1202,Aux_CAV!$A$2:$A$121,1))))</f>
        <v>11</v>
      </c>
      <c r="AB1202" s="18" t="n">
        <f aca="false">IF(D1202="","",IF(L1202&lt;=$B$16,1,IF(L1202&gt;=$B$17,$B$21,MATCH(L1202,Aux_CAV!$A$2:$A$121,1))))</f>
        <v>16</v>
      </c>
      <c r="AC1202" s="19" t="n">
        <f aca="false">IF(D1202="","",COUNT($D$24:D1202))</f>
        <v>1167</v>
      </c>
    </row>
    <row r="1203" customFormat="false" ht="12.75" hidden="false" customHeight="true" outlineLevel="0" collapsed="false">
      <c r="A1203" s="14" t="n">
        <f aca="false">IF(D1203="","",DATE(B1203,C1203,1))</f>
        <v>39539</v>
      </c>
      <c r="B1203" s="15" t="n">
        <f aca="false" t="array" ref="B1203:B1203">IF(D1203="","",IFERROR(VALUE(INDEX(Vazoes_COLAR!$A$2:$A$200,INT((ROW()-24)/12)+1)),""))</f>
        <v>2008</v>
      </c>
      <c r="C1203" s="15" t="n">
        <f aca="false">IF(D1203="","",MOD(ROW()-24,12)+1)</f>
        <v>4</v>
      </c>
      <c r="D1203" s="16" t="n">
        <f aca="false" t="array" ref="D1203: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14.9283253528831</v>
      </c>
      <c r="E1203" s="16" t="n">
        <f aca="false">IF(D1203="","",D1203*$B$15)</f>
        <v>38.694219314673</v>
      </c>
      <c r="F1203" s="16" t="n">
        <f aca="false" t="array" ref="F1203:F1203">IF(D1203="","",IFERROR(INDEX(Dados_Evap!$C$2:$N$15,MATCH($B$9,Dados_Evap!$A$2:$A$15,0),C1203),0))</f>
        <v>100.5</v>
      </c>
      <c r="G1203" s="16" t="n">
        <f aca="false">IF(F1203="","",F1203/1000)</f>
        <v>0.1005</v>
      </c>
      <c r="H1203" s="16" t="n">
        <f aca="false">IF(D1203="","",MAX(0,MIN($B$8,IFERROR(LOOKUP(2,1/($U$24:U1202&lt;&gt;""),$U$24:U1202),$B$11))))</f>
        <v>47.22</v>
      </c>
      <c r="I1203" s="16" t="n">
        <f aca="false" t="array" ref="I1203: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>6.97</v>
      </c>
      <c r="J1203" s="16" t="n">
        <f aca="false">IF(D1203="","",$B$12)</f>
        <v>0.35</v>
      </c>
      <c r="K1203" s="16" t="n">
        <f aca="false">IF(J1203="","",J1203*$B$15)</f>
        <v>0.9072</v>
      </c>
      <c r="L1203" s="16" t="n">
        <f aca="false">IF(D1203="","",H1203+E1203-K1203-G1203*I1203)</f>
        <v>84.306534314673</v>
      </c>
      <c r="M1203" s="16" t="n">
        <f aca="false" t="array" ref="M1203: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>10.96</v>
      </c>
      <c r="N1203" s="16" t="n">
        <f aca="false">IF(D1203="","",(I1203+M1203)/2)</f>
        <v>8.965</v>
      </c>
      <c r="O1203" s="16" t="n">
        <f aca="false">IF(D1203="","",G1203*N1203)</f>
        <v>0.9009825</v>
      </c>
      <c r="P1203" s="16" t="n">
        <f aca="false">IF(D1203="","",H1203+E1203-K1203-O1203)</f>
        <v>84.106036814673</v>
      </c>
      <c r="Q1203" s="16" t="n">
        <f aca="false">IF(D1203="","",IF(P1203&gt;=0,K1203,MAX(0,K1203+P1203)))</f>
        <v>0.9072</v>
      </c>
      <c r="R1203" s="16" t="n">
        <f aca="false">IF(D1203="","",Q1203/$B$15)</f>
        <v>0.35</v>
      </c>
      <c r="S1203" s="16" t="n">
        <f aca="false">IF(D1203="","",MAX(0,J1203-R1203))</f>
        <v>0</v>
      </c>
      <c r="T1203" s="16" t="n">
        <f aca="false">IF(D1203="","",MAX(0,Z1203-$B$8))</f>
        <v>36.886036814673</v>
      </c>
      <c r="U1203" s="16" t="n">
        <f aca="false">IF(D1203="","",MAX(0,MIN($B$8,Z1203)))</f>
        <v>47.22</v>
      </c>
      <c r="V1203" s="16" t="str">
        <f aca="false">IF(D1203="","",IF(S1203&gt;0.0000001,"Sim","Não"))</f>
        <v>Não</v>
      </c>
      <c r="W1203" s="16" t="n">
        <f aca="false">IF(D1203="","",U1203-(H1203+E1203-Q1203-O1203-T1203))</f>
        <v>0</v>
      </c>
      <c r="X1203" s="16" t="n">
        <f aca="false">IF(W1203="","",ABS(W1203))</f>
        <v>0</v>
      </c>
      <c r="Y1203" s="16" t="n">
        <f aca="false">IF(U1203="","",IF($B$8=0,0,U1203/$B$8*100))</f>
        <v>100</v>
      </c>
      <c r="Z1203" s="18" t="n">
        <f aca="false">IF(D1203="","",MAX(0,IF(P1203&gt;=0,P1203,IF(K1203+P1203&gt;=0,0,P1203+K1203))))</f>
        <v>84.106036814673</v>
      </c>
      <c r="AA1203" s="18" t="n">
        <f aca="false">IF(D1203="","",IF(H1203&lt;=$B$16,1,IF(H1203&gt;=$B$17,$B$21,MATCH(H1203,Aux_CAV!$A$2:$A$121,1))))</f>
        <v>14</v>
      </c>
      <c r="AB1203" s="18" t="n">
        <f aca="false">IF(D1203="","",IF(L1203&lt;=$B$16,1,IF(L1203&gt;=$B$17,$B$21,MATCH(L1203,Aux_CAV!$A$2:$A$121,1))))</f>
        <v>18</v>
      </c>
      <c r="AC1203" s="19" t="n">
        <f aca="false">IF(D1203="","",COUNT($D$24:D1203))</f>
        <v>1168</v>
      </c>
    </row>
    <row r="1204" customFormat="false" ht="12.75" hidden="false" customHeight="true" outlineLevel="0" collapsed="false">
      <c r="A1204" s="14" t="n">
        <f aca="false">IF(D1204="","",DATE(B1204,C1204,1))</f>
        <v>39569</v>
      </c>
      <c r="B1204" s="15" t="n">
        <f aca="false" t="array" ref="B1204:B1204">IF(D1204="","",IFERROR(VALUE(INDEX(Vazoes_COLAR!$A$2:$A$200,INT((ROW()-24)/12)+1)),""))</f>
        <v>2008</v>
      </c>
      <c r="C1204" s="15" t="n">
        <f aca="false">IF(D1204="","",MOD(ROW()-24,12)+1)</f>
        <v>5</v>
      </c>
      <c r="D1204" s="16" t="n">
        <f aca="false" t="array" ref="D1204: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3.71217665357255</v>
      </c>
      <c r="E1204" s="16" t="n">
        <f aca="false">IF(D1204="","",D1204*$B$15)</f>
        <v>9.62196188606005</v>
      </c>
      <c r="F1204" s="16" t="n">
        <f aca="false" t="array" ref="F1204:F1204">IF(D1204="","",IFERROR(INDEX(Dados_Evap!$C$2:$N$15,MATCH($B$9,Dados_Evap!$A$2:$A$15,0),C1204),0))</f>
        <v>145.8</v>
      </c>
      <c r="G1204" s="16" t="n">
        <f aca="false">IF(F1204="","",F1204/1000)</f>
        <v>0.1458</v>
      </c>
      <c r="H1204" s="16" t="n">
        <f aca="false">IF(D1204="","",MAX(0,MIN($B$8,IFERROR(LOOKUP(2,1/($U$24:U1203&lt;&gt;""),$U$24:U1203),$B$11))))</f>
        <v>47.22</v>
      </c>
      <c r="I1204" s="16" t="n">
        <f aca="false" t="array" ref="I1204: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>6.97</v>
      </c>
      <c r="J1204" s="16" t="n">
        <f aca="false">IF(D1204="","",$B$12)</f>
        <v>0.35</v>
      </c>
      <c r="K1204" s="16" t="n">
        <f aca="false">IF(J1204="","",J1204*$B$15)</f>
        <v>0.9072</v>
      </c>
      <c r="L1204" s="16" t="n">
        <f aca="false">IF(D1204="","",H1204+E1204-K1204-G1204*I1204)</f>
        <v>54.91853588606</v>
      </c>
      <c r="M1204" s="16" t="n">
        <f aca="false" t="array" ref="M1204: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>7.87943777636934</v>
      </c>
      <c r="N1204" s="16" t="n">
        <f aca="false">IF(D1204="","",(I1204+M1204)/2)</f>
        <v>7.42471888818467</v>
      </c>
      <c r="O1204" s="16" t="n">
        <f aca="false">IF(D1204="","",G1204*N1204)</f>
        <v>1.08252401389732</v>
      </c>
      <c r="P1204" s="16" t="n">
        <f aca="false">IF(D1204="","",H1204+E1204-K1204-O1204)</f>
        <v>54.8522378721627</v>
      </c>
      <c r="Q1204" s="16" t="n">
        <f aca="false">IF(D1204="","",IF(P1204&gt;=0,K1204,MAX(0,K1204+P1204)))</f>
        <v>0.9072</v>
      </c>
      <c r="R1204" s="16" t="n">
        <f aca="false">IF(D1204="","",Q1204/$B$15)</f>
        <v>0.35</v>
      </c>
      <c r="S1204" s="16" t="n">
        <f aca="false">IF(D1204="","",MAX(0,J1204-R1204))</f>
        <v>0</v>
      </c>
      <c r="T1204" s="16" t="n">
        <f aca="false">IF(D1204="","",MAX(0,Z1204-$B$8))</f>
        <v>7.63223787216272</v>
      </c>
      <c r="U1204" s="16" t="n">
        <f aca="false">IF(D1204="","",MAX(0,MIN($B$8,Z1204)))</f>
        <v>47.22</v>
      </c>
      <c r="V1204" s="16" t="str">
        <f aca="false">IF(D1204="","",IF(S1204&gt;0.0000001,"Sim","Não"))</f>
        <v>Não</v>
      </c>
      <c r="W1204" s="16" t="n">
        <f aca="false">IF(D1204="","",U1204-(H1204+E1204-Q1204-O1204-T1204))</f>
        <v>0</v>
      </c>
      <c r="X1204" s="16" t="n">
        <f aca="false">IF(W1204="","",ABS(W1204))</f>
        <v>0</v>
      </c>
      <c r="Y1204" s="16" t="n">
        <f aca="false">IF(U1204="","",IF($B$8=0,0,U1204/$B$8*100))</f>
        <v>100</v>
      </c>
      <c r="Z1204" s="18" t="n">
        <f aca="false">IF(D1204="","",MAX(0,IF(P1204&gt;=0,P1204,IF(K1204+P1204&gt;=0,0,P1204+K1204))))</f>
        <v>54.8522378721627</v>
      </c>
      <c r="AA1204" s="18" t="n">
        <f aca="false">IF(D1204="","",IF(H1204&lt;=$B$16,1,IF(H1204&gt;=$B$17,$B$21,MATCH(H1204,Aux_CAV!$A$2:$A$121,1))))</f>
        <v>14</v>
      </c>
      <c r="AB1204" s="18" t="n">
        <f aca="false">IF(D1204="","",IF(L1204&lt;=$B$16,1,IF(L1204&gt;=$B$17,$B$21,MATCH(L1204,Aux_CAV!$A$2:$A$121,1))))</f>
        <v>15</v>
      </c>
      <c r="AC1204" s="19" t="n">
        <f aca="false">IF(D1204="","",COUNT($D$24:D1204))</f>
        <v>1169</v>
      </c>
    </row>
    <row r="1205" customFormat="false" ht="12.75" hidden="false" customHeight="true" outlineLevel="0" collapsed="false">
      <c r="A1205" s="14" t="n">
        <f aca="false">IF(D1205="","",DATE(B1205,C1205,1))</f>
        <v>39600</v>
      </c>
      <c r="B1205" s="15" t="n">
        <f aca="false" t="array" ref="B1205:B1205">IF(D1205="","",IFERROR(VALUE(INDEX(Vazoes_COLAR!$A$2:$A$200,INT((ROW()-24)/12)+1)),""))</f>
        <v>2008</v>
      </c>
      <c r="C1205" s="15" t="n">
        <f aca="false">IF(D1205="","",MOD(ROW()-24,12)+1)</f>
        <v>6</v>
      </c>
      <c r="D1205" s="16" t="n">
        <f aca="false" t="array" ref="D1205: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0.190023186900836</v>
      </c>
      <c r="E1205" s="16" t="n">
        <f aca="false">IF(D1205="","",D1205*$B$15)</f>
        <v>0.492540100446967</v>
      </c>
      <c r="F1205" s="16" t="n">
        <f aca="false" t="array" ref="F1205:F1205">IF(D1205="","",IFERROR(INDEX(Dados_Evap!$C$2:$N$15,MATCH($B$9,Dados_Evap!$A$2:$A$15,0),C1205),0))</f>
        <v>161.3</v>
      </c>
      <c r="G1205" s="16" t="n">
        <f aca="false">IF(F1205="","",F1205/1000)</f>
        <v>0.1613</v>
      </c>
      <c r="H1205" s="16" t="n">
        <f aca="false">IF(D1205="","",MAX(0,MIN($B$8,IFERROR(LOOKUP(2,1/($U$24:U1204&lt;&gt;""),$U$24:U1204),$B$11))))</f>
        <v>47.22</v>
      </c>
      <c r="I1205" s="16" t="n">
        <f aca="false" t="array" ref="I1205: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>6.97</v>
      </c>
      <c r="J1205" s="16" t="n">
        <f aca="false">IF(D1205="","",$B$12)</f>
        <v>0.35</v>
      </c>
      <c r="K1205" s="16" t="n">
        <f aca="false">IF(J1205="","",J1205*$B$15)</f>
        <v>0.9072</v>
      </c>
      <c r="L1205" s="16" t="n">
        <f aca="false">IF(D1205="","",H1205+E1205-K1205-G1205*I1205)</f>
        <v>45.681079100447</v>
      </c>
      <c r="M1205" s="16" t="n">
        <f aca="false" t="array" ref="M1205: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>6.8163498787396</v>
      </c>
      <c r="N1205" s="16" t="n">
        <f aca="false">IF(D1205="","",(I1205+M1205)/2)</f>
        <v>6.8931749393698</v>
      </c>
      <c r="O1205" s="16" t="n">
        <f aca="false">IF(D1205="","",G1205*N1205)</f>
        <v>1.11186911772035</v>
      </c>
      <c r="P1205" s="16" t="n">
        <f aca="false">IF(D1205="","",H1205+E1205-K1205-O1205)</f>
        <v>45.6934709827266</v>
      </c>
      <c r="Q1205" s="16" t="n">
        <f aca="false">IF(D1205="","",IF(P1205&gt;=0,K1205,MAX(0,K1205+P1205)))</f>
        <v>0.9072</v>
      </c>
      <c r="R1205" s="16" t="n">
        <f aca="false">IF(D1205="","",Q1205/$B$15)</f>
        <v>0.35</v>
      </c>
      <c r="S1205" s="16" t="n">
        <f aca="false">IF(D1205="","",MAX(0,J1205-R1205))</f>
        <v>0</v>
      </c>
      <c r="T1205" s="16" t="n">
        <f aca="false">IF(D1205="","",MAX(0,Z1205-$B$8))</f>
        <v>0</v>
      </c>
      <c r="U1205" s="16" t="n">
        <f aca="false">IF(D1205="","",MAX(0,MIN($B$8,Z1205)))</f>
        <v>45.6934709827266</v>
      </c>
      <c r="V1205" s="16" t="str">
        <f aca="false">IF(D1205="","",IF(S1205&gt;0.0000001,"Sim","Não"))</f>
        <v>Não</v>
      </c>
      <c r="W1205" s="16" t="n">
        <f aca="false">IF(D1205="","",U1205-(H1205+E1205-Q1205-O1205-T1205))</f>
        <v>0</v>
      </c>
      <c r="X1205" s="16" t="n">
        <f aca="false">IF(W1205="","",ABS(W1205))</f>
        <v>0</v>
      </c>
      <c r="Y1205" s="16" t="n">
        <f aca="false">IF(U1205="","",IF($B$8=0,0,U1205/$B$8*100))</f>
        <v>96.7671981845121</v>
      </c>
      <c r="Z1205" s="18" t="n">
        <f aca="false">IF(D1205="","",MAX(0,IF(P1205&gt;=0,P1205,IF(K1205+P1205&gt;=0,0,P1205+K1205))))</f>
        <v>45.6934709827266</v>
      </c>
      <c r="AA1205" s="18" t="n">
        <f aca="false">IF(D1205="","",IF(H1205&lt;=$B$16,1,IF(H1205&gt;=$B$17,$B$21,MATCH(H1205,Aux_CAV!$A$2:$A$121,1))))</f>
        <v>14</v>
      </c>
      <c r="AB1205" s="18" t="n">
        <f aca="false">IF(D1205="","",IF(L1205&lt;=$B$16,1,IF(L1205&gt;=$B$17,$B$21,MATCH(L1205,Aux_CAV!$A$2:$A$121,1))))</f>
        <v>13</v>
      </c>
      <c r="AC1205" s="19" t="n">
        <f aca="false">IF(D1205="","",COUNT($D$24:D1205))</f>
        <v>1170</v>
      </c>
    </row>
    <row r="1206" customFormat="false" ht="12.75" hidden="false" customHeight="true" outlineLevel="0" collapsed="false">
      <c r="A1206" s="14" t="n">
        <f aca="false">IF(D1206="","",DATE(B1206,C1206,1))</f>
        <v>39630</v>
      </c>
      <c r="B1206" s="15" t="n">
        <f aca="false" t="array" ref="B1206:B1206">IF(D1206="","",IFERROR(VALUE(INDEX(Vazoes_COLAR!$A$2:$A$200,INT((ROW()-24)/12)+1)),""))</f>
        <v>2008</v>
      </c>
      <c r="C1206" s="15" t="n">
        <f aca="false">IF(D1206="","",MOD(ROW()-24,12)+1)</f>
        <v>7</v>
      </c>
      <c r="D1206" s="16" t="n">
        <f aca="false" t="array" ref="D1206: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0.238506166050554</v>
      </c>
      <c r="E1206" s="16" t="n">
        <f aca="false">IF(D1206="","",D1206*$B$15)</f>
        <v>0.618207982403036</v>
      </c>
      <c r="F1206" s="16" t="n">
        <f aca="false" t="array" ref="F1206:F1206">IF(D1206="","",IFERROR(INDEX(Dados_Evap!$C$2:$N$15,MATCH($B$9,Dados_Evap!$A$2:$A$15,0),C1206),0))</f>
        <v>224.8</v>
      </c>
      <c r="G1206" s="16" t="n">
        <f aca="false">IF(F1206="","",F1206/1000)</f>
        <v>0.2248</v>
      </c>
      <c r="H1206" s="16" t="n">
        <f aca="false">IF(D1206="","",MAX(0,MIN($B$8,IFERROR(LOOKUP(2,1/($U$24:U1205&lt;&gt;""),$U$24:U1205),$B$11))))</f>
        <v>45.6934709827266</v>
      </c>
      <c r="I1206" s="16" t="n">
        <f aca="false" t="array" ref="I1206: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>6.8175871185584</v>
      </c>
      <c r="J1206" s="16" t="n">
        <f aca="false">IF(D1206="","",$B$12)</f>
        <v>0.35</v>
      </c>
      <c r="K1206" s="16" t="n">
        <f aca="false">IF(J1206="","",J1206*$B$15)</f>
        <v>0.9072</v>
      </c>
      <c r="L1206" s="16" t="n">
        <f aca="false">IF(D1206="","",H1206+E1206-K1206-G1206*I1206)</f>
        <v>43.8718853808777</v>
      </c>
      <c r="M1206" s="16" t="n">
        <f aca="false" t="array" ref="M1206: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>6.63571497120399</v>
      </c>
      <c r="N1206" s="16" t="n">
        <f aca="false">IF(D1206="","",(I1206+M1206)/2)</f>
        <v>6.72665104488119</v>
      </c>
      <c r="O1206" s="16" t="n">
        <f aca="false">IF(D1206="","",G1206*N1206)</f>
        <v>1.51215115488929</v>
      </c>
      <c r="P1206" s="16" t="n">
        <f aca="false">IF(D1206="","",H1206+E1206-K1206-O1206)</f>
        <v>43.8923278102404</v>
      </c>
      <c r="Q1206" s="16" t="n">
        <f aca="false">IF(D1206="","",IF(P1206&gt;=0,K1206,MAX(0,K1206+P1206)))</f>
        <v>0.9072</v>
      </c>
      <c r="R1206" s="16" t="n">
        <f aca="false">IF(D1206="","",Q1206/$B$15)</f>
        <v>0.35</v>
      </c>
      <c r="S1206" s="16" t="n">
        <f aca="false">IF(D1206="","",MAX(0,J1206-R1206))</f>
        <v>0</v>
      </c>
      <c r="T1206" s="16" t="n">
        <f aca="false">IF(D1206="","",MAX(0,Z1206-$B$8))</f>
        <v>0</v>
      </c>
      <c r="U1206" s="16" t="n">
        <f aca="false">IF(D1206="","",MAX(0,MIN($B$8,Z1206)))</f>
        <v>43.8923278102404</v>
      </c>
      <c r="V1206" s="16" t="str">
        <f aca="false">IF(D1206="","",IF(S1206&gt;0.0000001,"Sim","Não"))</f>
        <v>Não</v>
      </c>
      <c r="W1206" s="16" t="n">
        <f aca="false">IF(D1206="","",U1206-(H1206+E1206-Q1206-O1206-T1206))</f>
        <v>0</v>
      </c>
      <c r="X1206" s="16" t="n">
        <f aca="false">IF(W1206="","",ABS(W1206))</f>
        <v>0</v>
      </c>
      <c r="Y1206" s="16" t="n">
        <f aca="false">IF(U1206="","",IF($B$8=0,0,U1206/$B$8*100))</f>
        <v>92.9528331432451</v>
      </c>
      <c r="Z1206" s="18" t="n">
        <f aca="false">IF(D1206="","",MAX(0,IF(P1206&gt;=0,P1206,IF(K1206+P1206&gt;=0,0,P1206+K1206))))</f>
        <v>43.8923278102404</v>
      </c>
      <c r="AA1206" s="18" t="n">
        <f aca="false">IF(D1206="","",IF(H1206&lt;=$B$16,1,IF(H1206&gt;=$B$17,$B$21,MATCH(H1206,Aux_CAV!$A$2:$A$121,1))))</f>
        <v>13</v>
      </c>
      <c r="AB1206" s="18" t="n">
        <f aca="false">IF(D1206="","",IF(L1206&lt;=$B$16,1,IF(L1206&gt;=$B$17,$B$21,MATCH(L1206,Aux_CAV!$A$2:$A$121,1))))</f>
        <v>13</v>
      </c>
      <c r="AC1206" s="19" t="n">
        <f aca="false">IF(D1206="","",COUNT($D$24:D1206))</f>
        <v>1171</v>
      </c>
    </row>
    <row r="1207" customFormat="false" ht="12.75" hidden="false" customHeight="true" outlineLevel="0" collapsed="false">
      <c r="A1207" s="14" t="n">
        <f aca="false">IF(D1207="","",DATE(B1207,C1207,1))</f>
        <v>39661</v>
      </c>
      <c r="B1207" s="15" t="n">
        <f aca="false" t="array" ref="B1207:B1207">IF(D1207="","",IFERROR(VALUE(INDEX(Vazoes_COLAR!$A$2:$A$200,INT((ROW()-24)/12)+1)),""))</f>
        <v>2008</v>
      </c>
      <c r="C1207" s="15" t="n">
        <f aca="false">IF(D1207="","",MOD(ROW()-24,12)+1)</f>
        <v>8</v>
      </c>
      <c r="D1207" s="16" t="n">
        <f aca="false" t="array" ref="D1207: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0.0888599914239131</v>
      </c>
      <c r="E1207" s="16" t="n">
        <f aca="false">IF(D1207="","",D1207*$B$15)</f>
        <v>0.230325097770783</v>
      </c>
      <c r="F1207" s="16" t="n">
        <f aca="false" t="array" ref="F1207:F1207">IF(D1207="","",IFERROR(INDEX(Dados_Evap!$C$2:$N$15,MATCH($B$9,Dados_Evap!$A$2:$A$15,0),C1207),0))</f>
        <v>268.7</v>
      </c>
      <c r="G1207" s="16" t="n">
        <f aca="false">IF(F1207="","",F1207/1000)</f>
        <v>0.2687</v>
      </c>
      <c r="H1207" s="16" t="n">
        <f aca="false">IF(D1207="","",MAX(0,MIN($B$8,IFERROR(LOOKUP(2,1/($U$24:U1206&lt;&gt;""),$U$24:U1206),$B$11))))</f>
        <v>43.8923278102404</v>
      </c>
      <c r="I1207" s="16" t="n">
        <f aca="false" t="array" ref="I1207: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>6.6377559999218</v>
      </c>
      <c r="J1207" s="16" t="n">
        <f aca="false">IF(D1207="","",$B$12)</f>
        <v>0.35</v>
      </c>
      <c r="K1207" s="16" t="n">
        <f aca="false">IF(J1207="","",J1207*$B$15)</f>
        <v>0.9072</v>
      </c>
      <c r="L1207" s="16" t="n">
        <f aca="false">IF(D1207="","",H1207+E1207-K1207-G1207*I1207)</f>
        <v>41.4318878708322</v>
      </c>
      <c r="M1207" s="16" t="n">
        <f aca="false" t="array" ref="M1207: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>6.39209886760667</v>
      </c>
      <c r="N1207" s="16" t="n">
        <f aca="false">IF(D1207="","",(I1207+M1207)/2)</f>
        <v>6.51492743376423</v>
      </c>
      <c r="O1207" s="16" t="n">
        <f aca="false">IF(D1207="","",G1207*N1207)</f>
        <v>1.75056100145245</v>
      </c>
      <c r="P1207" s="16" t="n">
        <f aca="false">IF(D1207="","",H1207+E1207-K1207-O1207)</f>
        <v>41.4648919065587</v>
      </c>
      <c r="Q1207" s="16" t="n">
        <f aca="false">IF(D1207="","",IF(P1207&gt;=0,K1207,MAX(0,K1207+P1207)))</f>
        <v>0.9072</v>
      </c>
      <c r="R1207" s="16" t="n">
        <f aca="false">IF(D1207="","",Q1207/$B$15)</f>
        <v>0.35</v>
      </c>
      <c r="S1207" s="16" t="n">
        <f aca="false">IF(D1207="","",MAX(0,J1207-R1207))</f>
        <v>0</v>
      </c>
      <c r="T1207" s="16" t="n">
        <f aca="false">IF(D1207="","",MAX(0,Z1207-$B$8))</f>
        <v>0</v>
      </c>
      <c r="U1207" s="16" t="n">
        <f aca="false">IF(D1207="","",MAX(0,MIN($B$8,Z1207)))</f>
        <v>41.4648919065587</v>
      </c>
      <c r="V1207" s="16" t="str">
        <f aca="false">IF(D1207="","",IF(S1207&gt;0.0000001,"Sim","Não"))</f>
        <v>Não</v>
      </c>
      <c r="W1207" s="16" t="n">
        <f aca="false">IF(D1207="","",U1207-(H1207+E1207-Q1207-O1207-T1207))</f>
        <v>0</v>
      </c>
      <c r="X1207" s="16" t="n">
        <f aca="false">IF(W1207="","",ABS(W1207))</f>
        <v>0</v>
      </c>
      <c r="Y1207" s="16" t="n">
        <f aca="false">IF(U1207="","",IF($B$8=0,0,U1207/$B$8*100))</f>
        <v>87.8121387262997</v>
      </c>
      <c r="Z1207" s="18" t="n">
        <f aca="false">IF(D1207="","",MAX(0,IF(P1207&gt;=0,P1207,IF(K1207+P1207&gt;=0,0,P1207+K1207))))</f>
        <v>41.4648919065587</v>
      </c>
      <c r="AA1207" s="18" t="n">
        <f aca="false">IF(D1207="","",IF(H1207&lt;=$B$16,1,IF(H1207&gt;=$B$17,$B$21,MATCH(H1207,Aux_CAV!$A$2:$A$121,1))))</f>
        <v>13</v>
      </c>
      <c r="AB1207" s="18" t="n">
        <f aca="false">IF(D1207="","",IF(L1207&lt;=$B$16,1,IF(L1207&gt;=$B$17,$B$21,MATCH(L1207,Aux_CAV!$A$2:$A$121,1))))</f>
        <v>13</v>
      </c>
      <c r="AC1207" s="19" t="n">
        <f aca="false">IF(D1207="","",COUNT($D$24:D1207))</f>
        <v>1172</v>
      </c>
    </row>
    <row r="1208" customFormat="false" ht="12.75" hidden="false" customHeight="true" outlineLevel="0" collapsed="false">
      <c r="A1208" s="14" t="n">
        <f aca="false">IF(D1208="","",DATE(B1208,C1208,1))</f>
        <v>39692</v>
      </c>
      <c r="B1208" s="15" t="n">
        <f aca="false" t="array" ref="B1208:B1208">IF(D1208="","",IFERROR(VALUE(INDEX(Vazoes_COLAR!$A$2:$A$200,INT((ROW()-24)/12)+1)),""))</f>
        <v>2008</v>
      </c>
      <c r="C1208" s="15" t="n">
        <f aca="false">IF(D1208="","",MOD(ROW()-24,12)+1)</f>
        <v>9</v>
      </c>
      <c r="D1208" s="16" t="n">
        <f aca="false" t="array" ref="D1208: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0.0337248062720542</v>
      </c>
      <c r="E1208" s="16" t="n">
        <f aca="false">IF(D1208="","",D1208*$B$15)</f>
        <v>0.0874146978571645</v>
      </c>
      <c r="F1208" s="16" t="n">
        <f aca="false" t="array" ref="F1208:F1208">IF(D1208="","",IFERROR(INDEX(Dados_Evap!$C$2:$N$15,MATCH($B$9,Dados_Evap!$A$2:$A$15,0),C1208),0))</f>
        <v>292.8</v>
      </c>
      <c r="G1208" s="16" t="n">
        <f aca="false">IF(F1208="","",F1208/1000)</f>
        <v>0.2928</v>
      </c>
      <c r="H1208" s="16" t="n">
        <f aca="false">IF(D1208="","",MAX(0,MIN($B$8,IFERROR(LOOKUP(2,1/($U$24:U1207&lt;&gt;""),$U$24:U1207),$B$11))))</f>
        <v>41.4648919065587</v>
      </c>
      <c r="I1208" s="16" t="n">
        <f aca="false" t="array" ref="I1208: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>6.39539408186553</v>
      </c>
      <c r="J1208" s="16" t="n">
        <f aca="false">IF(D1208="","",$B$12)</f>
        <v>0.35</v>
      </c>
      <c r="K1208" s="16" t="n">
        <f aca="false">IF(J1208="","",J1208*$B$15)</f>
        <v>0.9072</v>
      </c>
      <c r="L1208" s="16" t="n">
        <f aca="false">IF(D1208="","",H1208+E1208-K1208-G1208*I1208)</f>
        <v>38.7725352172456</v>
      </c>
      <c r="M1208" s="16" t="n">
        <f aca="false" t="array" ref="M1208: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>6.1265817394577</v>
      </c>
      <c r="N1208" s="16" t="n">
        <f aca="false">IF(D1208="","",(I1208+M1208)/2)</f>
        <v>6.26098791066162</v>
      </c>
      <c r="O1208" s="16" t="n">
        <f aca="false">IF(D1208="","",G1208*N1208)</f>
        <v>1.83321726024172</v>
      </c>
      <c r="P1208" s="16" t="n">
        <f aca="false">IF(D1208="","",H1208+E1208-K1208-O1208)</f>
        <v>38.8118893441741</v>
      </c>
      <c r="Q1208" s="16" t="n">
        <f aca="false">IF(D1208="","",IF(P1208&gt;=0,K1208,MAX(0,K1208+P1208)))</f>
        <v>0.9072</v>
      </c>
      <c r="R1208" s="16" t="n">
        <f aca="false">IF(D1208="","",Q1208/$B$15)</f>
        <v>0.35</v>
      </c>
      <c r="S1208" s="16" t="n">
        <f aca="false">IF(D1208="","",MAX(0,J1208-R1208))</f>
        <v>0</v>
      </c>
      <c r="T1208" s="16" t="n">
        <f aca="false">IF(D1208="","",MAX(0,Z1208-$B$8))</f>
        <v>0</v>
      </c>
      <c r="U1208" s="16" t="n">
        <f aca="false">IF(D1208="","",MAX(0,MIN($B$8,Z1208)))</f>
        <v>38.8118893441741</v>
      </c>
      <c r="V1208" s="16" t="str">
        <f aca="false">IF(D1208="","",IF(S1208&gt;0.0000001,"Sim","Não"))</f>
        <v>Não</v>
      </c>
      <c r="W1208" s="16" t="n">
        <f aca="false">IF(D1208="","",U1208-(H1208+E1208-Q1208-O1208-T1208))</f>
        <v>0</v>
      </c>
      <c r="X1208" s="16" t="n">
        <f aca="false">IF(W1208="","",ABS(W1208))</f>
        <v>0</v>
      </c>
      <c r="Y1208" s="16" t="n">
        <f aca="false">IF(U1208="","",IF($B$8=0,0,U1208/$B$8*100))</f>
        <v>82.1937512583103</v>
      </c>
      <c r="Z1208" s="18" t="n">
        <f aca="false">IF(D1208="","",MAX(0,IF(P1208&gt;=0,P1208,IF(K1208+P1208&gt;=0,0,P1208+K1208))))</f>
        <v>38.8118893441741</v>
      </c>
      <c r="AA1208" s="18" t="n">
        <f aca="false">IF(D1208="","",IF(H1208&lt;=$B$16,1,IF(H1208&gt;=$B$17,$B$21,MATCH(H1208,Aux_CAV!$A$2:$A$121,1))))</f>
        <v>13</v>
      </c>
      <c r="AB1208" s="18" t="n">
        <f aca="false">IF(D1208="","",IF(L1208&lt;=$B$16,1,IF(L1208&gt;=$B$17,$B$21,MATCH(L1208,Aux_CAV!$A$2:$A$121,1))))</f>
        <v>13</v>
      </c>
      <c r="AC1208" s="19" t="n">
        <f aca="false">IF(D1208="","",COUNT($D$24:D1208))</f>
        <v>1173</v>
      </c>
    </row>
    <row r="1209" customFormat="false" ht="12.75" hidden="false" customHeight="true" outlineLevel="0" collapsed="false">
      <c r="A1209" s="14" t="n">
        <f aca="false">IF(D1209="","",DATE(B1209,C1209,1))</f>
        <v>39722</v>
      </c>
      <c r="B1209" s="15" t="n">
        <f aca="false" t="array" ref="B1209:B1209">IF(D1209="","",IFERROR(VALUE(INDEX(Vazoes_COLAR!$A$2:$A$200,INT((ROW()-24)/12)+1)),""))</f>
        <v>2008</v>
      </c>
      <c r="C1209" s="15" t="n">
        <f aca="false">IF(D1209="","",MOD(ROW()-24,12)+1)</f>
        <v>10</v>
      </c>
      <c r="D1209" s="16" t="n">
        <f aca="false" t="array" ref="D1209: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0.0310695373183925</v>
      </c>
      <c r="E1209" s="16" t="n">
        <f aca="false">IF(D1209="","",D1209*$B$15)</f>
        <v>0.0805322407292734</v>
      </c>
      <c r="F1209" s="16" t="n">
        <f aca="false" t="array" ref="F1209:F1209">IF(D1209="","",IFERROR(INDEX(Dados_Evap!$C$2:$N$15,MATCH($B$9,Dados_Evap!$A$2:$A$15,0),C1209),0))</f>
        <v>262.9</v>
      </c>
      <c r="G1209" s="16" t="n">
        <f aca="false">IF(F1209="","",F1209/1000)</f>
        <v>0.2629</v>
      </c>
      <c r="H1209" s="16" t="n">
        <f aca="false">IF(D1209="","",MAX(0,MIN($B$8,IFERROR(LOOKUP(2,1/($U$24:U1208&lt;&gt;""),$U$24:U1208),$B$11))))</f>
        <v>38.8118893441741</v>
      </c>
      <c r="I1209" s="16" t="n">
        <f aca="false" t="array" ref="I1209: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>6.13051096439474</v>
      </c>
      <c r="J1209" s="16" t="n">
        <f aca="false">IF(D1209="","",$B$12)</f>
        <v>0.35</v>
      </c>
      <c r="K1209" s="16" t="n">
        <f aca="false">IF(J1209="","",J1209*$B$15)</f>
        <v>0.9072</v>
      </c>
      <c r="L1209" s="16" t="n">
        <f aca="false">IF(D1209="","",H1209+E1209-K1209-G1209*I1209)</f>
        <v>36.373510252364</v>
      </c>
      <c r="M1209" s="16" t="n">
        <f aca="false" t="array" ref="M1209: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>5.8870564481527</v>
      </c>
      <c r="N1209" s="16" t="n">
        <f aca="false">IF(D1209="","",(I1209+M1209)/2)</f>
        <v>6.00878370627372</v>
      </c>
      <c r="O1209" s="16" t="n">
        <f aca="false">IF(D1209="","",G1209*N1209)</f>
        <v>1.57970923637936</v>
      </c>
      <c r="P1209" s="16" t="n">
        <f aca="false">IF(D1209="","",H1209+E1209-K1209-O1209)</f>
        <v>36.405512348524</v>
      </c>
      <c r="Q1209" s="16" t="n">
        <f aca="false">IF(D1209="","",IF(P1209&gt;=0,K1209,MAX(0,K1209+P1209)))</f>
        <v>0.9072</v>
      </c>
      <c r="R1209" s="16" t="n">
        <f aca="false">IF(D1209="","",Q1209/$B$15)</f>
        <v>0.35</v>
      </c>
      <c r="S1209" s="16" t="n">
        <f aca="false">IF(D1209="","",MAX(0,J1209-R1209))</f>
        <v>0</v>
      </c>
      <c r="T1209" s="16" t="n">
        <f aca="false">IF(D1209="","",MAX(0,Z1209-$B$8))</f>
        <v>0</v>
      </c>
      <c r="U1209" s="16" t="n">
        <f aca="false">IF(D1209="","",MAX(0,MIN($B$8,Z1209)))</f>
        <v>36.405512348524</v>
      </c>
      <c r="V1209" s="16" t="str">
        <f aca="false">IF(D1209="","",IF(S1209&gt;0.0000001,"Sim","Não"))</f>
        <v>Não</v>
      </c>
      <c r="W1209" s="16" t="n">
        <f aca="false">IF(D1209="","",U1209-(H1209+E1209-Q1209-O1209-T1209))</f>
        <v>0</v>
      </c>
      <c r="X1209" s="16" t="n">
        <f aca="false">IF(W1209="","",ABS(W1209))</f>
        <v>0</v>
      </c>
      <c r="Y1209" s="16" t="n">
        <f aca="false">IF(U1209="","",IF($B$8=0,0,U1209/$B$8*100))</f>
        <v>77.0976542747227</v>
      </c>
      <c r="Z1209" s="18" t="n">
        <f aca="false">IF(D1209="","",MAX(0,IF(P1209&gt;=0,P1209,IF(K1209+P1209&gt;=0,0,P1209+K1209))))</f>
        <v>36.405512348524</v>
      </c>
      <c r="AA1209" s="18" t="n">
        <f aca="false">IF(D1209="","",IF(H1209&lt;=$B$16,1,IF(H1209&gt;=$B$17,$B$21,MATCH(H1209,Aux_CAV!$A$2:$A$121,1))))</f>
        <v>13</v>
      </c>
      <c r="AB1209" s="18" t="n">
        <f aca="false">IF(D1209="","",IF(L1209&lt;=$B$16,1,IF(L1209&gt;=$B$17,$B$21,MATCH(L1209,Aux_CAV!$A$2:$A$121,1))))</f>
        <v>13</v>
      </c>
      <c r="AC1209" s="19" t="n">
        <f aca="false">IF(D1209="","",COUNT($D$24:D1209))</f>
        <v>1174</v>
      </c>
    </row>
    <row r="1210" customFormat="false" ht="12.75" hidden="false" customHeight="true" outlineLevel="0" collapsed="false">
      <c r="A1210" s="14" t="n">
        <f aca="false">IF(D1210="","",DATE(B1210,C1210,1))</f>
        <v>39753</v>
      </c>
      <c r="B1210" s="15" t="n">
        <f aca="false" t="array" ref="B1210:B1210">IF(D1210="","",IFERROR(VALUE(INDEX(Vazoes_COLAR!$A$2:$A$200,INT((ROW()-24)/12)+1)),""))</f>
        <v>2008</v>
      </c>
      <c r="C1210" s="15" t="n">
        <f aca="false">IF(D1210="","",MOD(ROW()-24,12)+1)</f>
        <v>11</v>
      </c>
      <c r="D1210" s="16" t="n">
        <f aca="false" t="array" ref="D1210: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0.0242562345593917</v>
      </c>
      <c r="E1210" s="16" t="n">
        <f aca="false">IF(D1210="","",D1210*$B$15)</f>
        <v>0.0628721599779433</v>
      </c>
      <c r="F1210" s="16" t="n">
        <f aca="false" t="array" ref="F1210:F1210">IF(D1210="","",IFERROR(INDEX(Dados_Evap!$C$2:$N$15,MATCH($B$9,Dados_Evap!$A$2:$A$15,0),C1210),0))</f>
        <v>223.7</v>
      </c>
      <c r="G1210" s="16" t="n">
        <f aca="false">IF(F1210="","",F1210/1000)</f>
        <v>0.2237</v>
      </c>
      <c r="H1210" s="16" t="n">
        <f aca="false">IF(D1210="","",MAX(0,MIN($B$8,IFERROR(LOOKUP(2,1/($U$24:U1209&lt;&gt;""),$U$24:U1209),$B$11))))</f>
        <v>36.405512348524</v>
      </c>
      <c r="I1210" s="16" t="n">
        <f aca="false" t="array" ref="I1210: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>5.89025162599257</v>
      </c>
      <c r="J1210" s="16" t="n">
        <f aca="false">IF(D1210="","",$B$12)</f>
        <v>0.35</v>
      </c>
      <c r="K1210" s="16" t="n">
        <f aca="false">IF(J1210="","",J1210*$B$15)</f>
        <v>0.9072</v>
      </c>
      <c r="L1210" s="16" t="n">
        <f aca="false">IF(D1210="","",H1210+E1210-K1210-G1210*I1210)</f>
        <v>34.2435352197674</v>
      </c>
      <c r="M1210" s="16" t="n">
        <f aca="false" t="array" ref="M1210: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>5.67335754224769</v>
      </c>
      <c r="N1210" s="16" t="n">
        <f aca="false">IF(D1210="","",(I1210+M1210)/2)</f>
        <v>5.78180458412013</v>
      </c>
      <c r="O1210" s="16" t="n">
        <f aca="false">IF(D1210="","",G1210*N1210)</f>
        <v>1.29338968546767</v>
      </c>
      <c r="P1210" s="16" t="n">
        <f aca="false">IF(D1210="","",H1210+E1210-K1210-O1210)</f>
        <v>34.2677948230343</v>
      </c>
      <c r="Q1210" s="16" t="n">
        <f aca="false">IF(D1210="","",IF(P1210&gt;=0,K1210,MAX(0,K1210+P1210)))</f>
        <v>0.9072</v>
      </c>
      <c r="R1210" s="16" t="n">
        <f aca="false">IF(D1210="","",Q1210/$B$15)</f>
        <v>0.35</v>
      </c>
      <c r="S1210" s="16" t="n">
        <f aca="false">IF(D1210="","",MAX(0,J1210-R1210))</f>
        <v>0</v>
      </c>
      <c r="T1210" s="16" t="n">
        <f aca="false">IF(D1210="","",MAX(0,Z1210-$B$8))</f>
        <v>0</v>
      </c>
      <c r="U1210" s="16" t="n">
        <f aca="false">IF(D1210="","",MAX(0,MIN($B$8,Z1210)))</f>
        <v>34.2677948230343</v>
      </c>
      <c r="V1210" s="16" t="str">
        <f aca="false">IF(D1210="","",IF(S1210&gt;0.0000001,"Sim","Não"))</f>
        <v>Não</v>
      </c>
      <c r="W1210" s="16" t="n">
        <f aca="false">IF(D1210="","",U1210-(H1210+E1210-Q1210-O1210-T1210))</f>
        <v>0</v>
      </c>
      <c r="X1210" s="16" t="n">
        <f aca="false">IF(W1210="","",ABS(W1210))</f>
        <v>0</v>
      </c>
      <c r="Y1210" s="16" t="n">
        <f aca="false">IF(U1210="","",IF($B$8=0,0,U1210/$B$8*100))</f>
        <v>72.5705100021904</v>
      </c>
      <c r="Z1210" s="18" t="n">
        <f aca="false">IF(D1210="","",MAX(0,IF(P1210&gt;=0,P1210,IF(K1210+P1210&gt;=0,0,P1210+K1210))))</f>
        <v>34.2677948230343</v>
      </c>
      <c r="AA1210" s="18" t="n">
        <f aca="false">IF(D1210="","",IF(H1210&lt;=$B$16,1,IF(H1210&gt;=$B$17,$B$21,MATCH(H1210,Aux_CAV!$A$2:$A$121,1))))</f>
        <v>13</v>
      </c>
      <c r="AB1210" s="18" t="n">
        <f aca="false">IF(D1210="","",IF(L1210&lt;=$B$16,1,IF(L1210&gt;=$B$17,$B$21,MATCH(L1210,Aux_CAV!$A$2:$A$121,1))))</f>
        <v>12</v>
      </c>
      <c r="AC1210" s="19" t="n">
        <f aca="false">IF(D1210="","",COUNT($D$24:D1210))</f>
        <v>1175</v>
      </c>
    </row>
    <row r="1211" customFormat="false" ht="12.75" hidden="false" customHeight="true" outlineLevel="0" collapsed="false">
      <c r="A1211" s="14" t="n">
        <f aca="false">IF(D1211="","",DATE(B1211,C1211,1))</f>
        <v>39783</v>
      </c>
      <c r="B1211" s="15" t="n">
        <f aca="false" t="array" ref="B1211:B1211">IF(D1211="","",IFERROR(VALUE(INDEX(Vazoes_COLAR!$A$2:$A$200,INT((ROW()-24)/12)+1)),""))</f>
        <v>2008</v>
      </c>
      <c r="C1211" s="15" t="n">
        <f aca="false">IF(D1211="","",MOD(ROW()-24,12)+1)</f>
        <v>12</v>
      </c>
      <c r="D1211" s="16" t="n">
        <f aca="false" t="array" ref="D1211: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0.11958483912296</v>
      </c>
      <c r="E1211" s="16" t="n">
        <f aca="false">IF(D1211="","",D1211*$B$15)</f>
        <v>0.309963903006712</v>
      </c>
      <c r="F1211" s="16" t="n">
        <f aca="false" t="array" ref="F1211:F1211">IF(D1211="","",IFERROR(INDEX(Dados_Evap!$C$2:$N$15,MATCH($B$9,Dados_Evap!$A$2:$A$15,0),C1211),0))</f>
        <v>216.1</v>
      </c>
      <c r="G1211" s="16" t="n">
        <f aca="false">IF(F1211="","",F1211/1000)</f>
        <v>0.2161</v>
      </c>
      <c r="H1211" s="16" t="n">
        <f aca="false">IF(D1211="","",MAX(0,MIN($B$8,IFERROR(LOOKUP(2,1/($U$24:U1210&lt;&gt;""),$U$24:U1210),$B$11))))</f>
        <v>34.2677948230343</v>
      </c>
      <c r="I1211" s="16" t="n">
        <f aca="false" t="array" ref="I1211: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>5.67587771462589</v>
      </c>
      <c r="J1211" s="16" t="n">
        <f aca="false">IF(D1211="","",$B$12)</f>
        <v>0.35</v>
      </c>
      <c r="K1211" s="16" t="n">
        <f aca="false">IF(J1211="","",J1211*$B$15)</f>
        <v>0.9072</v>
      </c>
      <c r="L1211" s="16" t="n">
        <f aca="false">IF(D1211="","",H1211+E1211-K1211-G1211*I1211)</f>
        <v>32.4440015519104</v>
      </c>
      <c r="M1211" s="16" t="n">
        <f aca="false" t="array" ref="M1211: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>5.48641569519846</v>
      </c>
      <c r="N1211" s="16" t="n">
        <f aca="false">IF(D1211="","",(I1211+M1211)/2)</f>
        <v>5.58114670491218</v>
      </c>
      <c r="O1211" s="16" t="n">
        <f aca="false">IF(D1211="","",G1211*N1211)</f>
        <v>1.20608580293152</v>
      </c>
      <c r="P1211" s="16" t="n">
        <f aca="false">IF(D1211="","",H1211+E1211-K1211-O1211)</f>
        <v>32.4644729231095</v>
      </c>
      <c r="Q1211" s="16" t="n">
        <f aca="false">IF(D1211="","",IF(P1211&gt;=0,K1211,MAX(0,K1211+P1211)))</f>
        <v>0.9072</v>
      </c>
      <c r="R1211" s="16" t="n">
        <f aca="false">IF(D1211="","",Q1211/$B$15)</f>
        <v>0.35</v>
      </c>
      <c r="S1211" s="16" t="n">
        <f aca="false">IF(D1211="","",MAX(0,J1211-R1211))</f>
        <v>0</v>
      </c>
      <c r="T1211" s="16" t="n">
        <f aca="false">IF(D1211="","",MAX(0,Z1211-$B$8))</f>
        <v>0</v>
      </c>
      <c r="U1211" s="16" t="n">
        <f aca="false">IF(D1211="","",MAX(0,MIN($B$8,Z1211)))</f>
        <v>32.4644729231095</v>
      </c>
      <c r="V1211" s="16" t="str">
        <f aca="false">IF(D1211="","",IF(S1211&gt;0.0000001,"Sim","Não"))</f>
        <v>Não</v>
      </c>
      <c r="W1211" s="16" t="n">
        <f aca="false">IF(D1211="","",U1211-(H1211+E1211-Q1211-O1211-T1211))</f>
        <v>0</v>
      </c>
      <c r="X1211" s="16" t="n">
        <f aca="false">IF(W1211="","",ABS(W1211))</f>
        <v>0</v>
      </c>
      <c r="Y1211" s="16" t="n">
        <f aca="false">IF(U1211="","",IF($B$8=0,0,U1211/$B$8*100))</f>
        <v>68.7515309680422</v>
      </c>
      <c r="Z1211" s="18" t="n">
        <f aca="false">IF(D1211="","",MAX(0,IF(P1211&gt;=0,P1211,IF(K1211+P1211&gt;=0,0,P1211+K1211))))</f>
        <v>32.4644729231095</v>
      </c>
      <c r="AA1211" s="18" t="n">
        <f aca="false">IF(D1211="","",IF(H1211&lt;=$B$16,1,IF(H1211&gt;=$B$17,$B$21,MATCH(H1211,Aux_CAV!$A$2:$A$121,1))))</f>
        <v>12</v>
      </c>
      <c r="AB1211" s="18" t="n">
        <f aca="false">IF(D1211="","",IF(L1211&lt;=$B$16,1,IF(L1211&gt;=$B$17,$B$21,MATCH(L1211,Aux_CAV!$A$2:$A$121,1))))</f>
        <v>12</v>
      </c>
      <c r="AC1211" s="19" t="n">
        <f aca="false">IF(D1211="","",COUNT($D$24:D1211))</f>
        <v>1176</v>
      </c>
    </row>
    <row r="1212" customFormat="false" ht="12.75" hidden="false" customHeight="true" outlineLevel="0" collapsed="false">
      <c r="A1212" s="14" t="n">
        <f aca="false">IF(D1212="","",DATE(B1212,C1212,1))</f>
        <v>39814</v>
      </c>
      <c r="B1212" s="15" t="n">
        <f aca="false" t="array" ref="B1212:B1212">IF(D1212="","",IFERROR(VALUE(INDEX(Vazoes_COLAR!$A$2:$A$200,INT((ROW()-24)/12)+1)),""))</f>
        <v>2009</v>
      </c>
      <c r="C1212" s="15" t="n">
        <f aca="false">IF(D1212="","",MOD(ROW()-24,12)+1)</f>
        <v>1</v>
      </c>
      <c r="D1212" s="16" t="n">
        <f aca="false" t="array" ref="D1212: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0.148828425739833</v>
      </c>
      <c r="E1212" s="16" t="n">
        <f aca="false">IF(D1212="","",D1212*$B$15)</f>
        <v>0.385763279517647</v>
      </c>
      <c r="F1212" s="16" t="n">
        <f aca="false" t="array" ref="F1212:F1212">IF(D1212="","",IFERROR(INDEX(Dados_Evap!$C$2:$N$15,MATCH($B$9,Dados_Evap!$A$2:$A$15,0),C1212),0))</f>
        <v>160</v>
      </c>
      <c r="G1212" s="16" t="n">
        <f aca="false">IF(F1212="","",F1212/1000)</f>
        <v>0.16</v>
      </c>
      <c r="H1212" s="16" t="n">
        <f aca="false">IF(D1212="","",MAX(0,MIN($B$8,IFERROR(LOOKUP(2,1/($U$24:U1211&lt;&gt;""),$U$24:U1211),$B$11))))</f>
        <v>32.4644729231095</v>
      </c>
      <c r="I1212" s="16" t="n">
        <f aca="false" t="array" ref="I1212: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>5.48854233278905</v>
      </c>
      <c r="J1212" s="16" t="n">
        <f aca="false">IF(D1212="","",$B$12)</f>
        <v>0.35</v>
      </c>
      <c r="K1212" s="16" t="n">
        <f aca="false">IF(J1212="","",J1212*$B$15)</f>
        <v>0.9072</v>
      </c>
      <c r="L1212" s="16" t="n">
        <f aca="false">IF(D1212="","",H1212+E1212-K1212-G1212*I1212)</f>
        <v>31.0648694293809</v>
      </c>
      <c r="M1212" s="16" t="n">
        <f aca="false" t="array" ref="M1212: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>5.34314663004248</v>
      </c>
      <c r="N1212" s="16" t="n">
        <f aca="false">IF(D1212="","",(I1212+M1212)/2)</f>
        <v>5.41584448141576</v>
      </c>
      <c r="O1212" s="16" t="n">
        <f aca="false">IF(D1212="","",G1212*N1212)</f>
        <v>0.866535117026522</v>
      </c>
      <c r="P1212" s="16" t="n">
        <f aca="false">IF(D1212="","",H1212+E1212-K1212-O1212)</f>
        <v>31.0765010856006</v>
      </c>
      <c r="Q1212" s="16" t="n">
        <f aca="false">IF(D1212="","",IF(P1212&gt;=0,K1212,MAX(0,K1212+P1212)))</f>
        <v>0.9072</v>
      </c>
      <c r="R1212" s="16" t="n">
        <f aca="false">IF(D1212="","",Q1212/$B$15)</f>
        <v>0.35</v>
      </c>
      <c r="S1212" s="16" t="n">
        <f aca="false">IF(D1212="","",MAX(0,J1212-R1212))</f>
        <v>0</v>
      </c>
      <c r="T1212" s="16" t="n">
        <f aca="false">IF(D1212="","",MAX(0,Z1212-$B$8))</f>
        <v>0</v>
      </c>
      <c r="U1212" s="16" t="n">
        <f aca="false">IF(D1212="","",MAX(0,MIN($B$8,Z1212)))</f>
        <v>31.0765010856006</v>
      </c>
      <c r="V1212" s="16" t="str">
        <f aca="false">IF(D1212="","",IF(S1212&gt;0.0000001,"Sim","Não"))</f>
        <v>Não</v>
      </c>
      <c r="W1212" s="16" t="n">
        <f aca="false">IF(D1212="","",U1212-(H1212+E1212-Q1212-O1212-T1212))</f>
        <v>0</v>
      </c>
      <c r="X1212" s="16" t="n">
        <f aca="false">IF(W1212="","",ABS(W1212))</f>
        <v>0</v>
      </c>
      <c r="Y1212" s="16" t="n">
        <f aca="false">IF(U1212="","",IF($B$8=0,0,U1212/$B$8*100))</f>
        <v>65.8121581651856</v>
      </c>
      <c r="Z1212" s="18" t="n">
        <f aca="false">IF(D1212="","",MAX(0,IF(P1212&gt;=0,P1212,IF(K1212+P1212&gt;=0,0,P1212+K1212))))</f>
        <v>31.0765010856006</v>
      </c>
      <c r="AA1212" s="18" t="n">
        <f aca="false">IF(D1212="","",IF(H1212&lt;=$B$16,1,IF(H1212&gt;=$B$17,$B$21,MATCH(H1212,Aux_CAV!$A$2:$A$121,1))))</f>
        <v>12</v>
      </c>
      <c r="AB1212" s="18" t="n">
        <f aca="false">IF(D1212="","",IF(L1212&lt;=$B$16,1,IF(L1212&gt;=$B$17,$B$21,MATCH(L1212,Aux_CAV!$A$2:$A$121,1))))</f>
        <v>12</v>
      </c>
      <c r="AC1212" s="19" t="n">
        <f aca="false">IF(D1212="","",COUNT($D$24:D1212))</f>
        <v>1177</v>
      </c>
    </row>
    <row r="1213" customFormat="false" ht="12.75" hidden="false" customHeight="true" outlineLevel="0" collapsed="false">
      <c r="A1213" s="14" t="n">
        <f aca="false">IF(D1213="","",DATE(B1213,C1213,1))</f>
        <v>39845</v>
      </c>
      <c r="B1213" s="15" t="n">
        <f aca="false" t="array" ref="B1213:B1213">IF(D1213="","",IFERROR(VALUE(INDEX(Vazoes_COLAR!$A$2:$A$200,INT((ROW()-24)/12)+1)),""))</f>
        <v>2009</v>
      </c>
      <c r="C1213" s="15" t="n">
        <f aca="false">IF(D1213="","",MOD(ROW()-24,12)+1)</f>
        <v>2</v>
      </c>
      <c r="D1213" s="16" t="n">
        <f aca="false" t="array" ref="D1213: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0.504470112150503</v>
      </c>
      <c r="E1213" s="16" t="n">
        <f aca="false">IF(D1213="","",D1213*$B$15)</f>
        <v>1.3075865306941</v>
      </c>
      <c r="F1213" s="16" t="n">
        <f aca="false" t="array" ref="F1213:F1213">IF(D1213="","",IFERROR(INDEX(Dados_Evap!$C$2:$N$15,MATCH($B$9,Dados_Evap!$A$2:$A$15,0),C1213),0))</f>
        <v>124.3</v>
      </c>
      <c r="G1213" s="16" t="n">
        <f aca="false">IF(F1213="","",F1213/1000)</f>
        <v>0.1243</v>
      </c>
      <c r="H1213" s="16" t="n">
        <f aca="false">IF(D1213="","",MAX(0,MIN($B$8,IFERROR(LOOKUP(2,1/($U$24:U1212&lt;&gt;""),$U$24:U1212),$B$11))))</f>
        <v>31.0765010856006</v>
      </c>
      <c r="I1213" s="16" t="n">
        <f aca="false" t="array" ref="I1213: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>5.34435496714492</v>
      </c>
      <c r="J1213" s="16" t="n">
        <f aca="false">IF(D1213="","",$B$12)</f>
        <v>0.35</v>
      </c>
      <c r="K1213" s="16" t="n">
        <f aca="false">IF(J1213="","",J1213*$B$15)</f>
        <v>0.9072</v>
      </c>
      <c r="L1213" s="16" t="n">
        <f aca="false">IF(D1213="","",H1213+E1213-K1213-G1213*I1213)</f>
        <v>30.8125842938786</v>
      </c>
      <c r="M1213" s="16" t="n">
        <f aca="false" t="array" ref="M1213: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>5.31693836839322</v>
      </c>
      <c r="N1213" s="16" t="n">
        <f aca="false">IF(D1213="","",(I1213+M1213)/2)</f>
        <v>5.33064666776907</v>
      </c>
      <c r="O1213" s="16" t="n">
        <f aca="false">IF(D1213="","",G1213*N1213)</f>
        <v>0.662599380803695</v>
      </c>
      <c r="P1213" s="16" t="n">
        <f aca="false">IF(D1213="","",H1213+E1213-K1213-O1213)</f>
        <v>30.814288235491</v>
      </c>
      <c r="Q1213" s="16" t="n">
        <f aca="false">IF(D1213="","",IF(P1213&gt;=0,K1213,MAX(0,K1213+P1213)))</f>
        <v>0.9072</v>
      </c>
      <c r="R1213" s="16" t="n">
        <f aca="false">IF(D1213="","",Q1213/$B$15)</f>
        <v>0.35</v>
      </c>
      <c r="S1213" s="16" t="n">
        <f aca="false">IF(D1213="","",MAX(0,J1213-R1213))</f>
        <v>0</v>
      </c>
      <c r="T1213" s="16" t="n">
        <f aca="false">IF(D1213="","",MAX(0,Z1213-$B$8))</f>
        <v>0</v>
      </c>
      <c r="U1213" s="16" t="n">
        <f aca="false">IF(D1213="","",MAX(0,MIN($B$8,Z1213)))</f>
        <v>30.814288235491</v>
      </c>
      <c r="V1213" s="16" t="str">
        <f aca="false">IF(D1213="","",IF(S1213&gt;0.0000001,"Sim","Não"))</f>
        <v>Não</v>
      </c>
      <c r="W1213" s="16" t="n">
        <f aca="false">IF(D1213="","",U1213-(H1213+E1213-Q1213-O1213-T1213))</f>
        <v>0</v>
      </c>
      <c r="X1213" s="16" t="n">
        <f aca="false">IF(W1213="","",ABS(W1213))</f>
        <v>0</v>
      </c>
      <c r="Y1213" s="16" t="n">
        <f aca="false">IF(U1213="","",IF($B$8=0,0,U1213/$B$8*100))</f>
        <v>65.2568577625816</v>
      </c>
      <c r="Z1213" s="18" t="n">
        <f aca="false">IF(D1213="","",MAX(0,IF(P1213&gt;=0,P1213,IF(K1213+P1213&gt;=0,0,P1213+K1213))))</f>
        <v>30.814288235491</v>
      </c>
      <c r="AA1213" s="18" t="n">
        <f aca="false">IF(D1213="","",IF(H1213&lt;=$B$16,1,IF(H1213&gt;=$B$17,$B$21,MATCH(H1213,Aux_CAV!$A$2:$A$121,1))))</f>
        <v>12</v>
      </c>
      <c r="AB1213" s="18" t="n">
        <f aca="false">IF(D1213="","",IF(L1213&lt;=$B$16,1,IF(L1213&gt;=$B$17,$B$21,MATCH(L1213,Aux_CAV!$A$2:$A$121,1))))</f>
        <v>12</v>
      </c>
      <c r="AC1213" s="19" t="n">
        <f aca="false">IF(D1213="","",COUNT($D$24:D1213))</f>
        <v>1178</v>
      </c>
    </row>
    <row r="1214" customFormat="false" ht="12.75" hidden="false" customHeight="true" outlineLevel="0" collapsed="false">
      <c r="A1214" s="14" t="n">
        <f aca="false">IF(D1214="","",DATE(B1214,C1214,1))</f>
        <v>39873</v>
      </c>
      <c r="B1214" s="15" t="n">
        <f aca="false" t="array" ref="B1214:B1214">IF(D1214="","",IFERROR(VALUE(INDEX(Vazoes_COLAR!$A$2:$A$200,INT((ROW()-24)/12)+1)),""))</f>
        <v>2009</v>
      </c>
      <c r="C1214" s="15" t="n">
        <f aca="false">IF(D1214="","",MOD(ROW()-24,12)+1)</f>
        <v>3</v>
      </c>
      <c r="D1214" s="16" t="n">
        <f aca="false" t="array" ref="D1214: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1.13884494311201</v>
      </c>
      <c r="E1214" s="16" t="n">
        <f aca="false">IF(D1214="","",D1214*$B$15)</f>
        <v>2.95188609254633</v>
      </c>
      <c r="F1214" s="16" t="n">
        <f aca="false" t="array" ref="F1214:F1214">IF(D1214="","",IFERROR(INDEX(Dados_Evap!$C$2:$N$15,MATCH($B$9,Dados_Evap!$A$2:$A$15,0),C1214),0))</f>
        <v>107.7</v>
      </c>
      <c r="G1214" s="16" t="n">
        <f aca="false">IF(F1214="","",F1214/1000)</f>
        <v>0.1077</v>
      </c>
      <c r="H1214" s="16" t="n">
        <f aca="false">IF(D1214="","",MAX(0,MIN($B$8,IFERROR(LOOKUP(2,1/($U$24:U1213&lt;&gt;""),$U$24:U1213),$B$11))))</f>
        <v>30.814288235491</v>
      </c>
      <c r="I1214" s="16" t="n">
        <f aca="false" t="array" ref="I1214: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>5.31711537980344</v>
      </c>
      <c r="J1214" s="16" t="n">
        <f aca="false">IF(D1214="","",$B$12)</f>
        <v>0.35</v>
      </c>
      <c r="K1214" s="16" t="n">
        <f aca="false">IF(J1214="","",J1214*$B$15)</f>
        <v>0.9072</v>
      </c>
      <c r="L1214" s="16" t="n">
        <f aca="false">IF(D1214="","",H1214+E1214-K1214-G1214*I1214)</f>
        <v>32.2863210016325</v>
      </c>
      <c r="M1214" s="16" t="n">
        <f aca="false" t="array" ref="M1214: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>5.47003528851911</v>
      </c>
      <c r="N1214" s="16" t="n">
        <f aca="false">IF(D1214="","",(I1214+M1214)/2)</f>
        <v>5.39357533416127</v>
      </c>
      <c r="O1214" s="16" t="n">
        <f aca="false">IF(D1214="","",G1214*N1214)</f>
        <v>0.580888063489169</v>
      </c>
      <c r="P1214" s="16" t="n">
        <f aca="false">IF(D1214="","",H1214+E1214-K1214-O1214)</f>
        <v>32.2780862645482</v>
      </c>
      <c r="Q1214" s="16" t="n">
        <f aca="false">IF(D1214="","",IF(P1214&gt;=0,K1214,MAX(0,K1214+P1214)))</f>
        <v>0.9072</v>
      </c>
      <c r="R1214" s="16" t="n">
        <f aca="false">IF(D1214="","",Q1214/$B$15)</f>
        <v>0.35</v>
      </c>
      <c r="S1214" s="16" t="n">
        <f aca="false">IF(D1214="","",MAX(0,J1214-R1214))</f>
        <v>0</v>
      </c>
      <c r="T1214" s="16" t="n">
        <f aca="false">IF(D1214="","",MAX(0,Z1214-$B$8))</f>
        <v>0</v>
      </c>
      <c r="U1214" s="16" t="n">
        <f aca="false">IF(D1214="","",MAX(0,MIN($B$8,Z1214)))</f>
        <v>32.2780862645482</v>
      </c>
      <c r="V1214" s="16" t="str">
        <f aca="false">IF(D1214="","",IF(S1214&gt;0.0000001,"Sim","Não"))</f>
        <v>Não</v>
      </c>
      <c r="W1214" s="16" t="n">
        <f aca="false">IF(D1214="","",U1214-(H1214+E1214-Q1214-O1214-T1214))</f>
        <v>0</v>
      </c>
      <c r="X1214" s="16" t="n">
        <f aca="false">IF(W1214="","",ABS(W1214))</f>
        <v>0</v>
      </c>
      <c r="Y1214" s="16" t="n">
        <f aca="false">IF(U1214="","",IF($B$8=0,0,U1214/$B$8*100))</f>
        <v>68.3568112336895</v>
      </c>
      <c r="Z1214" s="18" t="n">
        <f aca="false">IF(D1214="","",MAX(0,IF(P1214&gt;=0,P1214,IF(K1214+P1214&gt;=0,0,P1214+K1214))))</f>
        <v>32.2780862645482</v>
      </c>
      <c r="AA1214" s="18" t="n">
        <f aca="false">IF(D1214="","",IF(H1214&lt;=$B$16,1,IF(H1214&gt;=$B$17,$B$21,MATCH(H1214,Aux_CAV!$A$2:$A$121,1))))</f>
        <v>12</v>
      </c>
      <c r="AB1214" s="18" t="n">
        <f aca="false">IF(D1214="","",IF(L1214&lt;=$B$16,1,IF(L1214&gt;=$B$17,$B$21,MATCH(L1214,Aux_CAV!$A$2:$A$121,1))))</f>
        <v>12</v>
      </c>
      <c r="AC1214" s="19" t="n">
        <f aca="false">IF(D1214="","",COUNT($D$24:D1214))</f>
        <v>1179</v>
      </c>
    </row>
    <row r="1215" customFormat="false" ht="12.75" hidden="false" customHeight="true" outlineLevel="0" collapsed="false">
      <c r="A1215" s="14" t="n">
        <f aca="false">IF(D1215="","",DATE(B1215,C1215,1))</f>
        <v>39904</v>
      </c>
      <c r="B1215" s="15" t="n">
        <f aca="false" t="array" ref="B1215:B1215">IF(D1215="","",IFERROR(VALUE(INDEX(Vazoes_COLAR!$A$2:$A$200,INT((ROW()-24)/12)+1)),""))</f>
        <v>2009</v>
      </c>
      <c r="C1215" s="15" t="n">
        <f aca="false">IF(D1215="","",MOD(ROW()-24,12)+1)</f>
        <v>4</v>
      </c>
      <c r="D1215" s="16" t="n">
        <f aca="false" t="array" ref="D1215: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9.92354432108789</v>
      </c>
      <c r="E1215" s="16" t="n">
        <f aca="false">IF(D1215="","",D1215*$B$15)</f>
        <v>25.7218268802598</v>
      </c>
      <c r="F1215" s="16" t="n">
        <f aca="false" t="array" ref="F1215:F1215">IF(D1215="","",IFERROR(INDEX(Dados_Evap!$C$2:$N$15,MATCH($B$9,Dados_Evap!$A$2:$A$15,0),C1215),0))</f>
        <v>100.5</v>
      </c>
      <c r="G1215" s="16" t="n">
        <f aca="false">IF(F1215="","",F1215/1000)</f>
        <v>0.1005</v>
      </c>
      <c r="H1215" s="16" t="n">
        <f aca="false">IF(D1215="","",MAX(0,MIN($B$8,IFERROR(LOOKUP(2,1/($U$24:U1214&lt;&gt;""),$U$24:U1214),$B$11))))</f>
        <v>32.2780862645482</v>
      </c>
      <c r="I1215" s="16" t="n">
        <f aca="false" t="array" ref="I1215: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>5.46917983524918</v>
      </c>
      <c r="J1215" s="16" t="n">
        <f aca="false">IF(D1215="","",$B$12)</f>
        <v>0.35</v>
      </c>
      <c r="K1215" s="16" t="n">
        <f aca="false">IF(J1215="","",J1215*$B$15)</f>
        <v>0.9072</v>
      </c>
      <c r="L1215" s="16" t="n">
        <f aca="false">IF(D1215="","",H1215+E1215-K1215-G1215*I1215)</f>
        <v>56.5430605713655</v>
      </c>
      <c r="M1215" s="16" t="n">
        <f aca="false" t="array" ref="M1215: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>8.08056940407382</v>
      </c>
      <c r="N1215" s="16" t="n">
        <f aca="false">IF(D1215="","",(I1215+M1215)/2)</f>
        <v>6.7748746196615</v>
      </c>
      <c r="O1215" s="16" t="n">
        <f aca="false">IF(D1215="","",G1215*N1215)</f>
        <v>0.680874899275981</v>
      </c>
      <c r="P1215" s="16" t="n">
        <f aca="false">IF(D1215="","",H1215+E1215-K1215-O1215)</f>
        <v>56.411838245532</v>
      </c>
      <c r="Q1215" s="16" t="n">
        <f aca="false">IF(D1215="","",IF(P1215&gt;=0,K1215,MAX(0,K1215+P1215)))</f>
        <v>0.9072</v>
      </c>
      <c r="R1215" s="16" t="n">
        <f aca="false">IF(D1215="","",Q1215/$B$15)</f>
        <v>0.35</v>
      </c>
      <c r="S1215" s="16" t="n">
        <f aca="false">IF(D1215="","",MAX(0,J1215-R1215))</f>
        <v>0</v>
      </c>
      <c r="T1215" s="16" t="n">
        <f aca="false">IF(D1215="","",MAX(0,Z1215-$B$8))</f>
        <v>9.19183824553203</v>
      </c>
      <c r="U1215" s="16" t="n">
        <f aca="false">IF(D1215="","",MAX(0,MIN($B$8,Z1215)))</f>
        <v>47.22</v>
      </c>
      <c r="V1215" s="16" t="str">
        <f aca="false">IF(D1215="","",IF(S1215&gt;0.0000001,"Sim","Não"))</f>
        <v>Não</v>
      </c>
      <c r="W1215" s="16" t="n">
        <f aca="false">IF(D1215="","",U1215-(H1215+E1215-Q1215-O1215-T1215))</f>
        <v>0</v>
      </c>
      <c r="X1215" s="16" t="n">
        <f aca="false">IF(W1215="","",ABS(W1215))</f>
        <v>0</v>
      </c>
      <c r="Y1215" s="16" t="n">
        <f aca="false">IF(U1215="","",IF($B$8=0,0,U1215/$B$8*100))</f>
        <v>100</v>
      </c>
      <c r="Z1215" s="18" t="n">
        <f aca="false">IF(D1215="","",MAX(0,IF(P1215&gt;=0,P1215,IF(K1215+P1215&gt;=0,0,P1215+K1215))))</f>
        <v>56.411838245532</v>
      </c>
      <c r="AA1215" s="18" t="n">
        <f aca="false">IF(D1215="","",IF(H1215&lt;=$B$16,1,IF(H1215&gt;=$B$17,$B$21,MATCH(H1215,Aux_CAV!$A$2:$A$121,1))))</f>
        <v>12</v>
      </c>
      <c r="AB1215" s="18" t="n">
        <f aca="false">IF(D1215="","",IF(L1215&lt;=$B$16,1,IF(L1215&gt;=$B$17,$B$21,MATCH(L1215,Aux_CAV!$A$2:$A$121,1))))</f>
        <v>15</v>
      </c>
      <c r="AC1215" s="19" t="n">
        <f aca="false">IF(D1215="","",COUNT($D$24:D1215))</f>
        <v>1180</v>
      </c>
    </row>
    <row r="1216" customFormat="false" ht="12.75" hidden="false" customHeight="true" outlineLevel="0" collapsed="false">
      <c r="A1216" s="14" t="n">
        <f aca="false">IF(D1216="","",DATE(B1216,C1216,1))</f>
        <v>39934</v>
      </c>
      <c r="B1216" s="15" t="n">
        <f aca="false" t="array" ref="B1216:B1216">IF(D1216="","",IFERROR(VALUE(INDEX(Vazoes_COLAR!$A$2:$A$200,INT((ROW()-24)/12)+1)),""))</f>
        <v>2009</v>
      </c>
      <c r="C1216" s="15" t="n">
        <f aca="false">IF(D1216="","",MOD(ROW()-24,12)+1)</f>
        <v>5</v>
      </c>
      <c r="D1216" s="16" t="n">
        <f aca="false" t="array" ref="D1216: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11.041989214393</v>
      </c>
      <c r="E1216" s="16" t="n">
        <f aca="false">IF(D1216="","",D1216*$B$15)</f>
        <v>28.6208360437067</v>
      </c>
      <c r="F1216" s="16" t="n">
        <f aca="false" t="array" ref="F1216:F1216">IF(D1216="","",IFERROR(INDEX(Dados_Evap!$C$2:$N$15,MATCH($B$9,Dados_Evap!$A$2:$A$15,0),C1216),0))</f>
        <v>145.8</v>
      </c>
      <c r="G1216" s="16" t="n">
        <f aca="false">IF(F1216="","",F1216/1000)</f>
        <v>0.1458</v>
      </c>
      <c r="H1216" s="16" t="n">
        <f aca="false">IF(D1216="","",MAX(0,MIN($B$8,IFERROR(LOOKUP(2,1/($U$24:U1215&lt;&gt;""),$U$24:U1215),$B$11))))</f>
        <v>47.22</v>
      </c>
      <c r="I1216" s="16" t="n">
        <f aca="false" t="array" ref="I1216: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>6.97</v>
      </c>
      <c r="J1216" s="16" t="n">
        <f aca="false">IF(D1216="","",$B$12)</f>
        <v>0.35</v>
      </c>
      <c r="K1216" s="16" t="n">
        <f aca="false">IF(J1216="","",J1216*$B$15)</f>
        <v>0.9072</v>
      </c>
      <c r="L1216" s="16" t="n">
        <f aca="false">IF(D1216="","",H1216+E1216-K1216-G1216*I1216)</f>
        <v>73.9174100437067</v>
      </c>
      <c r="M1216" s="16" t="n">
        <f aca="false" t="array" ref="M1216: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>10.0734459160705</v>
      </c>
      <c r="N1216" s="16" t="n">
        <f aca="false">IF(D1216="","",(I1216+M1216)/2)</f>
        <v>8.52172295803527</v>
      </c>
      <c r="O1216" s="16" t="n">
        <f aca="false">IF(D1216="","",G1216*N1216)</f>
        <v>1.24246720728154</v>
      </c>
      <c r="P1216" s="16" t="n">
        <f aca="false">IF(D1216="","",H1216+E1216-K1216-O1216)</f>
        <v>73.6911688364251</v>
      </c>
      <c r="Q1216" s="16" t="n">
        <f aca="false">IF(D1216="","",IF(P1216&gt;=0,K1216,MAX(0,K1216+P1216)))</f>
        <v>0.9072</v>
      </c>
      <c r="R1216" s="16" t="n">
        <f aca="false">IF(D1216="","",Q1216/$B$15)</f>
        <v>0.35</v>
      </c>
      <c r="S1216" s="16" t="n">
        <f aca="false">IF(D1216="","",MAX(0,J1216-R1216))</f>
        <v>0</v>
      </c>
      <c r="T1216" s="16" t="n">
        <f aca="false">IF(D1216="","",MAX(0,Z1216-$B$8))</f>
        <v>26.4711688364251</v>
      </c>
      <c r="U1216" s="16" t="n">
        <f aca="false">IF(D1216="","",MAX(0,MIN($B$8,Z1216)))</f>
        <v>47.22</v>
      </c>
      <c r="V1216" s="16" t="str">
        <f aca="false">IF(D1216="","",IF(S1216&gt;0.0000001,"Sim","Não"))</f>
        <v>Não</v>
      </c>
      <c r="W1216" s="16" t="n">
        <f aca="false">IF(D1216="","",U1216-(H1216+E1216-Q1216-O1216-T1216))</f>
        <v>0</v>
      </c>
      <c r="X1216" s="16" t="n">
        <f aca="false">IF(W1216="","",ABS(W1216))</f>
        <v>0</v>
      </c>
      <c r="Y1216" s="16" t="n">
        <f aca="false">IF(U1216="","",IF($B$8=0,0,U1216/$B$8*100))</f>
        <v>100</v>
      </c>
      <c r="Z1216" s="18" t="n">
        <f aca="false">IF(D1216="","",MAX(0,IF(P1216&gt;=0,P1216,IF(K1216+P1216&gt;=0,0,P1216+K1216))))</f>
        <v>73.6911688364251</v>
      </c>
      <c r="AA1216" s="18" t="n">
        <f aca="false">IF(D1216="","",IF(H1216&lt;=$B$16,1,IF(H1216&gt;=$B$17,$B$21,MATCH(H1216,Aux_CAV!$A$2:$A$121,1))))</f>
        <v>14</v>
      </c>
      <c r="AB1216" s="18" t="n">
        <f aca="false">IF(D1216="","",IF(L1216&lt;=$B$16,1,IF(L1216&gt;=$B$17,$B$21,MATCH(L1216,Aux_CAV!$A$2:$A$121,1))))</f>
        <v>17</v>
      </c>
      <c r="AC1216" s="19" t="n">
        <f aca="false">IF(D1216="","",COUNT($D$24:D1216))</f>
        <v>1181</v>
      </c>
    </row>
    <row r="1217" customFormat="false" ht="12.75" hidden="false" customHeight="true" outlineLevel="0" collapsed="false">
      <c r="A1217" s="14" t="n">
        <f aca="false">IF(D1217="","",DATE(B1217,C1217,1))</f>
        <v>39965</v>
      </c>
      <c r="B1217" s="15" t="n">
        <f aca="false" t="array" ref="B1217:B1217">IF(D1217="","",IFERROR(VALUE(INDEX(Vazoes_COLAR!$A$2:$A$200,INT((ROW()-24)/12)+1)),""))</f>
        <v>2009</v>
      </c>
      <c r="C1217" s="15" t="n">
        <f aca="false">IF(D1217="","",MOD(ROW()-24,12)+1)</f>
        <v>6</v>
      </c>
      <c r="D1217" s="16" t="n">
        <f aca="false" t="array" ref="D1217: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0.384255950406144</v>
      </c>
      <c r="E1217" s="16" t="n">
        <f aca="false">IF(D1217="","",D1217*$B$15)</f>
        <v>0.995991423452725</v>
      </c>
      <c r="F1217" s="16" t="n">
        <f aca="false" t="array" ref="F1217:F1217">IF(D1217="","",IFERROR(INDEX(Dados_Evap!$C$2:$N$15,MATCH($B$9,Dados_Evap!$A$2:$A$15,0),C1217),0))</f>
        <v>161.3</v>
      </c>
      <c r="G1217" s="16" t="n">
        <f aca="false">IF(F1217="","",F1217/1000)</f>
        <v>0.1613</v>
      </c>
      <c r="H1217" s="16" t="n">
        <f aca="false">IF(D1217="","",MAX(0,MIN($B$8,IFERROR(LOOKUP(2,1/($U$24:U1216&lt;&gt;""),$U$24:U1216),$B$11))))</f>
        <v>47.22</v>
      </c>
      <c r="I1217" s="16" t="n">
        <f aca="false" t="array" ref="I1217: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>6.97</v>
      </c>
      <c r="J1217" s="16" t="n">
        <f aca="false">IF(D1217="","",$B$12)</f>
        <v>0.35</v>
      </c>
      <c r="K1217" s="16" t="n">
        <f aca="false">IF(J1217="","",J1217*$B$15)</f>
        <v>0.9072</v>
      </c>
      <c r="L1217" s="16" t="n">
        <f aca="false">IF(D1217="","",H1217+E1217-K1217-G1217*I1217)</f>
        <v>46.1845304234527</v>
      </c>
      <c r="M1217" s="16" t="n">
        <f aca="false" t="array" ref="M1217: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>6.86661585202712</v>
      </c>
      <c r="N1217" s="16" t="n">
        <f aca="false">IF(D1217="","",(I1217+M1217)/2)</f>
        <v>6.91830792601356</v>
      </c>
      <c r="O1217" s="16" t="n">
        <f aca="false">IF(D1217="","",G1217*N1217)</f>
        <v>1.11592306846599</v>
      </c>
      <c r="P1217" s="16" t="n">
        <f aca="false">IF(D1217="","",H1217+E1217-K1217-O1217)</f>
        <v>46.1928683549867</v>
      </c>
      <c r="Q1217" s="16" t="n">
        <f aca="false">IF(D1217="","",IF(P1217&gt;=0,K1217,MAX(0,K1217+P1217)))</f>
        <v>0.9072</v>
      </c>
      <c r="R1217" s="16" t="n">
        <f aca="false">IF(D1217="","",Q1217/$B$15)</f>
        <v>0.35</v>
      </c>
      <c r="S1217" s="16" t="n">
        <f aca="false">IF(D1217="","",MAX(0,J1217-R1217))</f>
        <v>0</v>
      </c>
      <c r="T1217" s="16" t="n">
        <f aca="false">IF(D1217="","",MAX(0,Z1217-$B$8))</f>
        <v>0</v>
      </c>
      <c r="U1217" s="16" t="n">
        <f aca="false">IF(D1217="","",MAX(0,MIN($B$8,Z1217)))</f>
        <v>46.1928683549867</v>
      </c>
      <c r="V1217" s="16" t="str">
        <f aca="false">IF(D1217="","",IF(S1217&gt;0.0000001,"Sim","Não"))</f>
        <v>Não</v>
      </c>
      <c r="W1217" s="16" t="n">
        <f aca="false">IF(D1217="","",U1217-(H1217+E1217-Q1217-O1217-T1217))</f>
        <v>0</v>
      </c>
      <c r="X1217" s="16" t="n">
        <f aca="false">IF(W1217="","",ABS(W1217))</f>
        <v>0</v>
      </c>
      <c r="Y1217" s="16" t="n">
        <f aca="false">IF(U1217="","",IF($B$8=0,0,U1217/$B$8*100))</f>
        <v>97.8247953303404</v>
      </c>
      <c r="Z1217" s="18" t="n">
        <f aca="false">IF(D1217="","",MAX(0,IF(P1217&gt;=0,P1217,IF(K1217+P1217&gt;=0,0,P1217+K1217))))</f>
        <v>46.1928683549867</v>
      </c>
      <c r="AA1217" s="18" t="n">
        <f aca="false">IF(D1217="","",IF(H1217&lt;=$B$16,1,IF(H1217&gt;=$B$17,$B$21,MATCH(H1217,Aux_CAV!$A$2:$A$121,1))))</f>
        <v>14</v>
      </c>
      <c r="AB1217" s="18" t="n">
        <f aca="false">IF(D1217="","",IF(L1217&lt;=$B$16,1,IF(L1217&gt;=$B$17,$B$21,MATCH(L1217,Aux_CAV!$A$2:$A$121,1))))</f>
        <v>13</v>
      </c>
      <c r="AC1217" s="19" t="n">
        <f aca="false">IF(D1217="","",COUNT($D$24:D1217))</f>
        <v>1182</v>
      </c>
    </row>
    <row r="1218" customFormat="false" ht="12.75" hidden="false" customHeight="true" outlineLevel="0" collapsed="false">
      <c r="A1218" s="14" t="n">
        <f aca="false">IF(D1218="","",DATE(B1218,C1218,1))</f>
        <v>39995</v>
      </c>
      <c r="B1218" s="15" t="n">
        <f aca="false" t="array" ref="B1218:B1218">IF(D1218="","",IFERROR(VALUE(INDEX(Vazoes_COLAR!$A$2:$A$200,INT((ROW()-24)/12)+1)),""))</f>
        <v>2009</v>
      </c>
      <c r="C1218" s="15" t="n">
        <f aca="false">IF(D1218="","",MOD(ROW()-24,12)+1)</f>
        <v>7</v>
      </c>
      <c r="D1218" s="16" t="n">
        <f aca="false" t="array" ref="D1218: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0.402485274718288</v>
      </c>
      <c r="E1218" s="16" t="n">
        <f aca="false">IF(D1218="","",D1218*$B$15)</f>
        <v>1.0432418320698</v>
      </c>
      <c r="F1218" s="16" t="n">
        <f aca="false" t="array" ref="F1218:F1218">IF(D1218="","",IFERROR(INDEX(Dados_Evap!$C$2:$N$15,MATCH($B$9,Dados_Evap!$A$2:$A$15,0),C1218),0))</f>
        <v>224.8</v>
      </c>
      <c r="G1218" s="16" t="n">
        <f aca="false">IF(F1218="","",F1218/1000)</f>
        <v>0.2248</v>
      </c>
      <c r="H1218" s="16" t="n">
        <f aca="false">IF(D1218="","",MAX(0,MIN($B$8,IFERROR(LOOKUP(2,1/($U$24:U1217&lt;&gt;""),$U$24:U1217),$B$11))))</f>
        <v>46.1928683549867</v>
      </c>
      <c r="I1218" s="16" t="n">
        <f aca="false" t="array" ref="I1218: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>6.867448334185</v>
      </c>
      <c r="J1218" s="16" t="n">
        <f aca="false">IF(D1218="","",$B$12)</f>
        <v>0.35</v>
      </c>
      <c r="K1218" s="16" t="n">
        <f aca="false">IF(J1218="","",J1218*$B$15)</f>
        <v>0.9072</v>
      </c>
      <c r="L1218" s="16" t="n">
        <f aca="false">IF(D1218="","",H1218+E1218-K1218-G1218*I1218)</f>
        <v>44.7851078015317</v>
      </c>
      <c r="M1218" s="16" t="n">
        <f aca="false" t="array" ref="M1218: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>6.72689362483847</v>
      </c>
      <c r="N1218" s="16" t="n">
        <f aca="false">IF(D1218="","",(I1218+M1218)/2)</f>
        <v>6.79717097951173</v>
      </c>
      <c r="O1218" s="16" t="n">
        <f aca="false">IF(D1218="","",G1218*N1218)</f>
        <v>1.52800403619424</v>
      </c>
      <c r="P1218" s="16" t="n">
        <f aca="false">IF(D1218="","",H1218+E1218-K1218-O1218)</f>
        <v>44.8009061508623</v>
      </c>
      <c r="Q1218" s="16" t="n">
        <f aca="false">IF(D1218="","",IF(P1218&gt;=0,K1218,MAX(0,K1218+P1218)))</f>
        <v>0.9072</v>
      </c>
      <c r="R1218" s="16" t="n">
        <f aca="false">IF(D1218="","",Q1218/$B$15)</f>
        <v>0.35</v>
      </c>
      <c r="S1218" s="16" t="n">
        <f aca="false">IF(D1218="","",MAX(0,J1218-R1218))</f>
        <v>0</v>
      </c>
      <c r="T1218" s="16" t="n">
        <f aca="false">IF(D1218="","",MAX(0,Z1218-$B$8))</f>
        <v>0</v>
      </c>
      <c r="U1218" s="16" t="n">
        <f aca="false">IF(D1218="","",MAX(0,MIN($B$8,Z1218)))</f>
        <v>44.8009061508623</v>
      </c>
      <c r="V1218" s="16" t="str">
        <f aca="false">IF(D1218="","",IF(S1218&gt;0.0000001,"Sim","Não"))</f>
        <v>Não</v>
      </c>
      <c r="W1218" s="16" t="n">
        <f aca="false">IF(D1218="","",U1218-(H1218+E1218-Q1218-O1218-T1218))</f>
        <v>0</v>
      </c>
      <c r="X1218" s="16" t="n">
        <f aca="false">IF(W1218="","",ABS(W1218))</f>
        <v>0</v>
      </c>
      <c r="Y1218" s="16" t="n">
        <f aca="false">IF(U1218="","",IF($B$8=0,0,U1218/$B$8*100))</f>
        <v>94.8769719416821</v>
      </c>
      <c r="Z1218" s="18" t="n">
        <f aca="false">IF(D1218="","",MAX(0,IF(P1218&gt;=0,P1218,IF(K1218+P1218&gt;=0,0,P1218+K1218))))</f>
        <v>44.8009061508623</v>
      </c>
      <c r="AA1218" s="18" t="n">
        <f aca="false">IF(D1218="","",IF(H1218&lt;=$B$16,1,IF(H1218&gt;=$B$17,$B$21,MATCH(H1218,Aux_CAV!$A$2:$A$121,1))))</f>
        <v>13</v>
      </c>
      <c r="AB1218" s="18" t="n">
        <f aca="false">IF(D1218="","",IF(L1218&lt;=$B$16,1,IF(L1218&gt;=$B$17,$B$21,MATCH(L1218,Aux_CAV!$A$2:$A$121,1))))</f>
        <v>13</v>
      </c>
      <c r="AC1218" s="19" t="n">
        <f aca="false">IF(D1218="","",COUNT($D$24:D1218))</f>
        <v>1183</v>
      </c>
    </row>
    <row r="1219" customFormat="false" ht="12.75" hidden="false" customHeight="true" outlineLevel="0" collapsed="false">
      <c r="A1219" s="14" t="n">
        <f aca="false">IF(D1219="","",DATE(B1219,C1219,1))</f>
        <v>40026</v>
      </c>
      <c r="B1219" s="15" t="n">
        <f aca="false" t="array" ref="B1219:B1219">IF(D1219="","",IFERROR(VALUE(INDEX(Vazoes_COLAR!$A$2:$A$200,INT((ROW()-24)/12)+1)),""))</f>
        <v>2009</v>
      </c>
      <c r="C1219" s="15" t="n">
        <f aca="false">IF(D1219="","",MOD(ROW()-24,12)+1)</f>
        <v>8</v>
      </c>
      <c r="D1219" s="16" t="n">
        <f aca="false" t="array" ref="D1219: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0.113734653439752</v>
      </c>
      <c r="E1219" s="16" t="n">
        <f aca="false">IF(D1219="","",D1219*$B$15)</f>
        <v>0.294800221715837</v>
      </c>
      <c r="F1219" s="16" t="n">
        <f aca="false" t="array" ref="F1219:F1219">IF(D1219="","",IFERROR(INDEX(Dados_Evap!$C$2:$N$15,MATCH($B$9,Dados_Evap!$A$2:$A$15,0),C1219),0))</f>
        <v>268.7</v>
      </c>
      <c r="G1219" s="16" t="n">
        <f aca="false">IF(F1219="","",F1219/1000)</f>
        <v>0.2687</v>
      </c>
      <c r="H1219" s="16" t="n">
        <f aca="false">IF(D1219="","",MAX(0,MIN($B$8,IFERROR(LOOKUP(2,1/($U$24:U1218&lt;&gt;""),$U$24:U1218),$B$11))))</f>
        <v>44.8009061508623</v>
      </c>
      <c r="I1219" s="16" t="n">
        <f aca="false" t="array" ref="I1219: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>6.72847097575433</v>
      </c>
      <c r="J1219" s="16" t="n">
        <f aca="false">IF(D1219="","",$B$12)</f>
        <v>0.35</v>
      </c>
      <c r="K1219" s="16" t="n">
        <f aca="false">IF(J1219="","",J1219*$B$15)</f>
        <v>0.9072</v>
      </c>
      <c r="L1219" s="16" t="n">
        <f aca="false">IF(D1219="","",H1219+E1219-K1219-G1219*I1219)</f>
        <v>42.3805662213929</v>
      </c>
      <c r="M1219" s="16" t="n">
        <f aca="false" t="array" ref="M1219: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>6.48681753940008</v>
      </c>
      <c r="N1219" s="16" t="n">
        <f aca="false">IF(D1219="","",(I1219+M1219)/2)</f>
        <v>6.60764425757721</v>
      </c>
      <c r="O1219" s="16" t="n">
        <f aca="false">IF(D1219="","",G1219*N1219)</f>
        <v>1.775474012011</v>
      </c>
      <c r="P1219" s="16" t="n">
        <f aca="false">IF(D1219="","",H1219+E1219-K1219-O1219)</f>
        <v>42.4130323605671</v>
      </c>
      <c r="Q1219" s="16" t="n">
        <f aca="false">IF(D1219="","",IF(P1219&gt;=0,K1219,MAX(0,K1219+P1219)))</f>
        <v>0.9072</v>
      </c>
      <c r="R1219" s="16" t="n">
        <f aca="false">IF(D1219="","",Q1219/$B$15)</f>
        <v>0.35</v>
      </c>
      <c r="S1219" s="16" t="n">
        <f aca="false">IF(D1219="","",MAX(0,J1219-R1219))</f>
        <v>0</v>
      </c>
      <c r="T1219" s="16" t="n">
        <f aca="false">IF(D1219="","",MAX(0,Z1219-$B$8))</f>
        <v>0</v>
      </c>
      <c r="U1219" s="16" t="n">
        <f aca="false">IF(D1219="","",MAX(0,MIN($B$8,Z1219)))</f>
        <v>42.4130323605671</v>
      </c>
      <c r="V1219" s="16" t="str">
        <f aca="false">IF(D1219="","",IF(S1219&gt;0.0000001,"Sim","Não"))</f>
        <v>Não</v>
      </c>
      <c r="W1219" s="16" t="n">
        <f aca="false">IF(D1219="","",U1219-(H1219+E1219-Q1219-O1219-T1219))</f>
        <v>0</v>
      </c>
      <c r="X1219" s="16" t="n">
        <f aca="false">IF(W1219="","",ABS(W1219))</f>
        <v>0</v>
      </c>
      <c r="Y1219" s="16" t="n">
        <f aca="false">IF(U1219="","",IF($B$8=0,0,U1219/$B$8*100))</f>
        <v>89.8200600604979</v>
      </c>
      <c r="Z1219" s="18" t="n">
        <f aca="false">IF(D1219="","",MAX(0,IF(P1219&gt;=0,P1219,IF(K1219+P1219&gt;=0,0,P1219+K1219))))</f>
        <v>42.4130323605671</v>
      </c>
      <c r="AA1219" s="18" t="n">
        <f aca="false">IF(D1219="","",IF(H1219&lt;=$B$16,1,IF(H1219&gt;=$B$17,$B$21,MATCH(H1219,Aux_CAV!$A$2:$A$121,1))))</f>
        <v>13</v>
      </c>
      <c r="AB1219" s="18" t="n">
        <f aca="false">IF(D1219="","",IF(L1219&lt;=$B$16,1,IF(L1219&gt;=$B$17,$B$21,MATCH(L1219,Aux_CAV!$A$2:$A$121,1))))</f>
        <v>13</v>
      </c>
      <c r="AC1219" s="19" t="n">
        <f aca="false">IF(D1219="","",COUNT($D$24:D1219))</f>
        <v>1184</v>
      </c>
    </row>
    <row r="1220" customFormat="false" ht="12.75" hidden="false" customHeight="true" outlineLevel="0" collapsed="false">
      <c r="A1220" s="14" t="n">
        <f aca="false">IF(D1220="","",DATE(B1220,C1220,1))</f>
        <v>40057</v>
      </c>
      <c r="B1220" s="15" t="n">
        <f aca="false" t="array" ref="B1220:B1220">IF(D1220="","",IFERROR(VALUE(INDEX(Vazoes_COLAR!$A$2:$A$200,INT((ROW()-24)/12)+1)),""))</f>
        <v>2009</v>
      </c>
      <c r="C1220" s="15" t="n">
        <f aca="false">IF(D1220="","",MOD(ROW()-24,12)+1)</f>
        <v>9</v>
      </c>
      <c r="D1220" s="16" t="n">
        <f aca="false" t="array" ref="D1220: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0.03116610142203</v>
      </c>
      <c r="E1220" s="16" t="n">
        <f aca="false">IF(D1220="","",D1220*$B$15)</f>
        <v>0.0807825348859018</v>
      </c>
      <c r="F1220" s="16" t="n">
        <f aca="false" t="array" ref="F1220:F1220">IF(D1220="","",IFERROR(INDEX(Dados_Evap!$C$2:$N$15,MATCH($B$9,Dados_Evap!$A$2:$A$15,0),C1220),0))</f>
        <v>292.8</v>
      </c>
      <c r="G1220" s="16" t="n">
        <f aca="false">IF(F1220="","",F1220/1000)</f>
        <v>0.2928</v>
      </c>
      <c r="H1220" s="16" t="n">
        <f aca="false">IF(D1220="","",MAX(0,MIN($B$8,IFERROR(LOOKUP(2,1/($U$24:U1219&lt;&gt;""),$U$24:U1219),$B$11))))</f>
        <v>42.4130323605671</v>
      </c>
      <c r="I1220" s="16" t="n">
        <f aca="false" t="array" ref="I1220: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>6.49005904857864</v>
      </c>
      <c r="J1220" s="16" t="n">
        <f aca="false">IF(D1220="","",$B$12)</f>
        <v>0.35</v>
      </c>
      <c r="K1220" s="16" t="n">
        <f aca="false">IF(J1220="","",J1220*$B$15)</f>
        <v>0.9072</v>
      </c>
      <c r="L1220" s="16" t="n">
        <f aca="false">IF(D1220="","",H1220+E1220-K1220-G1220*I1220)</f>
        <v>39.6863256060292</v>
      </c>
      <c r="M1220" s="16" t="n">
        <f aca="false" t="array" ref="M1220: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>6.21781710060197</v>
      </c>
      <c r="N1220" s="16" t="n">
        <f aca="false">IF(D1220="","",(I1220+M1220)/2)</f>
        <v>6.35393807459031</v>
      </c>
      <c r="O1220" s="16" t="n">
        <f aca="false">IF(D1220="","",G1220*N1220)</f>
        <v>1.86043306824004</v>
      </c>
      <c r="P1220" s="16" t="n">
        <f aca="false">IF(D1220="","",H1220+E1220-K1220-O1220)</f>
        <v>39.726181827213</v>
      </c>
      <c r="Q1220" s="16" t="n">
        <f aca="false">IF(D1220="","",IF(P1220&gt;=0,K1220,MAX(0,K1220+P1220)))</f>
        <v>0.9072</v>
      </c>
      <c r="R1220" s="16" t="n">
        <f aca="false">IF(D1220="","",Q1220/$B$15)</f>
        <v>0.35</v>
      </c>
      <c r="S1220" s="16" t="n">
        <f aca="false">IF(D1220="","",MAX(0,J1220-R1220))</f>
        <v>0</v>
      </c>
      <c r="T1220" s="16" t="n">
        <f aca="false">IF(D1220="","",MAX(0,Z1220-$B$8))</f>
        <v>0</v>
      </c>
      <c r="U1220" s="16" t="n">
        <f aca="false">IF(D1220="","",MAX(0,MIN($B$8,Z1220)))</f>
        <v>39.726181827213</v>
      </c>
      <c r="V1220" s="16" t="str">
        <f aca="false">IF(D1220="","",IF(S1220&gt;0.0000001,"Sim","Não"))</f>
        <v>Não</v>
      </c>
      <c r="W1220" s="16" t="n">
        <f aca="false">IF(D1220="","",U1220-(H1220+E1220-Q1220-O1220-T1220))</f>
        <v>0</v>
      </c>
      <c r="X1220" s="16" t="n">
        <f aca="false">IF(W1220="","",ABS(W1220))</f>
        <v>0</v>
      </c>
      <c r="Y1220" s="16" t="n">
        <f aca="false">IF(U1220="","",IF($B$8=0,0,U1220/$B$8*100))</f>
        <v>84.129991163094</v>
      </c>
      <c r="Z1220" s="18" t="n">
        <f aca="false">IF(D1220="","",MAX(0,IF(P1220&gt;=0,P1220,IF(K1220+P1220&gt;=0,0,P1220+K1220))))</f>
        <v>39.726181827213</v>
      </c>
      <c r="AA1220" s="18" t="n">
        <f aca="false">IF(D1220="","",IF(H1220&lt;=$B$16,1,IF(H1220&gt;=$B$17,$B$21,MATCH(H1220,Aux_CAV!$A$2:$A$121,1))))</f>
        <v>13</v>
      </c>
      <c r="AB1220" s="18" t="n">
        <f aca="false">IF(D1220="","",IF(L1220&lt;=$B$16,1,IF(L1220&gt;=$B$17,$B$21,MATCH(L1220,Aux_CAV!$A$2:$A$121,1))))</f>
        <v>13</v>
      </c>
      <c r="AC1220" s="19" t="n">
        <f aca="false">IF(D1220="","",COUNT($D$24:D1220))</f>
        <v>1185</v>
      </c>
    </row>
    <row r="1221" customFormat="false" ht="12.75" hidden="false" customHeight="true" outlineLevel="0" collapsed="false">
      <c r="A1221" s="14" t="n">
        <f aca="false">IF(D1221="","",DATE(B1221,C1221,1))</f>
        <v>40087</v>
      </c>
      <c r="B1221" s="15" t="n">
        <f aca="false" t="array" ref="B1221:B1221">IF(D1221="","",IFERROR(VALUE(INDEX(Vazoes_COLAR!$A$2:$A$200,INT((ROW()-24)/12)+1)),""))</f>
        <v>2009</v>
      </c>
      <c r="C1221" s="15" t="n">
        <f aca="false">IF(D1221="","",MOD(ROW()-24,12)+1)</f>
        <v>10</v>
      </c>
      <c r="D1221" s="16" t="n">
        <f aca="false" t="array" ref="D1221: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0.0340302790429709</v>
      </c>
      <c r="E1221" s="16" t="n">
        <f aca="false">IF(D1221="","",D1221*$B$15)</f>
        <v>0.0882064832793806</v>
      </c>
      <c r="F1221" s="16" t="n">
        <f aca="false" t="array" ref="F1221:F1221">IF(D1221="","",IFERROR(INDEX(Dados_Evap!$C$2:$N$15,MATCH($B$9,Dados_Evap!$A$2:$A$15,0),C1221),0))</f>
        <v>262.9</v>
      </c>
      <c r="G1221" s="16" t="n">
        <f aca="false">IF(F1221="","",F1221/1000)</f>
        <v>0.2629</v>
      </c>
      <c r="H1221" s="16" t="n">
        <f aca="false">IF(D1221="","",MAX(0,MIN($B$8,IFERROR(LOOKUP(2,1/($U$24:U1220&lt;&gt;""),$U$24:U1220),$B$11))))</f>
        <v>39.726181827213</v>
      </c>
      <c r="I1221" s="16" t="n">
        <f aca="false" t="array" ref="I1221: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>6.22179645601891</v>
      </c>
      <c r="J1221" s="16" t="n">
        <f aca="false">IF(D1221="","",$B$12)</f>
        <v>0.35</v>
      </c>
      <c r="K1221" s="16" t="n">
        <f aca="false">IF(J1221="","",J1221*$B$15)</f>
        <v>0.9072</v>
      </c>
      <c r="L1221" s="16" t="n">
        <f aca="false">IF(D1221="","",H1221+E1221-K1221-G1221*I1221)</f>
        <v>37.271478022205</v>
      </c>
      <c r="M1221" s="16" t="n">
        <f aca="false" t="array" ref="M1221: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>5.97671203523588</v>
      </c>
      <c r="N1221" s="16" t="n">
        <f aca="false">IF(D1221="","",(I1221+M1221)/2)</f>
        <v>6.09925424562739</v>
      </c>
      <c r="O1221" s="16" t="n">
        <f aca="false">IF(D1221="","",G1221*N1221)</f>
        <v>1.60349394117544</v>
      </c>
      <c r="P1221" s="16" t="n">
        <f aca="false">IF(D1221="","",H1221+E1221-K1221-O1221)</f>
        <v>37.3036943693169</v>
      </c>
      <c r="Q1221" s="16" t="n">
        <f aca="false">IF(D1221="","",IF(P1221&gt;=0,K1221,MAX(0,K1221+P1221)))</f>
        <v>0.9072</v>
      </c>
      <c r="R1221" s="16" t="n">
        <f aca="false">IF(D1221="","",Q1221/$B$15)</f>
        <v>0.35</v>
      </c>
      <c r="S1221" s="16" t="n">
        <f aca="false">IF(D1221="","",MAX(0,J1221-R1221))</f>
        <v>0</v>
      </c>
      <c r="T1221" s="16" t="n">
        <f aca="false">IF(D1221="","",MAX(0,Z1221-$B$8))</f>
        <v>0</v>
      </c>
      <c r="U1221" s="16" t="n">
        <f aca="false">IF(D1221="","",MAX(0,MIN($B$8,Z1221)))</f>
        <v>37.3036943693169</v>
      </c>
      <c r="V1221" s="16" t="str">
        <f aca="false">IF(D1221="","",IF(S1221&gt;0.0000001,"Sim","Não"))</f>
        <v>Não</v>
      </c>
      <c r="W1221" s="16" t="n">
        <f aca="false">IF(D1221="","",U1221-(H1221+E1221-Q1221-O1221-T1221))</f>
        <v>0</v>
      </c>
      <c r="X1221" s="16" t="n">
        <f aca="false">IF(W1221="","",ABS(W1221))</f>
        <v>0</v>
      </c>
      <c r="Y1221" s="16" t="n">
        <f aca="false">IF(U1221="","",IF($B$8=0,0,U1221/$B$8*100))</f>
        <v>78.9997763009676</v>
      </c>
      <c r="Z1221" s="18" t="n">
        <f aca="false">IF(D1221="","",MAX(0,IF(P1221&gt;=0,P1221,IF(K1221+P1221&gt;=0,0,P1221+K1221))))</f>
        <v>37.3036943693169</v>
      </c>
      <c r="AA1221" s="18" t="n">
        <f aca="false">IF(D1221="","",IF(H1221&lt;=$B$16,1,IF(H1221&gt;=$B$17,$B$21,MATCH(H1221,Aux_CAV!$A$2:$A$121,1))))</f>
        <v>13</v>
      </c>
      <c r="AB1221" s="18" t="n">
        <f aca="false">IF(D1221="","",IF(L1221&lt;=$B$16,1,IF(L1221&gt;=$B$17,$B$21,MATCH(L1221,Aux_CAV!$A$2:$A$121,1))))</f>
        <v>13</v>
      </c>
      <c r="AC1221" s="19" t="n">
        <f aca="false">IF(D1221="","",COUNT($D$24:D1221))</f>
        <v>1186</v>
      </c>
    </row>
    <row r="1222" customFormat="false" ht="12.75" hidden="false" customHeight="true" outlineLevel="0" collapsed="false">
      <c r="A1222" s="14" t="n">
        <f aca="false">IF(D1222="","",DATE(B1222,C1222,1))</f>
        <v>40118</v>
      </c>
      <c r="B1222" s="15" t="n">
        <f aca="false" t="array" ref="B1222:B1222">IF(D1222="","",IFERROR(VALUE(INDEX(Vazoes_COLAR!$A$2:$A$200,INT((ROW()-24)/12)+1)),""))</f>
        <v>2009</v>
      </c>
      <c r="C1222" s="15" t="n">
        <f aca="false">IF(D1222="","",MOD(ROW()-24,12)+1)</f>
        <v>11</v>
      </c>
      <c r="D1222" s="16" t="n">
        <f aca="false" t="array" ref="D1222: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0.0252126997031712</v>
      </c>
      <c r="E1222" s="16" t="n">
        <f aca="false">IF(D1222="","",D1222*$B$15)</f>
        <v>0.0653513176306198</v>
      </c>
      <c r="F1222" s="16" t="n">
        <f aca="false" t="array" ref="F1222:F1222">IF(D1222="","",IFERROR(INDEX(Dados_Evap!$C$2:$N$15,MATCH($B$9,Dados_Evap!$A$2:$A$15,0),C1222),0))</f>
        <v>223.7</v>
      </c>
      <c r="G1222" s="16" t="n">
        <f aca="false">IF(F1222="","",F1222/1000)</f>
        <v>0.2237</v>
      </c>
      <c r="H1222" s="16" t="n">
        <f aca="false">IF(D1222="","",MAX(0,MIN($B$8,IFERROR(LOOKUP(2,1/($U$24:U1221&lt;&gt;""),$U$24:U1221),$B$11))))</f>
        <v>37.3036943693169</v>
      </c>
      <c r="I1222" s="16" t="n">
        <f aca="false" t="array" ref="I1222: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>5.97992860448369</v>
      </c>
      <c r="J1222" s="16" t="n">
        <f aca="false">IF(D1222="","",$B$12)</f>
        <v>0.35</v>
      </c>
      <c r="K1222" s="16" t="n">
        <f aca="false">IF(J1222="","",J1222*$B$15)</f>
        <v>0.9072</v>
      </c>
      <c r="L1222" s="16" t="n">
        <f aca="false">IF(D1222="","",H1222+E1222-K1222-G1222*I1222)</f>
        <v>35.1241356581245</v>
      </c>
      <c r="M1222" s="16" t="n">
        <f aca="false" t="array" ref="M1222: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>5.76231543127501</v>
      </c>
      <c r="N1222" s="16" t="n">
        <f aca="false">IF(D1222="","",(I1222+M1222)/2)</f>
        <v>5.87112201787935</v>
      </c>
      <c r="O1222" s="16" t="n">
        <f aca="false">IF(D1222="","",G1222*N1222)</f>
        <v>1.31336999539961</v>
      </c>
      <c r="P1222" s="16" t="n">
        <f aca="false">IF(D1222="","",H1222+E1222-K1222-O1222)</f>
        <v>35.1484756915479</v>
      </c>
      <c r="Q1222" s="16" t="n">
        <f aca="false">IF(D1222="","",IF(P1222&gt;=0,K1222,MAX(0,K1222+P1222)))</f>
        <v>0.9072</v>
      </c>
      <c r="R1222" s="16" t="n">
        <f aca="false">IF(D1222="","",Q1222/$B$15)</f>
        <v>0.35</v>
      </c>
      <c r="S1222" s="16" t="n">
        <f aca="false">IF(D1222="","",MAX(0,J1222-R1222))</f>
        <v>0</v>
      </c>
      <c r="T1222" s="16" t="n">
        <f aca="false">IF(D1222="","",MAX(0,Z1222-$B$8))</f>
        <v>0</v>
      </c>
      <c r="U1222" s="16" t="n">
        <f aca="false">IF(D1222="","",MAX(0,MIN($B$8,Z1222)))</f>
        <v>35.1484756915479</v>
      </c>
      <c r="V1222" s="16" t="str">
        <f aca="false">IF(D1222="","",IF(S1222&gt;0.0000001,"Sim","Não"))</f>
        <v>Não</v>
      </c>
      <c r="W1222" s="16" t="n">
        <f aca="false">IF(D1222="","",U1222-(H1222+E1222-Q1222-O1222-T1222))</f>
        <v>0</v>
      </c>
      <c r="X1222" s="16" t="n">
        <f aca="false">IF(W1222="","",ABS(W1222))</f>
        <v>0</v>
      </c>
      <c r="Y1222" s="16" t="n">
        <f aca="false">IF(U1222="","",IF($B$8=0,0,U1222/$B$8*100))</f>
        <v>74.4355690206436</v>
      </c>
      <c r="Z1222" s="18" t="n">
        <f aca="false">IF(D1222="","",MAX(0,IF(P1222&gt;=0,P1222,IF(K1222+P1222&gt;=0,0,P1222+K1222))))</f>
        <v>35.1484756915479</v>
      </c>
      <c r="AA1222" s="18" t="n">
        <f aca="false">IF(D1222="","",IF(H1222&lt;=$B$16,1,IF(H1222&gt;=$B$17,$B$21,MATCH(H1222,Aux_CAV!$A$2:$A$121,1))))</f>
        <v>13</v>
      </c>
      <c r="AB1222" s="18" t="n">
        <f aca="false">IF(D1222="","",IF(L1222&lt;=$B$16,1,IF(L1222&gt;=$B$17,$B$21,MATCH(L1222,Aux_CAV!$A$2:$A$121,1))))</f>
        <v>13</v>
      </c>
      <c r="AC1222" s="19" t="n">
        <f aca="false">IF(D1222="","",COUNT($D$24:D1222))</f>
        <v>1187</v>
      </c>
    </row>
    <row r="1223" customFormat="false" ht="12.75" hidden="false" customHeight="true" outlineLevel="0" collapsed="false">
      <c r="A1223" s="14" t="n">
        <f aca="false">IF(D1223="","",DATE(B1223,C1223,1))</f>
        <v>40148</v>
      </c>
      <c r="B1223" s="15" t="n">
        <f aca="false" t="array" ref="B1223:B1223">IF(D1223="","",IFERROR(VALUE(INDEX(Vazoes_COLAR!$A$2:$A$200,INT((ROW()-24)/12)+1)),""))</f>
        <v>2009</v>
      </c>
      <c r="C1223" s="15" t="n">
        <f aca="false">IF(D1223="","",MOD(ROW()-24,12)+1)</f>
        <v>12</v>
      </c>
      <c r="D1223" s="16" t="n">
        <f aca="false" t="array" ref="D1223: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0.042492226336648</v>
      </c>
      <c r="E1223" s="16" t="n">
        <f aca="false">IF(D1223="","",D1223*$B$15)</f>
        <v>0.110139850664592</v>
      </c>
      <c r="F1223" s="16" t="n">
        <f aca="false" t="array" ref="F1223:F1223">IF(D1223="","",IFERROR(INDEX(Dados_Evap!$C$2:$N$15,MATCH($B$9,Dados_Evap!$A$2:$A$15,0),C1223),0))</f>
        <v>216.1</v>
      </c>
      <c r="G1223" s="16" t="n">
        <f aca="false">IF(F1223="","",F1223/1000)</f>
        <v>0.2161</v>
      </c>
      <c r="H1223" s="16" t="n">
        <f aca="false">IF(D1223="","",MAX(0,MIN($B$8,IFERROR(LOOKUP(2,1/($U$24:U1222&lt;&gt;""),$U$24:U1222),$B$11))))</f>
        <v>35.1484756915479</v>
      </c>
      <c r="I1223" s="16" t="n">
        <f aca="false" t="array" ref="I1223: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>5.76474560756807</v>
      </c>
      <c r="J1223" s="16" t="n">
        <f aca="false">IF(D1223="","",$B$12)</f>
        <v>0.35</v>
      </c>
      <c r="K1223" s="16" t="n">
        <f aca="false">IF(J1223="","",J1223*$B$15)</f>
        <v>0.9072</v>
      </c>
      <c r="L1223" s="16" t="n">
        <f aca="false">IF(D1223="","",H1223+E1223-K1223-G1223*I1223)</f>
        <v>33.1056540164171</v>
      </c>
      <c r="M1223" s="16" t="n">
        <f aca="false" t="array" ref="M1223: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>5.55515046578313</v>
      </c>
      <c r="N1223" s="16" t="n">
        <f aca="false">IF(D1223="","",(I1223+M1223)/2)</f>
        <v>5.6599480366756</v>
      </c>
      <c r="O1223" s="16" t="n">
        <f aca="false">IF(D1223="","",G1223*N1223)</f>
        <v>1.2231147707256</v>
      </c>
      <c r="P1223" s="16" t="n">
        <f aca="false">IF(D1223="","",H1223+E1223-K1223-O1223)</f>
        <v>33.1283007714869</v>
      </c>
      <c r="Q1223" s="16" t="n">
        <f aca="false">IF(D1223="","",IF(P1223&gt;=0,K1223,MAX(0,K1223+P1223)))</f>
        <v>0.9072</v>
      </c>
      <c r="R1223" s="16" t="n">
        <f aca="false">IF(D1223="","",Q1223/$B$15)</f>
        <v>0.35</v>
      </c>
      <c r="S1223" s="16" t="n">
        <f aca="false">IF(D1223="","",MAX(0,J1223-R1223))</f>
        <v>0</v>
      </c>
      <c r="T1223" s="16" t="n">
        <f aca="false">IF(D1223="","",MAX(0,Z1223-$B$8))</f>
        <v>0</v>
      </c>
      <c r="U1223" s="16" t="n">
        <f aca="false">IF(D1223="","",MAX(0,MIN($B$8,Z1223)))</f>
        <v>33.1283007714869</v>
      </c>
      <c r="V1223" s="16" t="str">
        <f aca="false">IF(D1223="","",IF(S1223&gt;0.0000001,"Sim","Não"))</f>
        <v>Não</v>
      </c>
      <c r="W1223" s="16" t="n">
        <f aca="false">IF(D1223="","",U1223-(H1223+E1223-Q1223-O1223-T1223))</f>
        <v>0</v>
      </c>
      <c r="X1223" s="16" t="n">
        <f aca="false">IF(W1223="","",ABS(W1223))</f>
        <v>0</v>
      </c>
      <c r="Y1223" s="16" t="n">
        <f aca="false">IF(U1223="","",IF($B$8=0,0,U1223/$B$8*100))</f>
        <v>70.1573502149236</v>
      </c>
      <c r="Z1223" s="18" t="n">
        <f aca="false">IF(D1223="","",MAX(0,IF(P1223&gt;=0,P1223,IF(K1223+P1223&gt;=0,0,P1223+K1223))))</f>
        <v>33.1283007714869</v>
      </c>
      <c r="AA1223" s="18" t="n">
        <f aca="false">IF(D1223="","",IF(H1223&lt;=$B$16,1,IF(H1223&gt;=$B$17,$B$21,MATCH(H1223,Aux_CAV!$A$2:$A$121,1))))</f>
        <v>13</v>
      </c>
      <c r="AB1223" s="18" t="n">
        <f aca="false">IF(D1223="","",IF(L1223&lt;=$B$16,1,IF(L1223&gt;=$B$17,$B$21,MATCH(L1223,Aux_CAV!$A$2:$A$121,1))))</f>
        <v>12</v>
      </c>
      <c r="AC1223" s="19" t="n">
        <f aca="false">IF(D1223="","",COUNT($D$24:D1223))</f>
        <v>1188</v>
      </c>
    </row>
    <row r="1224" customFormat="false" ht="12.75" hidden="false" customHeight="true" outlineLevel="0" collapsed="false">
      <c r="A1224" s="14" t="n">
        <f aca="false">IF(D1224="","",DATE(B1224,C1224,1))</f>
        <v>40179</v>
      </c>
      <c r="B1224" s="15" t="n">
        <f aca="false" t="array" ref="B1224:B1224">IF(D1224="","",IFERROR(VALUE(INDEX(Vazoes_COLAR!$A$2:$A$200,INT((ROW()-24)/12)+1)),""))</f>
        <v>2010</v>
      </c>
      <c r="C1224" s="15" t="n">
        <f aca="false">IF(D1224="","",MOD(ROW()-24,12)+1)</f>
        <v>1</v>
      </c>
      <c r="D1224" s="16" t="n">
        <f aca="false" t="array" ref="D1224: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0.212194008528139</v>
      </c>
      <c r="E1224" s="16" t="n">
        <f aca="false">IF(D1224="","",D1224*$B$15)</f>
        <v>0.550006870104936</v>
      </c>
      <c r="F1224" s="16" t="n">
        <f aca="false" t="array" ref="F1224:F1224">IF(D1224="","",IFERROR(INDEX(Dados_Evap!$C$2:$N$15,MATCH($B$9,Dados_Evap!$A$2:$A$15,0),C1224),0))</f>
        <v>160</v>
      </c>
      <c r="G1224" s="16" t="n">
        <f aca="false">IF(F1224="","",F1224/1000)</f>
        <v>0.16</v>
      </c>
      <c r="H1224" s="16" t="n">
        <f aca="false">IF(D1224="","",MAX(0,MIN($B$8,IFERROR(LOOKUP(2,1/($U$24:U1223&lt;&gt;""),$U$24:U1223),$B$11))))</f>
        <v>33.1283007714869</v>
      </c>
      <c r="I1224" s="16" t="n">
        <f aca="false" t="array" ref="I1224: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>5.5575030898535</v>
      </c>
      <c r="J1224" s="16" t="n">
        <f aca="false">IF(D1224="","",$B$12)</f>
        <v>0.35</v>
      </c>
      <c r="K1224" s="16" t="n">
        <f aca="false">IF(J1224="","",J1224*$B$15)</f>
        <v>0.9072</v>
      </c>
      <c r="L1224" s="16" t="n">
        <f aca="false">IF(D1224="","",H1224+E1224-K1224-G1224*I1224)</f>
        <v>31.8819071472153</v>
      </c>
      <c r="M1224" s="16" t="n">
        <f aca="false" t="array" ref="M1224: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>5.42802336383693</v>
      </c>
      <c r="N1224" s="16" t="n">
        <f aca="false">IF(D1224="","",(I1224+M1224)/2)</f>
        <v>5.49276322684521</v>
      </c>
      <c r="O1224" s="16" t="n">
        <f aca="false">IF(D1224="","",G1224*N1224)</f>
        <v>0.878842116295234</v>
      </c>
      <c r="P1224" s="16" t="n">
        <f aca="false">IF(D1224="","",H1224+E1224-K1224-O1224)</f>
        <v>31.8922655252966</v>
      </c>
      <c r="Q1224" s="16" t="n">
        <f aca="false">IF(D1224="","",IF(P1224&gt;=0,K1224,MAX(0,K1224+P1224)))</f>
        <v>0.9072</v>
      </c>
      <c r="R1224" s="16" t="n">
        <f aca="false">IF(D1224="","",Q1224/$B$15)</f>
        <v>0.35</v>
      </c>
      <c r="S1224" s="16" t="n">
        <f aca="false">IF(D1224="","",MAX(0,J1224-R1224))</f>
        <v>0</v>
      </c>
      <c r="T1224" s="16" t="n">
        <f aca="false">IF(D1224="","",MAX(0,Z1224-$B$8))</f>
        <v>0</v>
      </c>
      <c r="U1224" s="16" t="n">
        <f aca="false">IF(D1224="","",MAX(0,MIN($B$8,Z1224)))</f>
        <v>31.8922655252966</v>
      </c>
      <c r="V1224" s="16" t="str">
        <f aca="false">IF(D1224="","",IF(S1224&gt;0.0000001,"Sim","Não"))</f>
        <v>Não</v>
      </c>
      <c r="W1224" s="16" t="n">
        <f aca="false">IF(D1224="","",U1224-(H1224+E1224-Q1224-O1224-T1224))</f>
        <v>0</v>
      </c>
      <c r="X1224" s="16" t="n">
        <f aca="false">IF(W1224="","",ABS(W1224))</f>
        <v>0</v>
      </c>
      <c r="Y1224" s="16" t="n">
        <f aca="false">IF(U1224="","",IF($B$8=0,0,U1224/$B$8*100))</f>
        <v>67.5397406295989</v>
      </c>
      <c r="Z1224" s="18" t="n">
        <f aca="false">IF(D1224="","",MAX(0,IF(P1224&gt;=0,P1224,IF(K1224+P1224&gt;=0,0,P1224+K1224))))</f>
        <v>31.8922655252966</v>
      </c>
      <c r="AA1224" s="18" t="n">
        <f aca="false">IF(D1224="","",IF(H1224&lt;=$B$16,1,IF(H1224&gt;=$B$17,$B$21,MATCH(H1224,Aux_CAV!$A$2:$A$121,1))))</f>
        <v>12</v>
      </c>
      <c r="AB1224" s="18" t="n">
        <f aca="false">IF(D1224="","",IF(L1224&lt;=$B$16,1,IF(L1224&gt;=$B$17,$B$21,MATCH(L1224,Aux_CAV!$A$2:$A$121,1))))</f>
        <v>12</v>
      </c>
      <c r="AC1224" s="19" t="n">
        <f aca="false">IF(D1224="","",COUNT($D$24:D1224))</f>
        <v>1189</v>
      </c>
    </row>
    <row r="1225" customFormat="false" ht="12.75" hidden="false" customHeight="true" outlineLevel="0" collapsed="false">
      <c r="A1225" s="14" t="n">
        <f aca="false">IF(D1225="","",DATE(B1225,C1225,1))</f>
        <v>40210</v>
      </c>
      <c r="B1225" s="15" t="n">
        <f aca="false" t="array" ref="B1225:B1225">IF(D1225="","",IFERROR(VALUE(INDEX(Vazoes_COLAR!$A$2:$A$200,INT((ROW()-24)/12)+1)),""))</f>
        <v>2010</v>
      </c>
      <c r="C1225" s="15" t="n">
        <f aca="false">IF(D1225="","",MOD(ROW()-24,12)+1)</f>
        <v>2</v>
      </c>
      <c r="D1225" s="16" t="n">
        <f aca="false" t="array" ref="D1225: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0.179237264597327</v>
      </c>
      <c r="E1225" s="16" t="n">
        <f aca="false">IF(D1225="","",D1225*$B$15)</f>
        <v>0.464582989836272</v>
      </c>
      <c r="F1225" s="16" t="n">
        <f aca="false" t="array" ref="F1225:F1225">IF(D1225="","",IFERROR(INDEX(Dados_Evap!$C$2:$N$15,MATCH($B$9,Dados_Evap!$A$2:$A$15,0),C1225),0))</f>
        <v>124.3</v>
      </c>
      <c r="G1225" s="16" t="n">
        <f aca="false">IF(F1225="","",F1225/1000)</f>
        <v>0.1243</v>
      </c>
      <c r="H1225" s="16" t="n">
        <f aca="false">IF(D1225="","",MAX(0,MIN($B$8,IFERROR(LOOKUP(2,1/($U$24:U1224&lt;&gt;""),$U$24:U1224),$B$11))))</f>
        <v>31.8922655252966</v>
      </c>
      <c r="I1225" s="16" t="n">
        <f aca="false" t="array" ref="I1225: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>5.42909942835606</v>
      </c>
      <c r="J1225" s="16" t="n">
        <f aca="false">IF(D1225="","",$B$12)</f>
        <v>0.35</v>
      </c>
      <c r="K1225" s="16" t="n">
        <f aca="false">IF(J1225="","",J1225*$B$15)</f>
        <v>0.9072</v>
      </c>
      <c r="L1225" s="16" t="n">
        <f aca="false">IF(D1225="","",H1225+E1225-K1225-G1225*I1225)</f>
        <v>30.7748114561882</v>
      </c>
      <c r="M1225" s="16" t="n">
        <f aca="false" t="array" ref="M1225: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>5.31301439399237</v>
      </c>
      <c r="N1225" s="16" t="n">
        <f aca="false">IF(D1225="","",(I1225+M1225)/2)</f>
        <v>5.37105691117421</v>
      </c>
      <c r="O1225" s="16" t="n">
        <f aca="false">IF(D1225="","",G1225*N1225)</f>
        <v>0.667622374058955</v>
      </c>
      <c r="P1225" s="16" t="n">
        <f aca="false">IF(D1225="","",H1225+E1225-K1225-O1225)</f>
        <v>30.7820261410739</v>
      </c>
      <c r="Q1225" s="16" t="n">
        <f aca="false">IF(D1225="","",IF(P1225&gt;=0,K1225,MAX(0,K1225+P1225)))</f>
        <v>0.9072</v>
      </c>
      <c r="R1225" s="16" t="n">
        <f aca="false">IF(D1225="","",Q1225/$B$15)</f>
        <v>0.35</v>
      </c>
      <c r="S1225" s="16" t="n">
        <f aca="false">IF(D1225="","",MAX(0,J1225-R1225))</f>
        <v>0</v>
      </c>
      <c r="T1225" s="16" t="n">
        <f aca="false">IF(D1225="","",MAX(0,Z1225-$B$8))</f>
        <v>0</v>
      </c>
      <c r="U1225" s="16" t="n">
        <f aca="false">IF(D1225="","",MAX(0,MIN($B$8,Z1225)))</f>
        <v>30.7820261410739</v>
      </c>
      <c r="V1225" s="16" t="str">
        <f aca="false">IF(D1225="","",IF(S1225&gt;0.0000001,"Sim","Não"))</f>
        <v>Não</v>
      </c>
      <c r="W1225" s="16" t="n">
        <f aca="false">IF(D1225="","",U1225-(H1225+E1225-Q1225-O1225-T1225))</f>
        <v>0</v>
      </c>
      <c r="X1225" s="16" t="n">
        <f aca="false">IF(W1225="","",ABS(W1225))</f>
        <v>0</v>
      </c>
      <c r="Y1225" s="16" t="n">
        <f aca="false">IF(U1225="","",IF($B$8=0,0,U1225/$B$8*100))</f>
        <v>65.1885348180304</v>
      </c>
      <c r="Z1225" s="18" t="n">
        <f aca="false">IF(D1225="","",MAX(0,IF(P1225&gt;=0,P1225,IF(K1225+P1225&gt;=0,0,P1225+K1225))))</f>
        <v>30.7820261410739</v>
      </c>
      <c r="AA1225" s="18" t="n">
        <f aca="false">IF(D1225="","",IF(H1225&lt;=$B$16,1,IF(H1225&gt;=$B$17,$B$21,MATCH(H1225,Aux_CAV!$A$2:$A$121,1))))</f>
        <v>12</v>
      </c>
      <c r="AB1225" s="18" t="n">
        <f aca="false">IF(D1225="","",IF(L1225&lt;=$B$16,1,IF(L1225&gt;=$B$17,$B$21,MATCH(L1225,Aux_CAV!$A$2:$A$121,1))))</f>
        <v>12</v>
      </c>
      <c r="AC1225" s="19" t="n">
        <f aca="false">IF(D1225="","",COUNT($D$24:D1225))</f>
        <v>1190</v>
      </c>
    </row>
    <row r="1226" customFormat="false" ht="12.75" hidden="false" customHeight="true" outlineLevel="0" collapsed="false">
      <c r="A1226" s="14" t="n">
        <f aca="false">IF(D1226="","",DATE(B1226,C1226,1))</f>
        <v>40238</v>
      </c>
      <c r="B1226" s="15" t="n">
        <f aca="false" t="array" ref="B1226:B1226">IF(D1226="","",IFERROR(VALUE(INDEX(Vazoes_COLAR!$A$2:$A$200,INT((ROW()-24)/12)+1)),""))</f>
        <v>2010</v>
      </c>
      <c r="C1226" s="15" t="n">
        <f aca="false">IF(D1226="","",MOD(ROW()-24,12)+1)</f>
        <v>3</v>
      </c>
      <c r="D1226" s="16" t="n">
        <f aca="false" t="array" ref="D1226: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0.43480160043521</v>
      </c>
      <c r="E1226" s="16" t="n">
        <f aca="false">IF(D1226="","",D1226*$B$15)</f>
        <v>1.12700574832806</v>
      </c>
      <c r="F1226" s="16" t="n">
        <f aca="false" t="array" ref="F1226:F1226">IF(D1226="","",IFERROR(INDEX(Dados_Evap!$C$2:$N$15,MATCH($B$9,Dados_Evap!$A$2:$A$15,0),C1226),0))</f>
        <v>107.7</v>
      </c>
      <c r="G1226" s="16" t="n">
        <f aca="false">IF(F1226="","",F1226/1000)</f>
        <v>0.1077</v>
      </c>
      <c r="H1226" s="16" t="n">
        <f aca="false">IF(D1226="","",MAX(0,MIN($B$8,IFERROR(LOOKUP(2,1/($U$24:U1225&lt;&gt;""),$U$24:U1225),$B$11))))</f>
        <v>30.7820261410739</v>
      </c>
      <c r="I1226" s="16" t="n">
        <f aca="false" t="array" ref="I1226: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>5.31376388067467</v>
      </c>
      <c r="J1226" s="16" t="n">
        <f aca="false">IF(D1226="","",$B$12)</f>
        <v>0.35</v>
      </c>
      <c r="K1226" s="16" t="n">
        <f aca="false">IF(J1226="","",J1226*$B$15)</f>
        <v>0.9072</v>
      </c>
      <c r="L1226" s="16" t="n">
        <f aca="false">IF(D1226="","",H1226+E1226-K1226-G1226*I1226)</f>
        <v>30.4295395194533</v>
      </c>
      <c r="M1226" s="16" t="n">
        <f aca="false" t="array" ref="M1226: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>5.27714633842865</v>
      </c>
      <c r="N1226" s="16" t="n">
        <f aca="false">IF(D1226="","",(I1226+M1226)/2)</f>
        <v>5.29545510955166</v>
      </c>
      <c r="O1226" s="16" t="n">
        <f aca="false">IF(D1226="","",G1226*N1226)</f>
        <v>0.570320515298714</v>
      </c>
      <c r="P1226" s="16" t="n">
        <f aca="false">IF(D1226="","",H1226+E1226-K1226-O1226)</f>
        <v>30.4315113741033</v>
      </c>
      <c r="Q1226" s="16" t="n">
        <f aca="false">IF(D1226="","",IF(P1226&gt;=0,K1226,MAX(0,K1226+P1226)))</f>
        <v>0.9072</v>
      </c>
      <c r="R1226" s="16" t="n">
        <f aca="false">IF(D1226="","",Q1226/$B$15)</f>
        <v>0.35</v>
      </c>
      <c r="S1226" s="16" t="n">
        <f aca="false">IF(D1226="","",MAX(0,J1226-R1226))</f>
        <v>0</v>
      </c>
      <c r="T1226" s="16" t="n">
        <f aca="false">IF(D1226="","",MAX(0,Z1226-$B$8))</f>
        <v>0</v>
      </c>
      <c r="U1226" s="16" t="n">
        <f aca="false">IF(D1226="","",MAX(0,MIN($B$8,Z1226)))</f>
        <v>30.4315113741033</v>
      </c>
      <c r="V1226" s="16" t="str">
        <f aca="false">IF(D1226="","",IF(S1226&gt;0.0000001,"Sim","Não"))</f>
        <v>Não</v>
      </c>
      <c r="W1226" s="16" t="n">
        <f aca="false">IF(D1226="","",U1226-(H1226+E1226-Q1226-O1226-T1226))</f>
        <v>0</v>
      </c>
      <c r="X1226" s="16" t="n">
        <f aca="false">IF(W1226="","",ABS(W1226))</f>
        <v>0</v>
      </c>
      <c r="Y1226" s="16" t="n">
        <f aca="false">IF(U1226="","",IF($B$8=0,0,U1226/$B$8*100))</f>
        <v>64.4462333208456</v>
      </c>
      <c r="Z1226" s="18" t="n">
        <f aca="false">IF(D1226="","",MAX(0,IF(P1226&gt;=0,P1226,IF(K1226+P1226&gt;=0,0,P1226+K1226))))</f>
        <v>30.4315113741033</v>
      </c>
      <c r="AA1226" s="18" t="n">
        <f aca="false">IF(D1226="","",IF(H1226&lt;=$B$16,1,IF(H1226&gt;=$B$17,$B$21,MATCH(H1226,Aux_CAV!$A$2:$A$121,1))))</f>
        <v>12</v>
      </c>
      <c r="AB1226" s="18" t="n">
        <f aca="false">IF(D1226="","",IF(L1226&lt;=$B$16,1,IF(L1226&gt;=$B$17,$B$21,MATCH(L1226,Aux_CAV!$A$2:$A$121,1))))</f>
        <v>12</v>
      </c>
      <c r="AC1226" s="19" t="n">
        <f aca="false">IF(D1226="","",COUNT($D$24:D1226))</f>
        <v>1191</v>
      </c>
    </row>
    <row r="1227" customFormat="false" ht="12.75" hidden="false" customHeight="true" outlineLevel="0" collapsed="false">
      <c r="A1227" s="14" t="n">
        <f aca="false">IF(D1227="","",DATE(B1227,C1227,1))</f>
        <v>40269</v>
      </c>
      <c r="B1227" s="15" t="n">
        <f aca="false" t="array" ref="B1227:B1227">IF(D1227="","",IFERROR(VALUE(INDEX(Vazoes_COLAR!$A$2:$A$200,INT((ROW()-24)/12)+1)),""))</f>
        <v>2010</v>
      </c>
      <c r="C1227" s="15" t="n">
        <f aca="false">IF(D1227="","",MOD(ROW()-24,12)+1)</f>
        <v>4</v>
      </c>
      <c r="D1227" s="16" t="n">
        <f aca="false" t="array" ref="D1227: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1.07345911977235</v>
      </c>
      <c r="E1227" s="16" t="n">
        <f aca="false">IF(D1227="","",D1227*$B$15)</f>
        <v>2.78240603844993</v>
      </c>
      <c r="F1227" s="16" t="n">
        <f aca="false" t="array" ref="F1227:F1227">IF(D1227="","",IFERROR(INDEX(Dados_Evap!$C$2:$N$15,MATCH($B$9,Dados_Evap!$A$2:$A$15,0),C1227),0))</f>
        <v>100.5</v>
      </c>
      <c r="G1227" s="16" t="n">
        <f aca="false">IF(F1227="","",F1227/1000)</f>
        <v>0.1005</v>
      </c>
      <c r="H1227" s="16" t="n">
        <f aca="false">IF(D1227="","",MAX(0,MIN($B$8,IFERROR(LOOKUP(2,1/($U$24:U1226&lt;&gt;""),$U$24:U1226),$B$11))))</f>
        <v>30.4315113741033</v>
      </c>
      <c r="I1227" s="16" t="n">
        <f aca="false" t="array" ref="I1227: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>5.2773511815816</v>
      </c>
      <c r="J1227" s="16" t="n">
        <f aca="false">IF(D1227="","",$B$12)</f>
        <v>0.35</v>
      </c>
      <c r="K1227" s="16" t="n">
        <f aca="false">IF(J1227="","",J1227*$B$15)</f>
        <v>0.9072</v>
      </c>
      <c r="L1227" s="16" t="n">
        <f aca="false">IF(D1227="","",H1227+E1227-K1227-G1227*I1227)</f>
        <v>31.7763436188043</v>
      </c>
      <c r="M1227" s="16" t="n">
        <f aca="false" t="array" ref="M1227: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>5.41705705554569</v>
      </c>
      <c r="N1227" s="16" t="n">
        <f aca="false">IF(D1227="","",(I1227+M1227)/2)</f>
        <v>5.34720411856364</v>
      </c>
      <c r="O1227" s="16" t="n">
        <f aca="false">IF(D1227="","",G1227*N1227)</f>
        <v>0.537394013915646</v>
      </c>
      <c r="P1227" s="16" t="n">
        <f aca="false">IF(D1227="","",H1227+E1227-K1227-O1227)</f>
        <v>31.7693233986376</v>
      </c>
      <c r="Q1227" s="16" t="n">
        <f aca="false">IF(D1227="","",IF(P1227&gt;=0,K1227,MAX(0,K1227+P1227)))</f>
        <v>0.9072</v>
      </c>
      <c r="R1227" s="16" t="n">
        <f aca="false">IF(D1227="","",Q1227/$B$15)</f>
        <v>0.35</v>
      </c>
      <c r="S1227" s="16" t="n">
        <f aca="false">IF(D1227="","",MAX(0,J1227-R1227))</f>
        <v>0</v>
      </c>
      <c r="T1227" s="16" t="n">
        <f aca="false">IF(D1227="","",MAX(0,Z1227-$B$8))</f>
        <v>0</v>
      </c>
      <c r="U1227" s="16" t="n">
        <f aca="false">IF(D1227="","",MAX(0,MIN($B$8,Z1227)))</f>
        <v>31.7693233986376</v>
      </c>
      <c r="V1227" s="16" t="str">
        <f aca="false">IF(D1227="","",IF(S1227&gt;0.0000001,"Sim","Não"))</f>
        <v>Não</v>
      </c>
      <c r="W1227" s="16" t="n">
        <f aca="false">IF(D1227="","",U1227-(H1227+E1227-Q1227-O1227-T1227))</f>
        <v>0</v>
      </c>
      <c r="X1227" s="16" t="n">
        <f aca="false">IF(W1227="","",ABS(W1227))</f>
        <v>0</v>
      </c>
      <c r="Y1227" s="16" t="n">
        <f aca="false">IF(U1227="","",IF($B$8=0,0,U1227/$B$8*100))</f>
        <v>67.2793803444252</v>
      </c>
      <c r="Z1227" s="18" t="n">
        <f aca="false">IF(D1227="","",MAX(0,IF(P1227&gt;=0,P1227,IF(K1227+P1227&gt;=0,0,P1227+K1227))))</f>
        <v>31.7693233986376</v>
      </c>
      <c r="AA1227" s="18" t="n">
        <f aca="false">IF(D1227="","",IF(H1227&lt;=$B$16,1,IF(H1227&gt;=$B$17,$B$21,MATCH(H1227,Aux_CAV!$A$2:$A$121,1))))</f>
        <v>12</v>
      </c>
      <c r="AB1227" s="18" t="n">
        <f aca="false">IF(D1227="","",IF(L1227&lt;=$B$16,1,IF(L1227&gt;=$B$17,$B$21,MATCH(L1227,Aux_CAV!$A$2:$A$121,1))))</f>
        <v>12</v>
      </c>
      <c r="AC1227" s="19" t="n">
        <f aca="false">IF(D1227="","",COUNT($D$24:D1227))</f>
        <v>1192</v>
      </c>
    </row>
    <row r="1228" customFormat="false" ht="12.75" hidden="false" customHeight="true" outlineLevel="0" collapsed="false">
      <c r="A1228" s="14" t="n">
        <f aca="false">IF(D1228="","",DATE(B1228,C1228,1))</f>
        <v>40299</v>
      </c>
      <c r="B1228" s="15" t="n">
        <f aca="false" t="array" ref="B1228:B1228">IF(D1228="","",IFERROR(VALUE(INDEX(Vazoes_COLAR!$A$2:$A$200,INT((ROW()-24)/12)+1)),""))</f>
        <v>2010</v>
      </c>
      <c r="C1228" s="15" t="n">
        <f aca="false">IF(D1228="","",MOD(ROW()-24,12)+1)</f>
        <v>5</v>
      </c>
      <c r="D1228" s="16" t="n">
        <f aca="false" t="array" ref="D1228: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0.314188891262112</v>
      </c>
      <c r="E1228" s="16" t="n">
        <f aca="false">IF(D1228="","",D1228*$B$15)</f>
        <v>0.814377606151394</v>
      </c>
      <c r="F1228" s="16" t="n">
        <f aca="false" t="array" ref="F1228:F1228">IF(D1228="","",IFERROR(INDEX(Dados_Evap!$C$2:$N$15,MATCH($B$9,Dados_Evap!$A$2:$A$15,0),C1228),0))</f>
        <v>145.8</v>
      </c>
      <c r="G1228" s="16" t="n">
        <f aca="false">IF(F1228="","",F1228/1000)</f>
        <v>0.1458</v>
      </c>
      <c r="H1228" s="16" t="n">
        <f aca="false">IF(D1228="","",MAX(0,MIN($B$8,IFERROR(LOOKUP(2,1/($U$24:U1227&lt;&gt;""),$U$24:U1227),$B$11))))</f>
        <v>31.7693233986376</v>
      </c>
      <c r="I1228" s="16" t="n">
        <f aca="false" t="array" ref="I1228: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>5.41632777053808</v>
      </c>
      <c r="J1228" s="16" t="n">
        <f aca="false">IF(D1228="","",$B$12)</f>
        <v>0.35</v>
      </c>
      <c r="K1228" s="16" t="n">
        <f aca="false">IF(J1228="","",J1228*$B$15)</f>
        <v>0.9072</v>
      </c>
      <c r="L1228" s="16" t="n">
        <f aca="false">IF(D1228="","",H1228+E1228-K1228-G1228*I1228)</f>
        <v>30.8868004158445</v>
      </c>
      <c r="M1228" s="16" t="n">
        <f aca="false" t="array" ref="M1228: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>5.32464819853919</v>
      </c>
      <c r="N1228" s="16" t="n">
        <f aca="false">IF(D1228="","",(I1228+M1228)/2)</f>
        <v>5.37048798453863</v>
      </c>
      <c r="O1228" s="16" t="n">
        <f aca="false">IF(D1228="","",G1228*N1228)</f>
        <v>0.783017148145733</v>
      </c>
      <c r="P1228" s="16" t="n">
        <f aca="false">IF(D1228="","",H1228+E1228-K1228-O1228)</f>
        <v>30.8934838566432</v>
      </c>
      <c r="Q1228" s="16" t="n">
        <f aca="false">IF(D1228="","",IF(P1228&gt;=0,K1228,MAX(0,K1228+P1228)))</f>
        <v>0.9072</v>
      </c>
      <c r="R1228" s="16" t="n">
        <f aca="false">IF(D1228="","",Q1228/$B$15)</f>
        <v>0.35</v>
      </c>
      <c r="S1228" s="16" t="n">
        <f aca="false">IF(D1228="","",MAX(0,J1228-R1228))</f>
        <v>0</v>
      </c>
      <c r="T1228" s="16" t="n">
        <f aca="false">IF(D1228="","",MAX(0,Z1228-$B$8))</f>
        <v>0</v>
      </c>
      <c r="U1228" s="16" t="n">
        <f aca="false">IF(D1228="","",MAX(0,MIN($B$8,Z1228)))</f>
        <v>30.8934838566432</v>
      </c>
      <c r="V1228" s="16" t="str">
        <f aca="false">IF(D1228="","",IF(S1228&gt;0.0000001,"Sim","Não"))</f>
        <v>Não</v>
      </c>
      <c r="W1228" s="16" t="n">
        <f aca="false">IF(D1228="","",U1228-(H1228+E1228-Q1228-O1228-T1228))</f>
        <v>0</v>
      </c>
      <c r="X1228" s="16" t="n">
        <f aca="false">IF(W1228="","",ABS(W1228))</f>
        <v>0</v>
      </c>
      <c r="Y1228" s="16" t="n">
        <f aca="false">IF(U1228="","",IF($B$8=0,0,U1228/$B$8*100))</f>
        <v>65.4245740293165</v>
      </c>
      <c r="Z1228" s="18" t="n">
        <f aca="false">IF(D1228="","",MAX(0,IF(P1228&gt;=0,P1228,IF(K1228+P1228&gt;=0,0,P1228+K1228))))</f>
        <v>30.8934838566432</v>
      </c>
      <c r="AA1228" s="18" t="n">
        <f aca="false">IF(D1228="","",IF(H1228&lt;=$B$16,1,IF(H1228&gt;=$B$17,$B$21,MATCH(H1228,Aux_CAV!$A$2:$A$121,1))))</f>
        <v>12</v>
      </c>
      <c r="AB1228" s="18" t="n">
        <f aca="false">IF(D1228="","",IF(L1228&lt;=$B$16,1,IF(L1228&gt;=$B$17,$B$21,MATCH(L1228,Aux_CAV!$A$2:$A$121,1))))</f>
        <v>12</v>
      </c>
      <c r="AC1228" s="19" t="n">
        <f aca="false">IF(D1228="","",COUNT($D$24:D1228))</f>
        <v>1193</v>
      </c>
    </row>
    <row r="1229" customFormat="false" ht="12.75" hidden="false" customHeight="true" outlineLevel="0" collapsed="false">
      <c r="A1229" s="14" t="n">
        <f aca="false">IF(D1229="","",DATE(B1229,C1229,1))</f>
        <v>40330</v>
      </c>
      <c r="B1229" s="15" t="n">
        <f aca="false" t="array" ref="B1229:B1229">IF(D1229="","",IFERROR(VALUE(INDEX(Vazoes_COLAR!$A$2:$A$200,INT((ROW()-24)/12)+1)),""))</f>
        <v>2010</v>
      </c>
      <c r="C1229" s="15" t="n">
        <f aca="false">IF(D1229="","",MOD(ROW()-24,12)+1)</f>
        <v>6</v>
      </c>
      <c r="D1229" s="16" t="n">
        <f aca="false" t="array" ref="D1229: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0.185467468977136</v>
      </c>
      <c r="E1229" s="16" t="n">
        <f aca="false">IF(D1229="","",D1229*$B$15)</f>
        <v>0.480731679588737</v>
      </c>
      <c r="F1229" s="16" t="n">
        <f aca="false" t="array" ref="F1229:F1229">IF(D1229="","",IFERROR(INDEX(Dados_Evap!$C$2:$N$15,MATCH($B$9,Dados_Evap!$A$2:$A$15,0),C1229),0))</f>
        <v>161.3</v>
      </c>
      <c r="G1229" s="16" t="n">
        <f aca="false">IF(F1229="","",F1229/1000)</f>
        <v>0.1613</v>
      </c>
      <c r="H1229" s="16" t="n">
        <f aca="false">IF(D1229="","",MAX(0,MIN($B$8,IFERROR(LOOKUP(2,1/($U$24:U1228&lt;&gt;""),$U$24:U1228),$B$11))))</f>
        <v>30.8934838566432</v>
      </c>
      <c r="I1229" s="16" t="n">
        <f aca="false" t="array" ref="I1229: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>5.32534249772896</v>
      </c>
      <c r="J1229" s="16" t="n">
        <f aca="false">IF(D1229="","",$B$12)</f>
        <v>0.35</v>
      </c>
      <c r="K1229" s="16" t="n">
        <f aca="false">IF(J1229="","",J1229*$B$15)</f>
        <v>0.9072</v>
      </c>
      <c r="L1229" s="16" t="n">
        <f aca="false">IF(D1229="","",H1229+E1229-K1229-G1229*I1229)</f>
        <v>29.6080377913483</v>
      </c>
      <c r="M1229" s="16" t="n">
        <f aca="false" t="array" ref="M1229: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>5.19180586764492</v>
      </c>
      <c r="N1229" s="16" t="n">
        <f aca="false">IF(D1229="","",(I1229+M1229)/2)</f>
        <v>5.25857418268694</v>
      </c>
      <c r="O1229" s="16" t="n">
        <f aca="false">IF(D1229="","",G1229*N1229)</f>
        <v>0.848208015667403</v>
      </c>
      <c r="P1229" s="16" t="n">
        <f aca="false">IF(D1229="","",H1229+E1229-K1229-O1229)</f>
        <v>29.6188075205646</v>
      </c>
      <c r="Q1229" s="16" t="n">
        <f aca="false">IF(D1229="","",IF(P1229&gt;=0,K1229,MAX(0,K1229+P1229)))</f>
        <v>0.9072</v>
      </c>
      <c r="R1229" s="16" t="n">
        <f aca="false">IF(D1229="","",Q1229/$B$15)</f>
        <v>0.35</v>
      </c>
      <c r="S1229" s="16" t="n">
        <f aca="false">IF(D1229="","",MAX(0,J1229-R1229))</f>
        <v>0</v>
      </c>
      <c r="T1229" s="16" t="n">
        <f aca="false">IF(D1229="","",MAX(0,Z1229-$B$8))</f>
        <v>0</v>
      </c>
      <c r="U1229" s="16" t="n">
        <f aca="false">IF(D1229="","",MAX(0,MIN($B$8,Z1229)))</f>
        <v>29.6188075205646</v>
      </c>
      <c r="V1229" s="16" t="str">
        <f aca="false">IF(D1229="","",IF(S1229&gt;0.0000001,"Sim","Não"))</f>
        <v>Não</v>
      </c>
      <c r="W1229" s="16" t="n">
        <f aca="false">IF(D1229="","",U1229-(H1229+E1229-Q1229-O1229-T1229))</f>
        <v>0</v>
      </c>
      <c r="X1229" s="16" t="n">
        <f aca="false">IF(W1229="","",ABS(W1229))</f>
        <v>0</v>
      </c>
      <c r="Y1229" s="16" t="n">
        <f aca="false">IF(U1229="","",IF($B$8=0,0,U1229/$B$8*100))</f>
        <v>62.7251324027204</v>
      </c>
      <c r="Z1229" s="18" t="n">
        <f aca="false">IF(D1229="","",MAX(0,IF(P1229&gt;=0,P1229,IF(K1229+P1229&gt;=0,0,P1229+K1229))))</f>
        <v>29.6188075205646</v>
      </c>
      <c r="AA1229" s="18" t="n">
        <f aca="false">IF(D1229="","",IF(H1229&lt;=$B$16,1,IF(H1229&gt;=$B$17,$B$21,MATCH(H1229,Aux_CAV!$A$2:$A$121,1))))</f>
        <v>12</v>
      </c>
      <c r="AB1229" s="18" t="n">
        <f aca="false">IF(D1229="","",IF(L1229&lt;=$B$16,1,IF(L1229&gt;=$B$17,$B$21,MATCH(L1229,Aux_CAV!$A$2:$A$121,1))))</f>
        <v>12</v>
      </c>
      <c r="AC1229" s="19" t="n">
        <f aca="false">IF(D1229="","",COUNT($D$24:D1229))</f>
        <v>1194</v>
      </c>
    </row>
    <row r="1230" customFormat="false" ht="12.75" hidden="false" customHeight="true" outlineLevel="0" collapsed="false">
      <c r="A1230" s="14" t="n">
        <f aca="false">IF(D1230="","",DATE(B1230,C1230,1))</f>
        <v>40360</v>
      </c>
      <c r="B1230" s="15" t="n">
        <f aca="false" t="array" ref="B1230:B1230">IF(D1230="","",IFERROR(VALUE(INDEX(Vazoes_COLAR!$A$2:$A$200,INT((ROW()-24)/12)+1)),""))</f>
        <v>2010</v>
      </c>
      <c r="C1230" s="15" t="n">
        <f aca="false">IF(D1230="","",MOD(ROW()-24,12)+1)</f>
        <v>7</v>
      </c>
      <c r="D1230" s="16" t="n">
        <f aca="false" t="array" ref="D1230: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0.0243133475035946</v>
      </c>
      <c r="E1230" s="16" t="n">
        <f aca="false">IF(D1230="","",D1230*$B$15)</f>
        <v>0.0630201967293172</v>
      </c>
      <c r="F1230" s="16" t="n">
        <f aca="false" t="array" ref="F1230:F1230">IF(D1230="","",IFERROR(INDEX(Dados_Evap!$C$2:$N$15,MATCH($B$9,Dados_Evap!$A$2:$A$15,0),C1230),0))</f>
        <v>224.8</v>
      </c>
      <c r="G1230" s="16" t="n">
        <f aca="false">IF(F1230="","",F1230/1000)</f>
        <v>0.2248</v>
      </c>
      <c r="H1230" s="16" t="n">
        <f aca="false">IF(D1230="","",MAX(0,MIN($B$8,IFERROR(LOOKUP(2,1/($U$24:U1229&lt;&gt;""),$U$24:U1229),$B$11))))</f>
        <v>29.6188075205646</v>
      </c>
      <c r="I1230" s="16" t="n">
        <f aca="false" t="array" ref="I1230: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>5.19292466475768</v>
      </c>
      <c r="J1230" s="16" t="n">
        <f aca="false">IF(D1230="","",$B$12)</f>
        <v>0.35</v>
      </c>
      <c r="K1230" s="16" t="n">
        <f aca="false">IF(J1230="","",J1230*$B$15)</f>
        <v>0.9072</v>
      </c>
      <c r="L1230" s="16" t="n">
        <f aca="false">IF(D1230="","",H1230+E1230-K1230-G1230*I1230)</f>
        <v>27.6072582526564</v>
      </c>
      <c r="M1230" s="16" t="n">
        <f aca="false" t="array" ref="M1230: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>4.98395789614974</v>
      </c>
      <c r="N1230" s="16" t="n">
        <f aca="false">IF(D1230="","",(I1230+M1230)/2)</f>
        <v>5.08844128045371</v>
      </c>
      <c r="O1230" s="16" t="n">
        <f aca="false">IF(D1230="","",G1230*N1230)</f>
        <v>1.14388159984599</v>
      </c>
      <c r="P1230" s="16" t="n">
        <f aca="false">IF(D1230="","",H1230+E1230-K1230-O1230)</f>
        <v>27.6307461174479</v>
      </c>
      <c r="Q1230" s="16" t="n">
        <f aca="false">IF(D1230="","",IF(P1230&gt;=0,K1230,MAX(0,K1230+P1230)))</f>
        <v>0.9072</v>
      </c>
      <c r="R1230" s="16" t="n">
        <f aca="false">IF(D1230="","",Q1230/$B$15)</f>
        <v>0.35</v>
      </c>
      <c r="S1230" s="16" t="n">
        <f aca="false">IF(D1230="","",MAX(0,J1230-R1230))</f>
        <v>0</v>
      </c>
      <c r="T1230" s="16" t="n">
        <f aca="false">IF(D1230="","",MAX(0,Z1230-$B$8))</f>
        <v>0</v>
      </c>
      <c r="U1230" s="16" t="n">
        <f aca="false">IF(D1230="","",MAX(0,MIN($B$8,Z1230)))</f>
        <v>27.6307461174479</v>
      </c>
      <c r="V1230" s="16" t="str">
        <f aca="false">IF(D1230="","",IF(S1230&gt;0.0000001,"Sim","Não"))</f>
        <v>Não</v>
      </c>
      <c r="W1230" s="16" t="n">
        <f aca="false">IF(D1230="","",U1230-(H1230+E1230-Q1230-O1230-T1230))</f>
        <v>0</v>
      </c>
      <c r="X1230" s="16" t="n">
        <f aca="false">IF(W1230="","",ABS(W1230))</f>
        <v>0</v>
      </c>
      <c r="Y1230" s="16" t="n">
        <f aca="false">IF(U1230="","",IF($B$8=0,0,U1230/$B$8*100))</f>
        <v>58.5149218920963</v>
      </c>
      <c r="Z1230" s="18" t="n">
        <f aca="false">IF(D1230="","",MAX(0,IF(P1230&gt;=0,P1230,IF(K1230+P1230&gt;=0,0,P1230+K1230))))</f>
        <v>27.6307461174479</v>
      </c>
      <c r="AA1230" s="18" t="n">
        <f aca="false">IF(D1230="","",IF(H1230&lt;=$B$16,1,IF(H1230&gt;=$B$17,$B$21,MATCH(H1230,Aux_CAV!$A$2:$A$121,1))))</f>
        <v>12</v>
      </c>
      <c r="AB1230" s="18" t="n">
        <f aca="false">IF(D1230="","",IF(L1230&lt;=$B$16,1,IF(L1230&gt;=$B$17,$B$21,MATCH(L1230,Aux_CAV!$A$2:$A$121,1))))</f>
        <v>12</v>
      </c>
      <c r="AC1230" s="19" t="n">
        <f aca="false">IF(D1230="","",COUNT($D$24:D1230))</f>
        <v>1195</v>
      </c>
    </row>
    <row r="1231" customFormat="false" ht="12.75" hidden="false" customHeight="true" outlineLevel="0" collapsed="false">
      <c r="A1231" s="14" t="n">
        <f aca="false">IF(D1231="","",DATE(B1231,C1231,1))</f>
        <v>40391</v>
      </c>
      <c r="B1231" s="15" t="n">
        <f aca="false" t="array" ref="B1231:B1231">IF(D1231="","",IFERROR(VALUE(INDEX(Vazoes_COLAR!$A$2:$A$200,INT((ROW()-24)/12)+1)),""))</f>
        <v>2010</v>
      </c>
      <c r="C1231" s="15" t="n">
        <f aca="false">IF(D1231="","",MOD(ROW()-24,12)+1)</f>
        <v>8</v>
      </c>
      <c r="D1231" s="16" t="n">
        <f aca="false" t="array" ref="D1231: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0.00863883007042477</v>
      </c>
      <c r="E1231" s="16" t="n">
        <f aca="false">IF(D1231="","",D1231*$B$15)</f>
        <v>0.022391847542541</v>
      </c>
      <c r="F1231" s="16" t="n">
        <f aca="false" t="array" ref="F1231:F1231">IF(D1231="","",IFERROR(INDEX(Dados_Evap!$C$2:$N$15,MATCH($B$9,Dados_Evap!$A$2:$A$15,0),C1231),0))</f>
        <v>268.7</v>
      </c>
      <c r="G1231" s="16" t="n">
        <f aca="false">IF(F1231="","",F1231/1000)</f>
        <v>0.2687</v>
      </c>
      <c r="H1231" s="16" t="n">
        <f aca="false">IF(D1231="","",MAX(0,MIN($B$8,IFERROR(LOOKUP(2,1/($U$24:U1230&lt;&gt;""),$U$24:U1230),$B$11))))</f>
        <v>27.6307461174479</v>
      </c>
      <c r="I1231" s="16" t="n">
        <f aca="false" t="array" ref="I1231: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>4.98639789763779</v>
      </c>
      <c r="J1231" s="16" t="n">
        <f aca="false">IF(D1231="","",$B$12)</f>
        <v>0.35</v>
      </c>
      <c r="K1231" s="16" t="n">
        <f aca="false">IF(J1231="","",J1231*$B$15)</f>
        <v>0.9072</v>
      </c>
      <c r="L1231" s="16" t="n">
        <f aca="false">IF(D1231="","",H1231+E1231-K1231-G1231*I1231)</f>
        <v>25.4060928498952</v>
      </c>
      <c r="M1231" s="16" t="n">
        <f aca="false" t="array" ref="M1231: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>4.75529314071726</v>
      </c>
      <c r="N1231" s="16" t="n">
        <f aca="false">IF(D1231="","",(I1231+M1231)/2)</f>
        <v>4.87084551917753</v>
      </c>
      <c r="O1231" s="16" t="n">
        <f aca="false">IF(D1231="","",G1231*N1231)</f>
        <v>1.308796191003</v>
      </c>
      <c r="P1231" s="16" t="n">
        <f aca="false">IF(D1231="","",H1231+E1231-K1231-O1231)</f>
        <v>25.4371417739874</v>
      </c>
      <c r="Q1231" s="16" t="n">
        <f aca="false">IF(D1231="","",IF(P1231&gt;=0,K1231,MAX(0,K1231+P1231)))</f>
        <v>0.9072</v>
      </c>
      <c r="R1231" s="16" t="n">
        <f aca="false">IF(D1231="","",Q1231/$B$15)</f>
        <v>0.35</v>
      </c>
      <c r="S1231" s="16" t="n">
        <f aca="false">IF(D1231="","",MAX(0,J1231-R1231))</f>
        <v>0</v>
      </c>
      <c r="T1231" s="16" t="n">
        <f aca="false">IF(D1231="","",MAX(0,Z1231-$B$8))</f>
        <v>0</v>
      </c>
      <c r="U1231" s="16" t="n">
        <f aca="false">IF(D1231="","",MAX(0,MIN($B$8,Z1231)))</f>
        <v>25.4371417739874</v>
      </c>
      <c r="V1231" s="16" t="str">
        <f aca="false">IF(D1231="","",IF(S1231&gt;0.0000001,"Sim","Não"))</f>
        <v>Não</v>
      </c>
      <c r="W1231" s="16" t="n">
        <f aca="false">IF(D1231="","",U1231-(H1231+E1231-Q1231-O1231-T1231))</f>
        <v>0</v>
      </c>
      <c r="X1231" s="16" t="n">
        <f aca="false">IF(W1231="","",ABS(W1231))</f>
        <v>0</v>
      </c>
      <c r="Y1231" s="16" t="n">
        <f aca="false">IF(U1231="","",IF($B$8=0,0,U1231/$B$8*100))</f>
        <v>53.8694234942555</v>
      </c>
      <c r="Z1231" s="18" t="n">
        <f aca="false">IF(D1231="","",MAX(0,IF(P1231&gt;=0,P1231,IF(K1231+P1231&gt;=0,0,P1231+K1231))))</f>
        <v>25.4371417739874</v>
      </c>
      <c r="AA1231" s="18" t="n">
        <f aca="false">IF(D1231="","",IF(H1231&lt;=$B$16,1,IF(H1231&gt;=$B$17,$B$21,MATCH(H1231,Aux_CAV!$A$2:$A$121,1))))</f>
        <v>12</v>
      </c>
      <c r="AB1231" s="18" t="n">
        <f aca="false">IF(D1231="","",IF(L1231&lt;=$B$16,1,IF(L1231&gt;=$B$17,$B$21,MATCH(L1231,Aux_CAV!$A$2:$A$121,1))))</f>
        <v>12</v>
      </c>
      <c r="AC1231" s="19" t="n">
        <f aca="false">IF(D1231="","",COUNT($D$24:D1231))</f>
        <v>1196</v>
      </c>
    </row>
    <row r="1232" customFormat="false" ht="12.75" hidden="false" customHeight="true" outlineLevel="0" collapsed="false">
      <c r="A1232" s="14" t="n">
        <f aca="false">IF(D1232="","",DATE(B1232,C1232,1))</f>
        <v>40422</v>
      </c>
      <c r="B1232" s="15" t="n">
        <f aca="false" t="array" ref="B1232:B1232">IF(D1232="","",IFERROR(VALUE(INDEX(Vazoes_COLAR!$A$2:$A$200,INT((ROW()-24)/12)+1)),""))</f>
        <v>2010</v>
      </c>
      <c r="C1232" s="15" t="n">
        <f aca="false">IF(D1232="","",MOD(ROW()-24,12)+1)</f>
        <v>9</v>
      </c>
      <c r="D1232" s="16" t="n">
        <f aca="false" t="array" ref="D1232: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0.00737119290457016</v>
      </c>
      <c r="E1232" s="16" t="n">
        <f aca="false">IF(D1232="","",D1232*$B$15)</f>
        <v>0.0191061320086459</v>
      </c>
      <c r="F1232" s="16" t="n">
        <f aca="false" t="array" ref="F1232:F1232">IF(D1232="","",IFERROR(INDEX(Dados_Evap!$C$2:$N$15,MATCH($B$9,Dados_Evap!$A$2:$A$15,0),C1232),0))</f>
        <v>292.8</v>
      </c>
      <c r="G1232" s="16" t="n">
        <f aca="false">IF(F1232="","",F1232/1000)</f>
        <v>0.2928</v>
      </c>
      <c r="H1232" s="16" t="n">
        <f aca="false">IF(D1232="","",MAX(0,MIN($B$8,IFERROR(LOOKUP(2,1/($U$24:U1231&lt;&gt;""),$U$24:U1231),$B$11))))</f>
        <v>25.4371417739874</v>
      </c>
      <c r="I1232" s="16" t="n">
        <f aca="false" t="array" ref="I1232: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>4.75851861147248</v>
      </c>
      <c r="J1232" s="16" t="n">
        <f aca="false">IF(D1232="","",$B$12)</f>
        <v>0.35</v>
      </c>
      <c r="K1232" s="16" t="n">
        <f aca="false">IF(J1232="","",J1232*$B$15)</f>
        <v>0.9072</v>
      </c>
      <c r="L1232" s="16" t="n">
        <f aca="false">IF(D1232="","",H1232+E1232-K1232-G1232*I1232)</f>
        <v>23.1557536565569</v>
      </c>
      <c r="M1232" s="16" t="n">
        <f aca="false" t="array" ref="M1232: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>4.50519982724705</v>
      </c>
      <c r="N1232" s="16" t="n">
        <f aca="false">IF(D1232="","",(I1232+M1232)/2)</f>
        <v>4.63185921935976</v>
      </c>
      <c r="O1232" s="16" t="n">
        <f aca="false">IF(D1232="","",G1232*N1232)</f>
        <v>1.35620837942854</v>
      </c>
      <c r="P1232" s="16" t="n">
        <f aca="false">IF(D1232="","",H1232+E1232-K1232-O1232)</f>
        <v>23.1928395265675</v>
      </c>
      <c r="Q1232" s="16" t="n">
        <f aca="false">IF(D1232="","",IF(P1232&gt;=0,K1232,MAX(0,K1232+P1232)))</f>
        <v>0.9072</v>
      </c>
      <c r="R1232" s="16" t="n">
        <f aca="false">IF(D1232="","",Q1232/$B$15)</f>
        <v>0.35</v>
      </c>
      <c r="S1232" s="16" t="n">
        <f aca="false">IF(D1232="","",MAX(0,J1232-R1232))</f>
        <v>0</v>
      </c>
      <c r="T1232" s="16" t="n">
        <f aca="false">IF(D1232="","",MAX(0,Z1232-$B$8))</f>
        <v>0</v>
      </c>
      <c r="U1232" s="16" t="n">
        <f aca="false">IF(D1232="","",MAX(0,MIN($B$8,Z1232)))</f>
        <v>23.1928395265675</v>
      </c>
      <c r="V1232" s="16" t="str">
        <f aca="false">IF(D1232="","",IF(S1232&gt;0.0000001,"Sim","Não"))</f>
        <v>Não</v>
      </c>
      <c r="W1232" s="16" t="n">
        <f aca="false">IF(D1232="","",U1232-(H1232+E1232-Q1232-O1232-T1232))</f>
        <v>0</v>
      </c>
      <c r="X1232" s="16" t="n">
        <f aca="false">IF(W1232="","",ABS(W1232))</f>
        <v>0</v>
      </c>
      <c r="Y1232" s="16" t="n">
        <f aca="false">IF(U1232="","",IF($B$8=0,0,U1232/$B$8*100))</f>
        <v>49.1165597767208</v>
      </c>
      <c r="Z1232" s="18" t="n">
        <f aca="false">IF(D1232="","",MAX(0,IF(P1232&gt;=0,P1232,IF(K1232+P1232&gt;=0,0,P1232+K1232))))</f>
        <v>23.1928395265675</v>
      </c>
      <c r="AA1232" s="18" t="n">
        <f aca="false">IF(D1232="","",IF(H1232&lt;=$B$16,1,IF(H1232&gt;=$B$17,$B$21,MATCH(H1232,Aux_CAV!$A$2:$A$121,1))))</f>
        <v>12</v>
      </c>
      <c r="AB1232" s="18" t="n">
        <f aca="false">IF(D1232="","",IF(L1232&lt;=$B$16,1,IF(L1232&gt;=$B$17,$B$21,MATCH(L1232,Aux_CAV!$A$2:$A$121,1))))</f>
        <v>11</v>
      </c>
      <c r="AC1232" s="19" t="n">
        <f aca="false">IF(D1232="","",COUNT($D$24:D1232))</f>
        <v>1197</v>
      </c>
    </row>
    <row r="1233" customFormat="false" ht="12.75" hidden="false" customHeight="true" outlineLevel="0" collapsed="false">
      <c r="A1233" s="14" t="n">
        <f aca="false">IF(D1233="","",DATE(B1233,C1233,1))</f>
        <v>40452</v>
      </c>
      <c r="B1233" s="15" t="n">
        <f aca="false" t="array" ref="B1233:B1233">IF(D1233="","",IFERROR(VALUE(INDEX(Vazoes_COLAR!$A$2:$A$200,INT((ROW()-24)/12)+1)),""))</f>
        <v>2010</v>
      </c>
      <c r="C1233" s="15" t="n">
        <f aca="false">IF(D1233="","",MOD(ROW()-24,12)+1)</f>
        <v>10</v>
      </c>
      <c r="D1233" s="16" t="n">
        <f aca="false" t="array" ref="D1233: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0.113303069349816</v>
      </c>
      <c r="E1233" s="16" t="n">
        <f aca="false">IF(D1233="","",D1233*$B$15)</f>
        <v>0.293681555754723</v>
      </c>
      <c r="F1233" s="16" t="n">
        <f aca="false" t="array" ref="F1233:F1233">IF(D1233="","",IFERROR(INDEX(Dados_Evap!$C$2:$N$15,MATCH($B$9,Dados_Evap!$A$2:$A$15,0),C1233),0))</f>
        <v>262.9</v>
      </c>
      <c r="G1233" s="16" t="n">
        <f aca="false">IF(F1233="","",F1233/1000)</f>
        <v>0.2629</v>
      </c>
      <c r="H1233" s="16" t="n">
        <f aca="false">IF(D1233="","",MAX(0,MIN($B$8,IFERROR(LOOKUP(2,1/($U$24:U1232&lt;&gt;""),$U$24:U1232),$B$11))))</f>
        <v>23.1928395265675</v>
      </c>
      <c r="I1233" s="16" t="n">
        <f aca="false" t="array" ref="I1233: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>4.50963204098002</v>
      </c>
      <c r="J1233" s="16" t="n">
        <f aca="false">IF(D1233="","",$B$12)</f>
        <v>0.35</v>
      </c>
      <c r="K1233" s="16" t="n">
        <f aca="false">IF(J1233="","",J1233*$B$15)</f>
        <v>0.9072</v>
      </c>
      <c r="L1233" s="16" t="n">
        <f aca="false">IF(D1233="","",H1233+E1233-K1233-G1233*I1233)</f>
        <v>21.3937388187486</v>
      </c>
      <c r="M1233" s="16" t="n">
        <f aca="false" t="array" ref="M1233: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>4.29461756614313</v>
      </c>
      <c r="N1233" s="16" t="n">
        <f aca="false">IF(D1233="","",(I1233+M1233)/2)</f>
        <v>4.40212480356158</v>
      </c>
      <c r="O1233" s="16" t="n">
        <f aca="false">IF(D1233="","",G1233*N1233)</f>
        <v>1.15731861085634</v>
      </c>
      <c r="P1233" s="16" t="n">
        <f aca="false">IF(D1233="","",H1233+E1233-K1233-O1233)</f>
        <v>21.4220024714659</v>
      </c>
      <c r="Q1233" s="16" t="n">
        <f aca="false">IF(D1233="","",IF(P1233&gt;=0,K1233,MAX(0,K1233+P1233)))</f>
        <v>0.9072</v>
      </c>
      <c r="R1233" s="16" t="n">
        <f aca="false">IF(D1233="","",Q1233/$B$15)</f>
        <v>0.35</v>
      </c>
      <c r="S1233" s="16" t="n">
        <f aca="false">IF(D1233="","",MAX(0,J1233-R1233))</f>
        <v>0</v>
      </c>
      <c r="T1233" s="16" t="n">
        <f aca="false">IF(D1233="","",MAX(0,Z1233-$B$8))</f>
        <v>0</v>
      </c>
      <c r="U1233" s="16" t="n">
        <f aca="false">IF(D1233="","",MAX(0,MIN($B$8,Z1233)))</f>
        <v>21.4220024714659</v>
      </c>
      <c r="V1233" s="16" t="str">
        <f aca="false">IF(D1233="","",IF(S1233&gt;0.0000001,"Sim","Não"))</f>
        <v>Não</v>
      </c>
      <c r="W1233" s="16" t="n">
        <f aca="false">IF(D1233="","",U1233-(H1233+E1233-Q1233-O1233-T1233))</f>
        <v>0</v>
      </c>
      <c r="X1233" s="16" t="n">
        <f aca="false">IF(W1233="","",ABS(W1233))</f>
        <v>0</v>
      </c>
      <c r="Y1233" s="16" t="n">
        <f aca="false">IF(U1233="","",IF($B$8=0,0,U1233/$B$8*100))</f>
        <v>45.3663754160651</v>
      </c>
      <c r="Z1233" s="18" t="n">
        <f aca="false">IF(D1233="","",MAX(0,IF(P1233&gt;=0,P1233,IF(K1233+P1233&gt;=0,0,P1233+K1233))))</f>
        <v>21.4220024714659</v>
      </c>
      <c r="AA1233" s="18" t="n">
        <f aca="false">IF(D1233="","",IF(H1233&lt;=$B$16,1,IF(H1233&gt;=$B$17,$B$21,MATCH(H1233,Aux_CAV!$A$2:$A$121,1))))</f>
        <v>11</v>
      </c>
      <c r="AB1233" s="18" t="n">
        <f aca="false">IF(D1233="","",IF(L1233&lt;=$B$16,1,IF(L1233&gt;=$B$17,$B$21,MATCH(L1233,Aux_CAV!$A$2:$A$121,1))))</f>
        <v>11</v>
      </c>
      <c r="AC1233" s="19" t="n">
        <f aca="false">IF(D1233="","",COUNT($D$24:D1233))</f>
        <v>1198</v>
      </c>
    </row>
    <row r="1234" customFormat="false" ht="12.75" hidden="false" customHeight="true" outlineLevel="0" collapsed="false">
      <c r="A1234" s="14" t="n">
        <f aca="false">IF(D1234="","",DATE(B1234,C1234,1))</f>
        <v>40483</v>
      </c>
      <c r="B1234" s="15" t="n">
        <f aca="false" t="array" ref="B1234:B1234">IF(D1234="","",IFERROR(VALUE(INDEX(Vazoes_COLAR!$A$2:$A$200,INT((ROW()-24)/12)+1)),""))</f>
        <v>2010</v>
      </c>
      <c r="C1234" s="15" t="n">
        <f aca="false">IF(D1234="","",MOD(ROW()-24,12)+1)</f>
        <v>11</v>
      </c>
      <c r="D1234" s="16" t="n">
        <f aca="false" t="array" ref="D1234: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0.00690440145589009</v>
      </c>
      <c r="E1234" s="16" t="n">
        <f aca="false">IF(D1234="","",D1234*$B$15)</f>
        <v>0.0178962085736671</v>
      </c>
      <c r="F1234" s="16" t="n">
        <f aca="false" t="array" ref="F1234:F1234">IF(D1234="","",IFERROR(INDEX(Dados_Evap!$C$2:$N$15,MATCH($B$9,Dados_Evap!$A$2:$A$15,0),C1234),0))</f>
        <v>223.7</v>
      </c>
      <c r="G1234" s="16" t="n">
        <f aca="false">IF(F1234="","",F1234/1000)</f>
        <v>0.2237</v>
      </c>
      <c r="H1234" s="16" t="n">
        <f aca="false">IF(D1234="","",MAX(0,MIN($B$8,IFERROR(LOOKUP(2,1/($U$24:U1233&lt;&gt;""),$U$24:U1233),$B$11))))</f>
        <v>21.4220024714659</v>
      </c>
      <c r="I1234" s="16" t="n">
        <f aca="false" t="array" ref="I1234: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>4.29799541732154</v>
      </c>
      <c r="J1234" s="16" t="n">
        <f aca="false">IF(D1234="","",$B$12)</f>
        <v>0.35</v>
      </c>
      <c r="K1234" s="16" t="n">
        <f aca="false">IF(J1234="","",J1234*$B$15)</f>
        <v>0.9072</v>
      </c>
      <c r="L1234" s="16" t="n">
        <f aca="false">IF(D1234="","",H1234+E1234-K1234-G1234*I1234)</f>
        <v>19.5712371051848</v>
      </c>
      <c r="M1234" s="16" t="n">
        <f aca="false" t="array" ref="M1234: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>4.07680638574159</v>
      </c>
      <c r="N1234" s="16" t="n">
        <f aca="false">IF(D1234="","",(I1234+M1234)/2)</f>
        <v>4.18740090153157</v>
      </c>
      <c r="O1234" s="16" t="n">
        <f aca="false">IF(D1234="","",G1234*N1234)</f>
        <v>0.936721581672611</v>
      </c>
      <c r="P1234" s="16" t="n">
        <f aca="false">IF(D1234="","",H1234+E1234-K1234-O1234)</f>
        <v>19.595977098367</v>
      </c>
      <c r="Q1234" s="16" t="n">
        <f aca="false">IF(D1234="","",IF(P1234&gt;=0,K1234,MAX(0,K1234+P1234)))</f>
        <v>0.9072</v>
      </c>
      <c r="R1234" s="16" t="n">
        <f aca="false">IF(D1234="","",Q1234/$B$15)</f>
        <v>0.35</v>
      </c>
      <c r="S1234" s="16" t="n">
        <f aca="false">IF(D1234="","",MAX(0,J1234-R1234))</f>
        <v>0</v>
      </c>
      <c r="T1234" s="16" t="n">
        <f aca="false">IF(D1234="","",MAX(0,Z1234-$B$8))</f>
        <v>0</v>
      </c>
      <c r="U1234" s="16" t="n">
        <f aca="false">IF(D1234="","",MAX(0,MIN($B$8,Z1234)))</f>
        <v>19.595977098367</v>
      </c>
      <c r="V1234" s="16" t="str">
        <f aca="false">IF(D1234="","",IF(S1234&gt;0.0000001,"Sim","Não"))</f>
        <v>Não</v>
      </c>
      <c r="W1234" s="16" t="n">
        <f aca="false">IF(D1234="","",U1234-(H1234+E1234-Q1234-O1234-T1234))</f>
        <v>0</v>
      </c>
      <c r="X1234" s="16" t="n">
        <f aca="false">IF(W1234="","",ABS(W1234))</f>
        <v>0</v>
      </c>
      <c r="Y1234" s="16" t="n">
        <f aca="false">IF(U1234="","",IF($B$8=0,0,U1234/$B$8*100))</f>
        <v>41.4993161761266</v>
      </c>
      <c r="Z1234" s="18" t="n">
        <f aca="false">IF(D1234="","",MAX(0,IF(P1234&gt;=0,P1234,IF(K1234+P1234&gt;=0,0,P1234+K1234))))</f>
        <v>19.595977098367</v>
      </c>
      <c r="AA1234" s="18" t="n">
        <f aca="false">IF(D1234="","",IF(H1234&lt;=$B$16,1,IF(H1234&gt;=$B$17,$B$21,MATCH(H1234,Aux_CAV!$A$2:$A$121,1))))</f>
        <v>11</v>
      </c>
      <c r="AB1234" s="18" t="n">
        <f aca="false">IF(D1234="","",IF(L1234&lt;=$B$16,1,IF(L1234&gt;=$B$17,$B$21,MATCH(L1234,Aux_CAV!$A$2:$A$121,1))))</f>
        <v>11</v>
      </c>
      <c r="AC1234" s="19" t="n">
        <f aca="false">IF(D1234="","",COUNT($D$24:D1234))</f>
        <v>1199</v>
      </c>
    </row>
    <row r="1235" customFormat="false" ht="12.75" hidden="false" customHeight="true" outlineLevel="0" collapsed="false">
      <c r="A1235" s="14" t="n">
        <f aca="false">IF(D1235="","",DATE(B1235,C1235,1))</f>
        <v>40513</v>
      </c>
      <c r="B1235" s="15" t="n">
        <f aca="false" t="array" ref="B1235:B1235">IF(D1235="","",IFERROR(VALUE(INDEX(Vazoes_COLAR!$A$2:$A$200,INT((ROW()-24)/12)+1)),""))</f>
        <v>2010</v>
      </c>
      <c r="C1235" s="15" t="n">
        <f aca="false">IF(D1235="","",MOD(ROW()-24,12)+1)</f>
        <v>12</v>
      </c>
      <c r="D1235" s="16" t="n">
        <f aca="false" t="array" ref="D1235: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0.142738647762467</v>
      </c>
      <c r="E1235" s="16" t="n">
        <f aca="false">IF(D1235="","",D1235*$B$15)</f>
        <v>0.369978575000315</v>
      </c>
      <c r="F1235" s="16" t="n">
        <f aca="false" t="array" ref="F1235:F1235">IF(D1235="","",IFERROR(INDEX(Dados_Evap!$C$2:$N$15,MATCH($B$9,Dados_Evap!$A$2:$A$15,0),C1235),0))</f>
        <v>216.1</v>
      </c>
      <c r="G1235" s="16" t="n">
        <f aca="false">IF(F1235="","",F1235/1000)</f>
        <v>0.2161</v>
      </c>
      <c r="H1235" s="16" t="n">
        <f aca="false">IF(D1235="","",MAX(0,MIN($B$8,IFERROR(LOOKUP(2,1/($U$24:U1234&lt;&gt;""),$U$24:U1234),$B$11))))</f>
        <v>19.595977098367</v>
      </c>
      <c r="I1235" s="16" t="n">
        <f aca="false" t="array" ref="I1235: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>4.0797631166341</v>
      </c>
      <c r="J1235" s="16" t="n">
        <f aca="false">IF(D1235="","",$B$12)</f>
        <v>0.35</v>
      </c>
      <c r="K1235" s="16" t="n">
        <f aca="false">IF(J1235="","",J1235*$B$15)</f>
        <v>0.9072</v>
      </c>
      <c r="L1235" s="16" t="n">
        <f aca="false">IF(D1235="","",H1235+E1235-K1235-G1235*I1235)</f>
        <v>18.1771188638627</v>
      </c>
      <c r="M1235" s="16" t="n">
        <f aca="false" t="array" ref="M1235: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>3.91019225446164</v>
      </c>
      <c r="N1235" s="16" t="n">
        <f aca="false">IF(D1235="","",(I1235+M1235)/2)</f>
        <v>3.99497768554787</v>
      </c>
      <c r="O1235" s="16" t="n">
        <f aca="false">IF(D1235="","",G1235*N1235)</f>
        <v>0.863314677846894</v>
      </c>
      <c r="P1235" s="16" t="n">
        <f aca="false">IF(D1235="","",H1235+E1235-K1235-O1235)</f>
        <v>18.1954409955204</v>
      </c>
      <c r="Q1235" s="16" t="n">
        <f aca="false">IF(D1235="","",IF(P1235&gt;=0,K1235,MAX(0,K1235+P1235)))</f>
        <v>0.9072</v>
      </c>
      <c r="R1235" s="16" t="n">
        <f aca="false">IF(D1235="","",Q1235/$B$15)</f>
        <v>0.35</v>
      </c>
      <c r="S1235" s="16" t="n">
        <f aca="false">IF(D1235="","",MAX(0,J1235-R1235))</f>
        <v>0</v>
      </c>
      <c r="T1235" s="16" t="n">
        <f aca="false">IF(D1235="","",MAX(0,Z1235-$B$8))</f>
        <v>0</v>
      </c>
      <c r="U1235" s="16" t="n">
        <f aca="false">IF(D1235="","",MAX(0,MIN($B$8,Z1235)))</f>
        <v>18.1954409955204</v>
      </c>
      <c r="V1235" s="16" t="str">
        <f aca="false">IF(D1235="","",IF(S1235&gt;0.0000001,"Sim","Não"))</f>
        <v>Não</v>
      </c>
      <c r="W1235" s="16" t="n">
        <f aca="false">IF(D1235="","",U1235-(H1235+E1235-Q1235-O1235-T1235))</f>
        <v>0</v>
      </c>
      <c r="X1235" s="16" t="n">
        <f aca="false">IF(W1235="","",ABS(W1235))</f>
        <v>0</v>
      </c>
      <c r="Y1235" s="16" t="n">
        <f aca="false">IF(U1235="","",IF($B$8=0,0,U1235/$B$8*100))</f>
        <v>38.5333354415934</v>
      </c>
      <c r="Z1235" s="18" t="n">
        <f aca="false">IF(D1235="","",MAX(0,IF(P1235&gt;=0,P1235,IF(K1235+P1235&gt;=0,0,P1235+K1235))))</f>
        <v>18.1954409955204</v>
      </c>
      <c r="AA1235" s="18" t="n">
        <f aca="false">IF(D1235="","",IF(H1235&lt;=$B$16,1,IF(H1235&gt;=$B$17,$B$21,MATCH(H1235,Aux_CAV!$A$2:$A$121,1))))</f>
        <v>11</v>
      </c>
      <c r="AB1235" s="18" t="n">
        <f aca="false">IF(D1235="","",IF(L1235&lt;=$B$16,1,IF(L1235&gt;=$B$17,$B$21,MATCH(L1235,Aux_CAV!$A$2:$A$121,1))))</f>
        <v>11</v>
      </c>
      <c r="AC1235" s="19" t="n">
        <f aca="false">IF(D1235="","",COUNT($D$24:D1235))</f>
        <v>1200</v>
      </c>
    </row>
    <row r="1236" customFormat="false" ht="12.75" hidden="false" customHeight="true" outlineLevel="0" collapsed="false">
      <c r="A1236" s="14" t="n">
        <f aca="false">IF(D1236="","",DATE(B1236,C1236,1))</f>
        <v>40544</v>
      </c>
      <c r="B1236" s="15" t="n">
        <f aca="false" t="array" ref="B1236:B1236">IF(D1236="","",IFERROR(VALUE(INDEX(Vazoes_COLAR!$A$2:$A$200,INT((ROW()-24)/12)+1)),""))</f>
        <v>2011</v>
      </c>
      <c r="C1236" s="15" t="n">
        <f aca="false">IF(D1236="","",MOD(ROW()-24,12)+1)</f>
        <v>1</v>
      </c>
      <c r="D1236" s="16" t="n">
        <f aca="false" t="array" ref="D1236: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1.16530317070325</v>
      </c>
      <c r="E1236" s="16" t="n">
        <f aca="false">IF(D1236="","",D1236*$B$15)</f>
        <v>3.02046581846282</v>
      </c>
      <c r="F1236" s="16" t="n">
        <f aca="false" t="array" ref="F1236:F1236">IF(D1236="","",IFERROR(INDEX(Dados_Evap!$C$2:$N$15,MATCH($B$9,Dados_Evap!$A$2:$A$15,0),C1236),0))</f>
        <v>160</v>
      </c>
      <c r="G1236" s="16" t="n">
        <f aca="false">IF(F1236="","",F1236/1000)</f>
        <v>0.16</v>
      </c>
      <c r="H1236" s="16" t="n">
        <f aca="false">IF(D1236="","",MAX(0,MIN($B$8,IFERROR(LOOKUP(2,1/($U$24:U1235&lt;&gt;""),$U$24:U1235),$B$11))))</f>
        <v>18.1954409955204</v>
      </c>
      <c r="I1236" s="16" t="n">
        <f aca="false" t="array" ref="I1236: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>3.91238197263537</v>
      </c>
      <c r="J1236" s="16" t="n">
        <f aca="false">IF(D1236="","",$B$12)</f>
        <v>0.35</v>
      </c>
      <c r="K1236" s="16" t="n">
        <f aca="false">IF(J1236="","",J1236*$B$15)</f>
        <v>0.9072</v>
      </c>
      <c r="L1236" s="16" t="n">
        <f aca="false">IF(D1236="","",H1236+E1236-K1236-G1236*I1236)</f>
        <v>19.6827256983616</v>
      </c>
      <c r="M1236" s="16" t="n">
        <f aca="false" t="array" ref="M1236: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>4.09013063224321</v>
      </c>
      <c r="N1236" s="16" t="n">
        <f aca="false">IF(D1236="","",(I1236+M1236)/2)</f>
        <v>4.00125630243929</v>
      </c>
      <c r="O1236" s="16" t="n">
        <f aca="false">IF(D1236="","",G1236*N1236)</f>
        <v>0.640201008390286</v>
      </c>
      <c r="P1236" s="16" t="n">
        <f aca="false">IF(D1236="","",H1236+E1236-K1236-O1236)</f>
        <v>19.6685058055929</v>
      </c>
      <c r="Q1236" s="16" t="n">
        <f aca="false">IF(D1236="","",IF(P1236&gt;=0,K1236,MAX(0,K1236+P1236)))</f>
        <v>0.9072</v>
      </c>
      <c r="R1236" s="16" t="n">
        <f aca="false">IF(D1236="","",Q1236/$B$15)</f>
        <v>0.35</v>
      </c>
      <c r="S1236" s="16" t="n">
        <f aca="false">IF(D1236="","",MAX(0,J1236-R1236))</f>
        <v>0</v>
      </c>
      <c r="T1236" s="16" t="n">
        <f aca="false">IF(D1236="","",MAX(0,Z1236-$B$8))</f>
        <v>0</v>
      </c>
      <c r="U1236" s="16" t="n">
        <f aca="false">IF(D1236="","",MAX(0,MIN($B$8,Z1236)))</f>
        <v>19.6685058055929</v>
      </c>
      <c r="V1236" s="16" t="str">
        <f aca="false">IF(D1236="","",IF(S1236&gt;0.0000001,"Sim","Não"))</f>
        <v>Não</v>
      </c>
      <c r="W1236" s="16" t="n">
        <f aca="false">IF(D1236="","",U1236-(H1236+E1236-Q1236-O1236-T1236))</f>
        <v>0</v>
      </c>
      <c r="X1236" s="16" t="n">
        <f aca="false">IF(W1236="","",ABS(W1236))</f>
        <v>0</v>
      </c>
      <c r="Y1236" s="16" t="n">
        <f aca="false">IF(U1236="","",IF($B$8=0,0,U1236/$B$8*100))</f>
        <v>41.6529136077784</v>
      </c>
      <c r="Z1236" s="18" t="n">
        <f aca="false">IF(D1236="","",MAX(0,IF(P1236&gt;=0,P1236,IF(K1236+P1236&gt;=0,0,P1236+K1236))))</f>
        <v>19.6685058055929</v>
      </c>
      <c r="AA1236" s="18" t="n">
        <f aca="false">IF(D1236="","",IF(H1236&lt;=$B$16,1,IF(H1236&gt;=$B$17,$B$21,MATCH(H1236,Aux_CAV!$A$2:$A$121,1))))</f>
        <v>11</v>
      </c>
      <c r="AB1236" s="18" t="n">
        <f aca="false">IF(D1236="","",IF(L1236&lt;=$B$16,1,IF(L1236&gt;=$B$17,$B$21,MATCH(L1236,Aux_CAV!$A$2:$A$121,1))))</f>
        <v>11</v>
      </c>
      <c r="AC1236" s="19" t="n">
        <f aca="false">IF(D1236="","",COUNT($D$24:D1236))</f>
        <v>1201</v>
      </c>
    </row>
    <row r="1237" customFormat="false" ht="12.75" hidden="false" customHeight="true" outlineLevel="0" collapsed="false">
      <c r="A1237" s="14" t="n">
        <f aca="false">IF(D1237="","",DATE(B1237,C1237,1))</f>
        <v>40575</v>
      </c>
      <c r="B1237" s="15" t="n">
        <f aca="false" t="array" ref="B1237:B1237">IF(D1237="","",IFERROR(VALUE(INDEX(Vazoes_COLAR!$A$2:$A$200,INT((ROW()-24)/12)+1)),""))</f>
        <v>2011</v>
      </c>
      <c r="C1237" s="15" t="n">
        <f aca="false">IF(D1237="","",MOD(ROW()-24,12)+1)</f>
        <v>2</v>
      </c>
      <c r="D1237" s="16" t="n">
        <f aca="false" t="array" ref="D1237: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7.47635995384758</v>
      </c>
      <c r="E1237" s="16" t="n">
        <f aca="false">IF(D1237="","",D1237*$B$15)</f>
        <v>19.3787250003729</v>
      </c>
      <c r="F1237" s="16" t="n">
        <f aca="false" t="array" ref="F1237:F1237">IF(D1237="","",IFERROR(INDEX(Dados_Evap!$C$2:$N$15,MATCH($B$9,Dados_Evap!$A$2:$A$15,0),C1237),0))</f>
        <v>124.3</v>
      </c>
      <c r="G1237" s="16" t="n">
        <f aca="false">IF(F1237="","",F1237/1000)</f>
        <v>0.1243</v>
      </c>
      <c r="H1237" s="16" t="n">
        <f aca="false">IF(D1237="","",MAX(0,MIN($B$8,IFERROR(LOOKUP(2,1/($U$24:U1236&lt;&gt;""),$U$24:U1236),$B$11))))</f>
        <v>19.6685058055929</v>
      </c>
      <c r="I1237" s="16" t="n">
        <f aca="false" t="array" ref="I1237: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>4.08843118164403</v>
      </c>
      <c r="J1237" s="16" t="n">
        <f aca="false">IF(D1237="","",$B$12)</f>
        <v>0.35</v>
      </c>
      <c r="K1237" s="16" t="n">
        <f aca="false">IF(J1237="","",J1237*$B$15)</f>
        <v>0.9072</v>
      </c>
      <c r="L1237" s="16" t="n">
        <f aca="false">IF(D1237="","",H1237+E1237-K1237-G1237*I1237)</f>
        <v>37.6318388100875</v>
      </c>
      <c r="M1237" s="16" t="n">
        <f aca="false" t="array" ref="M1237: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>6.01269145352289</v>
      </c>
      <c r="N1237" s="16" t="n">
        <f aca="false">IF(D1237="","",(I1237+M1237)/2)</f>
        <v>5.05056131758346</v>
      </c>
      <c r="O1237" s="16" t="n">
        <f aca="false">IF(D1237="","",G1237*N1237)</f>
        <v>0.627784771775624</v>
      </c>
      <c r="P1237" s="16" t="n">
        <f aca="false">IF(D1237="","",H1237+E1237-K1237-O1237)</f>
        <v>37.5122460341902</v>
      </c>
      <c r="Q1237" s="16" t="n">
        <f aca="false">IF(D1237="","",IF(P1237&gt;=0,K1237,MAX(0,K1237+P1237)))</f>
        <v>0.9072</v>
      </c>
      <c r="R1237" s="16" t="n">
        <f aca="false">IF(D1237="","",Q1237/$B$15)</f>
        <v>0.35</v>
      </c>
      <c r="S1237" s="16" t="n">
        <f aca="false">IF(D1237="","",MAX(0,J1237-R1237))</f>
        <v>0</v>
      </c>
      <c r="T1237" s="16" t="n">
        <f aca="false">IF(D1237="","",MAX(0,Z1237-$B$8))</f>
        <v>0</v>
      </c>
      <c r="U1237" s="16" t="n">
        <f aca="false">IF(D1237="","",MAX(0,MIN($B$8,Z1237)))</f>
        <v>37.5122460341902</v>
      </c>
      <c r="V1237" s="16" t="str">
        <f aca="false">IF(D1237="","",IF(S1237&gt;0.0000001,"Sim","Não"))</f>
        <v>Não</v>
      </c>
      <c r="W1237" s="16" t="n">
        <f aca="false">IF(D1237="","",U1237-(H1237+E1237-Q1237-O1237-T1237))</f>
        <v>0</v>
      </c>
      <c r="X1237" s="16" t="n">
        <f aca="false">IF(W1237="","",ABS(W1237))</f>
        <v>0</v>
      </c>
      <c r="Y1237" s="16" t="n">
        <f aca="false">IF(U1237="","",IF($B$8=0,0,U1237/$B$8*100))</f>
        <v>79.4414359046807</v>
      </c>
      <c r="Z1237" s="18" t="n">
        <f aca="false">IF(D1237="","",MAX(0,IF(P1237&gt;=0,P1237,IF(K1237+P1237&gt;=0,0,P1237+K1237))))</f>
        <v>37.5122460341902</v>
      </c>
      <c r="AA1237" s="18" t="n">
        <f aca="false">IF(D1237="","",IF(H1237&lt;=$B$16,1,IF(H1237&gt;=$B$17,$B$21,MATCH(H1237,Aux_CAV!$A$2:$A$121,1))))</f>
        <v>11</v>
      </c>
      <c r="AB1237" s="18" t="n">
        <f aca="false">IF(D1237="","",IF(L1237&lt;=$B$16,1,IF(L1237&gt;=$B$17,$B$21,MATCH(L1237,Aux_CAV!$A$2:$A$121,1))))</f>
        <v>13</v>
      </c>
      <c r="AC1237" s="19" t="n">
        <f aca="false">IF(D1237="","",COUNT($D$24:D1237))</f>
        <v>1202</v>
      </c>
    </row>
    <row r="1238" customFormat="false" ht="12.75" hidden="false" customHeight="true" outlineLevel="0" collapsed="false">
      <c r="A1238" s="14" t="n">
        <f aca="false">IF(D1238="","",DATE(B1238,C1238,1))</f>
        <v>40603</v>
      </c>
      <c r="B1238" s="15" t="n">
        <f aca="false" t="array" ref="B1238:B1238">IF(D1238="","",IFERROR(VALUE(INDEX(Vazoes_COLAR!$A$2:$A$200,INT((ROW()-24)/12)+1)),""))</f>
        <v>2011</v>
      </c>
      <c r="C1238" s="15" t="n">
        <f aca="false">IF(D1238="","",MOD(ROW()-24,12)+1)</f>
        <v>3</v>
      </c>
      <c r="D1238" s="16" t="n">
        <f aca="false" t="array" ref="D1238: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5.8339139869964</v>
      </c>
      <c r="E1238" s="16" t="n">
        <f aca="false">IF(D1238="","",D1238*$B$15)</f>
        <v>15.1215050542947</v>
      </c>
      <c r="F1238" s="16" t="n">
        <f aca="false" t="array" ref="F1238:F1238">IF(D1238="","",IFERROR(INDEX(Dados_Evap!$C$2:$N$15,MATCH($B$9,Dados_Evap!$A$2:$A$15,0),C1238),0))</f>
        <v>107.7</v>
      </c>
      <c r="G1238" s="16" t="n">
        <f aca="false">IF(F1238="","",F1238/1000)</f>
        <v>0.1077</v>
      </c>
      <c r="H1238" s="16" t="n">
        <f aca="false">IF(D1238="","",MAX(0,MIN($B$8,IFERROR(LOOKUP(2,1/($U$24:U1237&lt;&gt;""),$U$24:U1237),$B$11))))</f>
        <v>37.5122460341902</v>
      </c>
      <c r="I1238" s="16" t="n">
        <f aca="false" t="array" ref="I1238: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>6.00075097982874</v>
      </c>
      <c r="J1238" s="16" t="n">
        <f aca="false">IF(D1238="","",$B$12)</f>
        <v>0.35</v>
      </c>
      <c r="K1238" s="16" t="n">
        <f aca="false">IF(J1238="","",J1238*$B$15)</f>
        <v>0.9072</v>
      </c>
      <c r="L1238" s="16" t="n">
        <f aca="false">IF(D1238="","",H1238+E1238-K1238-G1238*I1238)</f>
        <v>51.0802702079574</v>
      </c>
      <c r="M1238" s="16" t="n">
        <f aca="false" t="array" ref="M1238: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>7.42507250419009</v>
      </c>
      <c r="N1238" s="16" t="n">
        <f aca="false">IF(D1238="","",(I1238+M1238)/2)</f>
        <v>6.71291174200942</v>
      </c>
      <c r="O1238" s="16" t="n">
        <f aca="false">IF(D1238="","",G1238*N1238)</f>
        <v>0.722980594614414</v>
      </c>
      <c r="P1238" s="16" t="n">
        <f aca="false">IF(D1238="","",H1238+E1238-K1238-O1238)</f>
        <v>51.0035704938705</v>
      </c>
      <c r="Q1238" s="16" t="n">
        <f aca="false">IF(D1238="","",IF(P1238&gt;=0,K1238,MAX(0,K1238+P1238)))</f>
        <v>0.9072</v>
      </c>
      <c r="R1238" s="16" t="n">
        <f aca="false">IF(D1238="","",Q1238/$B$15)</f>
        <v>0.35</v>
      </c>
      <c r="S1238" s="16" t="n">
        <f aca="false">IF(D1238="","",MAX(0,J1238-R1238))</f>
        <v>0</v>
      </c>
      <c r="T1238" s="16" t="n">
        <f aca="false">IF(D1238="","",MAX(0,Z1238-$B$8))</f>
        <v>3.7835704938705</v>
      </c>
      <c r="U1238" s="16" t="n">
        <f aca="false">IF(D1238="","",MAX(0,MIN($B$8,Z1238)))</f>
        <v>47.22</v>
      </c>
      <c r="V1238" s="16" t="str">
        <f aca="false">IF(D1238="","",IF(S1238&gt;0.0000001,"Sim","Não"))</f>
        <v>Não</v>
      </c>
      <c r="W1238" s="16" t="n">
        <f aca="false">IF(D1238="","",U1238-(H1238+E1238-Q1238-O1238-T1238))</f>
        <v>0</v>
      </c>
      <c r="X1238" s="16" t="n">
        <f aca="false">IF(W1238="","",ABS(W1238))</f>
        <v>0</v>
      </c>
      <c r="Y1238" s="16" t="n">
        <f aca="false">IF(U1238="","",IF($B$8=0,0,U1238/$B$8*100))</f>
        <v>100</v>
      </c>
      <c r="Z1238" s="18" t="n">
        <f aca="false">IF(D1238="","",MAX(0,IF(P1238&gt;=0,P1238,IF(K1238+P1238&gt;=0,0,P1238+K1238))))</f>
        <v>51.0035704938705</v>
      </c>
      <c r="AA1238" s="18" t="n">
        <f aca="false">IF(D1238="","",IF(H1238&lt;=$B$16,1,IF(H1238&gt;=$B$17,$B$21,MATCH(H1238,Aux_CAV!$A$2:$A$121,1))))</f>
        <v>13</v>
      </c>
      <c r="AB1238" s="18" t="n">
        <f aca="false">IF(D1238="","",IF(L1238&lt;=$B$16,1,IF(L1238&gt;=$B$17,$B$21,MATCH(L1238,Aux_CAV!$A$2:$A$121,1))))</f>
        <v>14</v>
      </c>
      <c r="AC1238" s="19" t="n">
        <f aca="false">IF(D1238="","",COUNT($D$24:D1238))</f>
        <v>1203</v>
      </c>
    </row>
    <row r="1239" customFormat="false" ht="12.75" hidden="false" customHeight="true" outlineLevel="0" collapsed="false">
      <c r="A1239" s="14" t="n">
        <f aca="false">IF(D1239="","",DATE(B1239,C1239,1))</f>
        <v>40634</v>
      </c>
      <c r="B1239" s="15" t="n">
        <f aca="false" t="array" ref="B1239:B1239">IF(D1239="","",IFERROR(VALUE(INDEX(Vazoes_COLAR!$A$2:$A$200,INT((ROW()-24)/12)+1)),""))</f>
        <v>2011</v>
      </c>
      <c r="C1239" s="15" t="n">
        <f aca="false">IF(D1239="","",MOD(ROW()-24,12)+1)</f>
        <v>4</v>
      </c>
      <c r="D1239" s="16" t="n">
        <f aca="false" t="array" ref="D1239: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5.90656745807283</v>
      </c>
      <c r="E1239" s="16" t="n">
        <f aca="false">IF(D1239="","",D1239*$B$15)</f>
        <v>15.3098228513248</v>
      </c>
      <c r="F1239" s="16" t="n">
        <f aca="false" t="array" ref="F1239:F1239">IF(D1239="","",IFERROR(INDEX(Dados_Evap!$C$2:$N$15,MATCH($B$9,Dados_Evap!$A$2:$A$15,0),C1239),0))</f>
        <v>100.5</v>
      </c>
      <c r="G1239" s="16" t="n">
        <f aca="false">IF(F1239="","",F1239/1000)</f>
        <v>0.1005</v>
      </c>
      <c r="H1239" s="16" t="n">
        <f aca="false">IF(D1239="","",MAX(0,MIN($B$8,IFERROR(LOOKUP(2,1/($U$24:U1238&lt;&gt;""),$U$24:U1238),$B$11))))</f>
        <v>47.22</v>
      </c>
      <c r="I1239" s="16" t="n">
        <f aca="false" t="array" ref="I1239: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>6.97</v>
      </c>
      <c r="J1239" s="16" t="n">
        <f aca="false">IF(D1239="","",$B$12)</f>
        <v>0.35</v>
      </c>
      <c r="K1239" s="16" t="n">
        <f aca="false">IF(J1239="","",J1239*$B$15)</f>
        <v>0.9072</v>
      </c>
      <c r="L1239" s="16" t="n">
        <f aca="false">IF(D1239="","",H1239+E1239-K1239-G1239*I1239)</f>
        <v>60.9221378513248</v>
      </c>
      <c r="M1239" s="16" t="n">
        <f aca="false" t="array" ref="M1239: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>8.62274087683069</v>
      </c>
      <c r="N1239" s="16" t="n">
        <f aca="false">IF(D1239="","",(I1239+M1239)/2)</f>
        <v>7.79637043841534</v>
      </c>
      <c r="O1239" s="16" t="n">
        <f aca="false">IF(D1239="","",G1239*N1239)</f>
        <v>0.783535229060742</v>
      </c>
      <c r="P1239" s="16" t="n">
        <f aca="false">IF(D1239="","",H1239+E1239-K1239-O1239)</f>
        <v>60.839087622264</v>
      </c>
      <c r="Q1239" s="16" t="n">
        <f aca="false">IF(D1239="","",IF(P1239&gt;=0,K1239,MAX(0,K1239+P1239)))</f>
        <v>0.9072</v>
      </c>
      <c r="R1239" s="16" t="n">
        <f aca="false">IF(D1239="","",Q1239/$B$15)</f>
        <v>0.35</v>
      </c>
      <c r="S1239" s="16" t="n">
        <f aca="false">IF(D1239="","",MAX(0,J1239-R1239))</f>
        <v>0</v>
      </c>
      <c r="T1239" s="16" t="n">
        <f aca="false">IF(D1239="","",MAX(0,Z1239-$B$8))</f>
        <v>13.619087622264</v>
      </c>
      <c r="U1239" s="16" t="n">
        <f aca="false">IF(D1239="","",MAX(0,MIN($B$8,Z1239)))</f>
        <v>47.22</v>
      </c>
      <c r="V1239" s="16" t="str">
        <f aca="false">IF(D1239="","",IF(S1239&gt;0.0000001,"Sim","Não"))</f>
        <v>Não</v>
      </c>
      <c r="W1239" s="16" t="n">
        <f aca="false">IF(D1239="","",U1239-(H1239+E1239-Q1239-O1239-T1239))</f>
        <v>0</v>
      </c>
      <c r="X1239" s="16" t="n">
        <f aca="false">IF(W1239="","",ABS(W1239))</f>
        <v>0</v>
      </c>
      <c r="Y1239" s="16" t="n">
        <f aca="false">IF(U1239="","",IF($B$8=0,0,U1239/$B$8*100))</f>
        <v>100</v>
      </c>
      <c r="Z1239" s="18" t="n">
        <f aca="false">IF(D1239="","",MAX(0,IF(P1239&gt;=0,P1239,IF(K1239+P1239&gt;=0,0,P1239+K1239))))</f>
        <v>60.839087622264</v>
      </c>
      <c r="AA1239" s="18" t="n">
        <f aca="false">IF(D1239="","",IF(H1239&lt;=$B$16,1,IF(H1239&gt;=$B$17,$B$21,MATCH(H1239,Aux_CAV!$A$2:$A$121,1))))</f>
        <v>14</v>
      </c>
      <c r="AB1239" s="18" t="n">
        <f aca="false">IF(D1239="","",IF(L1239&lt;=$B$16,1,IF(L1239&gt;=$B$17,$B$21,MATCH(L1239,Aux_CAV!$A$2:$A$121,1))))</f>
        <v>15</v>
      </c>
      <c r="AC1239" s="19" t="n">
        <f aca="false">IF(D1239="","",COUNT($D$24:D1239))</f>
        <v>1204</v>
      </c>
    </row>
    <row r="1240" customFormat="false" ht="12.75" hidden="false" customHeight="true" outlineLevel="0" collapsed="false">
      <c r="A1240" s="14" t="n">
        <f aca="false">IF(D1240="","",DATE(B1240,C1240,1))</f>
        <v>40664</v>
      </c>
      <c r="B1240" s="15" t="n">
        <f aca="false" t="array" ref="B1240:B1240">IF(D1240="","",IFERROR(VALUE(INDEX(Vazoes_COLAR!$A$2:$A$200,INT((ROW()-24)/12)+1)),""))</f>
        <v>2011</v>
      </c>
      <c r="C1240" s="15" t="n">
        <f aca="false">IF(D1240="","",MOD(ROW()-24,12)+1)</f>
        <v>5</v>
      </c>
      <c r="D1240" s="16" t="n">
        <f aca="false" t="array" ref="D1240: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6.39080933427318</v>
      </c>
      <c r="E1240" s="16" t="n">
        <f aca="false">IF(D1240="","",D1240*$B$15)</f>
        <v>16.5649777944361</v>
      </c>
      <c r="F1240" s="16" t="n">
        <f aca="false" t="array" ref="F1240:F1240">IF(D1240="","",IFERROR(INDEX(Dados_Evap!$C$2:$N$15,MATCH($B$9,Dados_Evap!$A$2:$A$15,0),C1240),0))</f>
        <v>145.8</v>
      </c>
      <c r="G1240" s="16" t="n">
        <f aca="false">IF(F1240="","",F1240/1000)</f>
        <v>0.1458</v>
      </c>
      <c r="H1240" s="16" t="n">
        <f aca="false">IF(D1240="","",MAX(0,MIN($B$8,IFERROR(LOOKUP(2,1/($U$24:U1239&lt;&gt;""),$U$24:U1239),$B$11))))</f>
        <v>47.22</v>
      </c>
      <c r="I1240" s="16" t="n">
        <f aca="false" t="array" ref="I1240: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>6.97</v>
      </c>
      <c r="J1240" s="16" t="n">
        <f aca="false">IF(D1240="","",$B$12)</f>
        <v>0.35</v>
      </c>
      <c r="K1240" s="16" t="n">
        <f aca="false">IF(J1240="","",J1240*$B$15)</f>
        <v>0.9072</v>
      </c>
      <c r="L1240" s="16" t="n">
        <f aca="false">IF(D1240="","",H1240+E1240-K1240-G1240*I1240)</f>
        <v>61.8615517944361</v>
      </c>
      <c r="M1240" s="16" t="n">
        <f aca="false" t="array" ref="M1240: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>8.73904926978733</v>
      </c>
      <c r="N1240" s="16" t="n">
        <f aca="false">IF(D1240="","",(I1240+M1240)/2)</f>
        <v>7.85452463489366</v>
      </c>
      <c r="O1240" s="16" t="n">
        <f aca="false">IF(D1240="","",G1240*N1240)</f>
        <v>1.1451896917675</v>
      </c>
      <c r="P1240" s="16" t="n">
        <f aca="false">IF(D1240="","",H1240+E1240-K1240-O1240)</f>
        <v>61.7325881026686</v>
      </c>
      <c r="Q1240" s="16" t="n">
        <f aca="false">IF(D1240="","",IF(P1240&gt;=0,K1240,MAX(0,K1240+P1240)))</f>
        <v>0.9072</v>
      </c>
      <c r="R1240" s="16" t="n">
        <f aca="false">IF(D1240="","",Q1240/$B$15)</f>
        <v>0.35</v>
      </c>
      <c r="S1240" s="16" t="n">
        <f aca="false">IF(D1240="","",MAX(0,J1240-R1240))</f>
        <v>0</v>
      </c>
      <c r="T1240" s="16" t="n">
        <f aca="false">IF(D1240="","",MAX(0,Z1240-$B$8))</f>
        <v>14.5125881026686</v>
      </c>
      <c r="U1240" s="16" t="n">
        <f aca="false">IF(D1240="","",MAX(0,MIN($B$8,Z1240)))</f>
        <v>47.22</v>
      </c>
      <c r="V1240" s="16" t="str">
        <f aca="false">IF(D1240="","",IF(S1240&gt;0.0000001,"Sim","Não"))</f>
        <v>Não</v>
      </c>
      <c r="W1240" s="16" t="n">
        <f aca="false">IF(D1240="","",U1240-(H1240+E1240-Q1240-O1240-T1240))</f>
        <v>0</v>
      </c>
      <c r="X1240" s="16" t="n">
        <f aca="false">IF(W1240="","",ABS(W1240))</f>
        <v>0</v>
      </c>
      <c r="Y1240" s="16" t="n">
        <f aca="false">IF(U1240="","",IF($B$8=0,0,U1240/$B$8*100))</f>
        <v>100</v>
      </c>
      <c r="Z1240" s="18" t="n">
        <f aca="false">IF(D1240="","",MAX(0,IF(P1240&gt;=0,P1240,IF(K1240+P1240&gt;=0,0,P1240+K1240))))</f>
        <v>61.7325881026686</v>
      </c>
      <c r="AA1240" s="18" t="n">
        <f aca="false">IF(D1240="","",IF(H1240&lt;=$B$16,1,IF(H1240&gt;=$B$17,$B$21,MATCH(H1240,Aux_CAV!$A$2:$A$121,1))))</f>
        <v>14</v>
      </c>
      <c r="AB1240" s="18" t="n">
        <f aca="false">IF(D1240="","",IF(L1240&lt;=$B$16,1,IF(L1240&gt;=$B$17,$B$21,MATCH(L1240,Aux_CAV!$A$2:$A$121,1))))</f>
        <v>15</v>
      </c>
      <c r="AC1240" s="19" t="n">
        <f aca="false">IF(D1240="","",COUNT($D$24:D1240))</f>
        <v>1205</v>
      </c>
    </row>
    <row r="1241" customFormat="false" ht="12.75" hidden="false" customHeight="true" outlineLevel="0" collapsed="false">
      <c r="A1241" s="14" t="n">
        <f aca="false">IF(D1241="","",DATE(B1241,C1241,1))</f>
        <v>40695</v>
      </c>
      <c r="B1241" s="15" t="n">
        <f aca="false" t="array" ref="B1241:B1241">IF(D1241="","",IFERROR(VALUE(INDEX(Vazoes_COLAR!$A$2:$A$200,INT((ROW()-24)/12)+1)),""))</f>
        <v>2011</v>
      </c>
      <c r="C1241" s="15" t="n">
        <f aca="false">IF(D1241="","",MOD(ROW()-24,12)+1)</f>
        <v>6</v>
      </c>
      <c r="D1241" s="16" t="n">
        <f aca="false" t="array" ref="D1241: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0.240222890466636</v>
      </c>
      <c r="E1241" s="16" t="n">
        <f aca="false">IF(D1241="","",D1241*$B$15)</f>
        <v>0.622657732089521</v>
      </c>
      <c r="F1241" s="16" t="n">
        <f aca="false" t="array" ref="F1241:F1241">IF(D1241="","",IFERROR(INDEX(Dados_Evap!$C$2:$N$15,MATCH($B$9,Dados_Evap!$A$2:$A$15,0),C1241),0))</f>
        <v>161.3</v>
      </c>
      <c r="G1241" s="16" t="n">
        <f aca="false">IF(F1241="","",F1241/1000)</f>
        <v>0.1613</v>
      </c>
      <c r="H1241" s="16" t="n">
        <f aca="false">IF(D1241="","",MAX(0,MIN($B$8,IFERROR(LOOKUP(2,1/($U$24:U1240&lt;&gt;""),$U$24:U1240),$B$11))))</f>
        <v>47.22</v>
      </c>
      <c r="I1241" s="16" t="n">
        <f aca="false" t="array" ref="I1241: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>6.97</v>
      </c>
      <c r="J1241" s="16" t="n">
        <f aca="false">IF(D1241="","",$B$12)</f>
        <v>0.35</v>
      </c>
      <c r="K1241" s="16" t="n">
        <f aca="false">IF(J1241="","",J1241*$B$15)</f>
        <v>0.9072</v>
      </c>
      <c r="L1241" s="16" t="n">
        <f aca="false">IF(D1241="","",H1241+E1241-K1241-G1241*I1241)</f>
        <v>45.8111967320895</v>
      </c>
      <c r="M1241" s="16" t="n">
        <f aca="false" t="array" ref="M1241: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>6.82934118315674</v>
      </c>
      <c r="N1241" s="16" t="n">
        <f aca="false">IF(D1241="","",(I1241+M1241)/2)</f>
        <v>6.89967059157837</v>
      </c>
      <c r="O1241" s="16" t="n">
        <f aca="false">IF(D1241="","",G1241*N1241)</f>
        <v>1.11291686642159</v>
      </c>
      <c r="P1241" s="16" t="n">
        <f aca="false">IF(D1241="","",H1241+E1241-K1241-O1241)</f>
        <v>45.8225408656679</v>
      </c>
      <c r="Q1241" s="16" t="n">
        <f aca="false">IF(D1241="","",IF(P1241&gt;=0,K1241,MAX(0,K1241+P1241)))</f>
        <v>0.9072</v>
      </c>
      <c r="R1241" s="16" t="n">
        <f aca="false">IF(D1241="","",Q1241/$B$15)</f>
        <v>0.35</v>
      </c>
      <c r="S1241" s="16" t="n">
        <f aca="false">IF(D1241="","",MAX(0,J1241-R1241))</f>
        <v>0</v>
      </c>
      <c r="T1241" s="16" t="n">
        <f aca="false">IF(D1241="","",MAX(0,Z1241-$B$8))</f>
        <v>0</v>
      </c>
      <c r="U1241" s="16" t="n">
        <f aca="false">IF(D1241="","",MAX(0,MIN($B$8,Z1241)))</f>
        <v>45.8225408656679</v>
      </c>
      <c r="V1241" s="16" t="str">
        <f aca="false">IF(D1241="","",IF(S1241&gt;0.0000001,"Sim","Não"))</f>
        <v>Não</v>
      </c>
      <c r="W1241" s="16" t="n">
        <f aca="false">IF(D1241="","",U1241-(H1241+E1241-Q1241-O1241-T1241))</f>
        <v>0</v>
      </c>
      <c r="X1241" s="16" t="n">
        <f aca="false">IF(W1241="","",ABS(W1241))</f>
        <v>0</v>
      </c>
      <c r="Y1241" s="16" t="n">
        <f aca="false">IF(U1241="","",IF($B$8=0,0,U1241/$B$8*100))</f>
        <v>97.0405355054382</v>
      </c>
      <c r="Z1241" s="18" t="n">
        <f aca="false">IF(D1241="","",MAX(0,IF(P1241&gt;=0,P1241,IF(K1241+P1241&gt;=0,0,P1241+K1241))))</f>
        <v>45.8225408656679</v>
      </c>
      <c r="AA1241" s="18" t="n">
        <f aca="false">IF(D1241="","",IF(H1241&lt;=$B$16,1,IF(H1241&gt;=$B$17,$B$21,MATCH(H1241,Aux_CAV!$A$2:$A$121,1))))</f>
        <v>14</v>
      </c>
      <c r="AB1241" s="18" t="n">
        <f aca="false">IF(D1241="","",IF(L1241&lt;=$B$16,1,IF(L1241&gt;=$B$17,$B$21,MATCH(L1241,Aux_CAV!$A$2:$A$121,1))))</f>
        <v>13</v>
      </c>
      <c r="AC1241" s="19" t="n">
        <f aca="false">IF(D1241="","",COUNT($D$24:D1241))</f>
        <v>1206</v>
      </c>
    </row>
    <row r="1242" customFormat="false" ht="12.75" hidden="false" customHeight="true" outlineLevel="0" collapsed="false">
      <c r="A1242" s="14" t="n">
        <f aca="false">IF(D1242="","",DATE(B1242,C1242,1))</f>
        <v>40725</v>
      </c>
      <c r="B1242" s="15" t="n">
        <f aca="false" t="array" ref="B1242:B1242">IF(D1242="","",IFERROR(VALUE(INDEX(Vazoes_COLAR!$A$2:$A$200,INT((ROW()-24)/12)+1)),""))</f>
        <v>2011</v>
      </c>
      <c r="C1242" s="15" t="n">
        <f aca="false">IF(D1242="","",MOD(ROW()-24,12)+1)</f>
        <v>7</v>
      </c>
      <c r="D1242" s="16" t="n">
        <f aca="false" t="array" ref="D1242: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0.551274302976398</v>
      </c>
      <c r="E1242" s="16" t="n">
        <f aca="false">IF(D1242="","",D1242*$B$15)</f>
        <v>1.42890299331482</v>
      </c>
      <c r="F1242" s="16" t="n">
        <f aca="false" t="array" ref="F1242:F1242">IF(D1242="","",IFERROR(INDEX(Dados_Evap!$C$2:$N$15,MATCH($B$9,Dados_Evap!$A$2:$A$15,0),C1242),0))</f>
        <v>224.8</v>
      </c>
      <c r="G1242" s="16" t="n">
        <f aca="false">IF(F1242="","",F1242/1000)</f>
        <v>0.2248</v>
      </c>
      <c r="H1242" s="16" t="n">
        <f aca="false">IF(D1242="","",MAX(0,MIN($B$8,IFERROR(LOOKUP(2,1/($U$24:U1241&lt;&gt;""),$U$24:U1241),$B$11))))</f>
        <v>45.8225408656679</v>
      </c>
      <c r="I1242" s="16" t="n">
        <f aca="false" t="array" ref="I1242: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>6.83047381284578</v>
      </c>
      <c r="J1242" s="16" t="n">
        <f aca="false">IF(D1242="","",$B$12)</f>
        <v>0.35</v>
      </c>
      <c r="K1242" s="16" t="n">
        <f aca="false">IF(J1242="","",J1242*$B$15)</f>
        <v>0.9072</v>
      </c>
      <c r="L1242" s="16" t="n">
        <f aca="false">IF(D1242="","",H1242+E1242-K1242-G1242*I1242)</f>
        <v>44.808753345855</v>
      </c>
      <c r="M1242" s="16" t="n">
        <f aca="false" t="array" ref="M1242: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>6.72925446141791</v>
      </c>
      <c r="N1242" s="16" t="n">
        <f aca="false">IF(D1242="","",(I1242+M1242)/2)</f>
        <v>6.77986413713184</v>
      </c>
      <c r="O1242" s="16" t="n">
        <f aca="false">IF(D1242="","",G1242*N1242)</f>
        <v>1.52411345802724</v>
      </c>
      <c r="P1242" s="16" t="n">
        <f aca="false">IF(D1242="","",H1242+E1242-K1242-O1242)</f>
        <v>44.8201304009555</v>
      </c>
      <c r="Q1242" s="16" t="n">
        <f aca="false">IF(D1242="","",IF(P1242&gt;=0,K1242,MAX(0,K1242+P1242)))</f>
        <v>0.9072</v>
      </c>
      <c r="R1242" s="16" t="n">
        <f aca="false">IF(D1242="","",Q1242/$B$15)</f>
        <v>0.35</v>
      </c>
      <c r="S1242" s="16" t="n">
        <f aca="false">IF(D1242="","",MAX(0,J1242-R1242))</f>
        <v>0</v>
      </c>
      <c r="T1242" s="16" t="n">
        <f aca="false">IF(D1242="","",MAX(0,Z1242-$B$8))</f>
        <v>0</v>
      </c>
      <c r="U1242" s="16" t="n">
        <f aca="false">IF(D1242="","",MAX(0,MIN($B$8,Z1242)))</f>
        <v>44.8201304009555</v>
      </c>
      <c r="V1242" s="16" t="str">
        <f aca="false">IF(D1242="","",IF(S1242&gt;0.0000001,"Sim","Não"))</f>
        <v>Não</v>
      </c>
      <c r="W1242" s="16" t="n">
        <f aca="false">IF(D1242="","",U1242-(H1242+E1242-Q1242-O1242-T1242))</f>
        <v>0</v>
      </c>
      <c r="X1242" s="16" t="n">
        <f aca="false">IF(W1242="","",ABS(W1242))</f>
        <v>0</v>
      </c>
      <c r="Y1242" s="16" t="n">
        <f aca="false">IF(U1242="","",IF($B$8=0,0,U1242/$B$8*100))</f>
        <v>94.9176840342133</v>
      </c>
      <c r="Z1242" s="18" t="n">
        <f aca="false">IF(D1242="","",MAX(0,IF(P1242&gt;=0,P1242,IF(K1242+P1242&gt;=0,0,P1242+K1242))))</f>
        <v>44.8201304009555</v>
      </c>
      <c r="AA1242" s="18" t="n">
        <f aca="false">IF(D1242="","",IF(H1242&lt;=$B$16,1,IF(H1242&gt;=$B$17,$B$21,MATCH(H1242,Aux_CAV!$A$2:$A$121,1))))</f>
        <v>13</v>
      </c>
      <c r="AB1242" s="18" t="n">
        <f aca="false">IF(D1242="","",IF(L1242&lt;=$B$16,1,IF(L1242&gt;=$B$17,$B$21,MATCH(L1242,Aux_CAV!$A$2:$A$121,1))))</f>
        <v>13</v>
      </c>
      <c r="AC1242" s="19" t="n">
        <f aca="false">IF(D1242="","",COUNT($D$24:D1242))</f>
        <v>1207</v>
      </c>
    </row>
    <row r="1243" customFormat="false" ht="12.75" hidden="false" customHeight="true" outlineLevel="0" collapsed="false">
      <c r="A1243" s="14" t="n">
        <f aca="false">IF(D1243="","",DATE(B1243,C1243,1))</f>
        <v>40756</v>
      </c>
      <c r="B1243" s="15" t="n">
        <f aca="false" t="array" ref="B1243:B1243">IF(D1243="","",IFERROR(VALUE(INDEX(Vazoes_COLAR!$A$2:$A$200,INT((ROW()-24)/12)+1)),""))</f>
        <v>2011</v>
      </c>
      <c r="C1243" s="15" t="n">
        <f aca="false">IF(D1243="","",MOD(ROW()-24,12)+1)</f>
        <v>8</v>
      </c>
      <c r="D1243" s="16" t="n">
        <f aca="false" t="array" ref="D1243: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0.0759521551733035</v>
      </c>
      <c r="E1243" s="16" t="n">
        <f aca="false">IF(D1243="","",D1243*$B$15)</f>
        <v>0.196867986209203</v>
      </c>
      <c r="F1243" s="16" t="n">
        <f aca="false" t="array" ref="F1243:F1243">IF(D1243="","",IFERROR(INDEX(Dados_Evap!$C$2:$N$15,MATCH($B$9,Dados_Evap!$A$2:$A$15,0),C1243),0))</f>
        <v>268.7</v>
      </c>
      <c r="G1243" s="16" t="n">
        <f aca="false">IF(F1243="","",F1243/1000)</f>
        <v>0.2687</v>
      </c>
      <c r="H1243" s="16" t="n">
        <f aca="false">IF(D1243="","",MAX(0,MIN($B$8,IFERROR(LOOKUP(2,1/($U$24:U1242&lt;&gt;""),$U$24:U1242),$B$11))))</f>
        <v>44.8201304009555</v>
      </c>
      <c r="I1243" s="16" t="n">
        <f aca="false" t="array" ref="I1243: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>6.73039037808282</v>
      </c>
      <c r="J1243" s="16" t="n">
        <f aca="false">IF(D1243="","",$B$12)</f>
        <v>0.35</v>
      </c>
      <c r="K1243" s="16" t="n">
        <f aca="false">IF(J1243="","",J1243*$B$15)</f>
        <v>0.9072</v>
      </c>
      <c r="L1243" s="16" t="n">
        <f aca="false">IF(D1243="","",H1243+E1243-K1243-G1243*I1243)</f>
        <v>42.3013424925739</v>
      </c>
      <c r="M1243" s="16" t="n">
        <f aca="false" t="array" ref="M1243: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>6.47890762307931</v>
      </c>
      <c r="N1243" s="16" t="n">
        <f aca="false">IF(D1243="","",(I1243+M1243)/2)</f>
        <v>6.60464900058106</v>
      </c>
      <c r="O1243" s="16" t="n">
        <f aca="false">IF(D1243="","",G1243*N1243)</f>
        <v>1.77466918645613</v>
      </c>
      <c r="P1243" s="16" t="n">
        <f aca="false">IF(D1243="","",H1243+E1243-K1243-O1243)</f>
        <v>42.3351292007086</v>
      </c>
      <c r="Q1243" s="16" t="n">
        <f aca="false">IF(D1243="","",IF(P1243&gt;=0,K1243,MAX(0,K1243+P1243)))</f>
        <v>0.9072</v>
      </c>
      <c r="R1243" s="16" t="n">
        <f aca="false">IF(D1243="","",Q1243/$B$15)</f>
        <v>0.35</v>
      </c>
      <c r="S1243" s="16" t="n">
        <f aca="false">IF(D1243="","",MAX(0,J1243-R1243))</f>
        <v>0</v>
      </c>
      <c r="T1243" s="16" t="n">
        <f aca="false">IF(D1243="","",MAX(0,Z1243-$B$8))</f>
        <v>0</v>
      </c>
      <c r="U1243" s="16" t="n">
        <f aca="false">IF(D1243="","",MAX(0,MIN($B$8,Z1243)))</f>
        <v>42.3351292007086</v>
      </c>
      <c r="V1243" s="16" t="str">
        <f aca="false">IF(D1243="","",IF(S1243&gt;0.0000001,"Sim","Não"))</f>
        <v>Não</v>
      </c>
      <c r="W1243" s="16" t="n">
        <f aca="false">IF(D1243="","",U1243-(H1243+E1243-Q1243-O1243-T1243))</f>
        <v>0</v>
      </c>
      <c r="X1243" s="16" t="n">
        <f aca="false">IF(W1243="","",ABS(W1243))</f>
        <v>0</v>
      </c>
      <c r="Y1243" s="16" t="n">
        <f aca="false">IF(U1243="","",IF($B$8=0,0,U1243/$B$8*100))</f>
        <v>89.6550808994252</v>
      </c>
      <c r="Z1243" s="18" t="n">
        <f aca="false">IF(D1243="","",MAX(0,IF(P1243&gt;=0,P1243,IF(K1243+P1243&gt;=0,0,P1243+K1243))))</f>
        <v>42.3351292007086</v>
      </c>
      <c r="AA1243" s="18" t="n">
        <f aca="false">IF(D1243="","",IF(H1243&lt;=$B$16,1,IF(H1243&gt;=$B$17,$B$21,MATCH(H1243,Aux_CAV!$A$2:$A$121,1))))</f>
        <v>13</v>
      </c>
      <c r="AB1243" s="18" t="n">
        <f aca="false">IF(D1243="","",IF(L1243&lt;=$B$16,1,IF(L1243&gt;=$B$17,$B$21,MATCH(L1243,Aux_CAV!$A$2:$A$121,1))))</f>
        <v>13</v>
      </c>
      <c r="AC1243" s="19" t="n">
        <f aca="false">IF(D1243="","",COUNT($D$24:D1243))</f>
        <v>1208</v>
      </c>
    </row>
    <row r="1244" customFormat="false" ht="12.75" hidden="false" customHeight="true" outlineLevel="0" collapsed="false">
      <c r="A1244" s="14" t="n">
        <f aca="false">IF(D1244="","",DATE(B1244,C1244,1))</f>
        <v>40787</v>
      </c>
      <c r="B1244" s="15" t="n">
        <f aca="false" t="array" ref="B1244:B1244">IF(D1244="","",IFERROR(VALUE(INDEX(Vazoes_COLAR!$A$2:$A$200,INT((ROW()-24)/12)+1)),""))</f>
        <v>2011</v>
      </c>
      <c r="C1244" s="15" t="n">
        <f aca="false">IF(D1244="","",MOD(ROW()-24,12)+1)</f>
        <v>9</v>
      </c>
      <c r="D1244" s="16" t="n">
        <f aca="false" t="array" ref="D1244: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0.0282327425663551</v>
      </c>
      <c r="E1244" s="16" t="n">
        <f aca="false">IF(D1244="","",D1244*$B$15)</f>
        <v>0.0731792687319924</v>
      </c>
      <c r="F1244" s="16" t="n">
        <f aca="false" t="array" ref="F1244:F1244">IF(D1244="","",IFERROR(INDEX(Dados_Evap!$C$2:$N$15,MATCH($B$9,Dados_Evap!$A$2:$A$15,0),C1244),0))</f>
        <v>292.8</v>
      </c>
      <c r="G1244" s="16" t="n">
        <f aca="false">IF(F1244="","",F1244/1000)</f>
        <v>0.2928</v>
      </c>
      <c r="H1244" s="16" t="n">
        <f aca="false">IF(D1244="","",MAX(0,MIN($B$8,IFERROR(LOOKUP(2,1/($U$24:U1243&lt;&gt;""),$U$24:U1243),$B$11))))</f>
        <v>42.3351292007086</v>
      </c>
      <c r="I1244" s="16" t="n">
        <f aca="false" t="array" ref="I1244: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>6.48228098151729</v>
      </c>
      <c r="J1244" s="16" t="n">
        <f aca="false">IF(D1244="","",$B$12)</f>
        <v>0.35</v>
      </c>
      <c r="K1244" s="16" t="n">
        <f aca="false">IF(J1244="","",J1244*$B$15)</f>
        <v>0.9072</v>
      </c>
      <c r="L1244" s="16" t="n">
        <f aca="false">IF(D1244="","",H1244+E1244-K1244-G1244*I1244)</f>
        <v>39.6030965980523</v>
      </c>
      <c r="M1244" s="16" t="n">
        <f aca="false" t="array" ref="M1244: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>6.20950728612629</v>
      </c>
      <c r="N1244" s="16" t="n">
        <f aca="false">IF(D1244="","",(I1244+M1244)/2)</f>
        <v>6.34589413382179</v>
      </c>
      <c r="O1244" s="16" t="n">
        <f aca="false">IF(D1244="","",G1244*N1244)</f>
        <v>1.85807780238302</v>
      </c>
      <c r="P1244" s="16" t="n">
        <f aca="false">IF(D1244="","",H1244+E1244-K1244-O1244)</f>
        <v>39.6430306670575</v>
      </c>
      <c r="Q1244" s="16" t="n">
        <f aca="false">IF(D1244="","",IF(P1244&gt;=0,K1244,MAX(0,K1244+P1244)))</f>
        <v>0.9072</v>
      </c>
      <c r="R1244" s="16" t="n">
        <f aca="false">IF(D1244="","",Q1244/$B$15)</f>
        <v>0.35</v>
      </c>
      <c r="S1244" s="16" t="n">
        <f aca="false">IF(D1244="","",MAX(0,J1244-R1244))</f>
        <v>0</v>
      </c>
      <c r="T1244" s="16" t="n">
        <f aca="false">IF(D1244="","",MAX(0,Z1244-$B$8))</f>
        <v>0</v>
      </c>
      <c r="U1244" s="16" t="n">
        <f aca="false">IF(D1244="","",MAX(0,MIN($B$8,Z1244)))</f>
        <v>39.6430306670575</v>
      </c>
      <c r="V1244" s="16" t="str">
        <f aca="false">IF(D1244="","",IF(S1244&gt;0.0000001,"Sim","Não"))</f>
        <v>Não</v>
      </c>
      <c r="W1244" s="16" t="n">
        <f aca="false">IF(D1244="","",U1244-(H1244+E1244-Q1244-O1244-T1244))</f>
        <v>0</v>
      </c>
      <c r="X1244" s="16" t="n">
        <f aca="false">IF(W1244="","",ABS(W1244))</f>
        <v>0</v>
      </c>
      <c r="Y1244" s="16" t="n">
        <f aca="false">IF(U1244="","",IF($B$8=0,0,U1244/$B$8*100))</f>
        <v>83.9538980666191</v>
      </c>
      <c r="Z1244" s="18" t="n">
        <f aca="false">IF(D1244="","",MAX(0,IF(P1244&gt;=0,P1244,IF(K1244+P1244&gt;=0,0,P1244+K1244))))</f>
        <v>39.6430306670575</v>
      </c>
      <c r="AA1244" s="18" t="n">
        <f aca="false">IF(D1244="","",IF(H1244&lt;=$B$16,1,IF(H1244&gt;=$B$17,$B$21,MATCH(H1244,Aux_CAV!$A$2:$A$121,1))))</f>
        <v>13</v>
      </c>
      <c r="AB1244" s="18" t="n">
        <f aca="false">IF(D1244="","",IF(L1244&lt;=$B$16,1,IF(L1244&gt;=$B$17,$B$21,MATCH(L1244,Aux_CAV!$A$2:$A$121,1))))</f>
        <v>13</v>
      </c>
      <c r="AC1244" s="19" t="n">
        <f aca="false">IF(D1244="","",COUNT($D$24:D1244))</f>
        <v>1209</v>
      </c>
    </row>
    <row r="1245" customFormat="false" ht="12.75" hidden="false" customHeight="true" outlineLevel="0" collapsed="false">
      <c r="A1245" s="14" t="n">
        <f aca="false">IF(D1245="","",DATE(B1245,C1245,1))</f>
        <v>40817</v>
      </c>
      <c r="B1245" s="15" t="n">
        <f aca="false" t="array" ref="B1245:B1245">IF(D1245="","",IFERROR(VALUE(INDEX(Vazoes_COLAR!$A$2:$A$200,INT((ROW()-24)/12)+1)),""))</f>
        <v>2011</v>
      </c>
      <c r="C1245" s="15" t="n">
        <f aca="false">IF(D1245="","",MOD(ROW()-24,12)+1)</f>
        <v>10</v>
      </c>
      <c r="D1245" s="16" t="n">
        <f aca="false" t="array" ref="D1245: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0.537084960956929</v>
      </c>
      <c r="E1245" s="16" t="n">
        <f aca="false">IF(D1245="","",D1245*$B$15)</f>
        <v>1.39212421880036</v>
      </c>
      <c r="F1245" s="16" t="n">
        <f aca="false" t="array" ref="F1245:F1245">IF(D1245="","",IFERROR(INDEX(Dados_Evap!$C$2:$N$15,MATCH($B$9,Dados_Evap!$A$2:$A$15,0),C1245),0))</f>
        <v>262.9</v>
      </c>
      <c r="G1245" s="16" t="n">
        <f aca="false">IF(F1245="","",F1245/1000)</f>
        <v>0.2629</v>
      </c>
      <c r="H1245" s="16" t="n">
        <f aca="false">IF(D1245="","",MAX(0,MIN($B$8,IFERROR(LOOKUP(2,1/($U$24:U1244&lt;&gt;""),$U$24:U1244),$B$11))))</f>
        <v>39.6430306670575</v>
      </c>
      <c r="I1245" s="16" t="n">
        <f aca="false" t="array" ref="I1245: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>6.21349441408515</v>
      </c>
      <c r="J1245" s="16" t="n">
        <f aca="false">IF(D1245="","",$B$12)</f>
        <v>0.35</v>
      </c>
      <c r="K1245" s="16" t="n">
        <f aca="false">IF(J1245="","",J1245*$B$15)</f>
        <v>0.9072</v>
      </c>
      <c r="L1245" s="16" t="n">
        <f aca="false">IF(D1245="","",H1245+E1245-K1245-G1245*I1245)</f>
        <v>38.4944272043949</v>
      </c>
      <c r="M1245" s="16" t="n">
        <f aca="false" t="array" ref="M1245: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>6.09881466584761</v>
      </c>
      <c r="N1245" s="16" t="n">
        <f aca="false">IF(D1245="","",(I1245+M1245)/2)</f>
        <v>6.15615453996638</v>
      </c>
      <c r="O1245" s="16" t="n">
        <f aca="false">IF(D1245="","",G1245*N1245)</f>
        <v>1.61845302855716</v>
      </c>
      <c r="P1245" s="16" t="n">
        <f aca="false">IF(D1245="","",H1245+E1245-K1245-O1245)</f>
        <v>38.5095018573007</v>
      </c>
      <c r="Q1245" s="16" t="n">
        <f aca="false">IF(D1245="","",IF(P1245&gt;=0,K1245,MAX(0,K1245+P1245)))</f>
        <v>0.9072</v>
      </c>
      <c r="R1245" s="16" t="n">
        <f aca="false">IF(D1245="","",Q1245/$B$15)</f>
        <v>0.35</v>
      </c>
      <c r="S1245" s="16" t="n">
        <f aca="false">IF(D1245="","",MAX(0,J1245-R1245))</f>
        <v>0</v>
      </c>
      <c r="T1245" s="16" t="n">
        <f aca="false">IF(D1245="","",MAX(0,Z1245-$B$8))</f>
        <v>0</v>
      </c>
      <c r="U1245" s="16" t="n">
        <f aca="false">IF(D1245="","",MAX(0,MIN($B$8,Z1245)))</f>
        <v>38.5095018573007</v>
      </c>
      <c r="V1245" s="16" t="str">
        <f aca="false">IF(D1245="","",IF(S1245&gt;0.0000001,"Sim","Não"))</f>
        <v>Não</v>
      </c>
      <c r="W1245" s="16" t="n">
        <f aca="false">IF(D1245="","",U1245-(H1245+E1245-Q1245-O1245-T1245))</f>
        <v>0</v>
      </c>
      <c r="X1245" s="16" t="n">
        <f aca="false">IF(W1245="","",ABS(W1245))</f>
        <v>0</v>
      </c>
      <c r="Y1245" s="16" t="n">
        <f aca="false">IF(U1245="","",IF($B$8=0,0,U1245/$B$8*100))</f>
        <v>81.5533711505734</v>
      </c>
      <c r="Z1245" s="18" t="n">
        <f aca="false">IF(D1245="","",MAX(0,IF(P1245&gt;=0,P1245,IF(K1245+P1245&gt;=0,0,P1245+K1245))))</f>
        <v>38.5095018573007</v>
      </c>
      <c r="AA1245" s="18" t="n">
        <f aca="false">IF(D1245="","",IF(H1245&lt;=$B$16,1,IF(H1245&gt;=$B$17,$B$21,MATCH(H1245,Aux_CAV!$A$2:$A$121,1))))</f>
        <v>13</v>
      </c>
      <c r="AB1245" s="18" t="n">
        <f aca="false">IF(D1245="","",IF(L1245&lt;=$B$16,1,IF(L1245&gt;=$B$17,$B$21,MATCH(L1245,Aux_CAV!$A$2:$A$121,1))))</f>
        <v>13</v>
      </c>
      <c r="AC1245" s="19" t="n">
        <f aca="false">IF(D1245="","",COUNT($D$24:D1245))</f>
        <v>1210</v>
      </c>
    </row>
    <row r="1246" customFormat="false" ht="12.75" hidden="false" customHeight="true" outlineLevel="0" collapsed="false">
      <c r="A1246" s="14" t="n">
        <f aca="false">IF(D1246="","",DATE(B1246,C1246,1))</f>
        <v>40848</v>
      </c>
      <c r="B1246" s="15" t="n">
        <f aca="false" t="array" ref="B1246:B1246">IF(D1246="","",IFERROR(VALUE(INDEX(Vazoes_COLAR!$A$2:$A$200,INT((ROW()-24)/12)+1)),""))</f>
        <v>2011</v>
      </c>
      <c r="C1246" s="15" t="n">
        <f aca="false">IF(D1246="","",MOD(ROW()-24,12)+1)</f>
        <v>11</v>
      </c>
      <c r="D1246" s="16" t="n">
        <f aca="false" t="array" ref="D1246: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0.430430436723567</v>
      </c>
      <c r="E1246" s="16" t="n">
        <f aca="false">IF(D1246="","",D1246*$B$15)</f>
        <v>1.11567569198749</v>
      </c>
      <c r="F1246" s="16" t="n">
        <f aca="false" t="array" ref="F1246:F1246">IF(D1246="","",IFERROR(INDEX(Dados_Evap!$C$2:$N$15,MATCH($B$9,Dados_Evap!$A$2:$A$15,0),C1246),0))</f>
        <v>223.7</v>
      </c>
      <c r="G1246" s="16" t="n">
        <f aca="false">IF(F1246="","",F1246/1000)</f>
        <v>0.2237</v>
      </c>
      <c r="H1246" s="16" t="n">
        <f aca="false">IF(D1246="","",MAX(0,MIN($B$8,IFERROR(LOOKUP(2,1/($U$24:U1245&lt;&gt;""),$U$24:U1245),$B$11))))</f>
        <v>38.5095018573007</v>
      </c>
      <c r="I1246" s="16" t="n">
        <f aca="false" t="array" ref="I1246: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>6.10031976090974</v>
      </c>
      <c r="J1246" s="16" t="n">
        <f aca="false">IF(D1246="","",$B$12)</f>
        <v>0.35</v>
      </c>
      <c r="K1246" s="16" t="n">
        <f aca="false">IF(J1246="","",J1246*$B$15)</f>
        <v>0.9072</v>
      </c>
      <c r="L1246" s="16" t="n">
        <f aca="false">IF(D1246="","",H1246+E1246-K1246-G1246*I1246)</f>
        <v>37.3533360187727</v>
      </c>
      <c r="M1246" s="16" t="n">
        <f aca="false" t="array" ref="M1246: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>5.98488496413847</v>
      </c>
      <c r="N1246" s="16" t="n">
        <f aca="false">IF(D1246="","",(I1246+M1246)/2)</f>
        <v>6.04260236252411</v>
      </c>
      <c r="O1246" s="16" t="n">
        <f aca="false">IF(D1246="","",G1246*N1246)</f>
        <v>1.35173014849664</v>
      </c>
      <c r="P1246" s="16" t="n">
        <f aca="false">IF(D1246="","",H1246+E1246-K1246-O1246)</f>
        <v>37.3662474007916</v>
      </c>
      <c r="Q1246" s="16" t="n">
        <f aca="false">IF(D1246="","",IF(P1246&gt;=0,K1246,MAX(0,K1246+P1246)))</f>
        <v>0.9072</v>
      </c>
      <c r="R1246" s="16" t="n">
        <f aca="false">IF(D1246="","",Q1246/$B$15)</f>
        <v>0.35</v>
      </c>
      <c r="S1246" s="16" t="n">
        <f aca="false">IF(D1246="","",MAX(0,J1246-R1246))</f>
        <v>0</v>
      </c>
      <c r="T1246" s="16" t="n">
        <f aca="false">IF(D1246="","",MAX(0,Z1246-$B$8))</f>
        <v>0</v>
      </c>
      <c r="U1246" s="16" t="n">
        <f aca="false">IF(D1246="","",MAX(0,MIN($B$8,Z1246)))</f>
        <v>37.3662474007916</v>
      </c>
      <c r="V1246" s="16" t="str">
        <f aca="false">IF(D1246="","",IF(S1246&gt;0.0000001,"Sim","Não"))</f>
        <v>Não</v>
      </c>
      <c r="W1246" s="16" t="n">
        <f aca="false">IF(D1246="","",U1246-(H1246+E1246-Q1246-O1246-T1246))</f>
        <v>0</v>
      </c>
      <c r="X1246" s="16" t="n">
        <f aca="false">IF(W1246="","",ABS(W1246))</f>
        <v>0</v>
      </c>
      <c r="Y1246" s="16" t="n">
        <f aca="false">IF(U1246="","",IF($B$8=0,0,U1246/$B$8*100))</f>
        <v>79.1322477780423</v>
      </c>
      <c r="Z1246" s="18" t="n">
        <f aca="false">IF(D1246="","",MAX(0,IF(P1246&gt;=0,P1246,IF(K1246+P1246&gt;=0,0,P1246+K1246))))</f>
        <v>37.3662474007916</v>
      </c>
      <c r="AA1246" s="18" t="n">
        <f aca="false">IF(D1246="","",IF(H1246&lt;=$B$16,1,IF(H1246&gt;=$B$17,$B$21,MATCH(H1246,Aux_CAV!$A$2:$A$121,1))))</f>
        <v>13</v>
      </c>
      <c r="AB1246" s="18" t="n">
        <f aca="false">IF(D1246="","",IF(L1246&lt;=$B$16,1,IF(L1246&gt;=$B$17,$B$21,MATCH(L1246,Aux_CAV!$A$2:$A$121,1))))</f>
        <v>13</v>
      </c>
      <c r="AC1246" s="19" t="n">
        <f aca="false">IF(D1246="","",COUNT($D$24:D1246))</f>
        <v>1211</v>
      </c>
    </row>
    <row r="1247" customFormat="false" ht="12.75" hidden="false" customHeight="true" outlineLevel="0" collapsed="false">
      <c r="A1247" s="14" t="n">
        <f aca="false">IF(D1247="","",DATE(B1247,C1247,1))</f>
        <v>40878</v>
      </c>
      <c r="B1247" s="15" t="n">
        <f aca="false" t="array" ref="B1247:B1247">IF(D1247="","",IFERROR(VALUE(INDEX(Vazoes_COLAR!$A$2:$A$200,INT((ROW()-24)/12)+1)),""))</f>
        <v>2011</v>
      </c>
      <c r="C1247" s="15" t="n">
        <f aca="false">IF(D1247="","",MOD(ROW()-24,12)+1)</f>
        <v>12</v>
      </c>
      <c r="D1247" s="16" t="n">
        <f aca="false" t="array" ref="D1247: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0.098416593343502</v>
      </c>
      <c r="E1247" s="16" t="n">
        <f aca="false">IF(D1247="","",D1247*$B$15)</f>
        <v>0.255095809946357</v>
      </c>
      <c r="F1247" s="16" t="n">
        <f aca="false" t="array" ref="F1247:F1247">IF(D1247="","",IFERROR(INDEX(Dados_Evap!$C$2:$N$15,MATCH($B$9,Dados_Evap!$A$2:$A$15,0),C1247),0))</f>
        <v>216.1</v>
      </c>
      <c r="G1247" s="16" t="n">
        <f aca="false">IF(F1247="","",F1247/1000)</f>
        <v>0.2161</v>
      </c>
      <c r="H1247" s="16" t="n">
        <f aca="false">IF(D1247="","",MAX(0,MIN($B$8,IFERROR(LOOKUP(2,1/($U$24:U1246&lt;&gt;""),$U$24:U1246),$B$11))))</f>
        <v>37.3662474007916</v>
      </c>
      <c r="I1247" s="16" t="n">
        <f aca="false" t="array" ref="I1247: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>5.98617407224885</v>
      </c>
      <c r="J1247" s="16" t="n">
        <f aca="false">IF(D1247="","",$B$12)</f>
        <v>0.35</v>
      </c>
      <c r="K1247" s="16" t="n">
        <f aca="false">IF(J1247="","",J1247*$B$15)</f>
        <v>0.9072</v>
      </c>
      <c r="L1247" s="16" t="n">
        <f aca="false">IF(D1247="","",H1247+E1247-K1247-G1247*I1247)</f>
        <v>35.420530993725</v>
      </c>
      <c r="M1247" s="16" t="n">
        <f aca="false" t="array" ref="M1247: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>5.79190836179487</v>
      </c>
      <c r="N1247" s="16" t="n">
        <f aca="false">IF(D1247="","",(I1247+M1247)/2)</f>
        <v>5.88904121702186</v>
      </c>
      <c r="O1247" s="16" t="n">
        <f aca="false">IF(D1247="","",G1247*N1247)</f>
        <v>1.27262180699842</v>
      </c>
      <c r="P1247" s="16" t="n">
        <f aca="false">IF(D1247="","",H1247+E1247-K1247-O1247)</f>
        <v>35.4415214037395</v>
      </c>
      <c r="Q1247" s="16" t="n">
        <f aca="false">IF(D1247="","",IF(P1247&gt;=0,K1247,MAX(0,K1247+P1247)))</f>
        <v>0.9072</v>
      </c>
      <c r="R1247" s="16" t="n">
        <f aca="false">IF(D1247="","",Q1247/$B$15)</f>
        <v>0.35</v>
      </c>
      <c r="S1247" s="16" t="n">
        <f aca="false">IF(D1247="","",MAX(0,J1247-R1247))</f>
        <v>0</v>
      </c>
      <c r="T1247" s="16" t="n">
        <f aca="false">IF(D1247="","",MAX(0,Z1247-$B$8))</f>
        <v>0</v>
      </c>
      <c r="U1247" s="16" t="n">
        <f aca="false">IF(D1247="","",MAX(0,MIN($B$8,Z1247)))</f>
        <v>35.4415214037395</v>
      </c>
      <c r="V1247" s="16" t="str">
        <f aca="false">IF(D1247="","",IF(S1247&gt;0.0000001,"Sim","Não"))</f>
        <v>Não</v>
      </c>
      <c r="W1247" s="16" t="n">
        <f aca="false">IF(D1247="","",U1247-(H1247+E1247-Q1247-O1247-T1247))</f>
        <v>0</v>
      </c>
      <c r="X1247" s="16" t="n">
        <f aca="false">IF(W1247="","",ABS(W1247))</f>
        <v>0</v>
      </c>
      <c r="Y1247" s="16" t="n">
        <f aca="false">IF(U1247="","",IF($B$8=0,0,U1247/$B$8*100))</f>
        <v>75.0561656157126</v>
      </c>
      <c r="Z1247" s="18" t="n">
        <f aca="false">IF(D1247="","",MAX(0,IF(P1247&gt;=0,P1247,IF(K1247+P1247&gt;=0,0,P1247+K1247))))</f>
        <v>35.4415214037395</v>
      </c>
      <c r="AA1247" s="18" t="n">
        <f aca="false">IF(D1247="","",IF(H1247&lt;=$B$16,1,IF(H1247&gt;=$B$17,$B$21,MATCH(H1247,Aux_CAV!$A$2:$A$121,1))))</f>
        <v>13</v>
      </c>
      <c r="AB1247" s="18" t="n">
        <f aca="false">IF(D1247="","",IF(L1247&lt;=$B$16,1,IF(L1247&gt;=$B$17,$B$21,MATCH(L1247,Aux_CAV!$A$2:$A$121,1))))</f>
        <v>13</v>
      </c>
      <c r="AC1247" s="19" t="n">
        <f aca="false">IF(D1247="","",COUNT($D$24:D1247))</f>
        <v>1212</v>
      </c>
    </row>
    <row r="1248" customFormat="false" ht="12.75" hidden="false" customHeight="true" outlineLevel="0" collapsed="false">
      <c r="A1248" s="14" t="n">
        <f aca="false">IF(D1248="","",DATE(B1248,C1248,1))</f>
        <v>40909</v>
      </c>
      <c r="B1248" s="15" t="n">
        <f aca="false" t="array" ref="B1248:B1248">IF(D1248="","",IFERROR(VALUE(INDEX(Vazoes_COLAR!$A$2:$A$200,INT((ROW()-24)/12)+1)),""))</f>
        <v>2012</v>
      </c>
      <c r="C1248" s="15" t="n">
        <f aca="false">IF(D1248="","",MOD(ROW()-24,12)+1)</f>
        <v>1</v>
      </c>
      <c r="D1248" s="16" t="n">
        <f aca="false" t="array" ref="D1248: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0.297035808897738</v>
      </c>
      <c r="E1248" s="16" t="n">
        <f aca="false">IF(D1248="","",D1248*$B$15)</f>
        <v>0.769916816662937</v>
      </c>
      <c r="F1248" s="16" t="n">
        <f aca="false" t="array" ref="F1248:F1248">IF(D1248="","",IFERROR(INDEX(Dados_Evap!$C$2:$N$15,MATCH($B$9,Dados_Evap!$A$2:$A$15,0),C1248),0))</f>
        <v>160</v>
      </c>
      <c r="G1248" s="16" t="n">
        <f aca="false">IF(F1248="","",F1248/1000)</f>
        <v>0.16</v>
      </c>
      <c r="H1248" s="16" t="n">
        <f aca="false">IF(D1248="","",MAX(0,MIN($B$8,IFERROR(LOOKUP(2,1/($U$24:U1247&lt;&gt;""),$U$24:U1247),$B$11))))</f>
        <v>35.4415214037395</v>
      </c>
      <c r="I1248" s="16" t="n">
        <f aca="false" t="array" ref="I1248: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>5.79400410241739</v>
      </c>
      <c r="J1248" s="16" t="n">
        <f aca="false">IF(D1248="","",$B$12)</f>
        <v>0.35</v>
      </c>
      <c r="K1248" s="16" t="n">
        <f aca="false">IF(J1248="","",J1248*$B$15)</f>
        <v>0.9072</v>
      </c>
      <c r="L1248" s="16" t="n">
        <f aca="false">IF(D1248="","",H1248+E1248-K1248-G1248*I1248)</f>
        <v>34.3771975640157</v>
      </c>
      <c r="M1248" s="16" t="n">
        <f aca="false" t="array" ref="M1248: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>5.68724285373755</v>
      </c>
      <c r="N1248" s="16" t="n">
        <f aca="false">IF(D1248="","",(I1248+M1248)/2)</f>
        <v>5.74062347807747</v>
      </c>
      <c r="O1248" s="16" t="n">
        <f aca="false">IF(D1248="","",G1248*N1248)</f>
        <v>0.918499756492395</v>
      </c>
      <c r="P1248" s="16" t="n">
        <f aca="false">IF(D1248="","",H1248+E1248-K1248-O1248)</f>
        <v>34.38573846391</v>
      </c>
      <c r="Q1248" s="16" t="n">
        <f aca="false">IF(D1248="","",IF(P1248&gt;=0,K1248,MAX(0,K1248+P1248)))</f>
        <v>0.9072</v>
      </c>
      <c r="R1248" s="16" t="n">
        <f aca="false">IF(D1248="","",Q1248/$B$15)</f>
        <v>0.35</v>
      </c>
      <c r="S1248" s="16" t="n">
        <f aca="false">IF(D1248="","",MAX(0,J1248-R1248))</f>
        <v>0</v>
      </c>
      <c r="T1248" s="16" t="n">
        <f aca="false">IF(D1248="","",MAX(0,Z1248-$B$8))</f>
        <v>0</v>
      </c>
      <c r="U1248" s="16" t="n">
        <f aca="false">IF(D1248="","",MAX(0,MIN($B$8,Z1248)))</f>
        <v>34.38573846391</v>
      </c>
      <c r="V1248" s="16" t="str">
        <f aca="false">IF(D1248="","",IF(S1248&gt;0.0000001,"Sim","Não"))</f>
        <v>Não</v>
      </c>
      <c r="W1248" s="16" t="n">
        <f aca="false">IF(D1248="","",U1248-(H1248+E1248-Q1248-O1248-T1248))</f>
        <v>0</v>
      </c>
      <c r="X1248" s="16" t="n">
        <f aca="false">IF(W1248="","",ABS(W1248))</f>
        <v>0</v>
      </c>
      <c r="Y1248" s="16" t="n">
        <f aca="false">IF(U1248="","",IF($B$8=0,0,U1248/$B$8*100))</f>
        <v>72.8202847605041</v>
      </c>
      <c r="Z1248" s="18" t="n">
        <f aca="false">IF(D1248="","",MAX(0,IF(P1248&gt;=0,P1248,IF(K1248+P1248&gt;=0,0,P1248+K1248))))</f>
        <v>34.38573846391</v>
      </c>
      <c r="AA1248" s="18" t="n">
        <f aca="false">IF(D1248="","",IF(H1248&lt;=$B$16,1,IF(H1248&gt;=$B$17,$B$21,MATCH(H1248,Aux_CAV!$A$2:$A$121,1))))</f>
        <v>13</v>
      </c>
      <c r="AB1248" s="18" t="n">
        <f aca="false">IF(D1248="","",IF(L1248&lt;=$B$16,1,IF(L1248&gt;=$B$17,$B$21,MATCH(L1248,Aux_CAV!$A$2:$A$121,1))))</f>
        <v>12</v>
      </c>
      <c r="AC1248" s="19" t="n">
        <f aca="false">IF(D1248="","",COUNT($D$24:D1248))</f>
        <v>1213</v>
      </c>
    </row>
    <row r="1249" customFormat="false" ht="12.75" hidden="false" customHeight="true" outlineLevel="0" collapsed="false">
      <c r="A1249" s="14" t="n">
        <f aca="false">IF(D1249="","",DATE(B1249,C1249,1))</f>
        <v>40940</v>
      </c>
      <c r="B1249" s="15" t="n">
        <f aca="false" t="array" ref="B1249:B1249">IF(D1249="","",IFERROR(VALUE(INDEX(Vazoes_COLAR!$A$2:$A$200,INT((ROW()-24)/12)+1)),""))</f>
        <v>2012</v>
      </c>
      <c r="C1249" s="15" t="n">
        <f aca="false">IF(D1249="","",MOD(ROW()-24,12)+1)</f>
        <v>2</v>
      </c>
      <c r="D1249" s="16" t="n">
        <f aca="false" t="array" ref="D1249: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1.09828636142596</v>
      </c>
      <c r="E1249" s="16" t="n">
        <f aca="false">IF(D1249="","",D1249*$B$15)</f>
        <v>2.84675824881609</v>
      </c>
      <c r="F1249" s="16" t="n">
        <f aca="false" t="array" ref="F1249:F1249">IF(D1249="","",IFERROR(INDEX(Dados_Evap!$C$2:$N$15,MATCH($B$9,Dados_Evap!$A$2:$A$15,0),C1249),0))</f>
        <v>124.3</v>
      </c>
      <c r="G1249" s="16" t="n">
        <f aca="false">IF(F1249="","",F1249/1000)</f>
        <v>0.1243</v>
      </c>
      <c r="H1249" s="16" t="n">
        <f aca="false">IF(D1249="","",MAX(0,MIN($B$8,IFERROR(LOOKUP(2,1/($U$24:U1248&lt;&gt;""),$U$24:U1248),$B$11))))</f>
        <v>34.38573846391</v>
      </c>
      <c r="I1249" s="16" t="n">
        <f aca="false" t="array" ref="I1249: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>5.68813011227027</v>
      </c>
      <c r="J1249" s="16" t="n">
        <f aca="false">IF(D1249="","",$B$12)</f>
        <v>0.35</v>
      </c>
      <c r="K1249" s="16" t="n">
        <f aca="false">IF(J1249="","",J1249*$B$15)</f>
        <v>0.9072</v>
      </c>
      <c r="L1249" s="16" t="n">
        <f aca="false">IF(D1249="","",H1249+E1249-K1249-G1249*I1249)</f>
        <v>35.6182621397709</v>
      </c>
      <c r="M1249" s="16" t="n">
        <f aca="false" t="array" ref="M1249: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>5.81165038659663</v>
      </c>
      <c r="N1249" s="16" t="n">
        <f aca="false">IF(D1249="","",(I1249+M1249)/2)</f>
        <v>5.74989024943345</v>
      </c>
      <c r="O1249" s="16" t="n">
        <f aca="false">IF(D1249="","",G1249*N1249)</f>
        <v>0.714711358004577</v>
      </c>
      <c r="P1249" s="16" t="n">
        <f aca="false">IF(D1249="","",H1249+E1249-K1249-O1249)</f>
        <v>35.6105853547216</v>
      </c>
      <c r="Q1249" s="16" t="n">
        <f aca="false">IF(D1249="","",IF(P1249&gt;=0,K1249,MAX(0,K1249+P1249)))</f>
        <v>0.9072</v>
      </c>
      <c r="R1249" s="16" t="n">
        <f aca="false">IF(D1249="","",Q1249/$B$15)</f>
        <v>0.35</v>
      </c>
      <c r="S1249" s="16" t="n">
        <f aca="false">IF(D1249="","",MAX(0,J1249-R1249))</f>
        <v>0</v>
      </c>
      <c r="T1249" s="16" t="n">
        <f aca="false">IF(D1249="","",MAX(0,Z1249-$B$8))</f>
        <v>0</v>
      </c>
      <c r="U1249" s="16" t="n">
        <f aca="false">IF(D1249="","",MAX(0,MIN($B$8,Z1249)))</f>
        <v>35.6105853547216</v>
      </c>
      <c r="V1249" s="16" t="str">
        <f aca="false">IF(D1249="","",IF(S1249&gt;0.0000001,"Sim","Não"))</f>
        <v>Não</v>
      </c>
      <c r="W1249" s="16" t="n">
        <f aca="false">IF(D1249="","",U1249-(H1249+E1249-Q1249-O1249-T1249))</f>
        <v>0</v>
      </c>
      <c r="X1249" s="16" t="n">
        <f aca="false">IF(W1249="","",ABS(W1249))</f>
        <v>0</v>
      </c>
      <c r="Y1249" s="16" t="n">
        <f aca="false">IF(U1249="","",IF($B$8=0,0,U1249/$B$8*100))</f>
        <v>75.4142002429512</v>
      </c>
      <c r="Z1249" s="18" t="n">
        <f aca="false">IF(D1249="","",MAX(0,IF(P1249&gt;=0,P1249,IF(K1249+P1249&gt;=0,0,P1249+K1249))))</f>
        <v>35.6105853547216</v>
      </c>
      <c r="AA1249" s="18" t="n">
        <f aca="false">IF(D1249="","",IF(H1249&lt;=$B$16,1,IF(H1249&gt;=$B$17,$B$21,MATCH(H1249,Aux_CAV!$A$2:$A$121,1))))</f>
        <v>12</v>
      </c>
      <c r="AB1249" s="18" t="n">
        <f aca="false">IF(D1249="","",IF(L1249&lt;=$B$16,1,IF(L1249&gt;=$B$17,$B$21,MATCH(L1249,Aux_CAV!$A$2:$A$121,1))))</f>
        <v>13</v>
      </c>
      <c r="AC1249" s="19" t="n">
        <f aca="false">IF(D1249="","",COUNT($D$24:D1249))</f>
        <v>1214</v>
      </c>
    </row>
    <row r="1250" customFormat="false" ht="12.75" hidden="false" customHeight="true" outlineLevel="0" collapsed="false">
      <c r="A1250" s="14" t="n">
        <f aca="false">IF(D1250="","",DATE(B1250,C1250,1))</f>
        <v>40969</v>
      </c>
      <c r="B1250" s="15" t="n">
        <f aca="false" t="array" ref="B1250:B1250">IF(D1250="","",IFERROR(VALUE(INDEX(Vazoes_COLAR!$A$2:$A$200,INT((ROW()-24)/12)+1)),""))</f>
        <v>2012</v>
      </c>
      <c r="C1250" s="15" t="n">
        <f aca="false">IF(D1250="","",MOD(ROW()-24,12)+1)</f>
        <v>3</v>
      </c>
      <c r="D1250" s="16" t="n">
        <f aca="false" t="array" ref="D1250: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2.41562309976214</v>
      </c>
      <c r="E1250" s="16" t="n">
        <f aca="false">IF(D1250="","",D1250*$B$15)</f>
        <v>6.26129507458347</v>
      </c>
      <c r="F1250" s="16" t="n">
        <f aca="false" t="array" ref="F1250:F1250">IF(D1250="","",IFERROR(INDEX(Dados_Evap!$C$2:$N$15,MATCH($B$9,Dados_Evap!$A$2:$A$15,0),C1250),0))</f>
        <v>107.7</v>
      </c>
      <c r="G1250" s="16" t="n">
        <f aca="false">IF(F1250="","",F1250/1000)</f>
        <v>0.1077</v>
      </c>
      <c r="H1250" s="16" t="n">
        <f aca="false">IF(D1250="","",MAX(0,MIN($B$8,IFERROR(LOOKUP(2,1/($U$24:U1249&lt;&gt;""),$U$24:U1249),$B$11))))</f>
        <v>35.6105853547216</v>
      </c>
      <c r="I1250" s="16" t="n">
        <f aca="false" t="array" ref="I1250: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>5.81088391513336</v>
      </c>
      <c r="J1250" s="16" t="n">
        <f aca="false">IF(D1250="","",$B$12)</f>
        <v>0.35</v>
      </c>
      <c r="K1250" s="16" t="n">
        <f aca="false">IF(J1250="","",J1250*$B$15)</f>
        <v>0.9072</v>
      </c>
      <c r="L1250" s="16" t="n">
        <f aca="false">IF(D1250="","",H1250+E1250-K1250-G1250*I1250)</f>
        <v>40.3388482316452</v>
      </c>
      <c r="M1250" s="16" t="n">
        <f aca="false" t="array" ref="M1250: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>6.28296676526646</v>
      </c>
      <c r="N1250" s="16" t="n">
        <f aca="false">IF(D1250="","",(I1250+M1250)/2)</f>
        <v>6.04692534019991</v>
      </c>
      <c r="O1250" s="16" t="n">
        <f aca="false">IF(D1250="","",G1250*N1250)</f>
        <v>0.65125385913953</v>
      </c>
      <c r="P1250" s="16" t="n">
        <f aca="false">IF(D1250="","",H1250+E1250-K1250-O1250)</f>
        <v>40.3134265701655</v>
      </c>
      <c r="Q1250" s="16" t="n">
        <f aca="false">IF(D1250="","",IF(P1250&gt;=0,K1250,MAX(0,K1250+P1250)))</f>
        <v>0.9072</v>
      </c>
      <c r="R1250" s="16" t="n">
        <f aca="false">IF(D1250="","",Q1250/$B$15)</f>
        <v>0.35</v>
      </c>
      <c r="S1250" s="16" t="n">
        <f aca="false">IF(D1250="","",MAX(0,J1250-R1250))</f>
        <v>0</v>
      </c>
      <c r="T1250" s="16" t="n">
        <f aca="false">IF(D1250="","",MAX(0,Z1250-$B$8))</f>
        <v>0</v>
      </c>
      <c r="U1250" s="16" t="n">
        <f aca="false">IF(D1250="","",MAX(0,MIN($B$8,Z1250)))</f>
        <v>40.3134265701655</v>
      </c>
      <c r="V1250" s="16" t="str">
        <f aca="false">IF(D1250="","",IF(S1250&gt;0.0000001,"Sim","Não"))</f>
        <v>Não</v>
      </c>
      <c r="W1250" s="16" t="n">
        <f aca="false">IF(D1250="","",U1250-(H1250+E1250-Q1250-O1250-T1250))</f>
        <v>0</v>
      </c>
      <c r="X1250" s="16" t="n">
        <f aca="false">IF(W1250="","",ABS(W1250))</f>
        <v>0</v>
      </c>
      <c r="Y1250" s="16" t="n">
        <f aca="false">IF(U1250="","",IF($B$8=0,0,U1250/$B$8*100))</f>
        <v>85.3736267898464</v>
      </c>
      <c r="Z1250" s="18" t="n">
        <f aca="false">IF(D1250="","",MAX(0,IF(P1250&gt;=0,P1250,IF(K1250+P1250&gt;=0,0,P1250+K1250))))</f>
        <v>40.3134265701655</v>
      </c>
      <c r="AA1250" s="18" t="n">
        <f aca="false">IF(D1250="","",IF(H1250&lt;=$B$16,1,IF(H1250&gt;=$B$17,$B$21,MATCH(H1250,Aux_CAV!$A$2:$A$121,1))))</f>
        <v>13</v>
      </c>
      <c r="AB1250" s="18" t="n">
        <f aca="false">IF(D1250="","",IF(L1250&lt;=$B$16,1,IF(L1250&gt;=$B$17,$B$21,MATCH(L1250,Aux_CAV!$A$2:$A$121,1))))</f>
        <v>13</v>
      </c>
      <c r="AC1250" s="19" t="n">
        <f aca="false">IF(D1250="","",COUNT($D$24:D1250))</f>
        <v>1215</v>
      </c>
    </row>
    <row r="1251" customFormat="false" ht="12.75" hidden="false" customHeight="true" outlineLevel="0" collapsed="false">
      <c r="A1251" s="14" t="n">
        <f aca="false">IF(D1251="","",DATE(B1251,C1251,1))</f>
        <v>41000</v>
      </c>
      <c r="B1251" s="15" t="n">
        <f aca="false" t="array" ref="B1251:B1251">IF(D1251="","",IFERROR(VALUE(INDEX(Vazoes_COLAR!$A$2:$A$200,INT((ROW()-24)/12)+1)),""))</f>
        <v>2012</v>
      </c>
      <c r="C1251" s="15" t="n">
        <f aca="false">IF(D1251="","",MOD(ROW()-24,12)+1)</f>
        <v>4</v>
      </c>
      <c r="D1251" s="16" t="n">
        <f aca="false" t="array" ref="D1251: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0.579537668013951</v>
      </c>
      <c r="E1251" s="16" t="n">
        <f aca="false">IF(D1251="","",D1251*$B$15)</f>
        <v>1.50216163549216</v>
      </c>
      <c r="F1251" s="16" t="n">
        <f aca="false" t="array" ref="F1251:F1251">IF(D1251="","",IFERROR(INDEX(Dados_Evap!$C$2:$N$15,MATCH($B$9,Dados_Evap!$A$2:$A$15,0),C1251),0))</f>
        <v>100.5</v>
      </c>
      <c r="G1251" s="16" t="n">
        <f aca="false">IF(F1251="","",F1251/1000)</f>
        <v>0.1005</v>
      </c>
      <c r="H1251" s="16" t="n">
        <f aca="false">IF(D1251="","",MAX(0,MIN($B$8,IFERROR(LOOKUP(2,1/($U$24:U1250&lt;&gt;""),$U$24:U1250),$B$11))))</f>
        <v>40.3134265701655</v>
      </c>
      <c r="I1251" s="16" t="n">
        <f aca="false" t="array" ref="I1251: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>6.28042859623508</v>
      </c>
      <c r="J1251" s="16" t="n">
        <f aca="false">IF(D1251="","",$B$12)</f>
        <v>0.35</v>
      </c>
      <c r="K1251" s="16" t="n">
        <f aca="false">IF(J1251="","",J1251*$B$15)</f>
        <v>0.9072</v>
      </c>
      <c r="L1251" s="16" t="n">
        <f aca="false">IF(D1251="","",H1251+E1251-K1251-G1251*I1251)</f>
        <v>40.277205131736</v>
      </c>
      <c r="M1251" s="16" t="n">
        <f aca="false" t="array" ref="M1251: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>6.27681214758685</v>
      </c>
      <c r="N1251" s="16" t="n">
        <f aca="false">IF(D1251="","",(I1251+M1251)/2)</f>
        <v>6.27862037191096</v>
      </c>
      <c r="O1251" s="16" t="n">
        <f aca="false">IF(D1251="","",G1251*N1251)</f>
        <v>0.631001347377052</v>
      </c>
      <c r="P1251" s="16" t="n">
        <f aca="false">IF(D1251="","",H1251+E1251-K1251-O1251)</f>
        <v>40.2773868582806</v>
      </c>
      <c r="Q1251" s="16" t="n">
        <f aca="false">IF(D1251="","",IF(P1251&gt;=0,K1251,MAX(0,K1251+P1251)))</f>
        <v>0.9072</v>
      </c>
      <c r="R1251" s="16" t="n">
        <f aca="false">IF(D1251="","",Q1251/$B$15)</f>
        <v>0.35</v>
      </c>
      <c r="S1251" s="16" t="n">
        <f aca="false">IF(D1251="","",MAX(0,J1251-R1251))</f>
        <v>0</v>
      </c>
      <c r="T1251" s="16" t="n">
        <f aca="false">IF(D1251="","",MAX(0,Z1251-$B$8))</f>
        <v>0</v>
      </c>
      <c r="U1251" s="16" t="n">
        <f aca="false">IF(D1251="","",MAX(0,MIN($B$8,Z1251)))</f>
        <v>40.2773868582806</v>
      </c>
      <c r="V1251" s="16" t="str">
        <f aca="false">IF(D1251="","",IF(S1251&gt;0.0000001,"Sim","Não"))</f>
        <v>Não</v>
      </c>
      <c r="W1251" s="16" t="n">
        <f aca="false">IF(D1251="","",U1251-(H1251+E1251-Q1251-O1251-T1251))</f>
        <v>0</v>
      </c>
      <c r="X1251" s="16" t="n">
        <f aca="false">IF(W1251="","",ABS(W1251))</f>
        <v>0</v>
      </c>
      <c r="Y1251" s="16" t="n">
        <f aca="false">IF(U1251="","",IF($B$8=0,0,U1251/$B$8*100))</f>
        <v>85.2973038083028</v>
      </c>
      <c r="Z1251" s="18" t="n">
        <f aca="false">IF(D1251="","",MAX(0,IF(P1251&gt;=0,P1251,IF(K1251+P1251&gt;=0,0,P1251+K1251))))</f>
        <v>40.2773868582806</v>
      </c>
      <c r="AA1251" s="18" t="n">
        <f aca="false">IF(D1251="","",IF(H1251&lt;=$B$16,1,IF(H1251&gt;=$B$17,$B$21,MATCH(H1251,Aux_CAV!$A$2:$A$121,1))))</f>
        <v>13</v>
      </c>
      <c r="AB1251" s="18" t="n">
        <f aca="false">IF(D1251="","",IF(L1251&lt;=$B$16,1,IF(L1251&gt;=$B$17,$B$21,MATCH(L1251,Aux_CAV!$A$2:$A$121,1))))</f>
        <v>13</v>
      </c>
      <c r="AC1251" s="19" t="n">
        <f aca="false">IF(D1251="","",COUNT($D$24:D1251))</f>
        <v>1216</v>
      </c>
    </row>
    <row r="1252" customFormat="false" ht="12.75" hidden="false" customHeight="true" outlineLevel="0" collapsed="false">
      <c r="A1252" s="14" t="n">
        <f aca="false">IF(D1252="","",DATE(B1252,C1252,1))</f>
        <v>41030</v>
      </c>
      <c r="B1252" s="15" t="n">
        <f aca="false" t="array" ref="B1252:B1252">IF(D1252="","",IFERROR(VALUE(INDEX(Vazoes_COLAR!$A$2:$A$200,INT((ROW()-24)/12)+1)),""))</f>
        <v>2012</v>
      </c>
      <c r="C1252" s="15" t="n">
        <f aca="false">IF(D1252="","",MOD(ROW()-24,12)+1)</f>
        <v>5</v>
      </c>
      <c r="D1252" s="16" t="n">
        <f aca="false" t="array" ref="D1252: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0.172419075507298</v>
      </c>
      <c r="E1252" s="16" t="n">
        <f aca="false">IF(D1252="","",D1252*$B$15)</f>
        <v>0.446910243714916</v>
      </c>
      <c r="F1252" s="16" t="n">
        <f aca="false" t="array" ref="F1252:F1252">IF(D1252="","",IFERROR(INDEX(Dados_Evap!$C$2:$N$15,MATCH($B$9,Dados_Evap!$A$2:$A$15,0),C1252),0))</f>
        <v>145.8</v>
      </c>
      <c r="G1252" s="16" t="n">
        <f aca="false">IF(F1252="","",F1252/1000)</f>
        <v>0.1458</v>
      </c>
      <c r="H1252" s="16" t="n">
        <f aca="false">IF(D1252="","",MAX(0,MIN($B$8,IFERROR(LOOKUP(2,1/($U$24:U1251&lt;&gt;""),$U$24:U1251),$B$11))))</f>
        <v>40.2773868582806</v>
      </c>
      <c r="I1252" s="16" t="n">
        <f aca="false" t="array" ref="I1252: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>6.27683029166795</v>
      </c>
      <c r="J1252" s="16" t="n">
        <f aca="false">IF(D1252="","",$B$12)</f>
        <v>0.35</v>
      </c>
      <c r="K1252" s="16" t="n">
        <f aca="false">IF(J1252="","",J1252*$B$15)</f>
        <v>0.9072</v>
      </c>
      <c r="L1252" s="16" t="n">
        <f aca="false">IF(D1252="","",H1252+E1252-K1252-G1252*I1252)</f>
        <v>38.9019352454703</v>
      </c>
      <c r="M1252" s="16" t="n">
        <f aca="false" t="array" ref="M1252: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>6.13950139636378</v>
      </c>
      <c r="N1252" s="16" t="n">
        <f aca="false">IF(D1252="","",(I1252+M1252)/2)</f>
        <v>6.20816584401587</v>
      </c>
      <c r="O1252" s="16" t="n">
        <f aca="false">IF(D1252="","",G1252*N1252)</f>
        <v>0.905150580057513</v>
      </c>
      <c r="P1252" s="16" t="n">
        <f aca="false">IF(D1252="","",H1252+E1252-K1252-O1252)</f>
        <v>38.911946521938</v>
      </c>
      <c r="Q1252" s="16" t="n">
        <f aca="false">IF(D1252="","",IF(P1252&gt;=0,K1252,MAX(0,K1252+P1252)))</f>
        <v>0.9072</v>
      </c>
      <c r="R1252" s="16" t="n">
        <f aca="false">IF(D1252="","",Q1252/$B$15)</f>
        <v>0.35</v>
      </c>
      <c r="S1252" s="16" t="n">
        <f aca="false">IF(D1252="","",MAX(0,J1252-R1252))</f>
        <v>0</v>
      </c>
      <c r="T1252" s="16" t="n">
        <f aca="false">IF(D1252="","",MAX(0,Z1252-$B$8))</f>
        <v>0</v>
      </c>
      <c r="U1252" s="16" t="n">
        <f aca="false">IF(D1252="","",MAX(0,MIN($B$8,Z1252)))</f>
        <v>38.911946521938</v>
      </c>
      <c r="V1252" s="16" t="str">
        <f aca="false">IF(D1252="","",IF(S1252&gt;0.0000001,"Sim","Não"))</f>
        <v>Não</v>
      </c>
      <c r="W1252" s="16" t="n">
        <f aca="false">IF(D1252="","",U1252-(H1252+E1252-Q1252-O1252-T1252))</f>
        <v>0</v>
      </c>
      <c r="X1252" s="16" t="n">
        <f aca="false">IF(W1252="","",ABS(W1252))</f>
        <v>0</v>
      </c>
      <c r="Y1252" s="16" t="n">
        <f aca="false">IF(U1252="","",IF($B$8=0,0,U1252/$B$8*100))</f>
        <v>82.4056470180813</v>
      </c>
      <c r="Z1252" s="18" t="n">
        <f aca="false">IF(D1252="","",MAX(0,IF(P1252&gt;=0,P1252,IF(K1252+P1252&gt;=0,0,P1252+K1252))))</f>
        <v>38.911946521938</v>
      </c>
      <c r="AA1252" s="18" t="n">
        <f aca="false">IF(D1252="","",IF(H1252&lt;=$B$16,1,IF(H1252&gt;=$B$17,$B$21,MATCH(H1252,Aux_CAV!$A$2:$A$121,1))))</f>
        <v>13</v>
      </c>
      <c r="AB1252" s="18" t="n">
        <f aca="false">IF(D1252="","",IF(L1252&lt;=$B$16,1,IF(L1252&gt;=$B$17,$B$21,MATCH(L1252,Aux_CAV!$A$2:$A$121,1))))</f>
        <v>13</v>
      </c>
      <c r="AC1252" s="19" t="n">
        <f aca="false">IF(D1252="","",COUNT($D$24:D1252))</f>
        <v>1217</v>
      </c>
    </row>
    <row r="1253" customFormat="false" ht="12.75" hidden="false" customHeight="true" outlineLevel="0" collapsed="false">
      <c r="A1253" s="14" t="n">
        <f aca="false">IF(D1253="","",DATE(B1253,C1253,1))</f>
        <v>41061</v>
      </c>
      <c r="B1253" s="15" t="n">
        <f aca="false" t="array" ref="B1253:B1253">IF(D1253="","",IFERROR(VALUE(INDEX(Vazoes_COLAR!$A$2:$A$200,INT((ROW()-24)/12)+1)),""))</f>
        <v>2012</v>
      </c>
      <c r="C1253" s="15" t="n">
        <f aca="false">IF(D1253="","",MOD(ROW()-24,12)+1)</f>
        <v>6</v>
      </c>
      <c r="D1253" s="16" t="n">
        <f aca="false" t="array" ref="D1253: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0.184220013402863</v>
      </c>
      <c r="E1253" s="16" t="n">
        <f aca="false">IF(D1253="","",D1253*$B$15)</f>
        <v>0.477498274740221</v>
      </c>
      <c r="F1253" s="16" t="n">
        <f aca="false" t="array" ref="F1253:F1253">IF(D1253="","",IFERROR(INDEX(Dados_Evap!$C$2:$N$15,MATCH($B$9,Dados_Evap!$A$2:$A$15,0),C1253),0))</f>
        <v>161.3</v>
      </c>
      <c r="G1253" s="16" t="n">
        <f aca="false">IF(F1253="","",F1253/1000)</f>
        <v>0.1613</v>
      </c>
      <c r="H1253" s="16" t="n">
        <f aca="false">IF(D1253="","",MAX(0,MIN($B$8,IFERROR(LOOKUP(2,1/($U$24:U1252&lt;&gt;""),$U$24:U1252),$B$11))))</f>
        <v>38.911946521938</v>
      </c>
      <c r="I1253" s="16" t="n">
        <f aca="false" t="array" ref="I1253: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>6.14050094991048</v>
      </c>
      <c r="J1253" s="16" t="n">
        <f aca="false">IF(D1253="","",$B$12)</f>
        <v>0.35</v>
      </c>
      <c r="K1253" s="16" t="n">
        <f aca="false">IF(J1253="","",J1253*$B$15)</f>
        <v>0.9072</v>
      </c>
      <c r="L1253" s="16" t="n">
        <f aca="false">IF(D1253="","",H1253+E1253-K1253-G1253*I1253)</f>
        <v>37.4917819934576</v>
      </c>
      <c r="M1253" s="16" t="n">
        <f aca="false" t="array" ref="M1253: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>5.99870779337195</v>
      </c>
      <c r="N1253" s="16" t="n">
        <f aca="false">IF(D1253="","",(I1253+M1253)/2)</f>
        <v>6.06960437164121</v>
      </c>
      <c r="O1253" s="16" t="n">
        <f aca="false">IF(D1253="","",G1253*N1253)</f>
        <v>0.979027185145728</v>
      </c>
      <c r="P1253" s="16" t="n">
        <f aca="false">IF(D1253="","",H1253+E1253-K1253-O1253)</f>
        <v>37.5032176115325</v>
      </c>
      <c r="Q1253" s="16" t="n">
        <f aca="false">IF(D1253="","",IF(P1253&gt;=0,K1253,MAX(0,K1253+P1253)))</f>
        <v>0.9072</v>
      </c>
      <c r="R1253" s="16" t="n">
        <f aca="false">IF(D1253="","",Q1253/$B$15)</f>
        <v>0.35</v>
      </c>
      <c r="S1253" s="16" t="n">
        <f aca="false">IF(D1253="","",MAX(0,J1253-R1253))</f>
        <v>0</v>
      </c>
      <c r="T1253" s="16" t="n">
        <f aca="false">IF(D1253="","",MAX(0,Z1253-$B$8))</f>
        <v>0</v>
      </c>
      <c r="U1253" s="16" t="n">
        <f aca="false">IF(D1253="","",MAX(0,MIN($B$8,Z1253)))</f>
        <v>37.5032176115325</v>
      </c>
      <c r="V1253" s="16" t="str">
        <f aca="false">IF(D1253="","",IF(S1253&gt;0.0000001,"Sim","Não"))</f>
        <v>Não</v>
      </c>
      <c r="W1253" s="16" t="n">
        <f aca="false">IF(D1253="","",U1253-(H1253+E1253-Q1253-O1253-T1253))</f>
        <v>0</v>
      </c>
      <c r="X1253" s="16" t="n">
        <f aca="false">IF(W1253="","",ABS(W1253))</f>
        <v>0</v>
      </c>
      <c r="Y1253" s="16" t="n">
        <f aca="false">IF(U1253="","",IF($B$8=0,0,U1253/$B$8*100))</f>
        <v>79.4223159922331</v>
      </c>
      <c r="Z1253" s="18" t="n">
        <f aca="false">IF(D1253="","",MAX(0,IF(P1253&gt;=0,P1253,IF(K1253+P1253&gt;=0,0,P1253+K1253))))</f>
        <v>37.5032176115325</v>
      </c>
      <c r="AA1253" s="18" t="n">
        <f aca="false">IF(D1253="","",IF(H1253&lt;=$B$16,1,IF(H1253&gt;=$B$17,$B$21,MATCH(H1253,Aux_CAV!$A$2:$A$121,1))))</f>
        <v>13</v>
      </c>
      <c r="AB1253" s="18" t="n">
        <f aca="false">IF(D1253="","",IF(L1253&lt;=$B$16,1,IF(L1253&gt;=$B$17,$B$21,MATCH(L1253,Aux_CAV!$A$2:$A$121,1))))</f>
        <v>13</v>
      </c>
      <c r="AC1253" s="19" t="n">
        <f aca="false">IF(D1253="","",COUNT($D$24:D1253))</f>
        <v>1218</v>
      </c>
    </row>
    <row r="1254" customFormat="false" ht="12.75" hidden="false" customHeight="true" outlineLevel="0" collapsed="false">
      <c r="A1254" s="14" t="n">
        <f aca="false">IF(D1254="","",DATE(B1254,C1254,1))</f>
        <v>41091</v>
      </c>
      <c r="B1254" s="15" t="n">
        <f aca="false" t="array" ref="B1254:B1254">IF(D1254="","",IFERROR(VALUE(INDEX(Vazoes_COLAR!$A$2:$A$200,INT((ROW()-24)/12)+1)),""))</f>
        <v>2012</v>
      </c>
      <c r="C1254" s="15" t="n">
        <f aca="false">IF(D1254="","",MOD(ROW()-24,12)+1)</f>
        <v>7</v>
      </c>
      <c r="D1254" s="16" t="n">
        <f aca="false" t="array" ref="D1254: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0.0144526018968296</v>
      </c>
      <c r="E1254" s="16" t="n">
        <f aca="false">IF(D1254="","",D1254*$B$15)</f>
        <v>0.0374611441165823</v>
      </c>
      <c r="F1254" s="16" t="n">
        <f aca="false" t="array" ref="F1254:F1254">IF(D1254="","",IFERROR(INDEX(Dados_Evap!$C$2:$N$15,MATCH($B$9,Dados_Evap!$A$2:$A$15,0),C1254),0))</f>
        <v>224.8</v>
      </c>
      <c r="G1254" s="16" t="n">
        <f aca="false">IF(F1254="","",F1254/1000)</f>
        <v>0.2248</v>
      </c>
      <c r="H1254" s="16" t="n">
        <f aca="false">IF(D1254="","",MAX(0,MIN($B$8,IFERROR(LOOKUP(2,1/($U$24:U1253&lt;&gt;""),$U$24:U1253),$B$11))))</f>
        <v>37.5032176115325</v>
      </c>
      <c r="I1254" s="16" t="n">
        <f aca="false" t="array" ref="I1254: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>5.99984955712628</v>
      </c>
      <c r="J1254" s="16" t="n">
        <f aca="false">IF(D1254="","",$B$12)</f>
        <v>0.35</v>
      </c>
      <c r="K1254" s="16" t="n">
        <f aca="false">IF(J1254="","",J1254*$B$15)</f>
        <v>0.9072</v>
      </c>
      <c r="L1254" s="16" t="n">
        <f aca="false">IF(D1254="","",H1254+E1254-K1254-G1254*I1254)</f>
        <v>35.2847125752071</v>
      </c>
      <c r="M1254" s="16" t="n">
        <f aca="false" t="array" ref="M1254: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>5.77834787504033</v>
      </c>
      <c r="N1254" s="16" t="n">
        <f aca="false">IF(D1254="","",(I1254+M1254)/2)</f>
        <v>5.8890987160833</v>
      </c>
      <c r="O1254" s="16" t="n">
        <f aca="false">IF(D1254="","",G1254*N1254)</f>
        <v>1.32386939137553</v>
      </c>
      <c r="P1254" s="16" t="n">
        <f aca="false">IF(D1254="","",H1254+E1254-K1254-O1254)</f>
        <v>35.3096093642735</v>
      </c>
      <c r="Q1254" s="16" t="n">
        <f aca="false">IF(D1254="","",IF(P1254&gt;=0,K1254,MAX(0,K1254+P1254)))</f>
        <v>0.9072</v>
      </c>
      <c r="R1254" s="16" t="n">
        <f aca="false">IF(D1254="","",Q1254/$B$15)</f>
        <v>0.35</v>
      </c>
      <c r="S1254" s="16" t="n">
        <f aca="false">IF(D1254="","",MAX(0,J1254-R1254))</f>
        <v>0</v>
      </c>
      <c r="T1254" s="16" t="n">
        <f aca="false">IF(D1254="","",MAX(0,Z1254-$B$8))</f>
        <v>0</v>
      </c>
      <c r="U1254" s="16" t="n">
        <f aca="false">IF(D1254="","",MAX(0,MIN($B$8,Z1254)))</f>
        <v>35.3096093642735</v>
      </c>
      <c r="V1254" s="16" t="str">
        <f aca="false">IF(D1254="","",IF(S1254&gt;0.0000001,"Sim","Não"))</f>
        <v>Não</v>
      </c>
      <c r="W1254" s="16" t="n">
        <f aca="false">IF(D1254="","",U1254-(H1254+E1254-Q1254-O1254-T1254))</f>
        <v>0</v>
      </c>
      <c r="X1254" s="16" t="n">
        <f aca="false">IF(W1254="","",ABS(W1254))</f>
        <v>0</v>
      </c>
      <c r="Y1254" s="16" t="n">
        <f aca="false">IF(U1254="","",IF($B$8=0,0,U1254/$B$8*100))</f>
        <v>74.7768093271358</v>
      </c>
      <c r="Z1254" s="18" t="n">
        <f aca="false">IF(D1254="","",MAX(0,IF(P1254&gt;=0,P1254,IF(K1254+P1254&gt;=0,0,P1254+K1254))))</f>
        <v>35.3096093642735</v>
      </c>
      <c r="AA1254" s="18" t="n">
        <f aca="false">IF(D1254="","",IF(H1254&lt;=$B$16,1,IF(H1254&gt;=$B$17,$B$21,MATCH(H1254,Aux_CAV!$A$2:$A$121,1))))</f>
        <v>13</v>
      </c>
      <c r="AB1254" s="18" t="n">
        <f aca="false">IF(D1254="","",IF(L1254&lt;=$B$16,1,IF(L1254&gt;=$B$17,$B$21,MATCH(L1254,Aux_CAV!$A$2:$A$121,1))))</f>
        <v>13</v>
      </c>
      <c r="AC1254" s="19" t="n">
        <f aca="false">IF(D1254="","",COUNT($D$24:D1254))</f>
        <v>1219</v>
      </c>
    </row>
    <row r="1255" customFormat="false" ht="12.75" hidden="false" customHeight="true" outlineLevel="0" collapsed="false">
      <c r="A1255" s="14" t="n">
        <f aca="false">IF(D1255="","",DATE(B1255,C1255,1))</f>
        <v>41122</v>
      </c>
      <c r="B1255" s="15" t="n">
        <f aca="false" t="array" ref="B1255:B1255">IF(D1255="","",IFERROR(VALUE(INDEX(Vazoes_COLAR!$A$2:$A$200,INT((ROW()-24)/12)+1)),""))</f>
        <v>2012</v>
      </c>
      <c r="C1255" s="15" t="n">
        <f aca="false">IF(D1255="","",MOD(ROW()-24,12)+1)</f>
        <v>8</v>
      </c>
      <c r="D1255" s="16" t="n">
        <f aca="false" t="array" ref="D1255: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0.0121146145973476</v>
      </c>
      <c r="E1255" s="16" t="n">
        <f aca="false">IF(D1255="","",D1255*$B$15)</f>
        <v>0.031401081036325</v>
      </c>
      <c r="F1255" s="16" t="n">
        <f aca="false" t="array" ref="F1255:F1255">IF(D1255="","",IFERROR(INDEX(Dados_Evap!$C$2:$N$15,MATCH($B$9,Dados_Evap!$A$2:$A$15,0),C1255),0))</f>
        <v>268.7</v>
      </c>
      <c r="G1255" s="16" t="n">
        <f aca="false">IF(F1255="","",F1255/1000)</f>
        <v>0.2687</v>
      </c>
      <c r="H1255" s="16" t="n">
        <f aca="false">IF(D1255="","",MAX(0,MIN($B$8,IFERROR(LOOKUP(2,1/($U$24:U1254&lt;&gt;""),$U$24:U1254),$B$11))))</f>
        <v>35.3096093642735</v>
      </c>
      <c r="I1255" s="16" t="n">
        <f aca="false" t="array" ref="I1255: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>5.7808336393575</v>
      </c>
      <c r="J1255" s="16" t="n">
        <f aca="false">IF(D1255="","",$B$12)</f>
        <v>0.35</v>
      </c>
      <c r="K1255" s="16" t="n">
        <f aca="false">IF(J1255="","",J1255*$B$15)</f>
        <v>0.9072</v>
      </c>
      <c r="L1255" s="16" t="n">
        <f aca="false">IF(D1255="","",H1255+E1255-K1255-G1255*I1255)</f>
        <v>32.8805004464145</v>
      </c>
      <c r="M1255" s="16" t="n">
        <f aca="false" t="array" ref="M1255: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>5.53176072598675</v>
      </c>
      <c r="N1255" s="16" t="n">
        <f aca="false">IF(D1255="","",(I1255+M1255)/2)</f>
        <v>5.65629718267212</v>
      </c>
      <c r="O1255" s="16" t="n">
        <f aca="false">IF(D1255="","",G1255*N1255)</f>
        <v>1.519847052984</v>
      </c>
      <c r="P1255" s="16" t="n">
        <f aca="false">IF(D1255="","",H1255+E1255-K1255-O1255)</f>
        <v>32.9139633923259</v>
      </c>
      <c r="Q1255" s="16" t="n">
        <f aca="false">IF(D1255="","",IF(P1255&gt;=0,K1255,MAX(0,K1255+P1255)))</f>
        <v>0.9072</v>
      </c>
      <c r="R1255" s="16" t="n">
        <f aca="false">IF(D1255="","",Q1255/$B$15)</f>
        <v>0.35</v>
      </c>
      <c r="S1255" s="16" t="n">
        <f aca="false">IF(D1255="","",MAX(0,J1255-R1255))</f>
        <v>0</v>
      </c>
      <c r="T1255" s="16" t="n">
        <f aca="false">IF(D1255="","",MAX(0,Z1255-$B$8))</f>
        <v>0</v>
      </c>
      <c r="U1255" s="16" t="n">
        <f aca="false">IF(D1255="","",MAX(0,MIN($B$8,Z1255)))</f>
        <v>32.9139633923259</v>
      </c>
      <c r="V1255" s="16" t="str">
        <f aca="false">IF(D1255="","",IF(S1255&gt;0.0000001,"Sim","Não"))</f>
        <v>Não</v>
      </c>
      <c r="W1255" s="16" t="n">
        <f aca="false">IF(D1255="","",U1255-(H1255+E1255-Q1255-O1255-T1255))</f>
        <v>0</v>
      </c>
      <c r="X1255" s="16" t="n">
        <f aca="false">IF(W1255="","",ABS(W1255))</f>
        <v>0</v>
      </c>
      <c r="Y1255" s="16" t="n">
        <f aca="false">IF(U1255="","",IF($B$8=0,0,U1255/$B$8*100))</f>
        <v>69.7034379337693</v>
      </c>
      <c r="Z1255" s="18" t="n">
        <f aca="false">IF(D1255="","",MAX(0,IF(P1255&gt;=0,P1255,IF(K1255+P1255&gt;=0,0,P1255+K1255))))</f>
        <v>32.9139633923259</v>
      </c>
      <c r="AA1255" s="18" t="n">
        <f aca="false">IF(D1255="","",IF(H1255&lt;=$B$16,1,IF(H1255&gt;=$B$17,$B$21,MATCH(H1255,Aux_CAV!$A$2:$A$121,1))))</f>
        <v>13</v>
      </c>
      <c r="AB1255" s="18" t="n">
        <f aca="false">IF(D1255="","",IF(L1255&lt;=$B$16,1,IF(L1255&gt;=$B$17,$B$21,MATCH(L1255,Aux_CAV!$A$2:$A$121,1))))</f>
        <v>12</v>
      </c>
      <c r="AC1255" s="19" t="n">
        <f aca="false">IF(D1255="","",COUNT($D$24:D1255))</f>
        <v>1220</v>
      </c>
    </row>
    <row r="1256" customFormat="false" ht="12.75" hidden="false" customHeight="true" outlineLevel="0" collapsed="false">
      <c r="A1256" s="14" t="n">
        <f aca="false">IF(D1256="","",DATE(B1256,C1256,1))</f>
        <v>41153</v>
      </c>
      <c r="B1256" s="15" t="n">
        <f aca="false" t="array" ref="B1256:B1256">IF(D1256="","",IFERROR(VALUE(INDEX(Vazoes_COLAR!$A$2:$A$200,INT((ROW()-24)/12)+1)),""))</f>
        <v>2012</v>
      </c>
      <c r="C1256" s="15" t="n">
        <f aca="false">IF(D1256="","",MOD(ROW()-24,12)+1)</f>
        <v>9</v>
      </c>
      <c r="D1256" s="16" t="n">
        <f aca="false" t="array" ref="D1256: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0.0106366127290428</v>
      </c>
      <c r="E1256" s="16" t="n">
        <f aca="false">IF(D1256="","",D1256*$B$15)</f>
        <v>0.0275701001936789</v>
      </c>
      <c r="F1256" s="16" t="n">
        <f aca="false" t="array" ref="F1256:F1256">IF(D1256="","",IFERROR(INDEX(Dados_Evap!$C$2:$N$15,MATCH($B$9,Dados_Evap!$A$2:$A$15,0),C1256),0))</f>
        <v>292.8</v>
      </c>
      <c r="G1256" s="16" t="n">
        <f aca="false">IF(F1256="","",F1256/1000)</f>
        <v>0.2928</v>
      </c>
      <c r="H1256" s="16" t="n">
        <f aca="false">IF(D1256="","",MAX(0,MIN($B$8,IFERROR(LOOKUP(2,1/($U$24:U1255&lt;&gt;""),$U$24:U1255),$B$11))))</f>
        <v>32.9139633923259</v>
      </c>
      <c r="I1256" s="16" t="n">
        <f aca="false" t="array" ref="I1256: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>5.53523697376589</v>
      </c>
      <c r="J1256" s="16" t="n">
        <f aca="false">IF(D1256="","",$B$12)</f>
        <v>0.35</v>
      </c>
      <c r="K1256" s="16" t="n">
        <f aca="false">IF(J1256="","",J1256*$B$15)</f>
        <v>0.9072</v>
      </c>
      <c r="L1256" s="16" t="n">
        <f aca="false">IF(D1256="","",H1256+E1256-K1256-G1256*I1256)</f>
        <v>30.4136161066009</v>
      </c>
      <c r="M1256" s="16" t="n">
        <f aca="false" t="array" ref="M1256: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>5.27549215864689</v>
      </c>
      <c r="N1256" s="16" t="n">
        <f aca="false">IF(D1256="","",(I1256+M1256)/2)</f>
        <v>5.40536456620639</v>
      </c>
      <c r="O1256" s="16" t="n">
        <f aca="false">IF(D1256="","",G1256*N1256)</f>
        <v>1.58269074498523</v>
      </c>
      <c r="P1256" s="16" t="n">
        <f aca="false">IF(D1256="","",H1256+E1256-K1256-O1256)</f>
        <v>30.4516427475343</v>
      </c>
      <c r="Q1256" s="16" t="n">
        <f aca="false">IF(D1256="","",IF(P1256&gt;=0,K1256,MAX(0,K1256+P1256)))</f>
        <v>0.9072</v>
      </c>
      <c r="R1256" s="16" t="n">
        <f aca="false">IF(D1256="","",Q1256/$B$15)</f>
        <v>0.35</v>
      </c>
      <c r="S1256" s="16" t="n">
        <f aca="false">IF(D1256="","",MAX(0,J1256-R1256))</f>
        <v>0</v>
      </c>
      <c r="T1256" s="16" t="n">
        <f aca="false">IF(D1256="","",MAX(0,Z1256-$B$8))</f>
        <v>0</v>
      </c>
      <c r="U1256" s="16" t="n">
        <f aca="false">IF(D1256="","",MAX(0,MIN($B$8,Z1256)))</f>
        <v>30.4516427475343</v>
      </c>
      <c r="V1256" s="16" t="str">
        <f aca="false">IF(D1256="","",IF(S1256&gt;0.0000001,"Sim","Não"))</f>
        <v>Não</v>
      </c>
      <c r="W1256" s="16" t="n">
        <f aca="false">IF(D1256="","",U1256-(H1256+E1256-Q1256-O1256-T1256))</f>
        <v>0</v>
      </c>
      <c r="X1256" s="16" t="n">
        <f aca="false">IF(W1256="","",ABS(W1256))</f>
        <v>0</v>
      </c>
      <c r="Y1256" s="16" t="n">
        <f aca="false">IF(U1256="","",IF($B$8=0,0,U1256/$B$8*100))</f>
        <v>64.4888664708477</v>
      </c>
      <c r="Z1256" s="18" t="n">
        <f aca="false">IF(D1256="","",MAX(0,IF(P1256&gt;=0,P1256,IF(K1256+P1256&gt;=0,0,P1256+K1256))))</f>
        <v>30.4516427475343</v>
      </c>
      <c r="AA1256" s="18" t="n">
        <f aca="false">IF(D1256="","",IF(H1256&lt;=$B$16,1,IF(H1256&gt;=$B$17,$B$21,MATCH(H1256,Aux_CAV!$A$2:$A$121,1))))</f>
        <v>12</v>
      </c>
      <c r="AB1256" s="18" t="n">
        <f aca="false">IF(D1256="","",IF(L1256&lt;=$B$16,1,IF(L1256&gt;=$B$17,$B$21,MATCH(L1256,Aux_CAV!$A$2:$A$121,1))))</f>
        <v>12</v>
      </c>
      <c r="AC1256" s="19" t="n">
        <f aca="false">IF(D1256="","",COUNT($D$24:D1256))</f>
        <v>1221</v>
      </c>
    </row>
    <row r="1257" customFormat="false" ht="12.75" hidden="false" customHeight="true" outlineLevel="0" collapsed="false">
      <c r="A1257" s="14" t="n">
        <f aca="false">IF(D1257="","",DATE(B1257,C1257,1))</f>
        <v>41183</v>
      </c>
      <c r="B1257" s="15" t="n">
        <f aca="false" t="array" ref="B1257:B1257">IF(D1257="","",IFERROR(VALUE(INDEX(Vazoes_COLAR!$A$2:$A$200,INT((ROW()-24)/12)+1)),""))</f>
        <v>2012</v>
      </c>
      <c r="C1257" s="15" t="n">
        <f aca="false">IF(D1257="","",MOD(ROW()-24,12)+1)</f>
        <v>10</v>
      </c>
      <c r="D1257" s="16" t="n">
        <f aca="false" t="array" ref="D1257: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0.00917180305088665</v>
      </c>
      <c r="E1257" s="16" t="n">
        <f aca="false">IF(D1257="","",D1257*$B$15)</f>
        <v>0.0237733135078982</v>
      </c>
      <c r="F1257" s="16" t="n">
        <f aca="false" t="array" ref="F1257:F1257">IF(D1257="","",IFERROR(INDEX(Dados_Evap!$C$2:$N$15,MATCH($B$9,Dados_Evap!$A$2:$A$15,0),C1257),0))</f>
        <v>262.9</v>
      </c>
      <c r="G1257" s="16" t="n">
        <f aca="false">IF(F1257="","",F1257/1000)</f>
        <v>0.2629</v>
      </c>
      <c r="H1257" s="16" t="n">
        <f aca="false">IF(D1257="","",MAX(0,MIN($B$8,IFERROR(LOOKUP(2,1/($U$24:U1256&lt;&gt;""),$U$24:U1256),$B$11))))</f>
        <v>30.4516427475343</v>
      </c>
      <c r="I1257" s="16" t="n">
        <f aca="false" t="array" ref="I1257: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>5.2794424990157</v>
      </c>
      <c r="J1257" s="16" t="n">
        <f aca="false">IF(D1257="","",$B$12)</f>
        <v>0.35</v>
      </c>
      <c r="K1257" s="16" t="n">
        <f aca="false">IF(J1257="","",J1257*$B$15)</f>
        <v>0.9072</v>
      </c>
      <c r="L1257" s="16" t="n">
        <f aca="false">IF(D1257="","",H1257+E1257-K1257-G1257*I1257)</f>
        <v>28.180250628051</v>
      </c>
      <c r="M1257" s="16" t="n">
        <f aca="false" t="array" ref="M1257: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>5.04348234679753</v>
      </c>
      <c r="N1257" s="16" t="n">
        <f aca="false">IF(D1257="","",(I1257+M1257)/2)</f>
        <v>5.16146242290661</v>
      </c>
      <c r="O1257" s="16" t="n">
        <f aca="false">IF(D1257="","",G1257*N1257)</f>
        <v>1.35694847098215</v>
      </c>
      <c r="P1257" s="16" t="n">
        <f aca="false">IF(D1257="","",H1257+E1257-K1257-O1257)</f>
        <v>28.21126759006</v>
      </c>
      <c r="Q1257" s="16" t="n">
        <f aca="false">IF(D1257="","",IF(P1257&gt;=0,K1257,MAX(0,K1257+P1257)))</f>
        <v>0.9072</v>
      </c>
      <c r="R1257" s="16" t="n">
        <f aca="false">IF(D1257="","",Q1257/$B$15)</f>
        <v>0.35</v>
      </c>
      <c r="S1257" s="16" t="n">
        <f aca="false">IF(D1257="","",MAX(0,J1257-R1257))</f>
        <v>0</v>
      </c>
      <c r="T1257" s="16" t="n">
        <f aca="false">IF(D1257="","",MAX(0,Z1257-$B$8))</f>
        <v>0</v>
      </c>
      <c r="U1257" s="16" t="n">
        <f aca="false">IF(D1257="","",MAX(0,MIN($B$8,Z1257)))</f>
        <v>28.21126759006</v>
      </c>
      <c r="V1257" s="16" t="str">
        <f aca="false">IF(D1257="","",IF(S1257&gt;0.0000001,"Sim","Não"))</f>
        <v>Não</v>
      </c>
      <c r="W1257" s="16" t="n">
        <f aca="false">IF(D1257="","",U1257-(H1257+E1257-Q1257-O1257-T1257))</f>
        <v>0</v>
      </c>
      <c r="X1257" s="16" t="n">
        <f aca="false">IF(W1257="","",ABS(W1257))</f>
        <v>0</v>
      </c>
      <c r="Y1257" s="16" t="n">
        <f aca="false">IF(U1257="","",IF($B$8=0,0,U1257/$B$8*100))</f>
        <v>59.7443193351547</v>
      </c>
      <c r="Z1257" s="18" t="n">
        <f aca="false">IF(D1257="","",MAX(0,IF(P1257&gt;=0,P1257,IF(K1257+P1257&gt;=0,0,P1257+K1257))))</f>
        <v>28.21126759006</v>
      </c>
      <c r="AA1257" s="18" t="n">
        <f aca="false">IF(D1257="","",IF(H1257&lt;=$B$16,1,IF(H1257&gt;=$B$17,$B$21,MATCH(H1257,Aux_CAV!$A$2:$A$121,1))))</f>
        <v>12</v>
      </c>
      <c r="AB1257" s="18" t="n">
        <f aca="false">IF(D1257="","",IF(L1257&lt;=$B$16,1,IF(L1257&gt;=$B$17,$B$21,MATCH(L1257,Aux_CAV!$A$2:$A$121,1))))</f>
        <v>12</v>
      </c>
      <c r="AC1257" s="19" t="n">
        <f aca="false">IF(D1257="","",COUNT($D$24:D1257))</f>
        <v>1222</v>
      </c>
    </row>
    <row r="1258" customFormat="false" ht="12.75" hidden="false" customHeight="true" outlineLevel="0" collapsed="false">
      <c r="A1258" s="14" t="n">
        <f aca="false">IF(D1258="","",DATE(B1258,C1258,1))</f>
        <v>41214</v>
      </c>
      <c r="B1258" s="15" t="n">
        <f aca="false" t="array" ref="B1258:B1258">IF(D1258="","",IFERROR(VALUE(INDEX(Vazoes_COLAR!$A$2:$A$200,INT((ROW()-24)/12)+1)),""))</f>
        <v>2012</v>
      </c>
      <c r="C1258" s="15" t="n">
        <f aca="false">IF(D1258="","",MOD(ROW()-24,12)+1)</f>
        <v>11</v>
      </c>
      <c r="D1258" s="16" t="n">
        <f aca="false" t="array" ref="D1258: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0.00877221361013442</v>
      </c>
      <c r="E1258" s="16" t="n">
        <f aca="false">IF(D1258="","",D1258*$B$15)</f>
        <v>0.0227375776774684</v>
      </c>
      <c r="F1258" s="16" t="n">
        <f aca="false" t="array" ref="F1258:F1258">IF(D1258="","",IFERROR(INDEX(Dados_Evap!$C$2:$N$15,MATCH($B$9,Dados_Evap!$A$2:$A$15,0),C1258),0))</f>
        <v>223.7</v>
      </c>
      <c r="G1258" s="16" t="n">
        <f aca="false">IF(F1258="","",F1258/1000)</f>
        <v>0.2237</v>
      </c>
      <c r="H1258" s="16" t="n">
        <f aca="false">IF(D1258="","",MAX(0,MIN($B$8,IFERROR(LOOKUP(2,1/($U$24:U1257&lt;&gt;""),$U$24:U1257),$B$11))))</f>
        <v>28.21126759006</v>
      </c>
      <c r="I1258" s="16" t="n">
        <f aca="false" t="array" ref="I1258: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>5.04670449721983</v>
      </c>
      <c r="J1258" s="16" t="n">
        <f aca="false">IF(D1258="","",$B$12)</f>
        <v>0.35</v>
      </c>
      <c r="K1258" s="16" t="n">
        <f aca="false">IF(J1258="","",J1258*$B$15)</f>
        <v>0.9072</v>
      </c>
      <c r="L1258" s="16" t="n">
        <f aca="false">IF(D1258="","",H1258+E1258-K1258-G1258*I1258)</f>
        <v>26.1978573717094</v>
      </c>
      <c r="M1258" s="16" t="n">
        <f aca="false" t="array" ref="M1258: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>4.83754440657564</v>
      </c>
      <c r="N1258" s="16" t="n">
        <f aca="false">IF(D1258="","",(I1258+M1258)/2)</f>
        <v>4.94212445189774</v>
      </c>
      <c r="O1258" s="16" t="n">
        <f aca="false">IF(D1258="","",G1258*N1258)</f>
        <v>1.10555323988952</v>
      </c>
      <c r="P1258" s="16" t="n">
        <f aca="false">IF(D1258="","",H1258+E1258-K1258-O1258)</f>
        <v>26.221251927848</v>
      </c>
      <c r="Q1258" s="16" t="n">
        <f aca="false">IF(D1258="","",IF(P1258&gt;=0,K1258,MAX(0,K1258+P1258)))</f>
        <v>0.9072</v>
      </c>
      <c r="R1258" s="16" t="n">
        <f aca="false">IF(D1258="","",Q1258/$B$15)</f>
        <v>0.35</v>
      </c>
      <c r="S1258" s="16" t="n">
        <f aca="false">IF(D1258="","",MAX(0,J1258-R1258))</f>
        <v>0</v>
      </c>
      <c r="T1258" s="16" t="n">
        <f aca="false">IF(D1258="","",MAX(0,Z1258-$B$8))</f>
        <v>0</v>
      </c>
      <c r="U1258" s="16" t="n">
        <f aca="false">IF(D1258="","",MAX(0,MIN($B$8,Z1258)))</f>
        <v>26.221251927848</v>
      </c>
      <c r="V1258" s="16" t="str">
        <f aca="false">IF(D1258="","",IF(S1258&gt;0.0000001,"Sim","Não"))</f>
        <v>Não</v>
      </c>
      <c r="W1258" s="16" t="n">
        <f aca="false">IF(D1258="","",U1258-(H1258+E1258-Q1258-O1258-T1258))</f>
        <v>0</v>
      </c>
      <c r="X1258" s="16" t="n">
        <f aca="false">IF(W1258="","",ABS(W1258))</f>
        <v>0</v>
      </c>
      <c r="Y1258" s="16" t="n">
        <f aca="false">IF(U1258="","",IF($B$8=0,0,U1258/$B$8*100))</f>
        <v>55.5299701987463</v>
      </c>
      <c r="Z1258" s="18" t="n">
        <f aca="false">IF(D1258="","",MAX(0,IF(P1258&gt;=0,P1258,IF(K1258+P1258&gt;=0,0,P1258+K1258))))</f>
        <v>26.221251927848</v>
      </c>
      <c r="AA1258" s="18" t="n">
        <f aca="false">IF(D1258="","",IF(H1258&lt;=$B$16,1,IF(H1258&gt;=$B$17,$B$21,MATCH(H1258,Aux_CAV!$A$2:$A$121,1))))</f>
        <v>12</v>
      </c>
      <c r="AB1258" s="18" t="n">
        <f aca="false">IF(D1258="","",IF(L1258&lt;=$B$16,1,IF(L1258&gt;=$B$17,$B$21,MATCH(L1258,Aux_CAV!$A$2:$A$121,1))))</f>
        <v>12</v>
      </c>
      <c r="AC1258" s="19" t="n">
        <f aca="false">IF(D1258="","",COUNT($D$24:D1258))</f>
        <v>1223</v>
      </c>
    </row>
    <row r="1259" customFormat="false" ht="12.75" hidden="false" customHeight="true" outlineLevel="0" collapsed="false">
      <c r="A1259" s="14" t="n">
        <f aca="false">IF(D1259="","",DATE(B1259,C1259,1))</f>
        <v>41244</v>
      </c>
      <c r="B1259" s="15" t="n">
        <f aca="false" t="array" ref="B1259:B1259">IF(D1259="","",IFERROR(VALUE(INDEX(Vazoes_COLAR!$A$2:$A$200,INT((ROW()-24)/12)+1)),""))</f>
        <v>2012</v>
      </c>
      <c r="C1259" s="15" t="n">
        <f aca="false">IF(D1259="","",MOD(ROW()-24,12)+1)</f>
        <v>12</v>
      </c>
      <c r="D1259" s="16" t="n">
        <f aca="false" t="array" ref="D1259: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0.0118727074443508</v>
      </c>
      <c r="E1259" s="16" t="n">
        <f aca="false">IF(D1259="","",D1259*$B$15)</f>
        <v>0.0307740576957573</v>
      </c>
      <c r="F1259" s="16" t="n">
        <f aca="false" t="array" ref="F1259:F1259">IF(D1259="","",IFERROR(INDEX(Dados_Evap!$C$2:$N$15,MATCH($B$9,Dados_Evap!$A$2:$A$15,0),C1259),0))</f>
        <v>216.1</v>
      </c>
      <c r="G1259" s="16" t="n">
        <f aca="false">IF(F1259="","",F1259/1000)</f>
        <v>0.2161</v>
      </c>
      <c r="H1259" s="16" t="n">
        <f aca="false">IF(D1259="","",MAX(0,MIN($B$8,IFERROR(LOOKUP(2,1/($U$24:U1258&lt;&gt;""),$U$24:U1258),$B$11))))</f>
        <v>26.221251927848</v>
      </c>
      <c r="I1259" s="16" t="n">
        <f aca="false" t="array" ref="I1259: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>4.83997471483469</v>
      </c>
      <c r="J1259" s="16" t="n">
        <f aca="false">IF(D1259="","",$B$12)</f>
        <v>0.35</v>
      </c>
      <c r="K1259" s="16" t="n">
        <f aca="false">IF(J1259="","",J1259*$B$15)</f>
        <v>0.9072</v>
      </c>
      <c r="L1259" s="16" t="n">
        <f aca="false">IF(D1259="","",H1259+E1259-K1259-G1259*I1259)</f>
        <v>24.298907449668</v>
      </c>
      <c r="M1259" s="16" t="n">
        <f aca="false" t="array" ref="M1259: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>4.64027485156745</v>
      </c>
      <c r="N1259" s="16" t="n">
        <f aca="false">IF(D1259="","",(I1259+M1259)/2)</f>
        <v>4.74012478320107</v>
      </c>
      <c r="O1259" s="16" t="n">
        <f aca="false">IF(D1259="","",G1259*N1259)</f>
        <v>1.02434096564975</v>
      </c>
      <c r="P1259" s="16" t="n">
        <f aca="false">IF(D1259="","",H1259+E1259-K1259-O1259)</f>
        <v>24.320485019894</v>
      </c>
      <c r="Q1259" s="16" t="n">
        <f aca="false">IF(D1259="","",IF(P1259&gt;=0,K1259,MAX(0,K1259+P1259)))</f>
        <v>0.9072</v>
      </c>
      <c r="R1259" s="16" t="n">
        <f aca="false">IF(D1259="","",Q1259/$B$15)</f>
        <v>0.35</v>
      </c>
      <c r="S1259" s="16" t="n">
        <f aca="false">IF(D1259="","",MAX(0,J1259-R1259))</f>
        <v>0</v>
      </c>
      <c r="T1259" s="16" t="n">
        <f aca="false">IF(D1259="","",MAX(0,Z1259-$B$8))</f>
        <v>0</v>
      </c>
      <c r="U1259" s="16" t="n">
        <f aca="false">IF(D1259="","",MAX(0,MIN($B$8,Z1259)))</f>
        <v>24.320485019894</v>
      </c>
      <c r="V1259" s="16" t="str">
        <f aca="false">IF(D1259="","",IF(S1259&gt;0.0000001,"Sim","Não"))</f>
        <v>Não</v>
      </c>
      <c r="W1259" s="16" t="n">
        <f aca="false">IF(D1259="","",U1259-(H1259+E1259-Q1259-O1259-T1259))</f>
        <v>0</v>
      </c>
      <c r="X1259" s="16" t="n">
        <f aca="false">IF(W1259="","",ABS(W1259))</f>
        <v>0</v>
      </c>
      <c r="Y1259" s="16" t="n">
        <f aca="false">IF(U1259="","",IF($B$8=0,0,U1259/$B$8*100))</f>
        <v>51.5046273187082</v>
      </c>
      <c r="Z1259" s="18" t="n">
        <f aca="false">IF(D1259="","",MAX(0,IF(P1259&gt;=0,P1259,IF(K1259+P1259&gt;=0,0,P1259+K1259))))</f>
        <v>24.320485019894</v>
      </c>
      <c r="AA1259" s="18" t="n">
        <f aca="false">IF(D1259="","",IF(H1259&lt;=$B$16,1,IF(H1259&gt;=$B$17,$B$21,MATCH(H1259,Aux_CAV!$A$2:$A$121,1))))</f>
        <v>12</v>
      </c>
      <c r="AB1259" s="18" t="n">
        <f aca="false">IF(D1259="","",IF(L1259&lt;=$B$16,1,IF(L1259&gt;=$B$17,$B$21,MATCH(L1259,Aux_CAV!$A$2:$A$121,1))))</f>
        <v>12</v>
      </c>
      <c r="AC1259" s="19" t="n">
        <f aca="false">IF(D1259="","",COUNT($D$24:D1259))</f>
        <v>1224</v>
      </c>
    </row>
    <row r="1260" customFormat="false" ht="12.75" hidden="false" customHeight="true" outlineLevel="0" collapsed="false">
      <c r="A1260" s="14" t="n">
        <f aca="false">IF(D1260="","",DATE(B1260,C1260,1))</f>
        <v>41275</v>
      </c>
      <c r="B1260" s="15" t="n">
        <f aca="false" t="array" ref="B1260:B1260">IF(D1260="","",IFERROR(VALUE(INDEX(Vazoes_COLAR!$A$2:$A$200,INT((ROW()-24)/12)+1)),""))</f>
        <v>2013</v>
      </c>
      <c r="C1260" s="15" t="n">
        <f aca="false">IF(D1260="","",MOD(ROW()-24,12)+1)</f>
        <v>1</v>
      </c>
      <c r="D1260" s="16" t="n">
        <f aca="false" t="array" ref="D1260: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0.0607191679801474</v>
      </c>
      <c r="E1260" s="16" t="n">
        <f aca="false">IF(D1260="","",D1260*$B$15)</f>
        <v>0.157384083404542</v>
      </c>
      <c r="F1260" s="16" t="n">
        <f aca="false" t="array" ref="F1260:F1260">IF(D1260="","",IFERROR(INDEX(Dados_Evap!$C$2:$N$15,MATCH($B$9,Dados_Evap!$A$2:$A$15,0),C1260),0))</f>
        <v>160</v>
      </c>
      <c r="G1260" s="16" t="n">
        <f aca="false">IF(F1260="","",F1260/1000)</f>
        <v>0.16</v>
      </c>
      <c r="H1260" s="16" t="n">
        <f aca="false">IF(D1260="","",MAX(0,MIN($B$8,IFERROR(LOOKUP(2,1/($U$24:U1259&lt;&gt;""),$U$24:U1259),$B$11))))</f>
        <v>24.320485019894</v>
      </c>
      <c r="I1260" s="16" t="n">
        <f aca="false" t="array" ref="I1260: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>4.64251640497928</v>
      </c>
      <c r="J1260" s="16" t="n">
        <f aca="false">IF(D1260="","",$B$12)</f>
        <v>0.35</v>
      </c>
      <c r="K1260" s="16" t="n">
        <f aca="false">IF(J1260="","",J1260*$B$15)</f>
        <v>0.9072</v>
      </c>
      <c r="L1260" s="16" t="n">
        <f aca="false">IF(D1260="","",H1260+E1260-K1260-G1260*I1260)</f>
        <v>22.8278664785019</v>
      </c>
      <c r="M1260" s="16" t="n">
        <f aca="false" t="array" ref="M1260: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>4.46601331084534</v>
      </c>
      <c r="N1260" s="16" t="n">
        <f aca="false">IF(D1260="","",(I1260+M1260)/2)</f>
        <v>4.55426485791231</v>
      </c>
      <c r="O1260" s="16" t="n">
        <f aca="false">IF(D1260="","",G1260*N1260)</f>
        <v>0.72868237726597</v>
      </c>
      <c r="P1260" s="16" t="n">
        <f aca="false">IF(D1260="","",H1260+E1260-K1260-O1260)</f>
        <v>22.8419867260326</v>
      </c>
      <c r="Q1260" s="16" t="n">
        <f aca="false">IF(D1260="","",IF(P1260&gt;=0,K1260,MAX(0,K1260+P1260)))</f>
        <v>0.9072</v>
      </c>
      <c r="R1260" s="16" t="n">
        <f aca="false">IF(D1260="","",Q1260/$B$15)</f>
        <v>0.35</v>
      </c>
      <c r="S1260" s="16" t="n">
        <f aca="false">IF(D1260="","",MAX(0,J1260-R1260))</f>
        <v>0</v>
      </c>
      <c r="T1260" s="16" t="n">
        <f aca="false">IF(D1260="","",MAX(0,Z1260-$B$8))</f>
        <v>0</v>
      </c>
      <c r="U1260" s="16" t="n">
        <f aca="false">IF(D1260="","",MAX(0,MIN($B$8,Z1260)))</f>
        <v>22.8419867260326</v>
      </c>
      <c r="V1260" s="16" t="str">
        <f aca="false">IF(D1260="","",IF(S1260&gt;0.0000001,"Sim","Não"))</f>
        <v>Não</v>
      </c>
      <c r="W1260" s="16" t="n">
        <f aca="false">IF(D1260="","",U1260-(H1260+E1260-Q1260-O1260-T1260))</f>
        <v>0</v>
      </c>
      <c r="X1260" s="16" t="n">
        <f aca="false">IF(W1260="","",ABS(W1260))</f>
        <v>0</v>
      </c>
      <c r="Y1260" s="16" t="n">
        <f aca="false">IF(U1260="","",IF($B$8=0,0,U1260/$B$8*100))</f>
        <v>48.3735424100647</v>
      </c>
      <c r="Z1260" s="18" t="n">
        <f aca="false">IF(D1260="","",MAX(0,IF(P1260&gt;=0,P1260,IF(K1260+P1260&gt;=0,0,P1260+K1260))))</f>
        <v>22.8419867260326</v>
      </c>
      <c r="AA1260" s="18" t="n">
        <f aca="false">IF(D1260="","",IF(H1260&lt;=$B$16,1,IF(H1260&gt;=$B$17,$B$21,MATCH(H1260,Aux_CAV!$A$2:$A$121,1))))</f>
        <v>12</v>
      </c>
      <c r="AB1260" s="18" t="n">
        <f aca="false">IF(D1260="","",IF(L1260&lt;=$B$16,1,IF(L1260&gt;=$B$17,$B$21,MATCH(L1260,Aux_CAV!$A$2:$A$121,1))))</f>
        <v>11</v>
      </c>
      <c r="AC1260" s="19" t="n">
        <f aca="false">IF(D1260="","",COUNT($D$24:D1260))</f>
        <v>1225</v>
      </c>
    </row>
    <row r="1261" customFormat="false" ht="12.75" hidden="false" customHeight="true" outlineLevel="0" collapsed="false">
      <c r="A1261" s="14" t="n">
        <f aca="false">IF(D1261="","",DATE(B1261,C1261,1))</f>
        <v>41306</v>
      </c>
      <c r="B1261" s="15" t="n">
        <f aca="false" t="array" ref="B1261:B1261">IF(D1261="","",IFERROR(VALUE(INDEX(Vazoes_COLAR!$A$2:$A$200,INT((ROW()-24)/12)+1)),""))</f>
        <v>2013</v>
      </c>
      <c r="C1261" s="15" t="n">
        <f aca="false">IF(D1261="","",MOD(ROW()-24,12)+1)</f>
        <v>2</v>
      </c>
      <c r="D1261" s="16" t="n">
        <f aca="false" t="array" ref="D1261: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0.0622556934956462</v>
      </c>
      <c r="E1261" s="16" t="n">
        <f aca="false">IF(D1261="","",D1261*$B$15)</f>
        <v>0.161366757540715</v>
      </c>
      <c r="F1261" s="16" t="n">
        <f aca="false" t="array" ref="F1261:F1261">IF(D1261="","",IFERROR(INDEX(Dados_Evap!$C$2:$N$15,MATCH($B$9,Dados_Evap!$A$2:$A$15,0),C1261),0))</f>
        <v>124.3</v>
      </c>
      <c r="G1261" s="16" t="n">
        <f aca="false">IF(F1261="","",F1261/1000)</f>
        <v>0.1243</v>
      </c>
      <c r="H1261" s="16" t="n">
        <f aca="false">IF(D1261="","",MAX(0,MIN($B$8,IFERROR(LOOKUP(2,1/($U$24:U1260&lt;&gt;""),$U$24:U1260),$B$11))))</f>
        <v>22.8419867260326</v>
      </c>
      <c r="I1261" s="16" t="n">
        <f aca="false" t="array" ref="I1261: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>4.4677008526234</v>
      </c>
      <c r="J1261" s="16" t="n">
        <f aca="false">IF(D1261="","",$B$12)</f>
        <v>0.35</v>
      </c>
      <c r="K1261" s="16" t="n">
        <f aca="false">IF(J1261="","",J1261*$B$15)</f>
        <v>0.9072</v>
      </c>
      <c r="L1261" s="16" t="n">
        <f aca="false">IF(D1261="","",H1261+E1261-K1261-G1261*I1261)</f>
        <v>21.5408182675922</v>
      </c>
      <c r="M1261" s="16" t="n">
        <f aca="false" t="array" ref="M1261: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>4.31219535393175</v>
      </c>
      <c r="N1261" s="16" t="n">
        <f aca="false">IF(D1261="","",(I1261+M1261)/2)</f>
        <v>4.38994810327758</v>
      </c>
      <c r="O1261" s="16" t="n">
        <f aca="false">IF(D1261="","",G1261*N1261)</f>
        <v>0.545670549237403</v>
      </c>
      <c r="P1261" s="16" t="n">
        <f aca="false">IF(D1261="","",H1261+E1261-K1261-O1261)</f>
        <v>21.5504829343359</v>
      </c>
      <c r="Q1261" s="16" t="n">
        <f aca="false">IF(D1261="","",IF(P1261&gt;=0,K1261,MAX(0,K1261+P1261)))</f>
        <v>0.9072</v>
      </c>
      <c r="R1261" s="16" t="n">
        <f aca="false">IF(D1261="","",Q1261/$B$15)</f>
        <v>0.35</v>
      </c>
      <c r="S1261" s="16" t="n">
        <f aca="false">IF(D1261="","",MAX(0,J1261-R1261))</f>
        <v>0</v>
      </c>
      <c r="T1261" s="16" t="n">
        <f aca="false">IF(D1261="","",MAX(0,Z1261-$B$8))</f>
        <v>0</v>
      </c>
      <c r="U1261" s="16" t="n">
        <f aca="false">IF(D1261="","",MAX(0,MIN($B$8,Z1261)))</f>
        <v>21.5504829343359</v>
      </c>
      <c r="V1261" s="16" t="str">
        <f aca="false">IF(D1261="","",IF(S1261&gt;0.0000001,"Sim","Não"))</f>
        <v>Não</v>
      </c>
      <c r="W1261" s="16" t="n">
        <f aca="false">IF(D1261="","",U1261-(H1261+E1261-Q1261-O1261-T1261))</f>
        <v>0</v>
      </c>
      <c r="X1261" s="16" t="n">
        <f aca="false">IF(W1261="","",ABS(W1261))</f>
        <v>0</v>
      </c>
      <c r="Y1261" s="16" t="n">
        <f aca="false">IF(U1261="","",IF($B$8=0,0,U1261/$B$8*100))</f>
        <v>45.6384644945698</v>
      </c>
      <c r="Z1261" s="18" t="n">
        <f aca="false">IF(D1261="","",MAX(0,IF(P1261&gt;=0,P1261,IF(K1261+P1261&gt;=0,0,P1261+K1261))))</f>
        <v>21.5504829343359</v>
      </c>
      <c r="AA1261" s="18" t="n">
        <f aca="false">IF(D1261="","",IF(H1261&lt;=$B$16,1,IF(H1261&gt;=$B$17,$B$21,MATCH(H1261,Aux_CAV!$A$2:$A$121,1))))</f>
        <v>11</v>
      </c>
      <c r="AB1261" s="18" t="n">
        <f aca="false">IF(D1261="","",IF(L1261&lt;=$B$16,1,IF(L1261&gt;=$B$17,$B$21,MATCH(L1261,Aux_CAV!$A$2:$A$121,1))))</f>
        <v>11</v>
      </c>
      <c r="AC1261" s="19" t="n">
        <f aca="false">IF(D1261="","",COUNT($D$24:D1261))</f>
        <v>1226</v>
      </c>
    </row>
    <row r="1262" customFormat="false" ht="12.75" hidden="false" customHeight="true" outlineLevel="0" collapsed="false">
      <c r="A1262" s="14" t="n">
        <f aca="false">IF(D1262="","",DATE(B1262,C1262,1))</f>
        <v>41334</v>
      </c>
      <c r="B1262" s="15" t="n">
        <f aca="false" t="array" ref="B1262:B1262">IF(D1262="","",IFERROR(VALUE(INDEX(Vazoes_COLAR!$A$2:$A$200,INT((ROW()-24)/12)+1)),""))</f>
        <v>2013</v>
      </c>
      <c r="C1262" s="15" t="n">
        <f aca="false">IF(D1262="","",MOD(ROW()-24,12)+1)</f>
        <v>3</v>
      </c>
      <c r="D1262" s="16" t="n">
        <f aca="false" t="array" ref="D1262: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0.322977884854232</v>
      </c>
      <c r="E1262" s="16" t="n">
        <f aca="false">IF(D1262="","",D1262*$B$15)</f>
        <v>0.837158677542169</v>
      </c>
      <c r="F1262" s="16" t="n">
        <f aca="false" t="array" ref="F1262:F1262">IF(D1262="","",IFERROR(INDEX(Dados_Evap!$C$2:$N$15,MATCH($B$9,Dados_Evap!$A$2:$A$15,0),C1262),0))</f>
        <v>107.7</v>
      </c>
      <c r="G1262" s="16" t="n">
        <f aca="false">IF(F1262="","",F1262/1000)</f>
        <v>0.1077</v>
      </c>
      <c r="H1262" s="16" t="n">
        <f aca="false">IF(D1262="","",MAX(0,MIN($B$8,IFERROR(LOOKUP(2,1/($U$24:U1261&lt;&gt;""),$U$24:U1261),$B$11))))</f>
        <v>21.5504829343359</v>
      </c>
      <c r="I1262" s="16" t="n">
        <f aca="false" t="array" ref="I1262: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>4.31335039946941</v>
      </c>
      <c r="J1262" s="16" t="n">
        <f aca="false">IF(D1262="","",$B$12)</f>
        <v>0.35</v>
      </c>
      <c r="K1262" s="16" t="n">
        <f aca="false">IF(J1262="","",J1262*$B$15)</f>
        <v>0.9072</v>
      </c>
      <c r="L1262" s="16" t="n">
        <f aca="false">IF(D1262="","",H1262+E1262-K1262-G1262*I1262)</f>
        <v>21.0158937738552</v>
      </c>
      <c r="M1262" s="16" t="n">
        <f aca="false" t="array" ref="M1262: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>4.24946047541196</v>
      </c>
      <c r="N1262" s="16" t="n">
        <f aca="false">IF(D1262="","",(I1262+M1262)/2)</f>
        <v>4.28140543744069</v>
      </c>
      <c r="O1262" s="16" t="n">
        <f aca="false">IF(D1262="","",G1262*N1262)</f>
        <v>0.461107365612362</v>
      </c>
      <c r="P1262" s="16" t="n">
        <f aca="false">IF(D1262="","",H1262+E1262-K1262-O1262)</f>
        <v>21.0193342462657</v>
      </c>
      <c r="Q1262" s="16" t="n">
        <f aca="false">IF(D1262="","",IF(P1262&gt;=0,K1262,MAX(0,K1262+P1262)))</f>
        <v>0.9072</v>
      </c>
      <c r="R1262" s="16" t="n">
        <f aca="false">IF(D1262="","",Q1262/$B$15)</f>
        <v>0.35</v>
      </c>
      <c r="S1262" s="16" t="n">
        <f aca="false">IF(D1262="","",MAX(0,J1262-R1262))</f>
        <v>0</v>
      </c>
      <c r="T1262" s="16" t="n">
        <f aca="false">IF(D1262="","",MAX(0,Z1262-$B$8))</f>
        <v>0</v>
      </c>
      <c r="U1262" s="16" t="n">
        <f aca="false">IF(D1262="","",MAX(0,MIN($B$8,Z1262)))</f>
        <v>21.0193342462657</v>
      </c>
      <c r="V1262" s="16" t="str">
        <f aca="false">IF(D1262="","",IF(S1262&gt;0.0000001,"Sim","Não"))</f>
        <v>Não</v>
      </c>
      <c r="W1262" s="16" t="n">
        <f aca="false">IF(D1262="","",U1262-(H1262+E1262-Q1262-O1262-T1262))</f>
        <v>0</v>
      </c>
      <c r="X1262" s="16" t="n">
        <f aca="false">IF(W1262="","",ABS(W1262))</f>
        <v>0</v>
      </c>
      <c r="Y1262" s="16" t="n">
        <f aca="false">IF(U1262="","",IF($B$8=0,0,U1262/$B$8*100))</f>
        <v>44.5136261039087</v>
      </c>
      <c r="Z1262" s="18" t="n">
        <f aca="false">IF(D1262="","",MAX(0,IF(P1262&gt;=0,P1262,IF(K1262+P1262&gt;=0,0,P1262+K1262))))</f>
        <v>21.0193342462657</v>
      </c>
      <c r="AA1262" s="18" t="n">
        <f aca="false">IF(D1262="","",IF(H1262&lt;=$B$16,1,IF(H1262&gt;=$B$17,$B$21,MATCH(H1262,Aux_CAV!$A$2:$A$121,1))))</f>
        <v>11</v>
      </c>
      <c r="AB1262" s="18" t="n">
        <f aca="false">IF(D1262="","",IF(L1262&lt;=$B$16,1,IF(L1262&gt;=$B$17,$B$21,MATCH(L1262,Aux_CAV!$A$2:$A$121,1))))</f>
        <v>11</v>
      </c>
      <c r="AC1262" s="19" t="n">
        <f aca="false">IF(D1262="","",COUNT($D$24:D1262))</f>
        <v>1227</v>
      </c>
    </row>
    <row r="1263" customFormat="false" ht="12.75" hidden="false" customHeight="true" outlineLevel="0" collapsed="false">
      <c r="A1263" s="14" t="n">
        <f aca="false">IF(D1263="","",DATE(B1263,C1263,1))</f>
        <v>41365</v>
      </c>
      <c r="B1263" s="15" t="n">
        <f aca="false" t="array" ref="B1263:B1263">IF(D1263="","",IFERROR(VALUE(INDEX(Vazoes_COLAR!$A$2:$A$200,INT((ROW()-24)/12)+1)),""))</f>
        <v>2013</v>
      </c>
      <c r="C1263" s="15" t="n">
        <f aca="false">IF(D1263="","",MOD(ROW()-24,12)+1)</f>
        <v>4</v>
      </c>
      <c r="D1263" s="16" t="n">
        <f aca="false" t="array" ref="D1263: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0.327419223625325</v>
      </c>
      <c r="E1263" s="16" t="n">
        <f aca="false">IF(D1263="","",D1263*$B$15)</f>
        <v>0.848670627636842</v>
      </c>
      <c r="F1263" s="16" t="n">
        <f aca="false" t="array" ref="F1263:F1263">IF(D1263="","",IFERROR(INDEX(Dados_Evap!$C$2:$N$15,MATCH($B$9,Dados_Evap!$A$2:$A$15,0),C1263),0))</f>
        <v>100.5</v>
      </c>
      <c r="G1263" s="16" t="n">
        <f aca="false">IF(F1263="","",F1263/1000)</f>
        <v>0.1005</v>
      </c>
      <c r="H1263" s="16" t="n">
        <f aca="false">IF(D1263="","",MAX(0,MIN($B$8,IFERROR(LOOKUP(2,1/($U$24:U1262&lt;&gt;""),$U$24:U1262),$B$11))))</f>
        <v>21.0193342462657</v>
      </c>
      <c r="I1263" s="16" t="n">
        <f aca="false" t="array" ref="I1263: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>4.249871653822</v>
      </c>
      <c r="J1263" s="16" t="n">
        <f aca="false">IF(D1263="","",$B$12)</f>
        <v>0.35</v>
      </c>
      <c r="K1263" s="16" t="n">
        <f aca="false">IF(J1263="","",J1263*$B$15)</f>
        <v>0.9072</v>
      </c>
      <c r="L1263" s="16" t="n">
        <f aca="false">IF(D1263="","",H1263+E1263-K1263-G1263*I1263)</f>
        <v>20.5336927726934</v>
      </c>
      <c r="M1263" s="16" t="n">
        <f aca="false" t="array" ref="M1263: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>4.19183157527312</v>
      </c>
      <c r="N1263" s="16" t="n">
        <f aca="false">IF(D1263="","",(I1263+M1263)/2)</f>
        <v>4.22085161454756</v>
      </c>
      <c r="O1263" s="16" t="n">
        <f aca="false">IF(D1263="","",G1263*N1263)</f>
        <v>0.42419558726203</v>
      </c>
      <c r="P1263" s="16" t="n">
        <f aca="false">IF(D1263="","",H1263+E1263-K1263-O1263)</f>
        <v>20.5366092866405</v>
      </c>
      <c r="Q1263" s="16" t="n">
        <f aca="false">IF(D1263="","",IF(P1263&gt;=0,K1263,MAX(0,K1263+P1263)))</f>
        <v>0.9072</v>
      </c>
      <c r="R1263" s="16" t="n">
        <f aca="false">IF(D1263="","",Q1263/$B$15)</f>
        <v>0.35</v>
      </c>
      <c r="S1263" s="16" t="n">
        <f aca="false">IF(D1263="","",MAX(0,J1263-R1263))</f>
        <v>0</v>
      </c>
      <c r="T1263" s="16" t="n">
        <f aca="false">IF(D1263="","",MAX(0,Z1263-$B$8))</f>
        <v>0</v>
      </c>
      <c r="U1263" s="16" t="n">
        <f aca="false">IF(D1263="","",MAX(0,MIN($B$8,Z1263)))</f>
        <v>20.5366092866405</v>
      </c>
      <c r="V1263" s="16" t="str">
        <f aca="false">IF(D1263="","",IF(S1263&gt;0.0000001,"Sim","Não"))</f>
        <v>Não</v>
      </c>
      <c r="W1263" s="16" t="n">
        <f aca="false">IF(D1263="","",U1263-(H1263+E1263-Q1263-O1263-T1263))</f>
        <v>0</v>
      </c>
      <c r="X1263" s="16" t="n">
        <f aca="false">IF(W1263="","",ABS(W1263))</f>
        <v>0</v>
      </c>
      <c r="Y1263" s="16" t="n">
        <f aca="false">IF(U1263="","",IF($B$8=0,0,U1263/$B$8*100))</f>
        <v>43.4913369052107</v>
      </c>
      <c r="Z1263" s="18" t="n">
        <f aca="false">IF(D1263="","",MAX(0,IF(P1263&gt;=0,P1263,IF(K1263+P1263&gt;=0,0,P1263+K1263))))</f>
        <v>20.5366092866405</v>
      </c>
      <c r="AA1263" s="18" t="n">
        <f aca="false">IF(D1263="","",IF(H1263&lt;=$B$16,1,IF(H1263&gt;=$B$17,$B$21,MATCH(H1263,Aux_CAV!$A$2:$A$121,1))))</f>
        <v>11</v>
      </c>
      <c r="AB1263" s="18" t="n">
        <f aca="false">IF(D1263="","",IF(L1263&lt;=$B$16,1,IF(L1263&gt;=$B$17,$B$21,MATCH(L1263,Aux_CAV!$A$2:$A$121,1))))</f>
        <v>11</v>
      </c>
      <c r="AC1263" s="19" t="n">
        <f aca="false">IF(D1263="","",COUNT($D$24:D1263))</f>
        <v>1228</v>
      </c>
    </row>
    <row r="1264" customFormat="false" ht="12.75" hidden="false" customHeight="true" outlineLevel="0" collapsed="false">
      <c r="A1264" s="14" t="n">
        <f aca="false">IF(D1264="","",DATE(B1264,C1264,1))</f>
        <v>41395</v>
      </c>
      <c r="B1264" s="15" t="n">
        <f aca="false" t="array" ref="B1264:B1264">IF(D1264="","",IFERROR(VALUE(INDEX(Vazoes_COLAR!$A$2:$A$200,INT((ROW()-24)/12)+1)),""))</f>
        <v>2013</v>
      </c>
      <c r="C1264" s="15" t="n">
        <f aca="false">IF(D1264="","",MOD(ROW()-24,12)+1)</f>
        <v>5</v>
      </c>
      <c r="D1264" s="16" t="n">
        <f aca="false" t="array" ref="D1264: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0.373562033729232</v>
      </c>
      <c r="E1264" s="16" t="n">
        <f aca="false">IF(D1264="","",D1264*$B$15)</f>
        <v>0.968272791426169</v>
      </c>
      <c r="F1264" s="16" t="n">
        <f aca="false" t="array" ref="F1264:F1264">IF(D1264="","",IFERROR(INDEX(Dados_Evap!$C$2:$N$15,MATCH($B$9,Dados_Evap!$A$2:$A$15,0),C1264),0))</f>
        <v>145.8</v>
      </c>
      <c r="G1264" s="16" t="n">
        <f aca="false">IF(F1264="","",F1264/1000)</f>
        <v>0.1458</v>
      </c>
      <c r="H1264" s="16" t="n">
        <f aca="false">IF(D1264="","",MAX(0,MIN($B$8,IFERROR(LOOKUP(2,1/($U$24:U1263&lt;&gt;""),$U$24:U1263),$B$11))))</f>
        <v>20.5366092866405</v>
      </c>
      <c r="I1264" s="16" t="n">
        <f aca="false" t="array" ref="I1264: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>4.19218013425704</v>
      </c>
      <c r="J1264" s="16" t="n">
        <f aca="false">IF(D1264="","",$B$12)</f>
        <v>0.35</v>
      </c>
      <c r="K1264" s="16" t="n">
        <f aca="false">IF(J1264="","",J1264*$B$15)</f>
        <v>0.9072</v>
      </c>
      <c r="L1264" s="16" t="n">
        <f aca="false">IF(D1264="","",H1264+E1264-K1264-G1264*I1264)</f>
        <v>19.986462214492</v>
      </c>
      <c r="M1264" s="16" t="n">
        <f aca="false" t="array" ref="M1264: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>4.12643085002465</v>
      </c>
      <c r="N1264" s="16" t="n">
        <f aca="false">IF(D1264="","",(I1264+M1264)/2)</f>
        <v>4.15930549214085</v>
      </c>
      <c r="O1264" s="16" t="n">
        <f aca="false">IF(D1264="","",G1264*N1264)</f>
        <v>0.606426740754135</v>
      </c>
      <c r="P1264" s="16" t="n">
        <f aca="false">IF(D1264="","",H1264+E1264-K1264-O1264)</f>
        <v>19.9912553373125</v>
      </c>
      <c r="Q1264" s="16" t="n">
        <f aca="false">IF(D1264="","",IF(P1264&gt;=0,K1264,MAX(0,K1264+P1264)))</f>
        <v>0.9072</v>
      </c>
      <c r="R1264" s="16" t="n">
        <f aca="false">IF(D1264="","",Q1264/$B$15)</f>
        <v>0.35</v>
      </c>
      <c r="S1264" s="16" t="n">
        <f aca="false">IF(D1264="","",MAX(0,J1264-R1264))</f>
        <v>0</v>
      </c>
      <c r="T1264" s="16" t="n">
        <f aca="false">IF(D1264="","",MAX(0,Z1264-$B$8))</f>
        <v>0</v>
      </c>
      <c r="U1264" s="16" t="n">
        <f aca="false">IF(D1264="","",MAX(0,MIN($B$8,Z1264)))</f>
        <v>19.9912553373125</v>
      </c>
      <c r="V1264" s="16" t="str">
        <f aca="false">IF(D1264="","",IF(S1264&gt;0.0000001,"Sim","Não"))</f>
        <v>Não</v>
      </c>
      <c r="W1264" s="16" t="n">
        <f aca="false">IF(D1264="","",U1264-(H1264+E1264-Q1264-O1264-T1264))</f>
        <v>0</v>
      </c>
      <c r="X1264" s="16" t="n">
        <f aca="false">IF(W1264="","",ABS(W1264))</f>
        <v>0</v>
      </c>
      <c r="Y1264" s="16" t="n">
        <f aca="false">IF(U1264="","",IF($B$8=0,0,U1264/$B$8*100))</f>
        <v>42.3364153691498</v>
      </c>
      <c r="Z1264" s="18" t="n">
        <f aca="false">IF(D1264="","",MAX(0,IF(P1264&gt;=0,P1264,IF(K1264+P1264&gt;=0,0,P1264+K1264))))</f>
        <v>19.9912553373125</v>
      </c>
      <c r="AA1264" s="18" t="n">
        <f aca="false">IF(D1264="","",IF(H1264&lt;=$B$16,1,IF(H1264&gt;=$B$17,$B$21,MATCH(H1264,Aux_CAV!$A$2:$A$121,1))))</f>
        <v>11</v>
      </c>
      <c r="AB1264" s="18" t="n">
        <f aca="false">IF(D1264="","",IF(L1264&lt;=$B$16,1,IF(L1264&gt;=$B$17,$B$21,MATCH(L1264,Aux_CAV!$A$2:$A$121,1))))</f>
        <v>11</v>
      </c>
      <c r="AC1264" s="19" t="n">
        <f aca="false">IF(D1264="","",COUNT($D$24:D1264))</f>
        <v>1229</v>
      </c>
    </row>
    <row r="1265" customFormat="false" ht="12.75" hidden="false" customHeight="true" outlineLevel="0" collapsed="false">
      <c r="A1265" s="14" t="n">
        <f aca="false">IF(D1265="","",DATE(B1265,C1265,1))</f>
        <v>41426</v>
      </c>
      <c r="B1265" s="15" t="n">
        <f aca="false" t="array" ref="B1265:B1265">IF(D1265="","",IFERROR(VALUE(INDEX(Vazoes_COLAR!$A$2:$A$200,INT((ROW()-24)/12)+1)),""))</f>
        <v>2013</v>
      </c>
      <c r="C1265" s="15" t="n">
        <f aca="false">IF(D1265="","",MOD(ROW()-24,12)+1)</f>
        <v>6</v>
      </c>
      <c r="D1265" s="16" t="n">
        <f aca="false" t="array" ref="D1265: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0.295058417691478</v>
      </c>
      <c r="E1265" s="16" t="n">
        <f aca="false">IF(D1265="","",D1265*$B$15)</f>
        <v>0.764791418656311</v>
      </c>
      <c r="F1265" s="16" t="n">
        <f aca="false" t="array" ref="F1265:F1265">IF(D1265="","",IFERROR(INDEX(Dados_Evap!$C$2:$N$15,MATCH($B$9,Dados_Evap!$A$2:$A$15,0),C1265),0))</f>
        <v>161.3</v>
      </c>
      <c r="G1265" s="16" t="n">
        <f aca="false">IF(F1265="","",F1265/1000)</f>
        <v>0.1613</v>
      </c>
      <c r="H1265" s="16" t="n">
        <f aca="false">IF(D1265="","",MAX(0,MIN($B$8,IFERROR(LOOKUP(2,1/($U$24:U1264&lt;&gt;""),$U$24:U1264),$B$11))))</f>
        <v>19.9912553373125</v>
      </c>
      <c r="I1265" s="16" t="n">
        <f aca="false" t="array" ref="I1265: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>4.12700368665443</v>
      </c>
      <c r="J1265" s="16" t="n">
        <f aca="false">IF(D1265="","",$B$12)</f>
        <v>0.35</v>
      </c>
      <c r="K1265" s="16" t="n">
        <f aca="false">IF(J1265="","",J1265*$B$15)</f>
        <v>0.9072</v>
      </c>
      <c r="L1265" s="16" t="n">
        <f aca="false">IF(D1265="","",H1265+E1265-K1265-G1265*I1265)</f>
        <v>19.1831610613115</v>
      </c>
      <c r="M1265" s="16" t="n">
        <f aca="false" t="array" ref="M1265: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>4.03042656586406</v>
      </c>
      <c r="N1265" s="16" t="n">
        <f aca="false">IF(D1265="","",(I1265+M1265)/2)</f>
        <v>4.07871512625924</v>
      </c>
      <c r="O1265" s="16" t="n">
        <f aca="false">IF(D1265="","",G1265*N1265)</f>
        <v>0.657896749865616</v>
      </c>
      <c r="P1265" s="16" t="n">
        <f aca="false">IF(D1265="","",H1265+E1265-K1265-O1265)</f>
        <v>19.1909500061032</v>
      </c>
      <c r="Q1265" s="16" t="n">
        <f aca="false">IF(D1265="","",IF(P1265&gt;=0,K1265,MAX(0,K1265+P1265)))</f>
        <v>0.9072</v>
      </c>
      <c r="R1265" s="16" t="n">
        <f aca="false">IF(D1265="","",Q1265/$B$15)</f>
        <v>0.35</v>
      </c>
      <c r="S1265" s="16" t="n">
        <f aca="false">IF(D1265="","",MAX(0,J1265-R1265))</f>
        <v>0</v>
      </c>
      <c r="T1265" s="16" t="n">
        <f aca="false">IF(D1265="","",MAX(0,Z1265-$B$8))</f>
        <v>0</v>
      </c>
      <c r="U1265" s="16" t="n">
        <f aca="false">IF(D1265="","",MAX(0,MIN($B$8,Z1265)))</f>
        <v>19.1909500061032</v>
      </c>
      <c r="V1265" s="16" t="str">
        <f aca="false">IF(D1265="","",IF(S1265&gt;0.0000001,"Sim","Não"))</f>
        <v>Não</v>
      </c>
      <c r="W1265" s="16" t="n">
        <f aca="false">IF(D1265="","",U1265-(H1265+E1265-Q1265-O1265-T1265))</f>
        <v>0</v>
      </c>
      <c r="X1265" s="16" t="n">
        <f aca="false">IF(W1265="","",ABS(W1265))</f>
        <v>0</v>
      </c>
      <c r="Y1265" s="16" t="n">
        <f aca="false">IF(U1265="","",IF($B$8=0,0,U1265/$B$8*100))</f>
        <v>40.6415713809895</v>
      </c>
      <c r="Z1265" s="18" t="n">
        <f aca="false">IF(D1265="","",MAX(0,IF(P1265&gt;=0,P1265,IF(K1265+P1265&gt;=0,0,P1265+K1265))))</f>
        <v>19.1909500061032</v>
      </c>
      <c r="AA1265" s="18" t="n">
        <f aca="false">IF(D1265="","",IF(H1265&lt;=$B$16,1,IF(H1265&gt;=$B$17,$B$21,MATCH(H1265,Aux_CAV!$A$2:$A$121,1))))</f>
        <v>11</v>
      </c>
      <c r="AB1265" s="18" t="n">
        <f aca="false">IF(D1265="","",IF(L1265&lt;=$B$16,1,IF(L1265&gt;=$B$17,$B$21,MATCH(L1265,Aux_CAV!$A$2:$A$121,1))))</f>
        <v>11</v>
      </c>
      <c r="AC1265" s="19" t="n">
        <f aca="false">IF(D1265="","",COUNT($D$24:D1265))</f>
        <v>1230</v>
      </c>
    </row>
    <row r="1266" customFormat="false" ht="12.75" hidden="false" customHeight="true" outlineLevel="0" collapsed="false">
      <c r="A1266" s="14" t="n">
        <f aca="false">IF(D1266="","",DATE(B1266,C1266,1))</f>
        <v>41456</v>
      </c>
      <c r="B1266" s="15" t="n">
        <f aca="false" t="array" ref="B1266:B1266">IF(D1266="","",IFERROR(VALUE(INDEX(Vazoes_COLAR!$A$2:$A$200,INT((ROW()-24)/12)+1)),""))</f>
        <v>2013</v>
      </c>
      <c r="C1266" s="15" t="n">
        <f aca="false">IF(D1266="","",MOD(ROW()-24,12)+1)</f>
        <v>7</v>
      </c>
      <c r="D1266" s="16" t="n">
        <f aca="false" t="array" ref="D1266: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0.072438498023039</v>
      </c>
      <c r="E1266" s="16" t="n">
        <f aca="false">IF(D1266="","",D1266*$B$15)</f>
        <v>0.187760586875717</v>
      </c>
      <c r="F1266" s="16" t="n">
        <f aca="false" t="array" ref="F1266:F1266">IF(D1266="","",IFERROR(INDEX(Dados_Evap!$C$2:$N$15,MATCH($B$9,Dados_Evap!$A$2:$A$15,0),C1266),0))</f>
        <v>224.8</v>
      </c>
      <c r="G1266" s="16" t="n">
        <f aca="false">IF(F1266="","",F1266/1000)</f>
        <v>0.2248</v>
      </c>
      <c r="H1266" s="16" t="n">
        <f aca="false">IF(D1266="","",MAX(0,MIN($B$8,IFERROR(LOOKUP(2,1/($U$24:U1265&lt;&gt;""),$U$24:U1265),$B$11))))</f>
        <v>19.1909500061032</v>
      </c>
      <c r="I1266" s="16" t="n">
        <f aca="false" t="array" ref="I1266: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>4.0313574397538</v>
      </c>
      <c r="J1266" s="16" t="n">
        <f aca="false">IF(D1266="","",$B$12)</f>
        <v>0.35</v>
      </c>
      <c r="K1266" s="16" t="n">
        <f aca="false">IF(J1266="","",J1266*$B$15)</f>
        <v>0.9072</v>
      </c>
      <c r="L1266" s="16" t="n">
        <f aca="false">IF(D1266="","",H1266+E1266-K1266-G1266*I1266)</f>
        <v>17.5652614405223</v>
      </c>
      <c r="M1266" s="16" t="n">
        <f aca="false" t="array" ref="M1266: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>3.83706783069657</v>
      </c>
      <c r="N1266" s="16" t="n">
        <f aca="false">IF(D1266="","",(I1266+M1266)/2)</f>
        <v>3.93421263522519</v>
      </c>
      <c r="O1266" s="16" t="n">
        <f aca="false">IF(D1266="","",G1266*N1266)</f>
        <v>0.884411000398622</v>
      </c>
      <c r="P1266" s="16" t="n">
        <f aca="false">IF(D1266="","",H1266+E1266-K1266-O1266)</f>
        <v>17.5870995925803</v>
      </c>
      <c r="Q1266" s="16" t="n">
        <f aca="false">IF(D1266="","",IF(P1266&gt;=0,K1266,MAX(0,K1266+P1266)))</f>
        <v>0.9072</v>
      </c>
      <c r="R1266" s="16" t="n">
        <f aca="false">IF(D1266="","",Q1266/$B$15)</f>
        <v>0.35</v>
      </c>
      <c r="S1266" s="16" t="n">
        <f aca="false">IF(D1266="","",MAX(0,J1266-R1266))</f>
        <v>0</v>
      </c>
      <c r="T1266" s="16" t="n">
        <f aca="false">IF(D1266="","",MAX(0,Z1266-$B$8))</f>
        <v>0</v>
      </c>
      <c r="U1266" s="16" t="n">
        <f aca="false">IF(D1266="","",MAX(0,MIN($B$8,Z1266)))</f>
        <v>17.5870995925803</v>
      </c>
      <c r="V1266" s="16" t="str">
        <f aca="false">IF(D1266="","",IF(S1266&gt;0.0000001,"Sim","Não"))</f>
        <v>Não</v>
      </c>
      <c r="W1266" s="16" t="n">
        <f aca="false">IF(D1266="","",U1266-(H1266+E1266-Q1266-O1266-T1266))</f>
        <v>0</v>
      </c>
      <c r="X1266" s="16" t="n">
        <f aca="false">IF(W1266="","",ABS(W1266))</f>
        <v>0</v>
      </c>
      <c r="Y1266" s="16" t="n">
        <f aca="false">IF(U1266="","",IF($B$8=0,0,U1266/$B$8*100))</f>
        <v>37.2450224324022</v>
      </c>
      <c r="Z1266" s="18" t="n">
        <f aca="false">IF(D1266="","",MAX(0,IF(P1266&gt;=0,P1266,IF(K1266+P1266&gt;=0,0,P1266+K1266))))</f>
        <v>17.5870995925803</v>
      </c>
      <c r="AA1266" s="18" t="n">
        <f aca="false">IF(D1266="","",IF(H1266&lt;=$B$16,1,IF(H1266&gt;=$B$17,$B$21,MATCH(H1266,Aux_CAV!$A$2:$A$121,1))))</f>
        <v>11</v>
      </c>
      <c r="AB1266" s="18" t="n">
        <f aca="false">IF(D1266="","",IF(L1266&lt;=$B$16,1,IF(L1266&gt;=$B$17,$B$21,MATCH(L1266,Aux_CAV!$A$2:$A$121,1))))</f>
        <v>11</v>
      </c>
      <c r="AC1266" s="19" t="n">
        <f aca="false">IF(D1266="","",COUNT($D$24:D1266))</f>
        <v>1231</v>
      </c>
    </row>
    <row r="1267" customFormat="false" ht="12.75" hidden="false" customHeight="true" outlineLevel="0" collapsed="false">
      <c r="A1267" s="14" t="n">
        <f aca="false">IF(D1267="","",DATE(B1267,C1267,1))</f>
        <v>41487</v>
      </c>
      <c r="B1267" s="15" t="n">
        <f aca="false" t="array" ref="B1267:B1267">IF(D1267="","",IFERROR(VALUE(INDEX(Vazoes_COLAR!$A$2:$A$200,INT((ROW()-24)/12)+1)),""))</f>
        <v>2013</v>
      </c>
      <c r="C1267" s="15" t="n">
        <f aca="false">IF(D1267="","",MOD(ROW()-24,12)+1)</f>
        <v>8</v>
      </c>
      <c r="D1267" s="16" t="n">
        <f aca="false" t="array" ref="D1267: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0.00759231248612887</v>
      </c>
      <c r="E1267" s="16" t="n">
        <f aca="false">IF(D1267="","",D1267*$B$15)</f>
        <v>0.019679273964046</v>
      </c>
      <c r="F1267" s="16" t="n">
        <f aca="false" t="array" ref="F1267:F1267">IF(D1267="","",IFERROR(INDEX(Dados_Evap!$C$2:$N$15,MATCH($B$9,Dados_Evap!$A$2:$A$15,0),C1267),0))</f>
        <v>268.7</v>
      </c>
      <c r="G1267" s="16" t="n">
        <f aca="false">IF(F1267="","",F1267/1000)</f>
        <v>0.2687</v>
      </c>
      <c r="H1267" s="16" t="n">
        <f aca="false">IF(D1267="","",MAX(0,MIN($B$8,IFERROR(LOOKUP(2,1/($U$24:U1266&lt;&gt;""),$U$24:U1266),$B$11))))</f>
        <v>17.5870995925803</v>
      </c>
      <c r="I1267" s="16" t="n">
        <f aca="false" t="array" ref="I1267: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>3.83967775618643</v>
      </c>
      <c r="J1267" s="16" t="n">
        <f aca="false">IF(D1267="","",$B$12)</f>
        <v>0.35</v>
      </c>
      <c r="K1267" s="16" t="n">
        <f aca="false">IF(J1267="","",J1267*$B$15)</f>
        <v>0.9072</v>
      </c>
      <c r="L1267" s="16" t="n">
        <f aca="false">IF(D1267="","",H1267+E1267-K1267-G1267*I1267)</f>
        <v>15.6678574534571</v>
      </c>
      <c r="M1267" s="16" t="n">
        <f aca="false" t="array" ref="M1267: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>3.62167019455958</v>
      </c>
      <c r="N1267" s="16" t="n">
        <f aca="false">IF(D1267="","",(I1267+M1267)/2)</f>
        <v>3.730673975373</v>
      </c>
      <c r="O1267" s="16" t="n">
        <f aca="false">IF(D1267="","",G1267*N1267)</f>
        <v>1.00243209718273</v>
      </c>
      <c r="P1267" s="16" t="n">
        <f aca="false">IF(D1267="","",H1267+E1267-K1267-O1267)</f>
        <v>15.6971467693617</v>
      </c>
      <c r="Q1267" s="16" t="n">
        <f aca="false">IF(D1267="","",IF(P1267&gt;=0,K1267,MAX(0,K1267+P1267)))</f>
        <v>0.9072</v>
      </c>
      <c r="R1267" s="16" t="n">
        <f aca="false">IF(D1267="","",Q1267/$B$15)</f>
        <v>0.35</v>
      </c>
      <c r="S1267" s="16" t="n">
        <f aca="false">IF(D1267="","",MAX(0,J1267-R1267))</f>
        <v>0</v>
      </c>
      <c r="T1267" s="16" t="n">
        <f aca="false">IF(D1267="","",MAX(0,Z1267-$B$8))</f>
        <v>0</v>
      </c>
      <c r="U1267" s="16" t="n">
        <f aca="false">IF(D1267="","",MAX(0,MIN($B$8,Z1267)))</f>
        <v>15.6971467693617</v>
      </c>
      <c r="V1267" s="16" t="str">
        <f aca="false">IF(D1267="","",IF(S1267&gt;0.0000001,"Sim","Não"))</f>
        <v>Não</v>
      </c>
      <c r="W1267" s="16" t="n">
        <f aca="false">IF(D1267="","",U1267-(H1267+E1267-Q1267-O1267-T1267))</f>
        <v>0</v>
      </c>
      <c r="X1267" s="16" t="n">
        <f aca="false">IF(W1267="","",ABS(W1267))</f>
        <v>0</v>
      </c>
      <c r="Y1267" s="16" t="n">
        <f aca="false">IF(U1267="","",IF($B$8=0,0,U1267/$B$8*100))</f>
        <v>33.242581044815</v>
      </c>
      <c r="Z1267" s="18" t="n">
        <f aca="false">IF(D1267="","",MAX(0,IF(P1267&gt;=0,P1267,IF(K1267+P1267&gt;=0,0,P1267+K1267))))</f>
        <v>15.6971467693617</v>
      </c>
      <c r="AA1267" s="18" t="n">
        <f aca="false">IF(D1267="","",IF(H1267&lt;=$B$16,1,IF(H1267&gt;=$B$17,$B$21,MATCH(H1267,Aux_CAV!$A$2:$A$121,1))))</f>
        <v>11</v>
      </c>
      <c r="AB1267" s="18" t="n">
        <f aca="false">IF(D1267="","",IF(L1267&lt;=$B$16,1,IF(L1267&gt;=$B$17,$B$21,MATCH(L1267,Aux_CAV!$A$2:$A$121,1))))</f>
        <v>10</v>
      </c>
      <c r="AC1267" s="19" t="n">
        <f aca="false">IF(D1267="","",COUNT($D$24:D1267))</f>
        <v>1232</v>
      </c>
    </row>
    <row r="1268" customFormat="false" ht="12.75" hidden="false" customHeight="true" outlineLevel="0" collapsed="false">
      <c r="A1268" s="14" t="n">
        <f aca="false">IF(D1268="","",DATE(B1268,C1268,1))</f>
        <v>41518</v>
      </c>
      <c r="B1268" s="15" t="n">
        <f aca="false" t="array" ref="B1268:B1268">IF(D1268="","",IFERROR(VALUE(INDEX(Vazoes_COLAR!$A$2:$A$200,INT((ROW()-24)/12)+1)),""))</f>
        <v>2013</v>
      </c>
      <c r="C1268" s="15" t="n">
        <f aca="false">IF(D1268="","",MOD(ROW()-24,12)+1)</f>
        <v>9</v>
      </c>
      <c r="D1268" s="16" t="n">
        <f aca="false" t="array" ref="D1268: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0.00390022914628005</v>
      </c>
      <c r="E1268" s="16" t="n">
        <f aca="false">IF(D1268="","",D1268*$B$15)</f>
        <v>0.0101093939471579</v>
      </c>
      <c r="F1268" s="16" t="n">
        <f aca="false" t="array" ref="F1268:F1268">IF(D1268="","",IFERROR(INDEX(Dados_Evap!$C$2:$N$15,MATCH($B$9,Dados_Evap!$A$2:$A$15,0),C1268),0))</f>
        <v>292.8</v>
      </c>
      <c r="G1268" s="16" t="n">
        <f aca="false">IF(F1268="","",F1268/1000)</f>
        <v>0.2928</v>
      </c>
      <c r="H1268" s="16" t="n">
        <f aca="false">IF(D1268="","",MAX(0,MIN($B$8,IFERROR(LOOKUP(2,1/($U$24:U1267&lt;&gt;""),$U$24:U1267),$B$11))))</f>
        <v>15.6971467693617</v>
      </c>
      <c r="I1268" s="16" t="n">
        <f aca="false" t="array" ref="I1268: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>3.62416840091614</v>
      </c>
      <c r="J1268" s="16" t="n">
        <f aca="false">IF(D1268="","",$B$12)</f>
        <v>0.35</v>
      </c>
      <c r="K1268" s="16" t="n">
        <f aca="false">IF(J1268="","",J1268*$B$15)</f>
        <v>0.9072</v>
      </c>
      <c r="L1268" s="16" t="n">
        <f aca="false">IF(D1268="","",H1268+E1268-K1268-G1268*I1268)</f>
        <v>13.7388996555206</v>
      </c>
      <c r="M1268" s="16" t="n">
        <f aca="false" t="array" ref="M1268: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>3.45714144120617</v>
      </c>
      <c r="N1268" s="16" t="n">
        <f aca="false">IF(D1268="","",(I1268+M1268)/2)</f>
        <v>3.54065492106115</v>
      </c>
      <c r="O1268" s="16" t="n">
        <f aca="false">IF(D1268="","",G1268*N1268)</f>
        <v>1.03670376088671</v>
      </c>
      <c r="P1268" s="16" t="n">
        <f aca="false">IF(D1268="","",H1268+E1268-K1268-O1268)</f>
        <v>13.7633524024221</v>
      </c>
      <c r="Q1268" s="16" t="n">
        <f aca="false">IF(D1268="","",IF(P1268&gt;=0,K1268,MAX(0,K1268+P1268)))</f>
        <v>0.9072</v>
      </c>
      <c r="R1268" s="16" t="n">
        <f aca="false">IF(D1268="","",Q1268/$B$15)</f>
        <v>0.35</v>
      </c>
      <c r="S1268" s="16" t="n">
        <f aca="false">IF(D1268="","",MAX(0,J1268-R1268))</f>
        <v>0</v>
      </c>
      <c r="T1268" s="16" t="n">
        <f aca="false">IF(D1268="","",MAX(0,Z1268-$B$8))</f>
        <v>0</v>
      </c>
      <c r="U1268" s="16" t="n">
        <f aca="false">IF(D1268="","",MAX(0,MIN($B$8,Z1268)))</f>
        <v>13.7633524024221</v>
      </c>
      <c r="V1268" s="16" t="str">
        <f aca="false">IF(D1268="","",IF(S1268&gt;0.0000001,"Sim","Não"))</f>
        <v>Não</v>
      </c>
      <c r="W1268" s="16" t="n">
        <f aca="false">IF(D1268="","",U1268-(H1268+E1268-Q1268-O1268-T1268))</f>
        <v>0</v>
      </c>
      <c r="X1268" s="16" t="n">
        <f aca="false">IF(W1268="","",ABS(W1268))</f>
        <v>0</v>
      </c>
      <c r="Y1268" s="16" t="n">
        <f aca="false">IF(U1268="","",IF($B$8=0,0,U1268/$B$8*100))</f>
        <v>29.1472943719231</v>
      </c>
      <c r="Z1268" s="18" t="n">
        <f aca="false">IF(D1268="","",MAX(0,IF(P1268&gt;=0,P1268,IF(K1268+P1268&gt;=0,0,P1268+K1268))))</f>
        <v>13.7633524024221</v>
      </c>
      <c r="AA1268" s="18" t="n">
        <f aca="false">IF(D1268="","",IF(H1268&lt;=$B$16,1,IF(H1268&gt;=$B$17,$B$21,MATCH(H1268,Aux_CAV!$A$2:$A$121,1))))</f>
        <v>10</v>
      </c>
      <c r="AB1268" s="18" t="n">
        <f aca="false">IF(D1268="","",IF(L1268&lt;=$B$16,1,IF(L1268&gt;=$B$17,$B$21,MATCH(L1268,Aux_CAV!$A$2:$A$121,1))))</f>
        <v>10</v>
      </c>
      <c r="AC1268" s="19" t="n">
        <f aca="false">IF(D1268="","",COUNT($D$24:D1268))</f>
        <v>1233</v>
      </c>
    </row>
    <row r="1269" customFormat="false" ht="12.75" hidden="false" customHeight="true" outlineLevel="0" collapsed="false">
      <c r="A1269" s="14" t="n">
        <f aca="false">IF(D1269="","",DATE(B1269,C1269,1))</f>
        <v>41548</v>
      </c>
      <c r="B1269" s="15" t="n">
        <f aca="false" t="array" ref="B1269:B1269">IF(D1269="","",IFERROR(VALUE(INDEX(Vazoes_COLAR!$A$2:$A$200,INT((ROW()-24)/12)+1)),""))</f>
        <v>2013</v>
      </c>
      <c r="C1269" s="15" t="n">
        <f aca="false">IF(D1269="","",MOD(ROW()-24,12)+1)</f>
        <v>10</v>
      </c>
      <c r="D1269" s="16" t="n">
        <f aca="false" t="array" ref="D1269: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0.0214993797138616</v>
      </c>
      <c r="E1269" s="16" t="n">
        <f aca="false">IF(D1269="","",D1269*$B$15)</f>
        <v>0.0557263922183293</v>
      </c>
      <c r="F1269" s="16" t="n">
        <f aca="false" t="array" ref="F1269:F1269">IF(D1269="","",IFERROR(INDEX(Dados_Evap!$C$2:$N$15,MATCH($B$9,Dados_Evap!$A$2:$A$15,0),C1269),0))</f>
        <v>262.9</v>
      </c>
      <c r="G1269" s="16" t="n">
        <f aca="false">IF(F1269="","",F1269/1000)</f>
        <v>0.2629</v>
      </c>
      <c r="H1269" s="16" t="n">
        <f aca="false">IF(D1269="","",MAX(0,MIN($B$8,IFERROR(LOOKUP(2,1/($U$24:U1268&lt;&gt;""),$U$24:U1268),$B$11))))</f>
        <v>13.7633524024221</v>
      </c>
      <c r="I1269" s="16" t="n">
        <f aca="false" t="array" ref="I1269: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>3.45922711667718</v>
      </c>
      <c r="J1269" s="16" t="n">
        <f aca="false">IF(D1269="","",$B$12)</f>
        <v>0.35</v>
      </c>
      <c r="K1269" s="16" t="n">
        <f aca="false">IF(J1269="","",J1269*$B$15)</f>
        <v>0.9072</v>
      </c>
      <c r="L1269" s="16" t="n">
        <f aca="false">IF(D1269="","",H1269+E1269-K1269-G1269*I1269)</f>
        <v>12.002447985666</v>
      </c>
      <c r="M1269" s="16" t="n">
        <f aca="false" t="array" ref="M1269: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>3.30903232818916</v>
      </c>
      <c r="N1269" s="16" t="n">
        <f aca="false">IF(D1269="","",(I1269+M1269)/2)</f>
        <v>3.38412972243317</v>
      </c>
      <c r="O1269" s="16" t="n">
        <f aca="false">IF(D1269="","",G1269*N1269)</f>
        <v>0.88968770402768</v>
      </c>
      <c r="P1269" s="16" t="n">
        <f aca="false">IF(D1269="","",H1269+E1269-K1269-O1269)</f>
        <v>12.0221910906128</v>
      </c>
      <c r="Q1269" s="16" t="n">
        <f aca="false">IF(D1269="","",IF(P1269&gt;=0,K1269,MAX(0,K1269+P1269)))</f>
        <v>0.9072</v>
      </c>
      <c r="R1269" s="16" t="n">
        <f aca="false">IF(D1269="","",Q1269/$B$15)</f>
        <v>0.35</v>
      </c>
      <c r="S1269" s="16" t="n">
        <f aca="false">IF(D1269="","",MAX(0,J1269-R1269))</f>
        <v>0</v>
      </c>
      <c r="T1269" s="16" t="n">
        <f aca="false">IF(D1269="","",MAX(0,Z1269-$B$8))</f>
        <v>0</v>
      </c>
      <c r="U1269" s="16" t="n">
        <f aca="false">IF(D1269="","",MAX(0,MIN($B$8,Z1269)))</f>
        <v>12.0221910906128</v>
      </c>
      <c r="V1269" s="16" t="str">
        <f aca="false">IF(D1269="","",IF(S1269&gt;0.0000001,"Sim","Não"))</f>
        <v>Não</v>
      </c>
      <c r="W1269" s="16" t="n">
        <f aca="false">IF(D1269="","",U1269-(H1269+E1269-Q1269-O1269-T1269))</f>
        <v>0</v>
      </c>
      <c r="X1269" s="16" t="n">
        <f aca="false">IF(W1269="","",ABS(W1269))</f>
        <v>0</v>
      </c>
      <c r="Y1269" s="16" t="n">
        <f aca="false">IF(U1269="","",IF($B$8=0,0,U1269/$B$8*100))</f>
        <v>25.4599557192138</v>
      </c>
      <c r="Z1269" s="18" t="n">
        <f aca="false">IF(D1269="","",MAX(0,IF(P1269&gt;=0,P1269,IF(K1269+P1269&gt;=0,0,P1269+K1269))))</f>
        <v>12.0221910906128</v>
      </c>
      <c r="AA1269" s="18" t="n">
        <f aca="false">IF(D1269="","",IF(H1269&lt;=$B$16,1,IF(H1269&gt;=$B$17,$B$21,MATCH(H1269,Aux_CAV!$A$2:$A$121,1))))</f>
        <v>10</v>
      </c>
      <c r="AB1269" s="18" t="n">
        <f aca="false">IF(D1269="","",IF(L1269&lt;=$B$16,1,IF(L1269&gt;=$B$17,$B$21,MATCH(L1269,Aux_CAV!$A$2:$A$121,1))))</f>
        <v>10</v>
      </c>
      <c r="AC1269" s="19" t="n">
        <f aca="false">IF(D1269="","",COUNT($D$24:D1269))</f>
        <v>1234</v>
      </c>
    </row>
    <row r="1270" customFormat="false" ht="12.75" hidden="false" customHeight="true" outlineLevel="0" collapsed="false">
      <c r="A1270" s="14" t="n">
        <f aca="false">IF(D1270="","",DATE(B1270,C1270,1))</f>
        <v>41579</v>
      </c>
      <c r="B1270" s="15" t="n">
        <f aca="false" t="array" ref="B1270:B1270">IF(D1270="","",IFERROR(VALUE(INDEX(Vazoes_COLAR!$A$2:$A$200,INT((ROW()-24)/12)+1)),""))</f>
        <v>2013</v>
      </c>
      <c r="C1270" s="15" t="n">
        <f aca="false">IF(D1270="","",MOD(ROW()-24,12)+1)</f>
        <v>11</v>
      </c>
      <c r="D1270" s="16" t="n">
        <f aca="false" t="array" ref="D1270: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0.0124176184333055</v>
      </c>
      <c r="E1270" s="16" t="n">
        <f aca="false">IF(D1270="","",D1270*$B$15)</f>
        <v>0.0321864669791279</v>
      </c>
      <c r="F1270" s="16" t="n">
        <f aca="false" t="array" ref="F1270:F1270">IF(D1270="","",IFERROR(INDEX(Dados_Evap!$C$2:$N$15,MATCH($B$9,Dados_Evap!$A$2:$A$15,0),C1270),0))</f>
        <v>223.7</v>
      </c>
      <c r="G1270" s="16" t="n">
        <f aca="false">IF(F1270="","",F1270/1000)</f>
        <v>0.2237</v>
      </c>
      <c r="H1270" s="16" t="n">
        <f aca="false">IF(D1270="","",MAX(0,MIN($B$8,IFERROR(LOOKUP(2,1/($U$24:U1269&lt;&gt;""),$U$24:U1269),$B$11))))</f>
        <v>12.0221910906128</v>
      </c>
      <c r="I1270" s="16" t="n">
        <f aca="false" t="array" ref="I1270: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>3.31071629890521</v>
      </c>
      <c r="J1270" s="16" t="n">
        <f aca="false">IF(D1270="","",$B$12)</f>
        <v>0.35</v>
      </c>
      <c r="K1270" s="16" t="n">
        <f aca="false">IF(J1270="","",J1270*$B$15)</f>
        <v>0.9072</v>
      </c>
      <c r="L1270" s="16" t="n">
        <f aca="false">IF(D1270="","",H1270+E1270-K1270-G1270*I1270)</f>
        <v>10.4065703215268</v>
      </c>
      <c r="M1270" s="16" t="n">
        <f aca="false" t="array" ref="M1270: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>3.17291335095376</v>
      </c>
      <c r="N1270" s="16" t="n">
        <f aca="false">IF(D1270="","",(I1270+M1270)/2)</f>
        <v>3.24181482492948</v>
      </c>
      <c r="O1270" s="16" t="n">
        <f aca="false">IF(D1270="","",G1270*N1270)</f>
        <v>0.725193976336725</v>
      </c>
      <c r="P1270" s="16" t="n">
        <f aca="false">IF(D1270="","",H1270+E1270-K1270-O1270)</f>
        <v>10.4219835812552</v>
      </c>
      <c r="Q1270" s="16" t="n">
        <f aca="false">IF(D1270="","",IF(P1270&gt;=0,K1270,MAX(0,K1270+P1270)))</f>
        <v>0.9072</v>
      </c>
      <c r="R1270" s="16" t="n">
        <f aca="false">IF(D1270="","",Q1270/$B$15)</f>
        <v>0.35</v>
      </c>
      <c r="S1270" s="16" t="n">
        <f aca="false">IF(D1270="","",MAX(0,J1270-R1270))</f>
        <v>0</v>
      </c>
      <c r="T1270" s="16" t="n">
        <f aca="false">IF(D1270="","",MAX(0,Z1270-$B$8))</f>
        <v>0</v>
      </c>
      <c r="U1270" s="16" t="n">
        <f aca="false">IF(D1270="","",MAX(0,MIN($B$8,Z1270)))</f>
        <v>10.4219835812552</v>
      </c>
      <c r="V1270" s="16" t="str">
        <f aca="false">IF(D1270="","",IF(S1270&gt;0.0000001,"Sim","Não"))</f>
        <v>Não</v>
      </c>
      <c r="W1270" s="16" t="n">
        <f aca="false">IF(D1270="","",U1270-(H1270+E1270-Q1270-O1270-T1270))</f>
        <v>0</v>
      </c>
      <c r="X1270" s="16" t="n">
        <f aca="false">IF(W1270="","",ABS(W1270))</f>
        <v>0</v>
      </c>
      <c r="Y1270" s="16" t="n">
        <f aca="false">IF(U1270="","",IF($B$8=0,0,U1270/$B$8*100))</f>
        <v>22.0711215189648</v>
      </c>
      <c r="Z1270" s="18" t="n">
        <f aca="false">IF(D1270="","",MAX(0,IF(P1270&gt;=0,P1270,IF(K1270+P1270&gt;=0,0,P1270+K1270))))</f>
        <v>10.4219835812552</v>
      </c>
      <c r="AA1270" s="18" t="n">
        <f aca="false">IF(D1270="","",IF(H1270&lt;=$B$16,1,IF(H1270&gt;=$B$17,$B$21,MATCH(H1270,Aux_CAV!$A$2:$A$121,1))))</f>
        <v>10</v>
      </c>
      <c r="AB1270" s="18" t="n">
        <f aca="false">IF(D1270="","",IF(L1270&lt;=$B$16,1,IF(L1270&gt;=$B$17,$B$21,MATCH(L1270,Aux_CAV!$A$2:$A$121,1))))</f>
        <v>10</v>
      </c>
      <c r="AC1270" s="19" t="n">
        <f aca="false">IF(D1270="","",COUNT($D$24:D1270))</f>
        <v>1235</v>
      </c>
    </row>
    <row r="1271" customFormat="false" ht="12.75" hidden="false" customHeight="true" outlineLevel="0" collapsed="false">
      <c r="A1271" s="14" t="n">
        <f aca="false">IF(D1271="","",DATE(B1271,C1271,1))</f>
        <v>41609</v>
      </c>
      <c r="B1271" s="15" t="n">
        <f aca="false" t="array" ref="B1271:B1271">IF(D1271="","",IFERROR(VALUE(INDEX(Vazoes_COLAR!$A$2:$A$200,INT((ROW()-24)/12)+1)),""))</f>
        <v>2013</v>
      </c>
      <c r="C1271" s="15" t="n">
        <f aca="false">IF(D1271="","",MOD(ROW()-24,12)+1)</f>
        <v>12</v>
      </c>
      <c r="D1271" s="16" t="n">
        <f aca="false" t="array" ref="D1271: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0.0449777606351125</v>
      </c>
      <c r="E1271" s="16" t="n">
        <f aca="false">IF(D1271="","",D1271*$B$15)</f>
        <v>0.116582355566212</v>
      </c>
      <c r="F1271" s="16" t="n">
        <f aca="false" t="array" ref="F1271:F1271">IF(D1271="","",IFERROR(INDEX(Dados_Evap!$C$2:$N$15,MATCH($B$9,Dados_Evap!$A$2:$A$15,0),C1271),0))</f>
        <v>216.1</v>
      </c>
      <c r="G1271" s="16" t="n">
        <f aca="false">IF(F1271="","",F1271/1000)</f>
        <v>0.2161</v>
      </c>
      <c r="H1271" s="16" t="n">
        <f aca="false">IF(D1271="","",MAX(0,MIN($B$8,IFERROR(LOOKUP(2,1/($U$24:U1270&lt;&gt;""),$U$24:U1270),$B$11))))</f>
        <v>10.4219835812552</v>
      </c>
      <c r="I1271" s="16" t="n">
        <f aca="false" t="array" ref="I1271: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>3.17422801134235</v>
      </c>
      <c r="J1271" s="16" t="n">
        <f aca="false">IF(D1271="","",$B$12)</f>
        <v>0.35</v>
      </c>
      <c r="K1271" s="16" t="n">
        <f aca="false">IF(J1271="","",J1271*$B$15)</f>
        <v>0.9072</v>
      </c>
      <c r="L1271" s="16" t="n">
        <f aca="false">IF(D1271="","",H1271+E1271-K1271-G1271*I1271)</f>
        <v>8.94541526357029</v>
      </c>
      <c r="M1271" s="16" t="n">
        <f aca="false" t="array" ref="M1271: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>2.99254123976713</v>
      </c>
      <c r="N1271" s="16" t="n">
        <f aca="false">IF(D1271="","",(I1271+M1271)/2)</f>
        <v>3.08338462555474</v>
      </c>
      <c r="O1271" s="16" t="n">
        <f aca="false">IF(D1271="","",G1271*N1271)</f>
        <v>0.66631941758238</v>
      </c>
      <c r="P1271" s="16" t="n">
        <f aca="false">IF(D1271="","",H1271+E1271-K1271-O1271)</f>
        <v>8.96504651923899</v>
      </c>
      <c r="Q1271" s="16" t="n">
        <f aca="false">IF(D1271="","",IF(P1271&gt;=0,K1271,MAX(0,K1271+P1271)))</f>
        <v>0.9072</v>
      </c>
      <c r="R1271" s="16" t="n">
        <f aca="false">IF(D1271="","",Q1271/$B$15)</f>
        <v>0.35</v>
      </c>
      <c r="S1271" s="16" t="n">
        <f aca="false">IF(D1271="","",MAX(0,J1271-R1271))</f>
        <v>0</v>
      </c>
      <c r="T1271" s="16" t="n">
        <f aca="false">IF(D1271="","",MAX(0,Z1271-$B$8))</f>
        <v>0</v>
      </c>
      <c r="U1271" s="16" t="n">
        <f aca="false">IF(D1271="","",MAX(0,MIN($B$8,Z1271)))</f>
        <v>8.96504651923899</v>
      </c>
      <c r="V1271" s="16" t="str">
        <f aca="false">IF(D1271="","",IF(S1271&gt;0.0000001,"Sim","Não"))</f>
        <v>Não</v>
      </c>
      <c r="W1271" s="16" t="n">
        <f aca="false">IF(D1271="","",U1271-(H1271+E1271-Q1271-O1271-T1271))</f>
        <v>0</v>
      </c>
      <c r="X1271" s="16" t="n">
        <f aca="false">IF(W1271="","",ABS(W1271))</f>
        <v>0</v>
      </c>
      <c r="Y1271" s="16" t="n">
        <f aca="false">IF(U1271="","",IF($B$8=0,0,U1271/$B$8*100))</f>
        <v>18.9856978382867</v>
      </c>
      <c r="Z1271" s="18" t="n">
        <f aca="false">IF(D1271="","",MAX(0,IF(P1271&gt;=0,P1271,IF(K1271+P1271&gt;=0,0,P1271+K1271))))</f>
        <v>8.96504651923899</v>
      </c>
      <c r="AA1271" s="18" t="n">
        <f aca="false">IF(D1271="","",IF(H1271&lt;=$B$16,1,IF(H1271&gt;=$B$17,$B$21,MATCH(H1271,Aux_CAV!$A$2:$A$121,1))))</f>
        <v>10</v>
      </c>
      <c r="AB1271" s="18" t="n">
        <f aca="false">IF(D1271="","",IF(L1271&lt;=$B$16,1,IF(L1271&gt;=$B$17,$B$21,MATCH(L1271,Aux_CAV!$A$2:$A$121,1))))</f>
        <v>9</v>
      </c>
      <c r="AC1271" s="19" t="n">
        <f aca="false">IF(D1271="","",COUNT($D$24:D1271))</f>
        <v>1236</v>
      </c>
    </row>
    <row r="1272" customFormat="false" ht="12.75" hidden="false" customHeight="true" outlineLevel="0" collapsed="false">
      <c r="A1272" s="14" t="n">
        <f aca="false">IF(D1272="","",DATE(B1272,C1272,1))</f>
        <v>41640</v>
      </c>
      <c r="B1272" s="15" t="n">
        <f aca="false" t="array" ref="B1272:B1272">IF(D1272="","",IFERROR(VALUE(INDEX(Vazoes_COLAR!$A$2:$A$200,INT((ROW()-24)/12)+1)),""))</f>
        <v>2014</v>
      </c>
      <c r="C1272" s="15" t="n">
        <f aca="false">IF(D1272="","",MOD(ROW()-24,12)+1)</f>
        <v>1</v>
      </c>
      <c r="D1272" s="16" t="n">
        <f aca="false" t="array" ref="D1272: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0.0471472032943601</v>
      </c>
      <c r="E1272" s="16" t="n">
        <f aca="false">IF(D1272="","",D1272*$B$15)</f>
        <v>0.122205550938981</v>
      </c>
      <c r="F1272" s="16" t="n">
        <f aca="false" t="array" ref="F1272:F1272">IF(D1272="","",IFERROR(INDEX(Dados_Evap!$C$2:$N$15,MATCH($B$9,Dados_Evap!$A$2:$A$15,0),C1272),0))</f>
        <v>160</v>
      </c>
      <c r="G1272" s="16" t="n">
        <f aca="false">IF(F1272="","",F1272/1000)</f>
        <v>0.16</v>
      </c>
      <c r="H1272" s="16" t="n">
        <f aca="false">IF(D1272="","",MAX(0,MIN($B$8,IFERROR(LOOKUP(2,1/($U$24:U1271&lt;&gt;""),$U$24:U1271),$B$11))))</f>
        <v>8.96504651923899</v>
      </c>
      <c r="I1272" s="16" t="n">
        <f aca="false" t="array" ref="I1272: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>2.99851415372591</v>
      </c>
      <c r="J1272" s="16" t="n">
        <f aca="false">IF(D1272="","",$B$12)</f>
        <v>0.35</v>
      </c>
      <c r="K1272" s="16" t="n">
        <f aca="false">IF(J1272="","",J1272*$B$15)</f>
        <v>0.9072</v>
      </c>
      <c r="L1272" s="16" t="n">
        <f aca="false">IF(D1272="","",H1272+E1272-K1272-G1272*I1272)</f>
        <v>7.70028980558183</v>
      </c>
      <c r="M1272" s="16" t="n">
        <f aca="false" t="array" ref="M1272: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>2.61370519616639</v>
      </c>
      <c r="N1272" s="16" t="n">
        <f aca="false">IF(D1272="","",(I1272+M1272)/2)</f>
        <v>2.80610967494615</v>
      </c>
      <c r="O1272" s="16" t="n">
        <f aca="false">IF(D1272="","",G1272*N1272)</f>
        <v>0.448977547991384</v>
      </c>
      <c r="P1272" s="16" t="n">
        <f aca="false">IF(D1272="","",H1272+E1272-K1272-O1272)</f>
        <v>7.73107452218659</v>
      </c>
      <c r="Q1272" s="16" t="n">
        <f aca="false">IF(D1272="","",IF(P1272&gt;=0,K1272,MAX(0,K1272+P1272)))</f>
        <v>0.9072</v>
      </c>
      <c r="R1272" s="16" t="n">
        <f aca="false">IF(D1272="","",Q1272/$B$15)</f>
        <v>0.35</v>
      </c>
      <c r="S1272" s="16" t="n">
        <f aca="false">IF(D1272="","",MAX(0,J1272-R1272))</f>
        <v>0</v>
      </c>
      <c r="T1272" s="16" t="n">
        <f aca="false">IF(D1272="","",MAX(0,Z1272-$B$8))</f>
        <v>0</v>
      </c>
      <c r="U1272" s="16" t="n">
        <f aca="false">IF(D1272="","",MAX(0,MIN($B$8,Z1272)))</f>
        <v>7.73107452218659</v>
      </c>
      <c r="V1272" s="16" t="str">
        <f aca="false">IF(D1272="","",IF(S1272&gt;0.0000001,"Sim","Não"))</f>
        <v>Não</v>
      </c>
      <c r="W1272" s="16" t="n">
        <f aca="false">IF(D1272="","",U1272-(H1272+E1272-Q1272-O1272-T1272))</f>
        <v>0</v>
      </c>
      <c r="X1272" s="16" t="n">
        <f aca="false">IF(W1272="","",ABS(W1272))</f>
        <v>0</v>
      </c>
      <c r="Y1272" s="16" t="n">
        <f aca="false">IF(U1272="","",IF($B$8=0,0,U1272/$B$8*100))</f>
        <v>16.3724576920512</v>
      </c>
      <c r="Z1272" s="18" t="n">
        <f aca="false">IF(D1272="","",MAX(0,IF(P1272&gt;=0,P1272,IF(K1272+P1272&gt;=0,0,P1272+K1272))))</f>
        <v>7.73107452218659</v>
      </c>
      <c r="AA1272" s="18" t="n">
        <f aca="false">IF(D1272="","",IF(H1272&lt;=$B$16,1,IF(H1272&gt;=$B$17,$B$21,MATCH(H1272,Aux_CAV!$A$2:$A$121,1))))</f>
        <v>9</v>
      </c>
      <c r="AB1272" s="18" t="n">
        <f aca="false">IF(D1272="","",IF(L1272&lt;=$B$16,1,IF(L1272&gt;=$B$17,$B$21,MATCH(L1272,Aux_CAV!$A$2:$A$121,1))))</f>
        <v>9</v>
      </c>
      <c r="AC1272" s="19" t="n">
        <f aca="false">IF(D1272="","",COUNT($D$24:D1272))</f>
        <v>1237</v>
      </c>
    </row>
    <row r="1273" customFormat="false" ht="12.75" hidden="false" customHeight="true" outlineLevel="0" collapsed="false">
      <c r="A1273" s="14" t="n">
        <f aca="false">IF(D1273="","",DATE(B1273,C1273,1))</f>
        <v>41671</v>
      </c>
      <c r="B1273" s="15" t="n">
        <f aca="false" t="array" ref="B1273:B1273">IF(D1273="","",IFERROR(VALUE(INDEX(Vazoes_COLAR!$A$2:$A$200,INT((ROW()-24)/12)+1)),""))</f>
        <v>2014</v>
      </c>
      <c r="C1273" s="15" t="n">
        <f aca="false">IF(D1273="","",MOD(ROW()-24,12)+1)</f>
        <v>2</v>
      </c>
      <c r="D1273" s="16" t="n">
        <f aca="false" t="array" ref="D1273: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0.519881609431579</v>
      </c>
      <c r="E1273" s="16" t="n">
        <f aca="false">IF(D1273="","",D1273*$B$15)</f>
        <v>1.34753313164665</v>
      </c>
      <c r="F1273" s="16" t="n">
        <f aca="false" t="array" ref="F1273:F1273">IF(D1273="","",IFERROR(INDEX(Dados_Evap!$C$2:$N$15,MATCH($B$9,Dados_Evap!$A$2:$A$15,0),C1273),0))</f>
        <v>124.3</v>
      </c>
      <c r="G1273" s="16" t="n">
        <f aca="false">IF(F1273="","",F1273/1000)</f>
        <v>0.1243</v>
      </c>
      <c r="H1273" s="16" t="n">
        <f aca="false">IF(D1273="","",MAX(0,MIN($B$8,IFERROR(LOOKUP(2,1/($U$24:U1272&lt;&gt;""),$U$24:U1272),$B$11))))</f>
        <v>7.73107452218659</v>
      </c>
      <c r="I1273" s="16" t="n">
        <f aca="false" t="array" ref="I1273: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>2.62307160994188</v>
      </c>
      <c r="J1273" s="16" t="n">
        <f aca="false">IF(D1273="","",$B$12)</f>
        <v>0.35</v>
      </c>
      <c r="K1273" s="16" t="n">
        <f aca="false">IF(J1273="","",J1273*$B$15)</f>
        <v>0.9072</v>
      </c>
      <c r="L1273" s="16" t="n">
        <f aca="false">IF(D1273="","",H1273+E1273-K1273-G1273*I1273)</f>
        <v>7.84535985271747</v>
      </c>
      <c r="M1273" s="16" t="n">
        <f aca="false" t="array" ref="M1273: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>2.65784352965659</v>
      </c>
      <c r="N1273" s="16" t="n">
        <f aca="false">IF(D1273="","",(I1273+M1273)/2)</f>
        <v>2.64045756979924</v>
      </c>
      <c r="O1273" s="16" t="n">
        <f aca="false">IF(D1273="","",G1273*N1273)</f>
        <v>0.328208875926045</v>
      </c>
      <c r="P1273" s="16" t="n">
        <f aca="false">IF(D1273="","",H1273+E1273-K1273-O1273)</f>
        <v>7.8431987779072</v>
      </c>
      <c r="Q1273" s="16" t="n">
        <f aca="false">IF(D1273="","",IF(P1273&gt;=0,K1273,MAX(0,K1273+P1273)))</f>
        <v>0.9072</v>
      </c>
      <c r="R1273" s="16" t="n">
        <f aca="false">IF(D1273="","",Q1273/$B$15)</f>
        <v>0.35</v>
      </c>
      <c r="S1273" s="16" t="n">
        <f aca="false">IF(D1273="","",MAX(0,J1273-R1273))</f>
        <v>0</v>
      </c>
      <c r="T1273" s="16" t="n">
        <f aca="false">IF(D1273="","",MAX(0,Z1273-$B$8))</f>
        <v>0</v>
      </c>
      <c r="U1273" s="16" t="n">
        <f aca="false">IF(D1273="","",MAX(0,MIN($B$8,Z1273)))</f>
        <v>7.8431987779072</v>
      </c>
      <c r="V1273" s="16" t="str">
        <f aca="false">IF(D1273="","",IF(S1273&gt;0.0000001,"Sim","Não"))</f>
        <v>Não</v>
      </c>
      <c r="W1273" s="16" t="n">
        <f aca="false">IF(D1273="","",U1273-(H1273+E1273-Q1273-O1273-T1273))</f>
        <v>0</v>
      </c>
      <c r="X1273" s="16" t="n">
        <f aca="false">IF(W1273="","",ABS(W1273))</f>
        <v>0</v>
      </c>
      <c r="Y1273" s="16" t="n">
        <f aca="false">IF(U1273="","",IF($B$8=0,0,U1273/$B$8*100))</f>
        <v>16.6099084665549</v>
      </c>
      <c r="Z1273" s="18" t="n">
        <f aca="false">IF(D1273="","",MAX(0,IF(P1273&gt;=0,P1273,IF(K1273+P1273&gt;=0,0,P1273+K1273))))</f>
        <v>7.8431987779072</v>
      </c>
      <c r="AA1273" s="18" t="n">
        <f aca="false">IF(D1273="","",IF(H1273&lt;=$B$16,1,IF(H1273&gt;=$B$17,$B$21,MATCH(H1273,Aux_CAV!$A$2:$A$121,1))))</f>
        <v>9</v>
      </c>
      <c r="AB1273" s="18" t="n">
        <f aca="false">IF(D1273="","",IF(L1273&lt;=$B$16,1,IF(L1273&gt;=$B$17,$B$21,MATCH(L1273,Aux_CAV!$A$2:$A$121,1))))</f>
        <v>9</v>
      </c>
      <c r="AC1273" s="19" t="n">
        <f aca="false">IF(D1273="","",COUNT($D$24:D1273))</f>
        <v>1238</v>
      </c>
    </row>
    <row r="1274" customFormat="false" ht="12.75" hidden="false" customHeight="true" outlineLevel="0" collapsed="false">
      <c r="A1274" s="14" t="n">
        <f aca="false">IF(D1274="","",DATE(B1274,C1274,1))</f>
        <v>41699</v>
      </c>
      <c r="B1274" s="15" t="n">
        <f aca="false" t="array" ref="B1274:B1274">IF(D1274="","",IFERROR(VALUE(INDEX(Vazoes_COLAR!$A$2:$A$200,INT((ROW()-24)/12)+1)),""))</f>
        <v>2014</v>
      </c>
      <c r="C1274" s="15" t="n">
        <f aca="false">IF(D1274="","",MOD(ROW()-24,12)+1)</f>
        <v>3</v>
      </c>
      <c r="D1274" s="16" t="n">
        <f aca="false" t="array" ref="D1274: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2.53458813826065</v>
      </c>
      <c r="E1274" s="16" t="n">
        <f aca="false">IF(D1274="","",D1274*$B$15)</f>
        <v>6.56965245437161</v>
      </c>
      <c r="F1274" s="16" t="n">
        <f aca="false" t="array" ref="F1274:F1274">IF(D1274="","",IFERROR(INDEX(Dados_Evap!$C$2:$N$15,MATCH($B$9,Dados_Evap!$A$2:$A$15,0),C1274),0))</f>
        <v>107.7</v>
      </c>
      <c r="G1274" s="16" t="n">
        <f aca="false">IF(F1274="","",F1274/1000)</f>
        <v>0.1077</v>
      </c>
      <c r="H1274" s="16" t="n">
        <f aca="false">IF(D1274="","",MAX(0,MIN($B$8,IFERROR(LOOKUP(2,1/($U$24:U1273&lt;&gt;""),$U$24:U1273),$B$11))))</f>
        <v>7.8431987779072</v>
      </c>
      <c r="I1274" s="16" t="n">
        <f aca="false" t="array" ref="I1274: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>2.65718601115049</v>
      </c>
      <c r="J1274" s="16" t="n">
        <f aca="false">IF(D1274="","",$B$12)</f>
        <v>0.35</v>
      </c>
      <c r="K1274" s="16" t="n">
        <f aca="false">IF(J1274="","",J1274*$B$15)</f>
        <v>0.9072</v>
      </c>
      <c r="L1274" s="16" t="n">
        <f aca="false">IF(D1274="","",H1274+E1274-K1274-G1274*I1274)</f>
        <v>13.2194722988779</v>
      </c>
      <c r="M1274" s="16" t="n">
        <f aca="false" t="array" ref="M1274: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>3.41283734313959</v>
      </c>
      <c r="N1274" s="16" t="n">
        <f aca="false">IF(D1274="","",(I1274+M1274)/2)</f>
        <v>3.03501167714504</v>
      </c>
      <c r="O1274" s="16" t="n">
        <f aca="false">IF(D1274="","",G1274*N1274)</f>
        <v>0.32687075762852</v>
      </c>
      <c r="P1274" s="16" t="n">
        <f aca="false">IF(D1274="","",H1274+E1274-K1274-O1274)</f>
        <v>13.1787804746503</v>
      </c>
      <c r="Q1274" s="16" t="n">
        <f aca="false">IF(D1274="","",IF(P1274&gt;=0,K1274,MAX(0,K1274+P1274)))</f>
        <v>0.9072</v>
      </c>
      <c r="R1274" s="16" t="n">
        <f aca="false">IF(D1274="","",Q1274/$B$15)</f>
        <v>0.35</v>
      </c>
      <c r="S1274" s="16" t="n">
        <f aca="false">IF(D1274="","",MAX(0,J1274-R1274))</f>
        <v>0</v>
      </c>
      <c r="T1274" s="16" t="n">
        <f aca="false">IF(D1274="","",MAX(0,Z1274-$B$8))</f>
        <v>0</v>
      </c>
      <c r="U1274" s="16" t="n">
        <f aca="false">IF(D1274="","",MAX(0,MIN($B$8,Z1274)))</f>
        <v>13.1787804746503</v>
      </c>
      <c r="V1274" s="16" t="str">
        <f aca="false">IF(D1274="","",IF(S1274&gt;0.0000001,"Sim","Não"))</f>
        <v>Não</v>
      </c>
      <c r="W1274" s="16" t="n">
        <f aca="false">IF(D1274="","",U1274-(H1274+E1274-Q1274-O1274-T1274))</f>
        <v>0</v>
      </c>
      <c r="X1274" s="16" t="n">
        <f aca="false">IF(W1274="","",ABS(W1274))</f>
        <v>0</v>
      </c>
      <c r="Y1274" s="16" t="n">
        <f aca="false">IF(U1274="","",IF($B$8=0,0,U1274/$B$8*100))</f>
        <v>27.9093190907461</v>
      </c>
      <c r="Z1274" s="18" t="n">
        <f aca="false">IF(D1274="","",MAX(0,IF(P1274&gt;=0,P1274,IF(K1274+P1274&gt;=0,0,P1274+K1274))))</f>
        <v>13.1787804746503</v>
      </c>
      <c r="AA1274" s="18" t="n">
        <f aca="false">IF(D1274="","",IF(H1274&lt;=$B$16,1,IF(H1274&gt;=$B$17,$B$21,MATCH(H1274,Aux_CAV!$A$2:$A$121,1))))</f>
        <v>9</v>
      </c>
      <c r="AB1274" s="18" t="n">
        <f aca="false">IF(D1274="","",IF(L1274&lt;=$B$16,1,IF(L1274&gt;=$B$17,$B$21,MATCH(L1274,Aux_CAV!$A$2:$A$121,1))))</f>
        <v>10</v>
      </c>
      <c r="AC1274" s="19" t="n">
        <f aca="false">IF(D1274="","",COUNT($D$24:D1274))</f>
        <v>1239</v>
      </c>
    </row>
    <row r="1275" customFormat="false" ht="12.75" hidden="false" customHeight="true" outlineLevel="0" collapsed="false">
      <c r="A1275" s="14" t="n">
        <f aca="false">IF(D1275="","",DATE(B1275,C1275,1))</f>
        <v>41730</v>
      </c>
      <c r="B1275" s="15" t="n">
        <f aca="false" t="array" ref="B1275:B1275">IF(D1275="","",IFERROR(VALUE(INDEX(Vazoes_COLAR!$A$2:$A$200,INT((ROW()-24)/12)+1)),""))</f>
        <v>2014</v>
      </c>
      <c r="C1275" s="15" t="n">
        <f aca="false">IF(D1275="","",MOD(ROW()-24,12)+1)</f>
        <v>4</v>
      </c>
      <c r="D1275" s="16" t="n">
        <f aca="false" t="array" ref="D1275: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2.33850212738488</v>
      </c>
      <c r="E1275" s="16" t="n">
        <f aca="false">IF(D1275="","",D1275*$B$15)</f>
        <v>6.06139751418161</v>
      </c>
      <c r="F1275" s="16" t="n">
        <f aca="false" t="array" ref="F1275:F1275">IF(D1275="","",IFERROR(INDEX(Dados_Evap!$C$2:$N$15,MATCH($B$9,Dados_Evap!$A$2:$A$15,0),C1275),0))</f>
        <v>100.5</v>
      </c>
      <c r="G1275" s="16" t="n">
        <f aca="false">IF(F1275="","",F1275/1000)</f>
        <v>0.1005</v>
      </c>
      <c r="H1275" s="16" t="n">
        <f aca="false">IF(D1275="","",MAX(0,MIN($B$8,IFERROR(LOOKUP(2,1/($U$24:U1274&lt;&gt;""),$U$24:U1274),$B$11))))</f>
        <v>13.1787804746503</v>
      </c>
      <c r="I1275" s="16" t="n">
        <f aca="false" t="array" ref="I1275: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>3.40936656989664</v>
      </c>
      <c r="J1275" s="16" t="n">
        <f aca="false">IF(D1275="","",$B$12)</f>
        <v>0.35</v>
      </c>
      <c r="K1275" s="16" t="n">
        <f aca="false">IF(J1275="","",J1275*$B$15)</f>
        <v>0.9072</v>
      </c>
      <c r="L1275" s="16" t="n">
        <f aca="false">IF(D1275="","",H1275+E1275-K1275-G1275*I1275)</f>
        <v>17.9903366485573</v>
      </c>
      <c r="M1275" s="16" t="n">
        <f aca="false" t="array" ref="M1275: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>3.88786950190075</v>
      </c>
      <c r="N1275" s="16" t="n">
        <f aca="false">IF(D1275="","",(I1275+M1275)/2)</f>
        <v>3.6486180358987</v>
      </c>
      <c r="O1275" s="16" t="n">
        <f aca="false">IF(D1275="","",G1275*N1275)</f>
        <v>0.366686112607819</v>
      </c>
      <c r="P1275" s="16" t="n">
        <f aca="false">IF(D1275="","",H1275+E1275-K1275-O1275)</f>
        <v>17.9662918762241</v>
      </c>
      <c r="Q1275" s="16" t="n">
        <f aca="false">IF(D1275="","",IF(P1275&gt;=0,K1275,MAX(0,K1275+P1275)))</f>
        <v>0.9072</v>
      </c>
      <c r="R1275" s="16" t="n">
        <f aca="false">IF(D1275="","",Q1275/$B$15)</f>
        <v>0.35</v>
      </c>
      <c r="S1275" s="16" t="n">
        <f aca="false">IF(D1275="","",MAX(0,J1275-R1275))</f>
        <v>0</v>
      </c>
      <c r="T1275" s="16" t="n">
        <f aca="false">IF(D1275="","",MAX(0,Z1275-$B$8))</f>
        <v>0</v>
      </c>
      <c r="U1275" s="16" t="n">
        <f aca="false">IF(D1275="","",MAX(0,MIN($B$8,Z1275)))</f>
        <v>17.9662918762241</v>
      </c>
      <c r="V1275" s="16" t="str">
        <f aca="false">IF(D1275="","",IF(S1275&gt;0.0000001,"Sim","Não"))</f>
        <v>Não</v>
      </c>
      <c r="W1275" s="16" t="n">
        <f aca="false">IF(D1275="","",U1275-(H1275+E1275-Q1275-O1275-T1275))</f>
        <v>0</v>
      </c>
      <c r="X1275" s="16" t="n">
        <f aca="false">IF(W1275="","",ABS(W1275))</f>
        <v>0</v>
      </c>
      <c r="Y1275" s="16" t="n">
        <f aca="false">IF(U1275="","",IF($B$8=0,0,U1275/$B$8*100))</f>
        <v>38.0480556463873</v>
      </c>
      <c r="Z1275" s="18" t="n">
        <f aca="false">IF(D1275="","",MAX(0,IF(P1275&gt;=0,P1275,IF(K1275+P1275&gt;=0,0,P1275+K1275))))</f>
        <v>17.9662918762241</v>
      </c>
      <c r="AA1275" s="18" t="n">
        <f aca="false">IF(D1275="","",IF(H1275&lt;=$B$16,1,IF(H1275&gt;=$B$17,$B$21,MATCH(H1275,Aux_CAV!$A$2:$A$121,1))))</f>
        <v>10</v>
      </c>
      <c r="AB1275" s="18" t="n">
        <f aca="false">IF(D1275="","",IF(L1275&lt;=$B$16,1,IF(L1275&gt;=$B$17,$B$21,MATCH(L1275,Aux_CAV!$A$2:$A$121,1))))</f>
        <v>11</v>
      </c>
      <c r="AC1275" s="19" t="n">
        <f aca="false">IF(D1275="","",COUNT($D$24:D1275))</f>
        <v>1240</v>
      </c>
    </row>
    <row r="1276" customFormat="false" ht="12.75" hidden="false" customHeight="true" outlineLevel="0" collapsed="false">
      <c r="A1276" s="14" t="n">
        <f aca="false">IF(D1276="","",DATE(B1276,C1276,1))</f>
        <v>41760</v>
      </c>
      <c r="B1276" s="15" t="n">
        <f aca="false" t="array" ref="B1276:B1276">IF(D1276="","",IFERROR(VALUE(INDEX(Vazoes_COLAR!$A$2:$A$200,INT((ROW()-24)/12)+1)),""))</f>
        <v>2014</v>
      </c>
      <c r="C1276" s="15" t="n">
        <f aca="false">IF(D1276="","",MOD(ROW()-24,12)+1)</f>
        <v>5</v>
      </c>
      <c r="D1276" s="16" t="n">
        <f aca="false" t="array" ref="D1276: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0.948012470133173</v>
      </c>
      <c r="E1276" s="16" t="n">
        <f aca="false">IF(D1276="","",D1276*$B$15)</f>
        <v>2.45724832258518</v>
      </c>
      <c r="F1276" s="16" t="n">
        <f aca="false" t="array" ref="F1276:F1276">IF(D1276="","",IFERROR(INDEX(Dados_Evap!$C$2:$N$15,MATCH($B$9,Dados_Evap!$A$2:$A$15,0),C1276),0))</f>
        <v>145.8</v>
      </c>
      <c r="G1276" s="16" t="n">
        <f aca="false">IF(F1276="","",F1276/1000)</f>
        <v>0.1458</v>
      </c>
      <c r="H1276" s="16" t="n">
        <f aca="false">IF(D1276="","",MAX(0,MIN($B$8,IFERROR(LOOKUP(2,1/($U$24:U1275&lt;&gt;""),$U$24:U1275),$B$11))))</f>
        <v>17.9662918762241</v>
      </c>
      <c r="I1276" s="16" t="n">
        <f aca="false" t="array" ref="I1276: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>3.884995858378</v>
      </c>
      <c r="J1276" s="16" t="n">
        <f aca="false">IF(D1276="","",$B$12)</f>
        <v>0.35</v>
      </c>
      <c r="K1276" s="16" t="n">
        <f aca="false">IF(J1276="","",J1276*$B$15)</f>
        <v>0.9072</v>
      </c>
      <c r="L1276" s="16" t="n">
        <f aca="false">IF(D1276="","",H1276+E1276-K1276-G1276*I1276)</f>
        <v>18.9499078026577</v>
      </c>
      <c r="M1276" s="16" t="n">
        <f aca="false" t="array" ref="M1276: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>4.002549956903</v>
      </c>
      <c r="N1276" s="16" t="n">
        <f aca="false">IF(D1276="","",(I1276+M1276)/2)</f>
        <v>3.9437729076405</v>
      </c>
      <c r="O1276" s="16" t="n">
        <f aca="false">IF(D1276="","",G1276*N1276)</f>
        <v>0.575002089933985</v>
      </c>
      <c r="P1276" s="16" t="n">
        <f aca="false">IF(D1276="","",H1276+E1276-K1276-O1276)</f>
        <v>18.9413381088753</v>
      </c>
      <c r="Q1276" s="16" t="n">
        <f aca="false">IF(D1276="","",IF(P1276&gt;=0,K1276,MAX(0,K1276+P1276)))</f>
        <v>0.9072</v>
      </c>
      <c r="R1276" s="16" t="n">
        <f aca="false">IF(D1276="","",Q1276/$B$15)</f>
        <v>0.35</v>
      </c>
      <c r="S1276" s="16" t="n">
        <f aca="false">IF(D1276="","",MAX(0,J1276-R1276))</f>
        <v>0</v>
      </c>
      <c r="T1276" s="16" t="n">
        <f aca="false">IF(D1276="","",MAX(0,Z1276-$B$8))</f>
        <v>0</v>
      </c>
      <c r="U1276" s="16" t="n">
        <f aca="false">IF(D1276="","",MAX(0,MIN($B$8,Z1276)))</f>
        <v>18.9413381088753</v>
      </c>
      <c r="V1276" s="16" t="str">
        <f aca="false">IF(D1276="","",IF(S1276&gt;0.0000001,"Sim","Não"))</f>
        <v>Não</v>
      </c>
      <c r="W1276" s="16" t="n">
        <f aca="false">IF(D1276="","",U1276-(H1276+E1276-Q1276-O1276-T1276))</f>
        <v>0</v>
      </c>
      <c r="X1276" s="16" t="n">
        <f aca="false">IF(W1276="","",ABS(W1276))</f>
        <v>0</v>
      </c>
      <c r="Y1276" s="16" t="n">
        <f aca="false">IF(U1276="","",IF($B$8=0,0,U1276/$B$8*100))</f>
        <v>40.1129566049879</v>
      </c>
      <c r="Z1276" s="18" t="n">
        <f aca="false">IF(D1276="","",MAX(0,IF(P1276&gt;=0,P1276,IF(K1276+P1276&gt;=0,0,P1276+K1276))))</f>
        <v>18.9413381088753</v>
      </c>
      <c r="AA1276" s="18" t="n">
        <f aca="false">IF(D1276="","",IF(H1276&lt;=$B$16,1,IF(H1276&gt;=$B$17,$B$21,MATCH(H1276,Aux_CAV!$A$2:$A$121,1))))</f>
        <v>11</v>
      </c>
      <c r="AB1276" s="18" t="n">
        <f aca="false">IF(D1276="","",IF(L1276&lt;=$B$16,1,IF(L1276&gt;=$B$17,$B$21,MATCH(L1276,Aux_CAV!$A$2:$A$121,1))))</f>
        <v>11</v>
      </c>
      <c r="AC1276" s="19" t="n">
        <f aca="false">IF(D1276="","",COUNT($D$24:D1276))</f>
        <v>1241</v>
      </c>
    </row>
    <row r="1277" customFormat="false" ht="12.75" hidden="false" customHeight="true" outlineLevel="0" collapsed="false">
      <c r="A1277" s="14" t="n">
        <f aca="false">IF(D1277="","",DATE(B1277,C1277,1))</f>
        <v>41791</v>
      </c>
      <c r="B1277" s="15" t="n">
        <f aca="false" t="array" ref="B1277:B1277">IF(D1277="","",IFERROR(VALUE(INDEX(Vazoes_COLAR!$A$2:$A$200,INT((ROW()-24)/12)+1)),""))</f>
        <v>2014</v>
      </c>
      <c r="C1277" s="15" t="n">
        <f aca="false">IF(D1277="","",MOD(ROW()-24,12)+1)</f>
        <v>6</v>
      </c>
      <c r="D1277" s="16" t="n">
        <f aca="false" t="array" ref="D1277: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0.158850431310241</v>
      </c>
      <c r="E1277" s="16" t="n">
        <f aca="false">IF(D1277="","",D1277*$B$15)</f>
        <v>0.411740317956145</v>
      </c>
      <c r="F1277" s="16" t="n">
        <f aca="false" t="array" ref="F1277:F1277">IF(D1277="","",IFERROR(INDEX(Dados_Evap!$C$2:$N$15,MATCH($B$9,Dados_Evap!$A$2:$A$15,0),C1277),0))</f>
        <v>161.3</v>
      </c>
      <c r="G1277" s="16" t="n">
        <f aca="false">IF(F1277="","",F1277/1000)</f>
        <v>0.1613</v>
      </c>
      <c r="H1277" s="16" t="n">
        <f aca="false">IF(D1277="","",MAX(0,MIN($B$8,IFERROR(LOOKUP(2,1/($U$24:U1276&lt;&gt;""),$U$24:U1276),$B$11))))</f>
        <v>18.9413381088753</v>
      </c>
      <c r="I1277" s="16" t="n">
        <f aca="false" t="array" ref="I1277: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>4.00152577398753</v>
      </c>
      <c r="J1277" s="16" t="n">
        <f aca="false">IF(D1277="","",$B$12)</f>
        <v>0.35</v>
      </c>
      <c r="K1277" s="16" t="n">
        <f aca="false">IF(J1277="","",J1277*$B$15)</f>
        <v>0.9072</v>
      </c>
      <c r="L1277" s="16" t="n">
        <f aca="false">IF(D1277="","",H1277+E1277-K1277-G1277*I1277)</f>
        <v>17.8004323194872</v>
      </c>
      <c r="M1277" s="16" t="n">
        <f aca="false" t="array" ref="M1277: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>3.86517361867043</v>
      </c>
      <c r="N1277" s="16" t="n">
        <f aca="false">IF(D1277="","",(I1277+M1277)/2)</f>
        <v>3.93334969632898</v>
      </c>
      <c r="O1277" s="16" t="n">
        <f aca="false">IF(D1277="","",G1277*N1277)</f>
        <v>0.634449306017864</v>
      </c>
      <c r="P1277" s="16" t="n">
        <f aca="false">IF(D1277="","",H1277+E1277-K1277-O1277)</f>
        <v>17.8114291208136</v>
      </c>
      <c r="Q1277" s="16" t="n">
        <f aca="false">IF(D1277="","",IF(P1277&gt;=0,K1277,MAX(0,K1277+P1277)))</f>
        <v>0.9072</v>
      </c>
      <c r="R1277" s="16" t="n">
        <f aca="false">IF(D1277="","",Q1277/$B$15)</f>
        <v>0.35</v>
      </c>
      <c r="S1277" s="16" t="n">
        <f aca="false">IF(D1277="","",MAX(0,J1277-R1277))</f>
        <v>0</v>
      </c>
      <c r="T1277" s="16" t="n">
        <f aca="false">IF(D1277="","",MAX(0,Z1277-$B$8))</f>
        <v>0</v>
      </c>
      <c r="U1277" s="16" t="n">
        <f aca="false">IF(D1277="","",MAX(0,MIN($B$8,Z1277)))</f>
        <v>17.8114291208136</v>
      </c>
      <c r="V1277" s="16" t="str">
        <f aca="false">IF(D1277="","",IF(S1277&gt;0.0000001,"Sim","Não"))</f>
        <v>Não</v>
      </c>
      <c r="W1277" s="16" t="n">
        <f aca="false">IF(D1277="","",U1277-(H1277+E1277-Q1277-O1277-T1277))</f>
        <v>0</v>
      </c>
      <c r="X1277" s="16" t="n">
        <f aca="false">IF(W1277="","",ABS(W1277))</f>
        <v>0</v>
      </c>
      <c r="Y1277" s="16" t="n">
        <f aca="false">IF(U1277="","",IF($B$8=0,0,U1277/$B$8*100))</f>
        <v>37.7200955544548</v>
      </c>
      <c r="Z1277" s="18" t="n">
        <f aca="false">IF(D1277="","",MAX(0,IF(P1277&gt;=0,P1277,IF(K1277+P1277&gt;=0,0,P1277+K1277))))</f>
        <v>17.8114291208136</v>
      </c>
      <c r="AA1277" s="18" t="n">
        <f aca="false">IF(D1277="","",IF(H1277&lt;=$B$16,1,IF(H1277&gt;=$B$17,$B$21,MATCH(H1277,Aux_CAV!$A$2:$A$121,1))))</f>
        <v>11</v>
      </c>
      <c r="AB1277" s="18" t="n">
        <f aca="false">IF(D1277="","",IF(L1277&lt;=$B$16,1,IF(L1277&gt;=$B$17,$B$21,MATCH(L1277,Aux_CAV!$A$2:$A$121,1))))</f>
        <v>11</v>
      </c>
      <c r="AC1277" s="19" t="n">
        <f aca="false">IF(D1277="","",COUNT($D$24:D1277))</f>
        <v>1242</v>
      </c>
    </row>
    <row r="1278" customFormat="false" ht="12.75" hidden="false" customHeight="true" outlineLevel="0" collapsed="false">
      <c r="A1278" s="14" t="n">
        <f aca="false">IF(D1278="","",DATE(B1278,C1278,1))</f>
        <v>41821</v>
      </c>
      <c r="B1278" s="15" t="n">
        <f aca="false" t="array" ref="B1278:B1278">IF(D1278="","",IFERROR(VALUE(INDEX(Vazoes_COLAR!$A$2:$A$200,INT((ROW()-24)/12)+1)),""))</f>
        <v>2014</v>
      </c>
      <c r="C1278" s="15" t="n">
        <f aca="false">IF(D1278="","",MOD(ROW()-24,12)+1)</f>
        <v>7</v>
      </c>
      <c r="D1278" s="16" t="n">
        <f aca="false" t="array" ref="D1278: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0.0436315541322458</v>
      </c>
      <c r="E1278" s="16" t="n">
        <f aca="false">IF(D1278="","",D1278*$B$15)</f>
        <v>0.113092988310781</v>
      </c>
      <c r="F1278" s="16" t="n">
        <f aca="false" t="array" ref="F1278:F1278">IF(D1278="","",IFERROR(INDEX(Dados_Evap!$C$2:$N$15,MATCH($B$9,Dados_Evap!$A$2:$A$15,0),C1278),0))</f>
        <v>224.8</v>
      </c>
      <c r="G1278" s="16" t="n">
        <f aca="false">IF(F1278="","",F1278/1000)</f>
        <v>0.2248</v>
      </c>
      <c r="H1278" s="16" t="n">
        <f aca="false">IF(D1278="","",MAX(0,MIN($B$8,IFERROR(LOOKUP(2,1/($U$24:U1277&lt;&gt;""),$U$24:U1277),$B$11))))</f>
        <v>17.8114291208136</v>
      </c>
      <c r="I1278" s="16" t="n">
        <f aca="false" t="array" ref="I1278: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>3.86648787053625</v>
      </c>
      <c r="J1278" s="16" t="n">
        <f aca="false">IF(D1278="","",$B$12)</f>
        <v>0.35</v>
      </c>
      <c r="K1278" s="16" t="n">
        <f aca="false">IF(J1278="","",J1278*$B$15)</f>
        <v>0.9072</v>
      </c>
      <c r="L1278" s="16" t="n">
        <f aca="false">IF(D1278="","",H1278+E1278-K1278-G1278*I1278)</f>
        <v>16.1481356358278</v>
      </c>
      <c r="M1278" s="16" t="n">
        <f aca="false" t="array" ref="M1278: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>3.66770401501356</v>
      </c>
      <c r="N1278" s="16" t="n">
        <f aca="false">IF(D1278="","",(I1278+M1278)/2)</f>
        <v>3.76709594277491</v>
      </c>
      <c r="O1278" s="16" t="n">
        <f aca="false">IF(D1278="","",G1278*N1278)</f>
        <v>0.8468431679358</v>
      </c>
      <c r="P1278" s="16" t="n">
        <f aca="false">IF(D1278="","",H1278+E1278-K1278-O1278)</f>
        <v>16.1704789411885</v>
      </c>
      <c r="Q1278" s="16" t="n">
        <f aca="false">IF(D1278="","",IF(P1278&gt;=0,K1278,MAX(0,K1278+P1278)))</f>
        <v>0.9072</v>
      </c>
      <c r="R1278" s="16" t="n">
        <f aca="false">IF(D1278="","",Q1278/$B$15)</f>
        <v>0.35</v>
      </c>
      <c r="S1278" s="16" t="n">
        <f aca="false">IF(D1278="","",MAX(0,J1278-R1278))</f>
        <v>0</v>
      </c>
      <c r="T1278" s="16" t="n">
        <f aca="false">IF(D1278="","",MAX(0,Z1278-$B$8))</f>
        <v>0</v>
      </c>
      <c r="U1278" s="16" t="n">
        <f aca="false">IF(D1278="","",MAX(0,MIN($B$8,Z1278)))</f>
        <v>16.1704789411885</v>
      </c>
      <c r="V1278" s="16" t="str">
        <f aca="false">IF(D1278="","",IF(S1278&gt;0.0000001,"Sim","Não"))</f>
        <v>Não</v>
      </c>
      <c r="W1278" s="16" t="n">
        <f aca="false">IF(D1278="","",U1278-(H1278+E1278-Q1278-O1278-T1278))</f>
        <v>0</v>
      </c>
      <c r="X1278" s="16" t="n">
        <f aca="false">IF(W1278="","",ABS(W1278))</f>
        <v>0</v>
      </c>
      <c r="Y1278" s="16" t="n">
        <f aca="false">IF(U1278="","",IF($B$8=0,0,U1278/$B$8*100))</f>
        <v>34.2449786979851</v>
      </c>
      <c r="Z1278" s="18" t="n">
        <f aca="false">IF(D1278="","",MAX(0,IF(P1278&gt;=0,P1278,IF(K1278+P1278&gt;=0,0,P1278+K1278))))</f>
        <v>16.1704789411885</v>
      </c>
      <c r="AA1278" s="18" t="n">
        <f aca="false">IF(D1278="","",IF(H1278&lt;=$B$16,1,IF(H1278&gt;=$B$17,$B$21,MATCH(H1278,Aux_CAV!$A$2:$A$121,1))))</f>
        <v>11</v>
      </c>
      <c r="AB1278" s="18" t="n">
        <f aca="false">IF(D1278="","",IF(L1278&lt;=$B$16,1,IF(L1278&gt;=$B$17,$B$21,MATCH(L1278,Aux_CAV!$A$2:$A$121,1))))</f>
        <v>11</v>
      </c>
      <c r="AC1278" s="19" t="n">
        <f aca="false">IF(D1278="","",COUNT($D$24:D1278))</f>
        <v>1243</v>
      </c>
    </row>
    <row r="1279" customFormat="false" ht="12.75" hidden="false" customHeight="true" outlineLevel="0" collapsed="false">
      <c r="A1279" s="14" t="n">
        <f aca="false">IF(D1279="","",DATE(B1279,C1279,1))</f>
        <v>41852</v>
      </c>
      <c r="B1279" s="15" t="n">
        <f aca="false" t="array" ref="B1279:B1279">IF(D1279="","",IFERROR(VALUE(INDEX(Vazoes_COLAR!$A$2:$A$200,INT((ROW()-24)/12)+1)),""))</f>
        <v>2014</v>
      </c>
      <c r="C1279" s="15" t="n">
        <f aca="false">IF(D1279="","",MOD(ROW()-24,12)+1)</f>
        <v>8</v>
      </c>
      <c r="D1279" s="16" t="n">
        <f aca="false" t="array" ref="D1279: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0.0114291359939062</v>
      </c>
      <c r="E1279" s="16" t="n">
        <f aca="false">IF(D1279="","",D1279*$B$15)</f>
        <v>0.0296243204962049</v>
      </c>
      <c r="F1279" s="16" t="n">
        <f aca="false" t="array" ref="F1279:F1279">IF(D1279="","",IFERROR(INDEX(Dados_Evap!$C$2:$N$15,MATCH($B$9,Dados_Evap!$A$2:$A$15,0),C1279),0))</f>
        <v>268.7</v>
      </c>
      <c r="G1279" s="16" t="n">
        <f aca="false">IF(F1279="","",F1279/1000)</f>
        <v>0.2687</v>
      </c>
      <c r="H1279" s="16" t="n">
        <f aca="false">IF(D1279="","",MAX(0,MIN($B$8,IFERROR(LOOKUP(2,1/($U$24:U1278&lt;&gt;""),$U$24:U1278),$B$11))))</f>
        <v>16.1704789411885</v>
      </c>
      <c r="I1279" s="16" t="n">
        <f aca="false" t="array" ref="I1279: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>3.67037431248351</v>
      </c>
      <c r="J1279" s="16" t="n">
        <f aca="false">IF(D1279="","",$B$12)</f>
        <v>0.35</v>
      </c>
      <c r="K1279" s="16" t="n">
        <f aca="false">IF(J1279="","",J1279*$B$15)</f>
        <v>0.9072</v>
      </c>
      <c r="L1279" s="16" t="n">
        <f aca="false">IF(D1279="","",H1279+E1279-K1279-G1279*I1279)</f>
        <v>14.3066736839204</v>
      </c>
      <c r="M1279" s="16" t="n">
        <f aca="false" t="array" ref="M1279: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>3.50556922598145</v>
      </c>
      <c r="N1279" s="16" t="n">
        <f aca="false">IF(D1279="","",(I1279+M1279)/2)</f>
        <v>3.58797176923248</v>
      </c>
      <c r="O1279" s="16" t="n">
        <f aca="false">IF(D1279="","",G1279*N1279)</f>
        <v>0.964088014392767</v>
      </c>
      <c r="P1279" s="16" t="n">
        <f aca="false">IF(D1279="","",H1279+E1279-K1279-O1279)</f>
        <v>14.328815247292</v>
      </c>
      <c r="Q1279" s="16" t="n">
        <f aca="false">IF(D1279="","",IF(P1279&gt;=0,K1279,MAX(0,K1279+P1279)))</f>
        <v>0.9072</v>
      </c>
      <c r="R1279" s="16" t="n">
        <f aca="false">IF(D1279="","",Q1279/$B$15)</f>
        <v>0.35</v>
      </c>
      <c r="S1279" s="16" t="n">
        <f aca="false">IF(D1279="","",MAX(0,J1279-R1279))</f>
        <v>0</v>
      </c>
      <c r="T1279" s="16" t="n">
        <f aca="false">IF(D1279="","",MAX(0,Z1279-$B$8))</f>
        <v>0</v>
      </c>
      <c r="U1279" s="16" t="n">
        <f aca="false">IF(D1279="","",MAX(0,MIN($B$8,Z1279)))</f>
        <v>14.328815247292</v>
      </c>
      <c r="V1279" s="16" t="str">
        <f aca="false">IF(D1279="","",IF(S1279&gt;0.0000001,"Sim","Não"))</f>
        <v>Não</v>
      </c>
      <c r="W1279" s="16" t="n">
        <f aca="false">IF(D1279="","",U1279-(H1279+E1279-Q1279-O1279-T1279))</f>
        <v>0</v>
      </c>
      <c r="X1279" s="16" t="n">
        <f aca="false">IF(W1279="","",ABS(W1279))</f>
        <v>0</v>
      </c>
      <c r="Y1279" s="16" t="n">
        <f aca="false">IF(U1279="","",IF($B$8=0,0,U1279/$B$8*100))</f>
        <v>30.3448014555103</v>
      </c>
      <c r="Z1279" s="18" t="n">
        <f aca="false">IF(D1279="","",MAX(0,IF(P1279&gt;=0,P1279,IF(K1279+P1279&gt;=0,0,P1279+K1279))))</f>
        <v>14.328815247292</v>
      </c>
      <c r="AA1279" s="18" t="n">
        <f aca="false">IF(D1279="","",IF(H1279&lt;=$B$16,1,IF(H1279&gt;=$B$17,$B$21,MATCH(H1279,Aux_CAV!$A$2:$A$121,1))))</f>
        <v>11</v>
      </c>
      <c r="AB1279" s="18" t="n">
        <f aca="false">IF(D1279="","",IF(L1279&lt;=$B$16,1,IF(L1279&gt;=$B$17,$B$21,MATCH(L1279,Aux_CAV!$A$2:$A$121,1))))</f>
        <v>10</v>
      </c>
      <c r="AC1279" s="19" t="n">
        <f aca="false">IF(D1279="","",COUNT($D$24:D1279))</f>
        <v>1244</v>
      </c>
    </row>
    <row r="1280" customFormat="false" ht="12.75" hidden="false" customHeight="true" outlineLevel="0" collapsed="false">
      <c r="A1280" s="14" t="n">
        <f aca="false">IF(D1280="","",DATE(B1280,C1280,1))</f>
        <v>41883</v>
      </c>
      <c r="B1280" s="15" t="n">
        <f aca="false" t="array" ref="B1280:B1280">IF(D1280="","",IFERROR(VALUE(INDEX(Vazoes_COLAR!$A$2:$A$200,INT((ROW()-24)/12)+1)),""))</f>
        <v>2014</v>
      </c>
      <c r="C1280" s="15" t="n">
        <f aca="false">IF(D1280="","",MOD(ROW()-24,12)+1)</f>
        <v>9</v>
      </c>
      <c r="D1280" s="16" t="n">
        <f aca="false" t="array" ref="D1280: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0.0153488867953195</v>
      </c>
      <c r="E1280" s="16" t="n">
        <f aca="false">IF(D1280="","",D1280*$B$15)</f>
        <v>0.0397843145734682</v>
      </c>
      <c r="F1280" s="16" t="n">
        <f aca="false" t="array" ref="F1280:F1280">IF(D1280="","",IFERROR(INDEX(Dados_Evap!$C$2:$N$15,MATCH($B$9,Dados_Evap!$A$2:$A$15,0),C1280),0))</f>
        <v>292.8</v>
      </c>
      <c r="G1280" s="16" t="n">
        <f aca="false">IF(F1280="","",F1280/1000)</f>
        <v>0.2928</v>
      </c>
      <c r="H1280" s="16" t="n">
        <f aca="false">IF(D1280="","",MAX(0,MIN($B$8,IFERROR(LOOKUP(2,1/($U$24:U1279&lt;&gt;""),$U$24:U1279),$B$11))))</f>
        <v>14.328815247292</v>
      </c>
      <c r="I1280" s="16" t="n">
        <f aca="false" t="array" ref="I1280: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>3.50745777109255</v>
      </c>
      <c r="J1280" s="16" t="n">
        <f aca="false">IF(D1280="","",$B$12)</f>
        <v>0.35</v>
      </c>
      <c r="K1280" s="16" t="n">
        <f aca="false">IF(J1280="","",J1280*$B$15)</f>
        <v>0.9072</v>
      </c>
      <c r="L1280" s="16" t="n">
        <f aca="false">IF(D1280="","",H1280+E1280-K1280-G1280*I1280)</f>
        <v>12.4344159264896</v>
      </c>
      <c r="M1280" s="16" t="n">
        <f aca="false" t="array" ref="M1280: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>3.34587665255352</v>
      </c>
      <c r="N1280" s="16" t="n">
        <f aca="false">IF(D1280="","",(I1280+M1280)/2)</f>
        <v>3.42666721182304</v>
      </c>
      <c r="O1280" s="16" t="n">
        <f aca="false">IF(D1280="","",G1280*N1280)</f>
        <v>1.00332815962179</v>
      </c>
      <c r="P1280" s="16" t="n">
        <f aca="false">IF(D1280="","",H1280+E1280-K1280-O1280)</f>
        <v>12.4580714022437</v>
      </c>
      <c r="Q1280" s="16" t="n">
        <f aca="false">IF(D1280="","",IF(P1280&gt;=0,K1280,MAX(0,K1280+P1280)))</f>
        <v>0.9072</v>
      </c>
      <c r="R1280" s="16" t="n">
        <f aca="false">IF(D1280="","",Q1280/$B$15)</f>
        <v>0.35</v>
      </c>
      <c r="S1280" s="16" t="n">
        <f aca="false">IF(D1280="","",MAX(0,J1280-R1280))</f>
        <v>0</v>
      </c>
      <c r="T1280" s="16" t="n">
        <f aca="false">IF(D1280="","",MAX(0,Z1280-$B$8))</f>
        <v>0</v>
      </c>
      <c r="U1280" s="16" t="n">
        <f aca="false">IF(D1280="","",MAX(0,MIN($B$8,Z1280)))</f>
        <v>12.4580714022437</v>
      </c>
      <c r="V1280" s="16" t="str">
        <f aca="false">IF(D1280="","",IF(S1280&gt;0.0000001,"Sim","Não"))</f>
        <v>Não</v>
      </c>
      <c r="W1280" s="16" t="n">
        <f aca="false">IF(D1280="","",U1280-(H1280+E1280-Q1280-O1280-T1280))</f>
        <v>0</v>
      </c>
      <c r="X1280" s="16" t="n">
        <f aca="false">IF(W1280="","",ABS(W1280))</f>
        <v>0</v>
      </c>
      <c r="Y1280" s="16" t="n">
        <f aca="false">IF(U1280="","",IF($B$8=0,0,U1280/$B$8*100))</f>
        <v>26.3830398183898</v>
      </c>
      <c r="Z1280" s="18" t="n">
        <f aca="false">IF(D1280="","",MAX(0,IF(P1280&gt;=0,P1280,IF(K1280+P1280&gt;=0,0,P1280+K1280))))</f>
        <v>12.4580714022437</v>
      </c>
      <c r="AA1280" s="18" t="n">
        <f aca="false">IF(D1280="","",IF(H1280&lt;=$B$16,1,IF(H1280&gt;=$B$17,$B$21,MATCH(H1280,Aux_CAV!$A$2:$A$121,1))))</f>
        <v>10</v>
      </c>
      <c r="AB1280" s="18" t="n">
        <f aca="false">IF(D1280="","",IF(L1280&lt;=$B$16,1,IF(L1280&gt;=$B$17,$B$21,MATCH(L1280,Aux_CAV!$A$2:$A$121,1))))</f>
        <v>10</v>
      </c>
      <c r="AC1280" s="19" t="n">
        <f aca="false">IF(D1280="","",COUNT($D$24:D1280))</f>
        <v>1245</v>
      </c>
    </row>
    <row r="1281" customFormat="false" ht="12.75" hidden="false" customHeight="true" outlineLevel="0" collapsed="false">
      <c r="A1281" s="14" t="n">
        <f aca="false">IF(D1281="","",DATE(B1281,C1281,1))</f>
        <v>41913</v>
      </c>
      <c r="B1281" s="15" t="n">
        <f aca="false" t="array" ref="B1281:B1281">IF(D1281="","",IFERROR(VALUE(INDEX(Vazoes_COLAR!$A$2:$A$200,INT((ROW()-24)/12)+1)),""))</f>
        <v>2014</v>
      </c>
      <c r="C1281" s="15" t="n">
        <f aca="false">IF(D1281="","",MOD(ROW()-24,12)+1)</f>
        <v>10</v>
      </c>
      <c r="D1281" s="16" t="n">
        <f aca="false" t="array" ref="D1281: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0.0242023739638785</v>
      </c>
      <c r="E1281" s="16" t="n">
        <f aca="false">IF(D1281="","",D1281*$B$15)</f>
        <v>0.0627325533143731</v>
      </c>
      <c r="F1281" s="16" t="n">
        <f aca="false" t="array" ref="F1281:F1281">IF(D1281="","",IFERROR(INDEX(Dados_Evap!$C$2:$N$15,MATCH($B$9,Dados_Evap!$A$2:$A$15,0),C1281),0))</f>
        <v>262.9</v>
      </c>
      <c r="G1281" s="16" t="n">
        <f aca="false">IF(F1281="","",F1281/1000)</f>
        <v>0.2629</v>
      </c>
      <c r="H1281" s="16" t="n">
        <f aca="false">IF(D1281="","",MAX(0,MIN($B$8,IFERROR(LOOKUP(2,1/($U$24:U1280&lt;&gt;""),$U$24:U1280),$B$11))))</f>
        <v>12.4580714022437</v>
      </c>
      <c r="I1281" s="16" t="n">
        <f aca="false" t="array" ref="I1281: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>3.34789432548549</v>
      </c>
      <c r="J1281" s="16" t="n">
        <f aca="false">IF(D1281="","",$B$12)</f>
        <v>0.35</v>
      </c>
      <c r="K1281" s="16" t="n">
        <f aca="false">IF(J1281="","",J1281*$B$15)</f>
        <v>0.9072</v>
      </c>
      <c r="L1281" s="16" t="n">
        <f aca="false">IF(D1281="","",H1281+E1281-K1281-G1281*I1281)</f>
        <v>10.7334425373879</v>
      </c>
      <c r="M1281" s="16" t="n">
        <f aca="false" t="array" ref="M1281: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>3.20079362818897</v>
      </c>
      <c r="N1281" s="16" t="n">
        <f aca="false">IF(D1281="","",(I1281+M1281)/2)</f>
        <v>3.27434397683723</v>
      </c>
      <c r="O1281" s="16" t="n">
        <f aca="false">IF(D1281="","",G1281*N1281)</f>
        <v>0.860825031510507</v>
      </c>
      <c r="P1281" s="16" t="n">
        <f aca="false">IF(D1281="","",H1281+E1281-K1281-O1281)</f>
        <v>10.7527789240475</v>
      </c>
      <c r="Q1281" s="16" t="n">
        <f aca="false">IF(D1281="","",IF(P1281&gt;=0,K1281,MAX(0,K1281+P1281)))</f>
        <v>0.9072</v>
      </c>
      <c r="R1281" s="16" t="n">
        <f aca="false">IF(D1281="","",Q1281/$B$15)</f>
        <v>0.35</v>
      </c>
      <c r="S1281" s="16" t="n">
        <f aca="false">IF(D1281="","",MAX(0,J1281-R1281))</f>
        <v>0</v>
      </c>
      <c r="T1281" s="16" t="n">
        <f aca="false">IF(D1281="","",MAX(0,Z1281-$B$8))</f>
        <v>0</v>
      </c>
      <c r="U1281" s="16" t="n">
        <f aca="false">IF(D1281="","",MAX(0,MIN($B$8,Z1281)))</f>
        <v>10.7527789240475</v>
      </c>
      <c r="V1281" s="16" t="str">
        <f aca="false">IF(D1281="","",IF(S1281&gt;0.0000001,"Sim","Não"))</f>
        <v>Não</v>
      </c>
      <c r="W1281" s="16" t="n">
        <f aca="false">IF(D1281="","",U1281-(H1281+E1281-Q1281-O1281-T1281))</f>
        <v>0</v>
      </c>
      <c r="X1281" s="16" t="n">
        <f aca="false">IF(W1281="","",ABS(W1281))</f>
        <v>0</v>
      </c>
      <c r="Y1281" s="16" t="n">
        <f aca="false">IF(U1281="","",IF($B$8=0,0,U1281/$B$8*100))</f>
        <v>22.7716622703251</v>
      </c>
      <c r="Z1281" s="18" t="n">
        <f aca="false">IF(D1281="","",MAX(0,IF(P1281&gt;=0,P1281,IF(K1281+P1281&gt;=0,0,P1281+K1281))))</f>
        <v>10.7527789240475</v>
      </c>
      <c r="AA1281" s="18" t="n">
        <f aca="false">IF(D1281="","",IF(H1281&lt;=$B$16,1,IF(H1281&gt;=$B$17,$B$21,MATCH(H1281,Aux_CAV!$A$2:$A$121,1))))</f>
        <v>10</v>
      </c>
      <c r="AB1281" s="18" t="n">
        <f aca="false">IF(D1281="","",IF(L1281&lt;=$B$16,1,IF(L1281&gt;=$B$17,$B$21,MATCH(L1281,Aux_CAV!$A$2:$A$121,1))))</f>
        <v>10</v>
      </c>
      <c r="AC1281" s="19" t="n">
        <f aca="false">IF(D1281="","",COUNT($D$24:D1281))</f>
        <v>1246</v>
      </c>
    </row>
    <row r="1282" customFormat="false" ht="12.75" hidden="false" customHeight="true" outlineLevel="0" collapsed="false">
      <c r="A1282" s="14" t="n">
        <f aca="false">IF(D1282="","",DATE(B1282,C1282,1))</f>
        <v>41944</v>
      </c>
      <c r="B1282" s="15" t="n">
        <f aca="false" t="array" ref="B1282:B1282">IF(D1282="","",IFERROR(VALUE(INDEX(Vazoes_COLAR!$A$2:$A$200,INT((ROW()-24)/12)+1)),""))</f>
        <v>2014</v>
      </c>
      <c r="C1282" s="15" t="n">
        <f aca="false">IF(D1282="","",MOD(ROW()-24,12)+1)</f>
        <v>11</v>
      </c>
      <c r="D1282" s="16" t="n">
        <f aca="false" t="array" ref="D1282: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0.0560799285561189</v>
      </c>
      <c r="E1282" s="16" t="n">
        <f aca="false">IF(D1282="","",D1282*$B$15)</f>
        <v>0.14535917481746</v>
      </c>
      <c r="F1282" s="16" t="n">
        <f aca="false" t="array" ref="F1282:F1282">IF(D1282="","",IFERROR(INDEX(Dados_Evap!$C$2:$N$15,MATCH($B$9,Dados_Evap!$A$2:$A$15,0),C1282),0))</f>
        <v>223.7</v>
      </c>
      <c r="G1282" s="16" t="n">
        <f aca="false">IF(F1282="","",F1282/1000)</f>
        <v>0.2237</v>
      </c>
      <c r="H1282" s="16" t="n">
        <f aca="false">IF(D1282="","",MAX(0,MIN($B$8,IFERROR(LOOKUP(2,1/($U$24:U1281&lt;&gt;""),$U$24:U1281),$B$11))))</f>
        <v>10.7527789240475</v>
      </c>
      <c r="I1282" s="16" t="n">
        <f aca="false" t="array" ref="I1282: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>3.20244290822758</v>
      </c>
      <c r="J1282" s="16" t="n">
        <f aca="false">IF(D1282="","",$B$12)</f>
        <v>0.35</v>
      </c>
      <c r="K1282" s="16" t="n">
        <f aca="false">IF(J1282="","",J1282*$B$15)</f>
        <v>0.9072</v>
      </c>
      <c r="L1282" s="16" t="n">
        <f aca="false">IF(D1282="","",H1282+E1282-K1282-G1282*I1282)</f>
        <v>9.27455162029448</v>
      </c>
      <c r="M1282" s="16" t="n">
        <f aca="false" t="array" ref="M1282: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>3.07635881467218</v>
      </c>
      <c r="N1282" s="16" t="n">
        <f aca="false">IF(D1282="","",(I1282+M1282)/2)</f>
        <v>3.13940086144988</v>
      </c>
      <c r="O1282" s="16" t="n">
        <f aca="false">IF(D1282="","",G1282*N1282)</f>
        <v>0.702283972706338</v>
      </c>
      <c r="P1282" s="16" t="n">
        <f aca="false">IF(D1282="","",H1282+E1282-K1282-O1282)</f>
        <v>9.28865412615865</v>
      </c>
      <c r="Q1282" s="16" t="n">
        <f aca="false">IF(D1282="","",IF(P1282&gt;=0,K1282,MAX(0,K1282+P1282)))</f>
        <v>0.9072</v>
      </c>
      <c r="R1282" s="16" t="n">
        <f aca="false">IF(D1282="","",Q1282/$B$15)</f>
        <v>0.35</v>
      </c>
      <c r="S1282" s="16" t="n">
        <f aca="false">IF(D1282="","",MAX(0,J1282-R1282))</f>
        <v>0</v>
      </c>
      <c r="T1282" s="16" t="n">
        <f aca="false">IF(D1282="","",MAX(0,Z1282-$B$8))</f>
        <v>0</v>
      </c>
      <c r="U1282" s="16" t="n">
        <f aca="false">IF(D1282="","",MAX(0,MIN($B$8,Z1282)))</f>
        <v>9.28865412615865</v>
      </c>
      <c r="V1282" s="16" t="str">
        <f aca="false">IF(D1282="","",IF(S1282&gt;0.0000001,"Sim","Não"))</f>
        <v>Não</v>
      </c>
      <c r="W1282" s="16" t="n">
        <f aca="false">IF(D1282="","",U1282-(H1282+E1282-Q1282-O1282-T1282))</f>
        <v>0</v>
      </c>
      <c r="X1282" s="16" t="n">
        <f aca="false">IF(W1282="","",ABS(W1282))</f>
        <v>0</v>
      </c>
      <c r="Y1282" s="16" t="n">
        <f aca="false">IF(U1282="","",IF($B$8=0,0,U1282/$B$8*100))</f>
        <v>19.6710167855965</v>
      </c>
      <c r="Z1282" s="18" t="n">
        <f aca="false">IF(D1282="","",MAX(0,IF(P1282&gt;=0,P1282,IF(K1282+P1282&gt;=0,0,P1282+K1282))))</f>
        <v>9.28865412615865</v>
      </c>
      <c r="AA1282" s="18" t="n">
        <f aca="false">IF(D1282="","",IF(H1282&lt;=$B$16,1,IF(H1282&gt;=$B$17,$B$21,MATCH(H1282,Aux_CAV!$A$2:$A$121,1))))</f>
        <v>10</v>
      </c>
      <c r="AB1282" s="18" t="n">
        <f aca="false">IF(D1282="","",IF(L1282&lt;=$B$16,1,IF(L1282&gt;=$B$17,$B$21,MATCH(L1282,Aux_CAV!$A$2:$A$121,1))))</f>
        <v>10</v>
      </c>
      <c r="AC1282" s="19" t="n">
        <f aca="false">IF(D1282="","",COUNT($D$24:D1282))</f>
        <v>1247</v>
      </c>
    </row>
    <row r="1283" customFormat="false" ht="12.75" hidden="false" customHeight="true" outlineLevel="0" collapsed="false">
      <c r="A1283" s="14" t="n">
        <f aca="false">IF(D1283="","",DATE(B1283,C1283,1))</f>
        <v>41974</v>
      </c>
      <c r="B1283" s="15" t="n">
        <f aca="false" t="array" ref="B1283:B1283">IF(D1283="","",IFERROR(VALUE(INDEX(Vazoes_COLAR!$A$2:$A$200,INT((ROW()-24)/12)+1)),""))</f>
        <v>2014</v>
      </c>
      <c r="C1283" s="15" t="n">
        <f aca="false">IF(D1283="","",MOD(ROW()-24,12)+1)</f>
        <v>12</v>
      </c>
      <c r="D1283" s="16" t="n">
        <f aca="false" t="array" ref="D1283: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0.0222143792735056</v>
      </c>
      <c r="E1283" s="16" t="n">
        <f aca="false">IF(D1283="","",D1283*$B$15)</f>
        <v>0.0575796710769265</v>
      </c>
      <c r="F1283" s="16" t="n">
        <f aca="false" t="array" ref="F1283:F1283">IF(D1283="","",IFERROR(INDEX(Dados_Evap!$C$2:$N$15,MATCH($B$9,Dados_Evap!$A$2:$A$15,0),C1283),0))</f>
        <v>216.1</v>
      </c>
      <c r="G1283" s="16" t="n">
        <f aca="false">IF(F1283="","",F1283/1000)</f>
        <v>0.2161</v>
      </c>
      <c r="H1283" s="16" t="n">
        <f aca="false">IF(D1283="","",MAX(0,MIN($B$8,IFERROR(LOOKUP(2,1/($U$24:U1282&lt;&gt;""),$U$24:U1282),$B$11))))</f>
        <v>9.28865412615865</v>
      </c>
      <c r="I1283" s="16" t="n">
        <f aca="false" t="array" ref="I1283: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>3.07756167546647</v>
      </c>
      <c r="J1283" s="16" t="n">
        <f aca="false">IF(D1283="","",$B$12)</f>
        <v>0.35</v>
      </c>
      <c r="K1283" s="16" t="n">
        <f aca="false">IF(J1283="","",J1283*$B$15)</f>
        <v>0.9072</v>
      </c>
      <c r="L1283" s="16" t="n">
        <f aca="false">IF(D1283="","",H1283+E1283-K1283-G1283*I1283)</f>
        <v>7.77397271916727</v>
      </c>
      <c r="M1283" s="16" t="n">
        <f aca="false" t="array" ref="M1283: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>2.63612361455515</v>
      </c>
      <c r="N1283" s="16" t="n">
        <f aca="false">IF(D1283="","",(I1283+M1283)/2)</f>
        <v>2.85684264501081</v>
      </c>
      <c r="O1283" s="16" t="n">
        <f aca="false">IF(D1283="","",G1283*N1283)</f>
        <v>0.617363695586836</v>
      </c>
      <c r="P1283" s="16" t="n">
        <f aca="false">IF(D1283="","",H1283+E1283-K1283-O1283)</f>
        <v>7.82167010164874</v>
      </c>
      <c r="Q1283" s="16" t="n">
        <f aca="false">IF(D1283="","",IF(P1283&gt;=0,K1283,MAX(0,K1283+P1283)))</f>
        <v>0.9072</v>
      </c>
      <c r="R1283" s="16" t="n">
        <f aca="false">IF(D1283="","",Q1283/$B$15)</f>
        <v>0.35</v>
      </c>
      <c r="S1283" s="16" t="n">
        <f aca="false">IF(D1283="","",MAX(0,J1283-R1283))</f>
        <v>0</v>
      </c>
      <c r="T1283" s="16" t="n">
        <f aca="false">IF(D1283="","",MAX(0,Z1283-$B$8))</f>
        <v>0</v>
      </c>
      <c r="U1283" s="16" t="n">
        <f aca="false">IF(D1283="","",MAX(0,MIN($B$8,Z1283)))</f>
        <v>7.82167010164874</v>
      </c>
      <c r="V1283" s="16" t="str">
        <f aca="false">IF(D1283="","",IF(S1283&gt;0.0000001,"Sim","Não"))</f>
        <v>Não</v>
      </c>
      <c r="W1283" s="16" t="n">
        <f aca="false">IF(D1283="","",U1283-(H1283+E1283-Q1283-O1283-T1283))</f>
        <v>0</v>
      </c>
      <c r="X1283" s="16" t="n">
        <f aca="false">IF(W1283="","",ABS(W1283))</f>
        <v>0</v>
      </c>
      <c r="Y1283" s="16" t="n">
        <f aca="false">IF(U1283="","",IF($B$8=0,0,U1283/$B$8*100))</f>
        <v>16.5643161830765</v>
      </c>
      <c r="Z1283" s="18" t="n">
        <f aca="false">IF(D1283="","",MAX(0,IF(P1283&gt;=0,P1283,IF(K1283+P1283&gt;=0,0,P1283+K1283))))</f>
        <v>7.82167010164874</v>
      </c>
      <c r="AA1283" s="18" t="n">
        <f aca="false">IF(D1283="","",IF(H1283&lt;=$B$16,1,IF(H1283&gt;=$B$17,$B$21,MATCH(H1283,Aux_CAV!$A$2:$A$121,1))))</f>
        <v>10</v>
      </c>
      <c r="AB1283" s="18" t="n">
        <f aca="false">IF(D1283="","",IF(L1283&lt;=$B$16,1,IF(L1283&gt;=$B$17,$B$21,MATCH(L1283,Aux_CAV!$A$2:$A$121,1))))</f>
        <v>9</v>
      </c>
      <c r="AC1283" s="19" t="n">
        <f aca="false">IF(D1283="","",COUNT($D$24:D1283))</f>
        <v>1248</v>
      </c>
    </row>
    <row r="1284" customFormat="false" ht="12.75" hidden="false" customHeight="true" outlineLevel="0" collapsed="false">
      <c r="A1284" s="14" t="n">
        <f aca="false">IF(D1284="","",DATE(B1284,C1284,1))</f>
        <v>42005</v>
      </c>
      <c r="B1284" s="15" t="n">
        <f aca="false" t="array" ref="B1284:B1284">IF(D1284="","",IFERROR(VALUE(INDEX(Vazoes_COLAR!$A$2:$A$200,INT((ROW()-24)/12)+1)),""))</f>
        <v>2015</v>
      </c>
      <c r="C1284" s="15" t="n">
        <f aca="false">IF(D1284="","",MOD(ROW()-24,12)+1)</f>
        <v>1</v>
      </c>
      <c r="D1284" s="16" t="n">
        <f aca="false" t="array" ref="D1284: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0.0315548222304948</v>
      </c>
      <c r="E1284" s="16" t="n">
        <f aca="false">IF(D1284="","",D1284*$B$15)</f>
        <v>0.0817900992214425</v>
      </c>
      <c r="F1284" s="16" t="n">
        <f aca="false" t="array" ref="F1284:F1284">IF(D1284="","",IFERROR(INDEX(Dados_Evap!$C$2:$N$15,MATCH($B$9,Dados_Evap!$A$2:$A$15,0),C1284),0))</f>
        <v>160</v>
      </c>
      <c r="G1284" s="16" t="n">
        <f aca="false">IF(F1284="","",F1284/1000)</f>
        <v>0.16</v>
      </c>
      <c r="H1284" s="16" t="n">
        <f aca="false">IF(D1284="","",MAX(0,MIN($B$8,IFERROR(LOOKUP(2,1/($U$24:U1283&lt;&gt;""),$U$24:U1283),$B$11))))</f>
        <v>7.82167010164874</v>
      </c>
      <c r="I1284" s="16" t="n">
        <f aca="false" t="array" ref="I1284: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>2.65063579688462</v>
      </c>
      <c r="J1284" s="16" t="n">
        <f aca="false">IF(D1284="","",$B$12)</f>
        <v>0.35</v>
      </c>
      <c r="K1284" s="16" t="n">
        <f aca="false">IF(J1284="","",J1284*$B$15)</f>
        <v>0.9072</v>
      </c>
      <c r="L1284" s="16" t="n">
        <f aca="false">IF(D1284="","",H1284+E1284-K1284-G1284*I1284)</f>
        <v>6.57215847336865</v>
      </c>
      <c r="M1284" s="16" t="n">
        <f aca="false" t="array" ref="M1284: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>2.27046523764195</v>
      </c>
      <c r="N1284" s="16" t="n">
        <f aca="false">IF(D1284="","",(I1284+M1284)/2)</f>
        <v>2.46055051726328</v>
      </c>
      <c r="O1284" s="16" t="n">
        <f aca="false">IF(D1284="","",G1284*N1284)</f>
        <v>0.393688082762125</v>
      </c>
      <c r="P1284" s="16" t="n">
        <f aca="false">IF(D1284="","",H1284+E1284-K1284-O1284)</f>
        <v>6.60257211810806</v>
      </c>
      <c r="Q1284" s="16" t="n">
        <f aca="false">IF(D1284="","",IF(P1284&gt;=0,K1284,MAX(0,K1284+P1284)))</f>
        <v>0.9072</v>
      </c>
      <c r="R1284" s="16" t="n">
        <f aca="false">IF(D1284="","",Q1284/$B$15)</f>
        <v>0.35</v>
      </c>
      <c r="S1284" s="16" t="n">
        <f aca="false">IF(D1284="","",MAX(0,J1284-R1284))</f>
        <v>0</v>
      </c>
      <c r="T1284" s="16" t="n">
        <f aca="false">IF(D1284="","",MAX(0,Z1284-$B$8))</f>
        <v>0</v>
      </c>
      <c r="U1284" s="16" t="n">
        <f aca="false">IF(D1284="","",MAX(0,MIN($B$8,Z1284)))</f>
        <v>6.60257211810806</v>
      </c>
      <c r="V1284" s="16" t="str">
        <f aca="false">IF(D1284="","",IF(S1284&gt;0.0000001,"Sim","Não"))</f>
        <v>Não</v>
      </c>
      <c r="W1284" s="16" t="n">
        <f aca="false">IF(D1284="","",U1284-(H1284+E1284-Q1284-O1284-T1284))</f>
        <v>0</v>
      </c>
      <c r="X1284" s="16" t="n">
        <f aca="false">IF(W1284="","",ABS(W1284))</f>
        <v>0</v>
      </c>
      <c r="Y1284" s="16" t="n">
        <f aca="false">IF(U1284="","",IF($B$8=0,0,U1284/$B$8*100))</f>
        <v>13.9825754301314</v>
      </c>
      <c r="Z1284" s="18" t="n">
        <f aca="false">IF(D1284="","",MAX(0,IF(P1284&gt;=0,P1284,IF(K1284+P1284&gt;=0,0,P1284+K1284))))</f>
        <v>6.60257211810806</v>
      </c>
      <c r="AA1284" s="18" t="n">
        <f aca="false">IF(D1284="","",IF(H1284&lt;=$B$16,1,IF(H1284&gt;=$B$17,$B$21,MATCH(H1284,Aux_CAV!$A$2:$A$121,1))))</f>
        <v>9</v>
      </c>
      <c r="AB1284" s="18" t="n">
        <f aca="false">IF(D1284="","",IF(L1284&lt;=$B$16,1,IF(L1284&gt;=$B$17,$B$21,MATCH(L1284,Aux_CAV!$A$2:$A$121,1))))</f>
        <v>9</v>
      </c>
      <c r="AC1284" s="19" t="n">
        <f aca="false">IF(D1284="","",COUNT($D$24:D1284))</f>
        <v>1249</v>
      </c>
    </row>
    <row r="1285" customFormat="false" ht="12.75" hidden="false" customHeight="true" outlineLevel="0" collapsed="false">
      <c r="A1285" s="14" t="n">
        <f aca="false">IF(D1285="","",DATE(B1285,C1285,1))</f>
        <v>42036</v>
      </c>
      <c r="B1285" s="15" t="n">
        <f aca="false" t="array" ref="B1285:B1285">IF(D1285="","",IFERROR(VALUE(INDEX(Vazoes_COLAR!$A$2:$A$200,INT((ROW()-24)/12)+1)),""))</f>
        <v>2015</v>
      </c>
      <c r="C1285" s="15" t="n">
        <f aca="false">IF(D1285="","",MOD(ROW()-24,12)+1)</f>
        <v>2</v>
      </c>
      <c r="D1285" s="16" t="n">
        <f aca="false" t="array" ref="D1285: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0.0567740298541734</v>
      </c>
      <c r="E1285" s="16" t="n">
        <f aca="false">IF(D1285="","",D1285*$B$15)</f>
        <v>0.147158285382017</v>
      </c>
      <c r="F1285" s="16" t="n">
        <f aca="false" t="array" ref="F1285:F1285">IF(D1285="","",IFERROR(INDEX(Dados_Evap!$C$2:$N$15,MATCH($B$9,Dados_Evap!$A$2:$A$15,0),C1285),0))</f>
        <v>124.3</v>
      </c>
      <c r="G1285" s="16" t="n">
        <f aca="false">IF(F1285="","",F1285/1000)</f>
        <v>0.1243</v>
      </c>
      <c r="H1285" s="16" t="n">
        <f aca="false">IF(D1285="","",MAX(0,MIN($B$8,IFERROR(LOOKUP(2,1/($U$24:U1284&lt;&gt;""),$U$24:U1284),$B$11))))</f>
        <v>6.60257211810806</v>
      </c>
      <c r="I1285" s="16" t="n">
        <f aca="false" t="array" ref="I1285: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>2.27971875082862</v>
      </c>
      <c r="J1285" s="16" t="n">
        <f aca="false">IF(D1285="","",$B$12)</f>
        <v>0.35</v>
      </c>
      <c r="K1285" s="16" t="n">
        <f aca="false">IF(J1285="","",J1285*$B$15)</f>
        <v>0.9072</v>
      </c>
      <c r="L1285" s="16" t="n">
        <f aca="false">IF(D1285="","",H1285+E1285-K1285-G1285*I1285)</f>
        <v>5.55916136276208</v>
      </c>
      <c r="M1285" s="16" t="n">
        <f aca="false" t="array" ref="M1285: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>1.9622554784574</v>
      </c>
      <c r="N1285" s="16" t="n">
        <f aca="false">IF(D1285="","",(I1285+M1285)/2)</f>
        <v>2.12098711464301</v>
      </c>
      <c r="O1285" s="16" t="n">
        <f aca="false">IF(D1285="","",G1285*N1285)</f>
        <v>0.263638698350126</v>
      </c>
      <c r="P1285" s="16" t="n">
        <f aca="false">IF(D1285="","",H1285+E1285-K1285-O1285)</f>
        <v>5.57889170513995</v>
      </c>
      <c r="Q1285" s="16" t="n">
        <f aca="false">IF(D1285="","",IF(P1285&gt;=0,K1285,MAX(0,K1285+P1285)))</f>
        <v>0.9072</v>
      </c>
      <c r="R1285" s="16" t="n">
        <f aca="false">IF(D1285="","",Q1285/$B$15)</f>
        <v>0.35</v>
      </c>
      <c r="S1285" s="16" t="n">
        <f aca="false">IF(D1285="","",MAX(0,J1285-R1285))</f>
        <v>0</v>
      </c>
      <c r="T1285" s="16" t="n">
        <f aca="false">IF(D1285="","",MAX(0,Z1285-$B$8))</f>
        <v>0</v>
      </c>
      <c r="U1285" s="16" t="n">
        <f aca="false">IF(D1285="","",MAX(0,MIN($B$8,Z1285)))</f>
        <v>5.57889170513995</v>
      </c>
      <c r="V1285" s="16" t="str">
        <f aca="false">IF(D1285="","",IF(S1285&gt;0.0000001,"Sim","Não"))</f>
        <v>Não</v>
      </c>
      <c r="W1285" s="16" t="n">
        <f aca="false">IF(D1285="","",U1285-(H1285+E1285-Q1285-O1285-T1285))</f>
        <v>0</v>
      </c>
      <c r="X1285" s="16" t="n">
        <f aca="false">IF(W1285="","",ABS(W1285))</f>
        <v>0</v>
      </c>
      <c r="Y1285" s="16" t="n">
        <f aca="false">IF(U1285="","",IF($B$8=0,0,U1285/$B$8*100))</f>
        <v>11.8146795958068</v>
      </c>
      <c r="Z1285" s="18" t="n">
        <f aca="false">IF(D1285="","",MAX(0,IF(P1285&gt;=0,P1285,IF(K1285+P1285&gt;=0,0,P1285+K1285))))</f>
        <v>5.57889170513995</v>
      </c>
      <c r="AA1285" s="18" t="n">
        <f aca="false">IF(D1285="","",IF(H1285&lt;=$B$16,1,IF(H1285&gt;=$B$17,$B$21,MATCH(H1285,Aux_CAV!$A$2:$A$121,1))))</f>
        <v>9</v>
      </c>
      <c r="AB1285" s="18" t="n">
        <f aca="false">IF(D1285="","",IF(L1285&lt;=$B$16,1,IF(L1285&gt;=$B$17,$B$21,MATCH(L1285,Aux_CAV!$A$2:$A$121,1))))</f>
        <v>9</v>
      </c>
      <c r="AC1285" s="19" t="n">
        <f aca="false">IF(D1285="","",COUNT($D$24:D1285))</f>
        <v>1250</v>
      </c>
    </row>
    <row r="1286" customFormat="false" ht="12.75" hidden="false" customHeight="true" outlineLevel="0" collapsed="false">
      <c r="A1286" s="14" t="n">
        <f aca="false">IF(D1286="","",DATE(B1286,C1286,1))</f>
        <v>42064</v>
      </c>
      <c r="B1286" s="15" t="n">
        <f aca="false" t="array" ref="B1286:B1286">IF(D1286="","",IFERROR(VALUE(INDEX(Vazoes_COLAR!$A$2:$A$200,INT((ROW()-24)/12)+1)),""))</f>
        <v>2015</v>
      </c>
      <c r="C1286" s="15" t="n">
        <f aca="false">IF(D1286="","",MOD(ROW()-24,12)+1)</f>
        <v>3</v>
      </c>
      <c r="D1286" s="16" t="n">
        <f aca="false" t="array" ref="D1286: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0.439943971670349</v>
      </c>
      <c r="E1286" s="16" t="n">
        <f aca="false">IF(D1286="","",D1286*$B$15)</f>
        <v>1.14033477456954</v>
      </c>
      <c r="F1286" s="16" t="n">
        <f aca="false" t="array" ref="F1286:F1286">IF(D1286="","",IFERROR(INDEX(Dados_Evap!$C$2:$N$15,MATCH($B$9,Dados_Evap!$A$2:$A$15,0),C1286),0))</f>
        <v>107.7</v>
      </c>
      <c r="G1286" s="16" t="n">
        <f aca="false">IF(F1286="","",F1286/1000)</f>
        <v>0.1077</v>
      </c>
      <c r="H1286" s="16" t="n">
        <f aca="false">IF(D1286="","",MAX(0,MIN($B$8,IFERROR(LOOKUP(2,1/($U$24:U1285&lt;&gt;""),$U$24:U1285),$B$11))))</f>
        <v>5.57889170513995</v>
      </c>
      <c r="I1286" s="16" t="n">
        <f aca="false" t="array" ref="I1286: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>1.9682585400745</v>
      </c>
      <c r="J1286" s="16" t="n">
        <f aca="false">IF(D1286="","",$B$12)</f>
        <v>0.35</v>
      </c>
      <c r="K1286" s="16" t="n">
        <f aca="false">IF(J1286="","",J1286*$B$15)</f>
        <v>0.9072</v>
      </c>
      <c r="L1286" s="16" t="n">
        <f aca="false">IF(D1286="","",H1286+E1286-K1286-G1286*I1286)</f>
        <v>5.60004503494347</v>
      </c>
      <c r="M1286" s="16" t="n">
        <f aca="false" t="array" ref="M1286: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>1.97469455318493</v>
      </c>
      <c r="N1286" s="16" t="n">
        <f aca="false">IF(D1286="","",(I1286+M1286)/2)</f>
        <v>1.97147654662971</v>
      </c>
      <c r="O1286" s="16" t="n">
        <f aca="false">IF(D1286="","",G1286*N1286)</f>
        <v>0.21232802407202</v>
      </c>
      <c r="P1286" s="16" t="n">
        <f aca="false">IF(D1286="","",H1286+E1286-K1286-O1286)</f>
        <v>5.59969845563748</v>
      </c>
      <c r="Q1286" s="16" t="n">
        <f aca="false">IF(D1286="","",IF(P1286&gt;=0,K1286,MAX(0,K1286+P1286)))</f>
        <v>0.9072</v>
      </c>
      <c r="R1286" s="16" t="n">
        <f aca="false">IF(D1286="","",Q1286/$B$15)</f>
        <v>0.35</v>
      </c>
      <c r="S1286" s="16" t="n">
        <f aca="false">IF(D1286="","",MAX(0,J1286-R1286))</f>
        <v>0</v>
      </c>
      <c r="T1286" s="16" t="n">
        <f aca="false">IF(D1286="","",MAX(0,Z1286-$B$8))</f>
        <v>0</v>
      </c>
      <c r="U1286" s="16" t="n">
        <f aca="false">IF(D1286="","",MAX(0,MIN($B$8,Z1286)))</f>
        <v>5.59969845563748</v>
      </c>
      <c r="V1286" s="16" t="str">
        <f aca="false">IF(D1286="","",IF(S1286&gt;0.0000001,"Sim","Não"))</f>
        <v>Não</v>
      </c>
      <c r="W1286" s="16" t="n">
        <f aca="false">IF(D1286="","",U1286-(H1286+E1286-Q1286-O1286-T1286))</f>
        <v>0</v>
      </c>
      <c r="X1286" s="16" t="n">
        <f aca="false">IF(W1286="","",ABS(W1286))</f>
        <v>0</v>
      </c>
      <c r="Y1286" s="16" t="n">
        <f aca="false">IF(U1286="","",IF($B$8=0,0,U1286/$B$8*100))</f>
        <v>11.8587430233746</v>
      </c>
      <c r="Z1286" s="18" t="n">
        <f aca="false">IF(D1286="","",MAX(0,IF(P1286&gt;=0,P1286,IF(K1286+P1286&gt;=0,0,P1286+K1286))))</f>
        <v>5.59969845563748</v>
      </c>
      <c r="AA1286" s="18" t="n">
        <f aca="false">IF(D1286="","",IF(H1286&lt;=$B$16,1,IF(H1286&gt;=$B$17,$B$21,MATCH(H1286,Aux_CAV!$A$2:$A$121,1))))</f>
        <v>9</v>
      </c>
      <c r="AB1286" s="18" t="n">
        <f aca="false">IF(D1286="","",IF(L1286&lt;=$B$16,1,IF(L1286&gt;=$B$17,$B$21,MATCH(L1286,Aux_CAV!$A$2:$A$121,1))))</f>
        <v>9</v>
      </c>
      <c r="AC1286" s="19" t="n">
        <f aca="false">IF(D1286="","",COUNT($D$24:D1286))</f>
        <v>1251</v>
      </c>
    </row>
    <row r="1287" customFormat="false" ht="12.75" hidden="false" customHeight="true" outlineLevel="0" collapsed="false">
      <c r="A1287" s="14" t="n">
        <f aca="false">IF(D1287="","",DATE(B1287,C1287,1))</f>
        <v>42095</v>
      </c>
      <c r="B1287" s="15" t="n">
        <f aca="false" t="array" ref="B1287:B1287">IF(D1287="","",IFERROR(VALUE(INDEX(Vazoes_COLAR!$A$2:$A$200,INT((ROW()-24)/12)+1)),""))</f>
        <v>2015</v>
      </c>
      <c r="C1287" s="15" t="n">
        <f aca="false">IF(D1287="","",MOD(ROW()-24,12)+1)</f>
        <v>4</v>
      </c>
      <c r="D1287" s="16" t="n">
        <f aca="false" t="array" ref="D1287: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0.309189451850972</v>
      </c>
      <c r="E1287" s="16" t="n">
        <f aca="false">IF(D1287="","",D1287*$B$15)</f>
        <v>0.80141905919772</v>
      </c>
      <c r="F1287" s="16" t="n">
        <f aca="false" t="array" ref="F1287:F1287">IF(D1287="","",IFERROR(INDEX(Dados_Evap!$C$2:$N$15,MATCH($B$9,Dados_Evap!$A$2:$A$15,0),C1287),0))</f>
        <v>100.5</v>
      </c>
      <c r="G1287" s="16" t="n">
        <f aca="false">IF(F1287="","",F1287/1000)</f>
        <v>0.1005</v>
      </c>
      <c r="H1287" s="16" t="n">
        <f aca="false">IF(D1287="","",MAX(0,MIN($B$8,IFERROR(LOOKUP(2,1/($U$24:U1286&lt;&gt;""),$U$24:U1286),$B$11))))</f>
        <v>5.59969845563748</v>
      </c>
      <c r="I1287" s="16" t="n">
        <f aca="false" t="array" ref="I1287: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>1.97458910458757</v>
      </c>
      <c r="J1287" s="16" t="n">
        <f aca="false">IF(D1287="","",$B$12)</f>
        <v>0.35</v>
      </c>
      <c r="K1287" s="16" t="n">
        <f aca="false">IF(J1287="","",J1287*$B$15)</f>
        <v>0.9072</v>
      </c>
      <c r="L1287" s="16" t="n">
        <f aca="false">IF(D1287="","",H1287+E1287-K1287-G1287*I1287)</f>
        <v>5.29547130982415</v>
      </c>
      <c r="M1287" s="16" t="n">
        <f aca="false" t="array" ref="M1287: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>1.88202637724437</v>
      </c>
      <c r="N1287" s="16" t="n">
        <f aca="false">IF(D1287="","",(I1287+M1287)/2)</f>
        <v>1.92830774091597</v>
      </c>
      <c r="O1287" s="16" t="n">
        <f aca="false">IF(D1287="","",G1287*N1287)</f>
        <v>0.193794927962055</v>
      </c>
      <c r="P1287" s="16" t="n">
        <f aca="false">IF(D1287="","",H1287+E1287-K1287-O1287)</f>
        <v>5.30012258687314</v>
      </c>
      <c r="Q1287" s="16" t="n">
        <f aca="false">IF(D1287="","",IF(P1287&gt;=0,K1287,MAX(0,K1287+P1287)))</f>
        <v>0.9072</v>
      </c>
      <c r="R1287" s="16" t="n">
        <f aca="false">IF(D1287="","",Q1287/$B$15)</f>
        <v>0.35</v>
      </c>
      <c r="S1287" s="16" t="n">
        <f aca="false">IF(D1287="","",MAX(0,J1287-R1287))</f>
        <v>0</v>
      </c>
      <c r="T1287" s="16" t="n">
        <f aca="false">IF(D1287="","",MAX(0,Z1287-$B$8))</f>
        <v>0</v>
      </c>
      <c r="U1287" s="16" t="n">
        <f aca="false">IF(D1287="","",MAX(0,MIN($B$8,Z1287)))</f>
        <v>5.30012258687314</v>
      </c>
      <c r="V1287" s="16" t="str">
        <f aca="false">IF(D1287="","",IF(S1287&gt;0.0000001,"Sim","Não"))</f>
        <v>Não</v>
      </c>
      <c r="W1287" s="16" t="n">
        <f aca="false">IF(D1287="","",U1287-(H1287+E1287-Q1287-O1287-T1287))</f>
        <v>0</v>
      </c>
      <c r="X1287" s="16" t="n">
        <f aca="false">IF(W1287="","",ABS(W1287))</f>
        <v>0</v>
      </c>
      <c r="Y1287" s="16" t="n">
        <f aca="false">IF(U1287="","",IF($B$8=0,0,U1287/$B$8*100))</f>
        <v>11.2243172106589</v>
      </c>
      <c r="Z1287" s="18" t="n">
        <f aca="false">IF(D1287="","",MAX(0,IF(P1287&gt;=0,P1287,IF(K1287+P1287&gt;=0,0,P1287+K1287))))</f>
        <v>5.30012258687314</v>
      </c>
      <c r="AA1287" s="18" t="n">
        <f aca="false">IF(D1287="","",IF(H1287&lt;=$B$16,1,IF(H1287&gt;=$B$17,$B$21,MATCH(H1287,Aux_CAV!$A$2:$A$121,1))))</f>
        <v>9</v>
      </c>
      <c r="AB1287" s="18" t="n">
        <f aca="false">IF(D1287="","",IF(L1287&lt;=$B$16,1,IF(L1287&gt;=$B$17,$B$21,MATCH(L1287,Aux_CAV!$A$2:$A$121,1))))</f>
        <v>9</v>
      </c>
      <c r="AC1287" s="19" t="n">
        <f aca="false">IF(D1287="","",COUNT($D$24:D1287))</f>
        <v>1252</v>
      </c>
    </row>
    <row r="1288" customFormat="false" ht="12.75" hidden="false" customHeight="true" outlineLevel="0" collapsed="false">
      <c r="A1288" s="14" t="n">
        <f aca="false">IF(D1288="","",DATE(B1288,C1288,1))</f>
        <v>42125</v>
      </c>
      <c r="B1288" s="15" t="n">
        <f aca="false" t="array" ref="B1288:B1288">IF(D1288="","",IFERROR(VALUE(INDEX(Vazoes_COLAR!$A$2:$A$200,INT((ROW()-24)/12)+1)),""))</f>
        <v>2015</v>
      </c>
      <c r="C1288" s="15" t="n">
        <f aca="false">IF(D1288="","",MOD(ROW()-24,12)+1)</f>
        <v>5</v>
      </c>
      <c r="D1288" s="16" t="n">
        <f aca="false" t="array" ref="D1288: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0.48227613073919</v>
      </c>
      <c r="E1288" s="16" t="n">
        <f aca="false">IF(D1288="","",D1288*$B$15)</f>
        <v>1.25005973087598</v>
      </c>
      <c r="F1288" s="16" t="n">
        <f aca="false" t="array" ref="F1288:F1288">IF(D1288="","",IFERROR(INDEX(Dados_Evap!$C$2:$N$15,MATCH($B$9,Dados_Evap!$A$2:$A$15,0),C1288),0))</f>
        <v>145.8</v>
      </c>
      <c r="G1288" s="16" t="n">
        <f aca="false">IF(F1288="","",F1288/1000)</f>
        <v>0.1458</v>
      </c>
      <c r="H1288" s="16" t="n">
        <f aca="false">IF(D1288="","",MAX(0,MIN($B$8,IFERROR(LOOKUP(2,1/($U$24:U1287&lt;&gt;""),$U$24:U1287),$B$11))))</f>
        <v>5.30012258687314</v>
      </c>
      <c r="I1288" s="16" t="n">
        <f aca="false" t="array" ref="I1288: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>1.88344155302736</v>
      </c>
      <c r="J1288" s="16" t="n">
        <f aca="false">IF(D1288="","",$B$12)</f>
        <v>0.35</v>
      </c>
      <c r="K1288" s="16" t="n">
        <f aca="false">IF(J1288="","",J1288*$B$15)</f>
        <v>0.9072</v>
      </c>
      <c r="L1288" s="16" t="n">
        <f aca="false">IF(D1288="","",H1288+E1288-K1288-G1288*I1288)</f>
        <v>5.36837653931773</v>
      </c>
      <c r="M1288" s="16" t="n">
        <f aca="false" t="array" ref="M1288: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>1.90420818111157</v>
      </c>
      <c r="N1288" s="16" t="n">
        <f aca="false">IF(D1288="","",(I1288+M1288)/2)</f>
        <v>1.89382486706946</v>
      </c>
      <c r="O1288" s="16" t="n">
        <f aca="false">IF(D1288="","",G1288*N1288)</f>
        <v>0.276119665618728</v>
      </c>
      <c r="P1288" s="16" t="n">
        <f aca="false">IF(D1288="","",H1288+E1288-K1288-O1288)</f>
        <v>5.36686265213039</v>
      </c>
      <c r="Q1288" s="16" t="n">
        <f aca="false">IF(D1288="","",IF(P1288&gt;=0,K1288,MAX(0,K1288+P1288)))</f>
        <v>0.9072</v>
      </c>
      <c r="R1288" s="16" t="n">
        <f aca="false">IF(D1288="","",Q1288/$B$15)</f>
        <v>0.35</v>
      </c>
      <c r="S1288" s="16" t="n">
        <f aca="false">IF(D1288="","",MAX(0,J1288-R1288))</f>
        <v>0</v>
      </c>
      <c r="T1288" s="16" t="n">
        <f aca="false">IF(D1288="","",MAX(0,Z1288-$B$8))</f>
        <v>0</v>
      </c>
      <c r="U1288" s="16" t="n">
        <f aca="false">IF(D1288="","",MAX(0,MIN($B$8,Z1288)))</f>
        <v>5.36686265213039</v>
      </c>
      <c r="V1288" s="16" t="str">
        <f aca="false">IF(D1288="","",IF(S1288&gt;0.0000001,"Sim","Não"))</f>
        <v>Não</v>
      </c>
      <c r="W1288" s="16" t="n">
        <f aca="false">IF(D1288="","",U1288-(H1288+E1288-Q1288-O1288-T1288))</f>
        <v>0</v>
      </c>
      <c r="X1288" s="16" t="n">
        <f aca="false">IF(W1288="","",ABS(W1288))</f>
        <v>0</v>
      </c>
      <c r="Y1288" s="16" t="n">
        <f aca="false">IF(U1288="","",IF($B$8=0,0,U1288/$B$8*100))</f>
        <v>11.3656557647827</v>
      </c>
      <c r="Z1288" s="18" t="n">
        <f aca="false">IF(D1288="","",MAX(0,IF(P1288&gt;=0,P1288,IF(K1288+P1288&gt;=0,0,P1288+K1288))))</f>
        <v>5.36686265213039</v>
      </c>
      <c r="AA1288" s="18" t="n">
        <f aca="false">IF(D1288="","",IF(H1288&lt;=$B$16,1,IF(H1288&gt;=$B$17,$B$21,MATCH(H1288,Aux_CAV!$A$2:$A$121,1))))</f>
        <v>9</v>
      </c>
      <c r="AB1288" s="18" t="n">
        <f aca="false">IF(D1288="","",IF(L1288&lt;=$B$16,1,IF(L1288&gt;=$B$17,$B$21,MATCH(L1288,Aux_CAV!$A$2:$A$121,1))))</f>
        <v>9</v>
      </c>
      <c r="AC1288" s="19" t="n">
        <f aca="false">IF(D1288="","",COUNT($D$24:D1288))</f>
        <v>1253</v>
      </c>
    </row>
    <row r="1289" customFormat="false" ht="12.75" hidden="false" customHeight="true" outlineLevel="0" collapsed="false">
      <c r="A1289" s="14" t="n">
        <f aca="false">IF(D1289="","",DATE(B1289,C1289,1))</f>
        <v>42156</v>
      </c>
      <c r="B1289" s="15" t="n">
        <f aca="false" t="array" ref="B1289:B1289">IF(D1289="","",IFERROR(VALUE(INDEX(Vazoes_COLAR!$A$2:$A$200,INT((ROW()-24)/12)+1)),""))</f>
        <v>2015</v>
      </c>
      <c r="C1289" s="15" t="n">
        <f aca="false">IF(D1289="","",MOD(ROW()-24,12)+1)</f>
        <v>6</v>
      </c>
      <c r="D1289" s="16" t="n">
        <f aca="false" t="array" ref="D1289: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0.180653193418001</v>
      </c>
      <c r="E1289" s="16" t="n">
        <f aca="false">IF(D1289="","",D1289*$B$15)</f>
        <v>0.468253077339459</v>
      </c>
      <c r="F1289" s="16" t="n">
        <f aca="false" t="array" ref="F1289:F1289">IF(D1289="","",IFERROR(INDEX(Dados_Evap!$C$2:$N$15,MATCH($B$9,Dados_Evap!$A$2:$A$15,0),C1289),0))</f>
        <v>161.3</v>
      </c>
      <c r="G1289" s="16" t="n">
        <f aca="false">IF(F1289="","",F1289/1000)</f>
        <v>0.1613</v>
      </c>
      <c r="H1289" s="16" t="n">
        <f aca="false">IF(D1289="","",MAX(0,MIN($B$8,IFERROR(LOOKUP(2,1/($U$24:U1288&lt;&gt;""),$U$24:U1288),$B$11))))</f>
        <v>5.36686265213039</v>
      </c>
      <c r="I1289" s="16" t="n">
        <f aca="false" t="array" ref="I1289: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>1.90374757288223</v>
      </c>
      <c r="J1289" s="16" t="n">
        <f aca="false">IF(D1289="","",$B$12)</f>
        <v>0.35</v>
      </c>
      <c r="K1289" s="16" t="n">
        <f aca="false">IF(J1289="","",J1289*$B$15)</f>
        <v>0.9072</v>
      </c>
      <c r="L1289" s="16" t="n">
        <f aca="false">IF(D1289="","",H1289+E1289-K1289-G1289*I1289)</f>
        <v>4.62084124596395</v>
      </c>
      <c r="M1289" s="16" t="n">
        <f aca="false" t="array" ref="M1289: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>1.67676659185712</v>
      </c>
      <c r="N1289" s="16" t="n">
        <f aca="false">IF(D1289="","",(I1289+M1289)/2)</f>
        <v>1.79025708236967</v>
      </c>
      <c r="O1289" s="16" t="n">
        <f aca="false">IF(D1289="","",G1289*N1289)</f>
        <v>0.288768467386228</v>
      </c>
      <c r="P1289" s="16" t="n">
        <f aca="false">IF(D1289="","",H1289+E1289-K1289-O1289)</f>
        <v>4.63914726208362</v>
      </c>
      <c r="Q1289" s="16" t="n">
        <f aca="false">IF(D1289="","",IF(P1289&gt;=0,K1289,MAX(0,K1289+P1289)))</f>
        <v>0.9072</v>
      </c>
      <c r="R1289" s="16" t="n">
        <f aca="false">IF(D1289="","",Q1289/$B$15)</f>
        <v>0.35</v>
      </c>
      <c r="S1289" s="16" t="n">
        <f aca="false">IF(D1289="","",MAX(0,J1289-R1289))</f>
        <v>0</v>
      </c>
      <c r="T1289" s="16" t="n">
        <f aca="false">IF(D1289="","",MAX(0,Z1289-$B$8))</f>
        <v>0</v>
      </c>
      <c r="U1289" s="16" t="n">
        <f aca="false">IF(D1289="","",MAX(0,MIN($B$8,Z1289)))</f>
        <v>4.63914726208362</v>
      </c>
      <c r="V1289" s="16" t="str">
        <f aca="false">IF(D1289="","",IF(S1289&gt;0.0000001,"Sim","Não"))</f>
        <v>Não</v>
      </c>
      <c r="W1289" s="16" t="n">
        <f aca="false">IF(D1289="","",U1289-(H1289+E1289-Q1289-O1289-T1289))</f>
        <v>0</v>
      </c>
      <c r="X1289" s="16" t="n">
        <f aca="false">IF(W1289="","",ABS(W1289))</f>
        <v>0</v>
      </c>
      <c r="Y1289" s="16" t="n">
        <f aca="false">IF(U1289="","",IF($B$8=0,0,U1289/$B$8*100))</f>
        <v>9.82453888624232</v>
      </c>
      <c r="Z1289" s="18" t="n">
        <f aca="false">IF(D1289="","",MAX(0,IF(P1289&gt;=0,P1289,IF(K1289+P1289&gt;=0,0,P1289+K1289))))</f>
        <v>4.63914726208362</v>
      </c>
      <c r="AA1289" s="18" t="n">
        <f aca="false">IF(D1289="","",IF(H1289&lt;=$B$16,1,IF(H1289&gt;=$B$17,$B$21,MATCH(H1289,Aux_CAV!$A$2:$A$121,1))))</f>
        <v>9</v>
      </c>
      <c r="AB1289" s="18" t="n">
        <f aca="false">IF(D1289="","",IF(L1289&lt;=$B$16,1,IF(L1289&gt;=$B$17,$B$21,MATCH(L1289,Aux_CAV!$A$2:$A$121,1))))</f>
        <v>9</v>
      </c>
      <c r="AC1289" s="19" t="n">
        <f aca="false">IF(D1289="","",COUNT($D$24:D1289))</f>
        <v>1254</v>
      </c>
    </row>
    <row r="1290" customFormat="false" ht="12.75" hidden="false" customHeight="true" outlineLevel="0" collapsed="false">
      <c r="A1290" s="14" t="n">
        <f aca="false">IF(D1290="","",DATE(B1290,C1290,1))</f>
        <v>42186</v>
      </c>
      <c r="B1290" s="15" t="n">
        <f aca="false" t="array" ref="B1290:B1290">IF(D1290="","",IFERROR(VALUE(INDEX(Vazoes_COLAR!$A$2:$A$200,INT((ROW()-24)/12)+1)),""))</f>
        <v>2015</v>
      </c>
      <c r="C1290" s="15" t="n">
        <f aca="false">IF(D1290="","",MOD(ROW()-24,12)+1)</f>
        <v>7</v>
      </c>
      <c r="D1290" s="16" t="n">
        <f aca="false" t="array" ref="D1290: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0.176531092974032</v>
      </c>
      <c r="E1290" s="16" t="n">
        <f aca="false">IF(D1290="","",D1290*$B$15)</f>
        <v>0.457568592988691</v>
      </c>
      <c r="F1290" s="16" t="n">
        <f aca="false" t="array" ref="F1290:F1290">IF(D1290="","",IFERROR(INDEX(Dados_Evap!$C$2:$N$15,MATCH($B$9,Dados_Evap!$A$2:$A$15,0),C1290),0))</f>
        <v>224.8</v>
      </c>
      <c r="G1290" s="16" t="n">
        <f aca="false">IF(F1290="","",F1290/1000)</f>
        <v>0.2248</v>
      </c>
      <c r="H1290" s="16" t="n">
        <f aca="false">IF(D1290="","",MAX(0,MIN($B$8,IFERROR(LOOKUP(2,1/($U$24:U1289&lt;&gt;""),$U$24:U1289),$B$11))))</f>
        <v>4.63914726208362</v>
      </c>
      <c r="I1290" s="16" t="n">
        <f aca="false" t="array" ref="I1290: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>1.68233629463395</v>
      </c>
      <c r="J1290" s="16" t="n">
        <f aca="false">IF(D1290="","",$B$12)</f>
        <v>0.35</v>
      </c>
      <c r="K1290" s="16" t="n">
        <f aca="false">IF(J1290="","",J1290*$B$15)</f>
        <v>0.9072</v>
      </c>
      <c r="L1290" s="16" t="n">
        <f aca="false">IF(D1290="","",H1290+E1290-K1290-G1290*I1290)</f>
        <v>3.8113266560386</v>
      </c>
      <c r="M1290" s="16" t="n">
        <f aca="false" t="array" ref="M1290: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>1.4526808504425</v>
      </c>
      <c r="N1290" s="16" t="n">
        <f aca="false">IF(D1290="","",(I1290+M1290)/2)</f>
        <v>1.56750857253823</v>
      </c>
      <c r="O1290" s="16" t="n">
        <f aca="false">IF(D1290="","",G1290*N1290)</f>
        <v>0.352375927106593</v>
      </c>
      <c r="P1290" s="16" t="n">
        <f aca="false">IF(D1290="","",H1290+E1290-K1290-O1290)</f>
        <v>3.83713992796572</v>
      </c>
      <c r="Q1290" s="16" t="n">
        <f aca="false">IF(D1290="","",IF(P1290&gt;=0,K1290,MAX(0,K1290+P1290)))</f>
        <v>0.9072</v>
      </c>
      <c r="R1290" s="16" t="n">
        <f aca="false">IF(D1290="","",Q1290/$B$15)</f>
        <v>0.35</v>
      </c>
      <c r="S1290" s="16" t="n">
        <f aca="false">IF(D1290="","",MAX(0,J1290-R1290))</f>
        <v>0</v>
      </c>
      <c r="T1290" s="16" t="n">
        <f aca="false">IF(D1290="","",MAX(0,Z1290-$B$8))</f>
        <v>0</v>
      </c>
      <c r="U1290" s="16" t="n">
        <f aca="false">IF(D1290="","",MAX(0,MIN($B$8,Z1290)))</f>
        <v>3.83713992796572</v>
      </c>
      <c r="V1290" s="16" t="str">
        <f aca="false">IF(D1290="","",IF(S1290&gt;0.0000001,"Sim","Não"))</f>
        <v>Não</v>
      </c>
      <c r="W1290" s="16" t="n">
        <f aca="false">IF(D1290="","",U1290-(H1290+E1290-Q1290-O1290-T1290))</f>
        <v>0</v>
      </c>
      <c r="X1290" s="16" t="n">
        <f aca="false">IF(W1290="","",ABS(W1290))</f>
        <v>0</v>
      </c>
      <c r="Y1290" s="16" t="n">
        <f aca="false">IF(U1290="","",IF($B$8=0,0,U1290/$B$8*100))</f>
        <v>8.12609048700915</v>
      </c>
      <c r="Z1290" s="18" t="n">
        <f aca="false">IF(D1290="","",MAX(0,IF(P1290&gt;=0,P1290,IF(K1290+P1290&gt;=0,0,P1290+K1290))))</f>
        <v>3.83713992796572</v>
      </c>
      <c r="AA1290" s="18" t="n">
        <f aca="false">IF(D1290="","",IF(H1290&lt;=$B$16,1,IF(H1290&gt;=$B$17,$B$21,MATCH(H1290,Aux_CAV!$A$2:$A$121,1))))</f>
        <v>9</v>
      </c>
      <c r="AB1290" s="18" t="n">
        <f aca="false">IF(D1290="","",IF(L1290&lt;=$B$16,1,IF(L1290&gt;=$B$17,$B$21,MATCH(L1290,Aux_CAV!$A$2:$A$121,1))))</f>
        <v>8</v>
      </c>
      <c r="AC1290" s="19" t="n">
        <f aca="false">IF(D1290="","",COUNT($D$24:D1290))</f>
        <v>1255</v>
      </c>
    </row>
    <row r="1291" customFormat="false" ht="12.75" hidden="false" customHeight="true" outlineLevel="0" collapsed="false">
      <c r="A1291" s="14" t="n">
        <f aca="false">IF(D1291="","",DATE(B1291,C1291,1))</f>
        <v>42217</v>
      </c>
      <c r="B1291" s="15" t="n">
        <f aca="false" t="array" ref="B1291:B1291">IF(D1291="","",IFERROR(VALUE(INDEX(Vazoes_COLAR!$A$2:$A$200,INT((ROW()-24)/12)+1)),""))</f>
        <v>2015</v>
      </c>
      <c r="C1291" s="15" t="n">
        <f aca="false">IF(D1291="","",MOD(ROW()-24,12)+1)</f>
        <v>8</v>
      </c>
      <c r="D1291" s="16" t="n">
        <f aca="false" t="array" ref="D1291: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0.00515094808205599</v>
      </c>
      <c r="E1291" s="16" t="n">
        <f aca="false">IF(D1291="","",D1291*$B$15)</f>
        <v>0.0133512574286891</v>
      </c>
      <c r="F1291" s="16" t="n">
        <f aca="false" t="array" ref="F1291:F1291">IF(D1291="","",IFERROR(INDEX(Dados_Evap!$C$2:$N$15,MATCH($B$9,Dados_Evap!$A$2:$A$15,0),C1291),0))</f>
        <v>268.7</v>
      </c>
      <c r="G1291" s="16" t="n">
        <f aca="false">IF(F1291="","",F1291/1000)</f>
        <v>0.2687</v>
      </c>
      <c r="H1291" s="16" t="n">
        <f aca="false">IF(D1291="","",MAX(0,MIN($B$8,IFERROR(LOOKUP(2,1/($U$24:U1290&lt;&gt;""),$U$24:U1290),$B$11))))</f>
        <v>3.83713992796572</v>
      </c>
      <c r="I1291" s="16" t="n">
        <f aca="false" t="array" ref="I1291: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>1.45970206040668</v>
      </c>
      <c r="J1291" s="16" t="n">
        <f aca="false">IF(D1291="","",$B$12)</f>
        <v>0.35</v>
      </c>
      <c r="K1291" s="16" t="n">
        <f aca="false">IF(J1291="","",J1291*$B$15)</f>
        <v>0.9072</v>
      </c>
      <c r="L1291" s="16" t="n">
        <f aca="false">IF(D1291="","",H1291+E1291-K1291-G1291*I1291)</f>
        <v>2.55106924176314</v>
      </c>
      <c r="M1291" s="16" t="n">
        <f aca="false" t="array" ref="M1291: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>1.10989083375957</v>
      </c>
      <c r="N1291" s="16" t="n">
        <f aca="false">IF(D1291="","",(I1291+M1291)/2)</f>
        <v>1.28479644708312</v>
      </c>
      <c r="O1291" s="16" t="n">
        <f aca="false">IF(D1291="","",G1291*N1291)</f>
        <v>0.345224805331236</v>
      </c>
      <c r="P1291" s="16" t="n">
        <f aca="false">IF(D1291="","",H1291+E1291-K1291-O1291)</f>
        <v>2.59806638006318</v>
      </c>
      <c r="Q1291" s="16" t="n">
        <f aca="false">IF(D1291="","",IF(P1291&gt;=0,K1291,MAX(0,K1291+P1291)))</f>
        <v>0.9072</v>
      </c>
      <c r="R1291" s="16" t="n">
        <f aca="false">IF(D1291="","",Q1291/$B$15)</f>
        <v>0.35</v>
      </c>
      <c r="S1291" s="16" t="n">
        <f aca="false">IF(D1291="","",MAX(0,J1291-R1291))</f>
        <v>0</v>
      </c>
      <c r="T1291" s="16" t="n">
        <f aca="false">IF(D1291="","",MAX(0,Z1291-$B$8))</f>
        <v>0</v>
      </c>
      <c r="U1291" s="16" t="n">
        <f aca="false">IF(D1291="","",MAX(0,MIN($B$8,Z1291)))</f>
        <v>2.59806638006318</v>
      </c>
      <c r="V1291" s="16" t="str">
        <f aca="false">IF(D1291="","",IF(S1291&gt;0.0000001,"Sim","Não"))</f>
        <v>Não</v>
      </c>
      <c r="W1291" s="16" t="n">
        <f aca="false">IF(D1291="","",U1291-(H1291+E1291-Q1291-O1291-T1291))</f>
        <v>0</v>
      </c>
      <c r="X1291" s="16" t="n">
        <f aca="false">IF(W1291="","",ABS(W1291))</f>
        <v>0</v>
      </c>
      <c r="Y1291" s="16" t="n">
        <f aca="false">IF(U1291="","",IF($B$8=0,0,U1291/$B$8*100))</f>
        <v>5.50204654820664</v>
      </c>
      <c r="Z1291" s="18" t="n">
        <f aca="false">IF(D1291="","",MAX(0,IF(P1291&gt;=0,P1291,IF(K1291+P1291&gt;=0,0,P1291+K1291))))</f>
        <v>2.59806638006318</v>
      </c>
      <c r="AA1291" s="18" t="n">
        <f aca="false">IF(D1291="","",IF(H1291&lt;=$B$16,1,IF(H1291&gt;=$B$17,$B$21,MATCH(H1291,Aux_CAV!$A$2:$A$121,1))))</f>
        <v>8</v>
      </c>
      <c r="AB1291" s="18" t="n">
        <f aca="false">IF(D1291="","",IF(L1291&lt;=$B$16,1,IF(L1291&gt;=$B$17,$B$21,MATCH(L1291,Aux_CAV!$A$2:$A$121,1))))</f>
        <v>8</v>
      </c>
      <c r="AC1291" s="19" t="n">
        <f aca="false">IF(D1291="","",COUNT($D$24:D1291))</f>
        <v>1256</v>
      </c>
    </row>
    <row r="1292" customFormat="false" ht="12.75" hidden="false" customHeight="true" outlineLevel="0" collapsed="false">
      <c r="A1292" s="14" t="n">
        <f aca="false">IF(D1292="","",DATE(B1292,C1292,1))</f>
        <v>42248</v>
      </c>
      <c r="B1292" s="15" t="n">
        <f aca="false" t="array" ref="B1292:B1292">IF(D1292="","",IFERROR(VALUE(INDEX(Vazoes_COLAR!$A$2:$A$200,INT((ROW()-24)/12)+1)),""))</f>
        <v>2015</v>
      </c>
      <c r="C1292" s="15" t="n">
        <f aca="false">IF(D1292="","",MOD(ROW()-24,12)+1)</f>
        <v>9</v>
      </c>
      <c r="D1292" s="16" t="n">
        <f aca="false" t="array" ref="D1292: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0.00549294658378443</v>
      </c>
      <c r="E1292" s="16" t="n">
        <f aca="false">IF(D1292="","",D1292*$B$15)</f>
        <v>0.0142377175451692</v>
      </c>
      <c r="F1292" s="16" t="n">
        <f aca="false" t="array" ref="F1292:F1292">IF(D1292="","",IFERROR(INDEX(Dados_Evap!$C$2:$N$15,MATCH($B$9,Dados_Evap!$A$2:$A$15,0),C1292),0))</f>
        <v>292.8</v>
      </c>
      <c r="G1292" s="16" t="n">
        <f aca="false">IF(F1292="","",F1292/1000)</f>
        <v>0.2928</v>
      </c>
      <c r="H1292" s="16" t="n">
        <f aca="false">IF(D1292="","",MAX(0,MIN($B$8,IFERROR(LOOKUP(2,1/($U$24:U1291&lt;&gt;""),$U$24:U1291),$B$11))))</f>
        <v>2.59806638006318</v>
      </c>
      <c r="I1292" s="16" t="n">
        <f aca="false" t="array" ref="I1292: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>1.12267405537718</v>
      </c>
      <c r="J1292" s="16" t="n">
        <f aca="false">IF(D1292="","",$B$12)</f>
        <v>0.35</v>
      </c>
      <c r="K1292" s="16" t="n">
        <f aca="false">IF(J1292="","",J1292*$B$15)</f>
        <v>0.9072</v>
      </c>
      <c r="L1292" s="16" t="n">
        <f aca="false">IF(D1292="","",H1292+E1292-K1292-G1292*I1292)</f>
        <v>1.37638513419391</v>
      </c>
      <c r="M1292" s="16" t="n">
        <f aca="false" t="array" ref="M1292: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>0.79589082478787</v>
      </c>
      <c r="N1292" s="16" t="n">
        <f aca="false">IF(D1292="","",(I1292+M1292)/2)</f>
        <v>0.959282440082527</v>
      </c>
      <c r="O1292" s="16" t="n">
        <f aca="false">IF(D1292="","",G1292*N1292)</f>
        <v>0.280877898456164</v>
      </c>
      <c r="P1292" s="16" t="n">
        <f aca="false">IF(D1292="","",H1292+E1292-K1292-O1292)</f>
        <v>1.42422619915218</v>
      </c>
      <c r="Q1292" s="16" t="n">
        <f aca="false">IF(D1292="","",IF(P1292&gt;=0,K1292,MAX(0,K1292+P1292)))</f>
        <v>0.9072</v>
      </c>
      <c r="R1292" s="16" t="n">
        <f aca="false">IF(D1292="","",Q1292/$B$15)</f>
        <v>0.35</v>
      </c>
      <c r="S1292" s="16" t="n">
        <f aca="false">IF(D1292="","",MAX(0,J1292-R1292))</f>
        <v>0</v>
      </c>
      <c r="T1292" s="16" t="n">
        <f aca="false">IF(D1292="","",MAX(0,Z1292-$B$8))</f>
        <v>0</v>
      </c>
      <c r="U1292" s="16" t="n">
        <f aca="false">IF(D1292="","",MAX(0,MIN($B$8,Z1292)))</f>
        <v>1.42422619915218</v>
      </c>
      <c r="V1292" s="16" t="str">
        <f aca="false">IF(D1292="","",IF(S1292&gt;0.0000001,"Sim","Não"))</f>
        <v>Não</v>
      </c>
      <c r="W1292" s="16" t="n">
        <f aca="false">IF(D1292="","",U1292-(H1292+E1292-Q1292-O1292-T1292))</f>
        <v>0</v>
      </c>
      <c r="X1292" s="16" t="n">
        <f aca="false">IF(W1292="","",ABS(W1292))</f>
        <v>0</v>
      </c>
      <c r="Y1292" s="16" t="n">
        <f aca="false">IF(U1292="","",IF($B$8=0,0,U1292/$B$8*100))</f>
        <v>3.01615035822148</v>
      </c>
      <c r="Z1292" s="18" t="n">
        <f aca="false">IF(D1292="","",MAX(0,IF(P1292&gt;=0,P1292,IF(K1292+P1292&gt;=0,0,P1292+K1292))))</f>
        <v>1.42422619915218</v>
      </c>
      <c r="AA1292" s="18" t="n">
        <f aca="false">IF(D1292="","",IF(H1292&lt;=$B$16,1,IF(H1292&gt;=$B$17,$B$21,MATCH(H1292,Aux_CAV!$A$2:$A$121,1))))</f>
        <v>8</v>
      </c>
      <c r="AB1292" s="18" t="n">
        <f aca="false">IF(D1292="","",IF(L1292&lt;=$B$16,1,IF(L1292&gt;=$B$17,$B$21,MATCH(L1292,Aux_CAV!$A$2:$A$121,1))))</f>
        <v>7</v>
      </c>
      <c r="AC1292" s="19" t="n">
        <f aca="false">IF(D1292="","",COUNT($D$24:D1292))</f>
        <v>1257</v>
      </c>
    </row>
    <row r="1293" customFormat="false" ht="12.75" hidden="false" customHeight="true" outlineLevel="0" collapsed="false">
      <c r="A1293" s="14" t="n">
        <f aca="false">IF(D1293="","",DATE(B1293,C1293,1))</f>
        <v>42278</v>
      </c>
      <c r="B1293" s="15" t="n">
        <f aca="false" t="array" ref="B1293:B1293">IF(D1293="","",IFERROR(VALUE(INDEX(Vazoes_COLAR!$A$2:$A$200,INT((ROW()-24)/12)+1)),""))</f>
        <v>2015</v>
      </c>
      <c r="C1293" s="15" t="n">
        <f aca="false">IF(D1293="","",MOD(ROW()-24,12)+1)</f>
        <v>10</v>
      </c>
      <c r="D1293" s="16" t="n">
        <f aca="false" t="array" ref="D1293: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0.0039291461747389</v>
      </c>
      <c r="E1293" s="16" t="n">
        <f aca="false">IF(D1293="","",D1293*$B$15)</f>
        <v>0.0101843468849232</v>
      </c>
      <c r="F1293" s="16" t="n">
        <f aca="false" t="array" ref="F1293:F1293">IF(D1293="","",IFERROR(INDEX(Dados_Evap!$C$2:$N$15,MATCH($B$9,Dados_Evap!$A$2:$A$15,0),C1293),0))</f>
        <v>262.9</v>
      </c>
      <c r="G1293" s="16" t="n">
        <f aca="false">IF(F1293="","",F1293/1000)</f>
        <v>0.2629</v>
      </c>
      <c r="H1293" s="16" t="n">
        <f aca="false">IF(D1293="","",MAX(0,MIN($B$8,IFERROR(LOOKUP(2,1/($U$24:U1292&lt;&gt;""),$U$24:U1292),$B$11))))</f>
        <v>1.42422619915218</v>
      </c>
      <c r="I1293" s="16" t="n">
        <f aca="false" t="array" ref="I1293: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>0.808480578724258</v>
      </c>
      <c r="J1293" s="16" t="n">
        <f aca="false">IF(D1293="","",$B$12)</f>
        <v>0.35</v>
      </c>
      <c r="K1293" s="16" t="n">
        <f aca="false">IF(J1293="","",J1293*$B$15)</f>
        <v>0.9072</v>
      </c>
      <c r="L1293" s="16" t="n">
        <f aca="false">IF(D1293="","",H1293+E1293-K1293-G1293*I1293)</f>
        <v>0.314661001890496</v>
      </c>
      <c r="M1293" s="16" t="n">
        <f aca="false" t="array" ref="M1293: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>0.29112510011452</v>
      </c>
      <c r="N1293" s="16" t="n">
        <f aca="false">IF(D1293="","",(I1293+M1293)/2)</f>
        <v>0.549802839419389</v>
      </c>
      <c r="O1293" s="16" t="n">
        <f aca="false">IF(D1293="","",G1293*N1293)</f>
        <v>0.144543166483357</v>
      </c>
      <c r="P1293" s="16" t="n">
        <f aca="false">IF(D1293="","",H1293+E1293-K1293-O1293)</f>
        <v>0.382667379553746</v>
      </c>
      <c r="Q1293" s="16" t="n">
        <f aca="false">IF(D1293="","",IF(P1293&gt;=0,K1293,MAX(0,K1293+P1293)))</f>
        <v>0.9072</v>
      </c>
      <c r="R1293" s="16" t="n">
        <f aca="false">IF(D1293="","",Q1293/$B$15)</f>
        <v>0.35</v>
      </c>
      <c r="S1293" s="16" t="n">
        <f aca="false">IF(D1293="","",MAX(0,J1293-R1293))</f>
        <v>0</v>
      </c>
      <c r="T1293" s="16" t="n">
        <f aca="false">IF(D1293="","",MAX(0,Z1293-$B$8))</f>
        <v>0</v>
      </c>
      <c r="U1293" s="16" t="n">
        <f aca="false">IF(D1293="","",MAX(0,MIN($B$8,Z1293)))</f>
        <v>0.382667379553746</v>
      </c>
      <c r="V1293" s="16" t="str">
        <f aca="false">IF(D1293="","",IF(S1293&gt;0.0000001,"Sim","Não"))</f>
        <v>Não</v>
      </c>
      <c r="W1293" s="16" t="n">
        <f aca="false">IF(D1293="","",U1293-(H1293+E1293-Q1293-O1293-T1293))</f>
        <v>0</v>
      </c>
      <c r="X1293" s="16" t="n">
        <f aca="false">IF(W1293="","",ABS(W1293))</f>
        <v>0</v>
      </c>
      <c r="Y1293" s="16" t="n">
        <f aca="false">IF(U1293="","",IF($B$8=0,0,U1293/$B$8*100))</f>
        <v>0.810392586941437</v>
      </c>
      <c r="Z1293" s="18" t="n">
        <f aca="false">IF(D1293="","",MAX(0,IF(P1293&gt;=0,P1293,IF(K1293+P1293&gt;=0,0,P1293+K1293))))</f>
        <v>0.382667379553746</v>
      </c>
      <c r="AA1293" s="18" t="n">
        <f aca="false">IF(D1293="","",IF(H1293&lt;=$B$16,1,IF(H1293&gt;=$B$17,$B$21,MATCH(H1293,Aux_CAV!$A$2:$A$121,1))))</f>
        <v>7</v>
      </c>
      <c r="AB1293" s="18" t="n">
        <f aca="false">IF(D1293="","",IF(L1293&lt;=$B$16,1,IF(L1293&gt;=$B$17,$B$21,MATCH(L1293,Aux_CAV!$A$2:$A$121,1))))</f>
        <v>5</v>
      </c>
      <c r="AC1293" s="19" t="n">
        <f aca="false">IF(D1293="","",COUNT($D$24:D1293))</f>
        <v>1258</v>
      </c>
    </row>
    <row r="1294" customFormat="false" ht="12.75" hidden="false" customHeight="true" outlineLevel="0" collapsed="false">
      <c r="A1294" s="14" t="n">
        <f aca="false">IF(D1294="","",DATE(B1294,C1294,1))</f>
        <v>42309</v>
      </c>
      <c r="B1294" s="15" t="n">
        <f aca="false" t="array" ref="B1294:B1294">IF(D1294="","",IFERROR(VALUE(INDEX(Vazoes_COLAR!$A$2:$A$200,INT((ROW()-24)/12)+1)),""))</f>
        <v>2015</v>
      </c>
      <c r="C1294" s="15" t="n">
        <f aca="false">IF(D1294="","",MOD(ROW()-24,12)+1)</f>
        <v>11</v>
      </c>
      <c r="D1294" s="16" t="n">
        <f aca="false" t="array" ref="D1294: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0.00315446161603591</v>
      </c>
      <c r="E1294" s="16" t="n">
        <f aca="false">IF(D1294="","",D1294*$B$15)</f>
        <v>0.00817636450876508</v>
      </c>
      <c r="F1294" s="16" t="n">
        <f aca="false" t="array" ref="F1294:F1294">IF(D1294="","",IFERROR(INDEX(Dados_Evap!$C$2:$N$15,MATCH($B$9,Dados_Evap!$A$2:$A$15,0),C1294),0))</f>
        <v>223.7</v>
      </c>
      <c r="G1294" s="16" t="n">
        <f aca="false">IF(F1294="","",F1294/1000)</f>
        <v>0.2237</v>
      </c>
      <c r="H1294" s="16" t="n">
        <f aca="false">IF(D1294="","",MAX(0,MIN($B$8,IFERROR(LOOKUP(2,1/($U$24:U1293&lt;&gt;""),$U$24:U1293),$B$11))))</f>
        <v>0.382667379553746</v>
      </c>
      <c r="I1294" s="16" t="n">
        <f aca="false" t="array" ref="I1294: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>0.342577293741321</v>
      </c>
      <c r="J1294" s="16" t="n">
        <f aca="false">IF(D1294="","",$B$12)</f>
        <v>0.35</v>
      </c>
      <c r="K1294" s="16" t="n">
        <f aca="false">IF(J1294="","",J1294*$B$15)</f>
        <v>0.9072</v>
      </c>
      <c r="L1294" s="16" t="n">
        <f aca="false">IF(D1294="","",H1294+E1294-K1294-G1294*I1294)</f>
        <v>-0.592990796547422</v>
      </c>
      <c r="M1294" s="16" t="n">
        <f aca="false" t="array" ref="M1294: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>0</v>
      </c>
      <c r="N1294" s="16" t="n">
        <f aca="false">IF(D1294="","",(I1294+M1294)/2)</f>
        <v>0.171288646870661</v>
      </c>
      <c r="O1294" s="16" t="n">
        <f aca="false">IF(D1294="","",G1294*N1294)</f>
        <v>0.0383172703049668</v>
      </c>
      <c r="P1294" s="16" t="n">
        <f aca="false">IF(D1294="","",H1294+E1294-K1294-O1294)</f>
        <v>-0.554673526242455</v>
      </c>
      <c r="Q1294" s="16" t="n">
        <f aca="false">IF(D1294="","",IF(P1294&gt;=0,K1294,MAX(0,K1294+P1294)))</f>
        <v>0.352526473757545</v>
      </c>
      <c r="R1294" s="16" t="n">
        <f aca="false">IF(D1294="","",Q1294/$B$15)</f>
        <v>0.136005584011398</v>
      </c>
      <c r="S1294" s="16" t="n">
        <f aca="false">IF(D1294="","",MAX(0,J1294-R1294))</f>
        <v>0.213994415988602</v>
      </c>
      <c r="T1294" s="16" t="n">
        <f aca="false">IF(D1294="","",MAX(0,Z1294-$B$8))</f>
        <v>0</v>
      </c>
      <c r="U1294" s="16" t="n">
        <f aca="false">IF(D1294="","",MAX(0,MIN($B$8,Z1294)))</f>
        <v>0</v>
      </c>
      <c r="V1294" s="16" t="str">
        <f aca="false">IF(D1294="","",IF(S1294&gt;0.0000001,"Sim","Não"))</f>
        <v>Sim</v>
      </c>
      <c r="W1294" s="16" t="n">
        <f aca="false">IF(D1294="","",U1294-(H1294+E1294-Q1294-O1294-T1294))</f>
        <v>0</v>
      </c>
      <c r="X1294" s="16" t="n">
        <f aca="false">IF(W1294="","",ABS(W1294))</f>
        <v>0</v>
      </c>
      <c r="Y1294" s="16" t="n">
        <f aca="false">IF(U1294="","",IF($B$8=0,0,U1294/$B$8*100))</f>
        <v>0</v>
      </c>
      <c r="Z1294" s="18" t="n">
        <f aca="false">IF(D1294="","",MAX(0,IF(P1294&gt;=0,P1294,IF(K1294+P1294&gt;=0,0,P1294+K1294))))</f>
        <v>0</v>
      </c>
      <c r="AA1294" s="18" t="n">
        <f aca="false">IF(D1294="","",IF(H1294&lt;=$B$16,1,IF(H1294&gt;=$B$17,$B$21,MATCH(H1294,Aux_CAV!$A$2:$A$121,1))))</f>
        <v>5</v>
      </c>
      <c r="AB1294" s="18" t="n">
        <f aca="false">IF(D1294="","",IF(L1294&lt;=$B$16,1,IF(L1294&gt;=$B$17,$B$21,MATCH(L1294,Aux_CAV!$A$2:$A$121,1))))</f>
        <v>1</v>
      </c>
      <c r="AC1294" s="19" t="n">
        <f aca="false">IF(D1294="","",COUNT($D$24:D1294))</f>
        <v>1259</v>
      </c>
    </row>
    <row r="1295" customFormat="false" ht="12.75" hidden="false" customHeight="true" outlineLevel="0" collapsed="false">
      <c r="A1295" s="14" t="n">
        <f aca="false">IF(D1295="","",DATE(B1295,C1295,1))</f>
        <v>42339</v>
      </c>
      <c r="B1295" s="15" t="n">
        <f aca="false" t="array" ref="B1295:B1295">IF(D1295="","",IFERROR(VALUE(INDEX(Vazoes_COLAR!$A$2:$A$200,INT((ROW()-24)/12)+1)),""))</f>
        <v>2015</v>
      </c>
      <c r="C1295" s="15" t="n">
        <f aca="false">IF(D1295="","",MOD(ROW()-24,12)+1)</f>
        <v>12</v>
      </c>
      <c r="D1295" s="16" t="n">
        <f aca="false" t="array" ref="D1295: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0.00464936326231371</v>
      </c>
      <c r="E1295" s="16" t="n">
        <f aca="false">IF(D1295="","",D1295*$B$15)</f>
        <v>0.0120511495759171</v>
      </c>
      <c r="F1295" s="16" t="n">
        <f aca="false" t="array" ref="F1295:F1295">IF(D1295="","",IFERROR(INDEX(Dados_Evap!$C$2:$N$15,MATCH($B$9,Dados_Evap!$A$2:$A$15,0),C1295),0))</f>
        <v>216.1</v>
      </c>
      <c r="G1295" s="16" t="n">
        <f aca="false">IF(F1295="","",F1295/1000)</f>
        <v>0.2161</v>
      </c>
      <c r="H1295" s="16" t="n">
        <f aca="false">IF(D1295="","",MAX(0,MIN($B$8,IFERROR(LOOKUP(2,1/($U$24:U1294&lt;&gt;""),$U$24:U1294),$B$11))))</f>
        <v>0</v>
      </c>
      <c r="I1295" s="16" t="n">
        <f aca="false" t="array" ref="I1295: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>0</v>
      </c>
      <c r="J1295" s="16" t="n">
        <f aca="false">IF(D1295="","",$B$12)</f>
        <v>0.35</v>
      </c>
      <c r="K1295" s="16" t="n">
        <f aca="false">IF(J1295="","",J1295*$B$15)</f>
        <v>0.9072</v>
      </c>
      <c r="L1295" s="16" t="n">
        <f aca="false">IF(D1295="","",H1295+E1295-K1295-G1295*I1295)</f>
        <v>-0.895148850424083</v>
      </c>
      <c r="M1295" s="16" t="n">
        <f aca="false" t="array" ref="M1295: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>0</v>
      </c>
      <c r="N1295" s="16" t="n">
        <f aca="false">IF(D1295="","",(I1295+M1295)/2)</f>
        <v>0</v>
      </c>
      <c r="O1295" s="16" t="n">
        <f aca="false">IF(D1295="","",G1295*N1295)</f>
        <v>0</v>
      </c>
      <c r="P1295" s="16" t="n">
        <f aca="false">IF(D1295="","",H1295+E1295-K1295-O1295)</f>
        <v>-0.895148850424083</v>
      </c>
      <c r="Q1295" s="16" t="n">
        <f aca="false">IF(D1295="","",IF(P1295&gt;=0,K1295,MAX(0,K1295+P1295)))</f>
        <v>0.0120511495759171</v>
      </c>
      <c r="R1295" s="16" t="n">
        <f aca="false">IF(D1295="","",Q1295/$B$15)</f>
        <v>0.00464936326231371</v>
      </c>
      <c r="S1295" s="16" t="n">
        <f aca="false">IF(D1295="","",MAX(0,J1295-R1295))</f>
        <v>0.345350636737686</v>
      </c>
      <c r="T1295" s="16" t="n">
        <f aca="false">IF(D1295="","",MAX(0,Z1295-$B$8))</f>
        <v>0</v>
      </c>
      <c r="U1295" s="16" t="n">
        <f aca="false">IF(D1295="","",MAX(0,MIN($B$8,Z1295)))</f>
        <v>0</v>
      </c>
      <c r="V1295" s="16" t="str">
        <f aca="false">IF(D1295="","",IF(S1295&gt;0.0000001,"Sim","Não"))</f>
        <v>Sim</v>
      </c>
      <c r="W1295" s="16" t="n">
        <f aca="false">IF(D1295="","",U1295-(H1295+E1295-Q1295-O1295-T1295))</f>
        <v>0</v>
      </c>
      <c r="X1295" s="16" t="n">
        <f aca="false">IF(W1295="","",ABS(W1295))</f>
        <v>0</v>
      </c>
      <c r="Y1295" s="16" t="n">
        <f aca="false">IF(U1295="","",IF($B$8=0,0,U1295/$B$8*100))</f>
        <v>0</v>
      </c>
      <c r="Z1295" s="18" t="n">
        <f aca="false">IF(D1295="","",MAX(0,IF(P1295&gt;=0,P1295,IF(K1295+P1295&gt;=0,0,P1295+K1295))))</f>
        <v>0</v>
      </c>
      <c r="AA1295" s="18" t="n">
        <f aca="false">IF(D1295="","",IF(H1295&lt;=$B$16,1,IF(H1295&gt;=$B$17,$B$21,MATCH(H1295,Aux_CAV!$A$2:$A$121,1))))</f>
        <v>1</v>
      </c>
      <c r="AB1295" s="18" t="n">
        <f aca="false">IF(D1295="","",IF(L1295&lt;=$B$16,1,IF(L1295&gt;=$B$17,$B$21,MATCH(L1295,Aux_CAV!$A$2:$A$121,1))))</f>
        <v>1</v>
      </c>
      <c r="AC1295" s="19" t="n">
        <f aca="false">IF(D1295="","",COUNT($D$24:D1295))</f>
        <v>1260</v>
      </c>
    </row>
    <row r="1296" customFormat="false" ht="12.75" hidden="false" customHeight="true" outlineLevel="0" collapsed="false">
      <c r="A1296" s="14" t="n">
        <f aca="false">IF(D1296="","",DATE(B1296,C1296,1))</f>
        <v>42370</v>
      </c>
      <c r="B1296" s="15" t="n">
        <f aca="false" t="array" ref="B1296:B1296">IF(D1296="","",IFERROR(VALUE(INDEX(Vazoes_COLAR!$A$2:$A$200,INT((ROW()-24)/12)+1)),""))</f>
        <v>2016</v>
      </c>
      <c r="C1296" s="15" t="n">
        <f aca="false">IF(D1296="","",MOD(ROW()-24,12)+1)</f>
        <v>1</v>
      </c>
      <c r="D1296" s="16" t="n">
        <f aca="false" t="array" ref="D1296: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0.189775217507829</v>
      </c>
      <c r="E1296" s="16" t="n">
        <f aca="false">IF(D1296="","",D1296*$B$15)</f>
        <v>0.491897363780293</v>
      </c>
      <c r="F1296" s="16" t="n">
        <f aca="false" t="array" ref="F1296:F1296">IF(D1296="","",IFERROR(INDEX(Dados_Evap!$C$2:$N$15,MATCH($B$9,Dados_Evap!$A$2:$A$15,0),C1296),0))</f>
        <v>160</v>
      </c>
      <c r="G1296" s="16" t="n">
        <f aca="false">IF(F1296="","",F1296/1000)</f>
        <v>0.16</v>
      </c>
      <c r="H1296" s="16" t="n">
        <f aca="false">IF(D1296="","",MAX(0,MIN($B$8,IFERROR(LOOKUP(2,1/($U$24:U1295&lt;&gt;""),$U$24:U1295),$B$11))))</f>
        <v>0</v>
      </c>
      <c r="I1296" s="16" t="n">
        <f aca="false" t="array" ref="I1296: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>0</v>
      </c>
      <c r="J1296" s="16" t="n">
        <f aca="false">IF(D1296="","",$B$12)</f>
        <v>0.35</v>
      </c>
      <c r="K1296" s="16" t="n">
        <f aca="false">IF(J1296="","",J1296*$B$15)</f>
        <v>0.9072</v>
      </c>
      <c r="L1296" s="16" t="n">
        <f aca="false">IF(D1296="","",H1296+E1296-K1296-G1296*I1296)</f>
        <v>-0.415302636219707</v>
      </c>
      <c r="M1296" s="16" t="n">
        <f aca="false" t="array" ref="M1296: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>0</v>
      </c>
      <c r="N1296" s="16" t="n">
        <f aca="false">IF(D1296="","",(I1296+M1296)/2)</f>
        <v>0</v>
      </c>
      <c r="O1296" s="16" t="n">
        <f aca="false">IF(D1296="","",G1296*N1296)</f>
        <v>0</v>
      </c>
      <c r="P1296" s="16" t="n">
        <f aca="false">IF(D1296="","",H1296+E1296-K1296-O1296)</f>
        <v>-0.415302636219707</v>
      </c>
      <c r="Q1296" s="16" t="n">
        <f aca="false">IF(D1296="","",IF(P1296&gt;=0,K1296,MAX(0,K1296+P1296)))</f>
        <v>0.491897363780293</v>
      </c>
      <c r="R1296" s="16" t="n">
        <f aca="false">IF(D1296="","",Q1296/$B$15)</f>
        <v>0.189775217507829</v>
      </c>
      <c r="S1296" s="16" t="n">
        <f aca="false">IF(D1296="","",MAX(0,J1296-R1296))</f>
        <v>0.160224782492171</v>
      </c>
      <c r="T1296" s="16" t="n">
        <f aca="false">IF(D1296="","",MAX(0,Z1296-$B$8))</f>
        <v>0</v>
      </c>
      <c r="U1296" s="16" t="n">
        <f aca="false">IF(D1296="","",MAX(0,MIN($B$8,Z1296)))</f>
        <v>0</v>
      </c>
      <c r="V1296" s="16" t="str">
        <f aca="false">IF(D1296="","",IF(S1296&gt;0.0000001,"Sim","Não"))</f>
        <v>Sim</v>
      </c>
      <c r="W1296" s="16" t="n">
        <f aca="false">IF(D1296="","",U1296-(H1296+E1296-Q1296-O1296-T1296))</f>
        <v>0</v>
      </c>
      <c r="X1296" s="16" t="n">
        <f aca="false">IF(W1296="","",ABS(W1296))</f>
        <v>0</v>
      </c>
      <c r="Y1296" s="16" t="n">
        <f aca="false">IF(U1296="","",IF($B$8=0,0,U1296/$B$8*100))</f>
        <v>0</v>
      </c>
      <c r="Z1296" s="18" t="n">
        <f aca="false">IF(D1296="","",MAX(0,IF(P1296&gt;=0,P1296,IF(K1296+P1296&gt;=0,0,P1296+K1296))))</f>
        <v>0</v>
      </c>
      <c r="AA1296" s="18" t="n">
        <f aca="false">IF(D1296="","",IF(H1296&lt;=$B$16,1,IF(H1296&gt;=$B$17,$B$21,MATCH(H1296,Aux_CAV!$A$2:$A$121,1))))</f>
        <v>1</v>
      </c>
      <c r="AB1296" s="18" t="n">
        <f aca="false">IF(D1296="","",IF(L1296&lt;=$B$16,1,IF(L1296&gt;=$B$17,$B$21,MATCH(L1296,Aux_CAV!$A$2:$A$121,1))))</f>
        <v>1</v>
      </c>
      <c r="AC1296" s="19" t="n">
        <f aca="false">IF(D1296="","",COUNT($D$24:D1296))</f>
        <v>1261</v>
      </c>
    </row>
    <row r="1297" customFormat="false" ht="12.75" hidden="false" customHeight="true" outlineLevel="0" collapsed="false">
      <c r="A1297" s="14" t="n">
        <f aca="false">IF(D1297="","",DATE(B1297,C1297,1))</f>
        <v>42401</v>
      </c>
      <c r="B1297" s="15" t="n">
        <f aca="false" t="array" ref="B1297:B1297">IF(D1297="","",IFERROR(VALUE(INDEX(Vazoes_COLAR!$A$2:$A$200,INT((ROW()-24)/12)+1)),""))</f>
        <v>2016</v>
      </c>
      <c r="C1297" s="15" t="n">
        <f aca="false">IF(D1297="","",MOD(ROW()-24,12)+1)</f>
        <v>2</v>
      </c>
      <c r="D1297" s="16" t="n">
        <f aca="false" t="array" ref="D1297: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0.0773447940524018</v>
      </c>
      <c r="E1297" s="16" t="n">
        <f aca="false">IF(D1297="","",D1297*$B$15)</f>
        <v>0.200477706183825</v>
      </c>
      <c r="F1297" s="16" t="n">
        <f aca="false" t="array" ref="F1297:F1297">IF(D1297="","",IFERROR(INDEX(Dados_Evap!$C$2:$N$15,MATCH($B$9,Dados_Evap!$A$2:$A$15,0),C1297),0))</f>
        <v>124.3</v>
      </c>
      <c r="G1297" s="16" t="n">
        <f aca="false">IF(F1297="","",F1297/1000)</f>
        <v>0.1243</v>
      </c>
      <c r="H1297" s="16" t="n">
        <f aca="false">IF(D1297="","",MAX(0,MIN($B$8,IFERROR(LOOKUP(2,1/($U$24:U1296&lt;&gt;""),$U$24:U1296),$B$11))))</f>
        <v>0</v>
      </c>
      <c r="I1297" s="16" t="n">
        <f aca="false" t="array" ref="I1297: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>0</v>
      </c>
      <c r="J1297" s="16" t="n">
        <f aca="false">IF(D1297="","",$B$12)</f>
        <v>0.35</v>
      </c>
      <c r="K1297" s="16" t="n">
        <f aca="false">IF(J1297="","",J1297*$B$15)</f>
        <v>0.9072</v>
      </c>
      <c r="L1297" s="16" t="n">
        <f aca="false">IF(D1297="","",H1297+E1297-K1297-G1297*I1297)</f>
        <v>-0.706722293816175</v>
      </c>
      <c r="M1297" s="16" t="n">
        <f aca="false" t="array" ref="M1297: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>0</v>
      </c>
      <c r="N1297" s="16" t="n">
        <f aca="false">IF(D1297="","",(I1297+M1297)/2)</f>
        <v>0</v>
      </c>
      <c r="O1297" s="16" t="n">
        <f aca="false">IF(D1297="","",G1297*N1297)</f>
        <v>0</v>
      </c>
      <c r="P1297" s="16" t="n">
        <f aca="false">IF(D1297="","",H1297+E1297-K1297-O1297)</f>
        <v>-0.706722293816175</v>
      </c>
      <c r="Q1297" s="16" t="n">
        <f aca="false">IF(D1297="","",IF(P1297&gt;=0,K1297,MAX(0,K1297+P1297)))</f>
        <v>0.200477706183825</v>
      </c>
      <c r="R1297" s="16" t="n">
        <f aca="false">IF(D1297="","",Q1297/$B$15)</f>
        <v>0.0773447940524018</v>
      </c>
      <c r="S1297" s="16" t="n">
        <f aca="false">IF(D1297="","",MAX(0,J1297-R1297))</f>
        <v>0.272655205947598</v>
      </c>
      <c r="T1297" s="16" t="n">
        <f aca="false">IF(D1297="","",MAX(0,Z1297-$B$8))</f>
        <v>0</v>
      </c>
      <c r="U1297" s="16" t="n">
        <f aca="false">IF(D1297="","",MAX(0,MIN($B$8,Z1297)))</f>
        <v>0</v>
      </c>
      <c r="V1297" s="16" t="str">
        <f aca="false">IF(D1297="","",IF(S1297&gt;0.0000001,"Sim","Não"))</f>
        <v>Sim</v>
      </c>
      <c r="W1297" s="16" t="n">
        <f aca="false">IF(D1297="","",U1297-(H1297+E1297-Q1297-O1297-T1297))</f>
        <v>0</v>
      </c>
      <c r="X1297" s="16" t="n">
        <f aca="false">IF(W1297="","",ABS(W1297))</f>
        <v>0</v>
      </c>
      <c r="Y1297" s="16" t="n">
        <f aca="false">IF(U1297="","",IF($B$8=0,0,U1297/$B$8*100))</f>
        <v>0</v>
      </c>
      <c r="Z1297" s="18" t="n">
        <f aca="false">IF(D1297="","",MAX(0,IF(P1297&gt;=0,P1297,IF(K1297+P1297&gt;=0,0,P1297+K1297))))</f>
        <v>0</v>
      </c>
      <c r="AA1297" s="18" t="n">
        <f aca="false">IF(D1297="","",IF(H1297&lt;=$B$16,1,IF(H1297&gt;=$B$17,$B$21,MATCH(H1297,Aux_CAV!$A$2:$A$121,1))))</f>
        <v>1</v>
      </c>
      <c r="AB1297" s="18" t="n">
        <f aca="false">IF(D1297="","",IF(L1297&lt;=$B$16,1,IF(L1297&gt;=$B$17,$B$21,MATCH(L1297,Aux_CAV!$A$2:$A$121,1))))</f>
        <v>1</v>
      </c>
      <c r="AC1297" s="19" t="n">
        <f aca="false">IF(D1297="","",COUNT($D$24:D1297))</f>
        <v>1262</v>
      </c>
    </row>
    <row r="1298" customFormat="false" ht="12.75" hidden="false" customHeight="true" outlineLevel="0" collapsed="false">
      <c r="A1298" s="14" t="n">
        <f aca="false">IF(D1298="","",DATE(B1298,C1298,1))</f>
        <v>42430</v>
      </c>
      <c r="B1298" s="15" t="n">
        <f aca="false" t="array" ref="B1298:B1298">IF(D1298="","",IFERROR(VALUE(INDEX(Vazoes_COLAR!$A$2:$A$200,INT((ROW()-24)/12)+1)),""))</f>
        <v>2016</v>
      </c>
      <c r="C1298" s="15" t="n">
        <f aca="false">IF(D1298="","",MOD(ROW()-24,12)+1)</f>
        <v>3</v>
      </c>
      <c r="D1298" s="16" t="n">
        <f aca="false" t="array" ref="D1298: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1.45022096235805</v>
      </c>
      <c r="E1298" s="16" t="n">
        <f aca="false">IF(D1298="","",D1298*$B$15)</f>
        <v>3.75897273443207</v>
      </c>
      <c r="F1298" s="16" t="n">
        <f aca="false" t="array" ref="F1298:F1298">IF(D1298="","",IFERROR(INDEX(Dados_Evap!$C$2:$N$15,MATCH($B$9,Dados_Evap!$A$2:$A$15,0),C1298),0))</f>
        <v>107.7</v>
      </c>
      <c r="G1298" s="16" t="n">
        <f aca="false">IF(F1298="","",F1298/1000)</f>
        <v>0.1077</v>
      </c>
      <c r="H1298" s="16" t="n">
        <f aca="false">IF(D1298="","",MAX(0,MIN($B$8,IFERROR(LOOKUP(2,1/($U$24:U1297&lt;&gt;""),$U$24:U1297),$B$11))))</f>
        <v>0</v>
      </c>
      <c r="I1298" s="16" t="n">
        <f aca="false" t="array" ref="I1298: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>0</v>
      </c>
      <c r="J1298" s="16" t="n">
        <f aca="false">IF(D1298="","",$B$12)</f>
        <v>0.35</v>
      </c>
      <c r="K1298" s="16" t="n">
        <f aca="false">IF(J1298="","",J1298*$B$15)</f>
        <v>0.9072</v>
      </c>
      <c r="L1298" s="16" t="n">
        <f aca="false">IF(D1298="","",H1298+E1298-K1298-G1298*I1298)</f>
        <v>2.85177273443207</v>
      </c>
      <c r="M1298" s="16" t="n">
        <f aca="false" t="array" ref="M1298: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>1.19168218376552</v>
      </c>
      <c r="N1298" s="16" t="n">
        <f aca="false">IF(D1298="","",(I1298+M1298)/2)</f>
        <v>0.595841091882761</v>
      </c>
      <c r="O1298" s="16" t="n">
        <f aca="false">IF(D1298="","",G1298*N1298)</f>
        <v>0.0641720855957734</v>
      </c>
      <c r="P1298" s="16" t="n">
        <f aca="false">IF(D1298="","",H1298+E1298-K1298-O1298)</f>
        <v>2.78760064883629</v>
      </c>
      <c r="Q1298" s="16" t="n">
        <f aca="false">IF(D1298="","",IF(P1298&gt;=0,K1298,MAX(0,K1298+P1298)))</f>
        <v>0.9072</v>
      </c>
      <c r="R1298" s="16" t="n">
        <f aca="false">IF(D1298="","",Q1298/$B$15)</f>
        <v>0.35</v>
      </c>
      <c r="S1298" s="16" t="n">
        <f aca="false">IF(D1298="","",MAX(0,J1298-R1298))</f>
        <v>0</v>
      </c>
      <c r="T1298" s="16" t="n">
        <f aca="false">IF(D1298="","",MAX(0,Z1298-$B$8))</f>
        <v>0</v>
      </c>
      <c r="U1298" s="16" t="n">
        <f aca="false">IF(D1298="","",MAX(0,MIN($B$8,Z1298)))</f>
        <v>2.78760064883629</v>
      </c>
      <c r="V1298" s="16" t="str">
        <f aca="false">IF(D1298="","",IF(S1298&gt;0.0000001,"Sim","Não"))</f>
        <v>Não</v>
      </c>
      <c r="W1298" s="16" t="n">
        <f aca="false">IF(D1298="","",U1298-(H1298+E1298-Q1298-O1298-T1298))</f>
        <v>0</v>
      </c>
      <c r="X1298" s="16" t="n">
        <f aca="false">IF(W1298="","",ABS(W1298))</f>
        <v>0</v>
      </c>
      <c r="Y1298" s="16" t="n">
        <f aca="false">IF(U1298="","",IF($B$8=0,0,U1298/$B$8*100))</f>
        <v>5.90343212375327</v>
      </c>
      <c r="Z1298" s="18" t="n">
        <f aca="false">IF(D1298="","",MAX(0,IF(P1298&gt;=0,P1298,IF(K1298+P1298&gt;=0,0,P1298+K1298))))</f>
        <v>2.78760064883629</v>
      </c>
      <c r="AA1298" s="18" t="n">
        <f aca="false">IF(D1298="","",IF(H1298&lt;=$B$16,1,IF(H1298&gt;=$B$17,$B$21,MATCH(H1298,Aux_CAV!$A$2:$A$121,1))))</f>
        <v>1</v>
      </c>
      <c r="AB1298" s="18" t="n">
        <f aca="false">IF(D1298="","",IF(L1298&lt;=$B$16,1,IF(L1298&gt;=$B$17,$B$21,MATCH(L1298,Aux_CAV!$A$2:$A$121,1))))</f>
        <v>8</v>
      </c>
      <c r="AC1298" s="19" t="n">
        <f aca="false">IF(D1298="","",COUNT($D$24:D1298))</f>
        <v>1263</v>
      </c>
    </row>
    <row r="1299" customFormat="false" ht="12.75" hidden="false" customHeight="true" outlineLevel="0" collapsed="false">
      <c r="A1299" s="14" t="n">
        <f aca="false">IF(D1299="","",DATE(B1299,C1299,1))</f>
        <v>42461</v>
      </c>
      <c r="B1299" s="15" t="n">
        <f aca="false" t="array" ref="B1299:B1299">IF(D1299="","",IFERROR(VALUE(INDEX(Vazoes_COLAR!$A$2:$A$200,INT((ROW()-24)/12)+1)),""))</f>
        <v>2016</v>
      </c>
      <c r="C1299" s="15" t="n">
        <f aca="false">IF(D1299="","",MOD(ROW()-24,12)+1)</f>
        <v>4</v>
      </c>
      <c r="D1299" s="16" t="n">
        <f aca="false" t="array" ref="D1299: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0.297253207805044</v>
      </c>
      <c r="E1299" s="16" t="n">
        <f aca="false">IF(D1299="","",D1299*$B$15)</f>
        <v>0.770480314630674</v>
      </c>
      <c r="F1299" s="16" t="n">
        <f aca="false" t="array" ref="F1299:F1299">IF(D1299="","",IFERROR(INDEX(Dados_Evap!$C$2:$N$15,MATCH($B$9,Dados_Evap!$A$2:$A$15,0),C1299),0))</f>
        <v>100.5</v>
      </c>
      <c r="G1299" s="16" t="n">
        <f aca="false">IF(F1299="","",F1299/1000)</f>
        <v>0.1005</v>
      </c>
      <c r="H1299" s="16" t="n">
        <f aca="false">IF(D1299="","",MAX(0,MIN($B$8,IFERROR(LOOKUP(2,1/($U$24:U1298&lt;&gt;""),$U$24:U1298),$B$11))))</f>
        <v>2.78760064883629</v>
      </c>
      <c r="I1299" s="16" t="n">
        <f aca="false" t="array" ref="I1299: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>1.17422737648347</v>
      </c>
      <c r="J1299" s="16" t="n">
        <f aca="false">IF(D1299="","",$B$12)</f>
        <v>0.35</v>
      </c>
      <c r="K1299" s="16" t="n">
        <f aca="false">IF(J1299="","",J1299*$B$15)</f>
        <v>0.9072</v>
      </c>
      <c r="L1299" s="16" t="n">
        <f aca="false">IF(D1299="","",H1299+E1299-K1299-G1299*I1299)</f>
        <v>2.53287111213038</v>
      </c>
      <c r="M1299" s="16" t="n">
        <f aca="false" t="array" ref="M1299: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>1.10494094249946</v>
      </c>
      <c r="N1299" s="16" t="n">
        <f aca="false">IF(D1299="","",(I1299+M1299)/2)</f>
        <v>1.13958415949147</v>
      </c>
      <c r="O1299" s="16" t="n">
        <f aca="false">IF(D1299="","",G1299*N1299)</f>
        <v>0.114528208028892</v>
      </c>
      <c r="P1299" s="16" t="n">
        <f aca="false">IF(D1299="","",H1299+E1299-K1299-O1299)</f>
        <v>2.53635275543807</v>
      </c>
      <c r="Q1299" s="16" t="n">
        <f aca="false">IF(D1299="","",IF(P1299&gt;=0,K1299,MAX(0,K1299+P1299)))</f>
        <v>0.9072</v>
      </c>
      <c r="R1299" s="16" t="n">
        <f aca="false">IF(D1299="","",Q1299/$B$15)</f>
        <v>0.35</v>
      </c>
      <c r="S1299" s="16" t="n">
        <f aca="false">IF(D1299="","",MAX(0,J1299-R1299))</f>
        <v>0</v>
      </c>
      <c r="T1299" s="16" t="n">
        <f aca="false">IF(D1299="","",MAX(0,Z1299-$B$8))</f>
        <v>0</v>
      </c>
      <c r="U1299" s="16" t="n">
        <f aca="false">IF(D1299="","",MAX(0,MIN($B$8,Z1299)))</f>
        <v>2.53635275543807</v>
      </c>
      <c r="V1299" s="16" t="str">
        <f aca="false">IF(D1299="","",IF(S1299&gt;0.0000001,"Sim","Não"))</f>
        <v>Não</v>
      </c>
      <c r="W1299" s="16" t="n">
        <f aca="false">IF(D1299="","",U1299-(H1299+E1299-Q1299-O1299-T1299))</f>
        <v>0</v>
      </c>
      <c r="X1299" s="16" t="n">
        <f aca="false">IF(W1299="","",ABS(W1299))</f>
        <v>0</v>
      </c>
      <c r="Y1299" s="16" t="n">
        <f aca="false">IF(U1299="","",IF($B$8=0,0,U1299/$B$8*100))</f>
        <v>5.37135272223226</v>
      </c>
      <c r="Z1299" s="18" t="n">
        <f aca="false">IF(D1299="","",MAX(0,IF(P1299&gt;=0,P1299,IF(K1299+P1299&gt;=0,0,P1299+K1299))))</f>
        <v>2.53635275543807</v>
      </c>
      <c r="AA1299" s="18" t="n">
        <f aca="false">IF(D1299="","",IF(H1299&lt;=$B$16,1,IF(H1299&gt;=$B$17,$B$21,MATCH(H1299,Aux_CAV!$A$2:$A$121,1))))</f>
        <v>8</v>
      </c>
      <c r="AB1299" s="18" t="n">
        <f aca="false">IF(D1299="","",IF(L1299&lt;=$B$16,1,IF(L1299&gt;=$B$17,$B$21,MATCH(L1299,Aux_CAV!$A$2:$A$121,1))))</f>
        <v>8</v>
      </c>
      <c r="AC1299" s="19" t="n">
        <f aca="false">IF(D1299="","",COUNT($D$24:D1299))</f>
        <v>1264</v>
      </c>
    </row>
    <row r="1300" customFormat="false" ht="12.75" hidden="false" customHeight="true" outlineLevel="0" collapsed="false">
      <c r="A1300" s="14" t="n">
        <f aca="false">IF(D1300="","",DATE(B1300,C1300,1))</f>
        <v>42491</v>
      </c>
      <c r="B1300" s="15" t="n">
        <f aca="false" t="array" ref="B1300:B1300">IF(D1300="","",IFERROR(VALUE(INDEX(Vazoes_COLAR!$A$2:$A$200,INT((ROW()-24)/12)+1)),""))</f>
        <v>2016</v>
      </c>
      <c r="C1300" s="15" t="n">
        <f aca="false">IF(D1300="","",MOD(ROW()-24,12)+1)</f>
        <v>5</v>
      </c>
      <c r="D1300" s="16" t="n">
        <f aca="false" t="array" ref="D1300: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0.443170623789358</v>
      </c>
      <c r="E1300" s="16" t="n">
        <f aca="false">IF(D1300="","",D1300*$B$15)</f>
        <v>1.14869825686202</v>
      </c>
      <c r="F1300" s="16" t="n">
        <f aca="false" t="array" ref="F1300:F1300">IF(D1300="","",IFERROR(INDEX(Dados_Evap!$C$2:$N$15,MATCH($B$9,Dados_Evap!$A$2:$A$15,0),C1300),0))</f>
        <v>145.8</v>
      </c>
      <c r="G1300" s="16" t="n">
        <f aca="false">IF(F1300="","",F1300/1000)</f>
        <v>0.1458</v>
      </c>
      <c r="H1300" s="16" t="n">
        <f aca="false">IF(D1300="","",MAX(0,MIN($B$8,IFERROR(LOOKUP(2,1/($U$24:U1299&lt;&gt;""),$U$24:U1299),$B$11))))</f>
        <v>2.53635275543807</v>
      </c>
      <c r="I1300" s="16" t="n">
        <f aca="false" t="array" ref="I1300: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>1.10588794947916</v>
      </c>
      <c r="J1300" s="16" t="n">
        <f aca="false">IF(D1300="","",$B$12)</f>
        <v>0.35</v>
      </c>
      <c r="K1300" s="16" t="n">
        <f aca="false">IF(J1300="","",J1300*$B$15)</f>
        <v>0.9072</v>
      </c>
      <c r="L1300" s="16" t="n">
        <f aca="false">IF(D1300="","",H1300+E1300-K1300-G1300*I1300)</f>
        <v>2.61661254926603</v>
      </c>
      <c r="M1300" s="16" t="n">
        <f aca="false" t="array" ref="M1300: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>1.12771861340036</v>
      </c>
      <c r="N1300" s="16" t="n">
        <f aca="false">IF(D1300="","",(I1300+M1300)/2)</f>
        <v>1.11680328143976</v>
      </c>
      <c r="O1300" s="16" t="n">
        <f aca="false">IF(D1300="","",G1300*N1300)</f>
        <v>0.162829918433917</v>
      </c>
      <c r="P1300" s="16" t="n">
        <f aca="false">IF(D1300="","",H1300+E1300-K1300-O1300)</f>
        <v>2.61502109386617</v>
      </c>
      <c r="Q1300" s="16" t="n">
        <f aca="false">IF(D1300="","",IF(P1300&gt;=0,K1300,MAX(0,K1300+P1300)))</f>
        <v>0.9072</v>
      </c>
      <c r="R1300" s="16" t="n">
        <f aca="false">IF(D1300="","",Q1300/$B$15)</f>
        <v>0.35</v>
      </c>
      <c r="S1300" s="16" t="n">
        <f aca="false">IF(D1300="","",MAX(0,J1300-R1300))</f>
        <v>0</v>
      </c>
      <c r="T1300" s="16" t="n">
        <f aca="false">IF(D1300="","",MAX(0,Z1300-$B$8))</f>
        <v>0</v>
      </c>
      <c r="U1300" s="16" t="n">
        <f aca="false">IF(D1300="","",MAX(0,MIN($B$8,Z1300)))</f>
        <v>2.61502109386617</v>
      </c>
      <c r="V1300" s="16" t="str">
        <f aca="false">IF(D1300="","",IF(S1300&gt;0.0000001,"Sim","Não"))</f>
        <v>Não</v>
      </c>
      <c r="W1300" s="16" t="n">
        <f aca="false">IF(D1300="","",U1300-(H1300+E1300-Q1300-O1300-T1300))</f>
        <v>0</v>
      </c>
      <c r="X1300" s="16" t="n">
        <f aca="false">IF(W1300="","",ABS(W1300))</f>
        <v>0</v>
      </c>
      <c r="Y1300" s="16" t="n">
        <f aca="false">IF(U1300="","",IF($B$8=0,0,U1300/$B$8*100))</f>
        <v>5.53795233770897</v>
      </c>
      <c r="Z1300" s="18" t="n">
        <f aca="false">IF(D1300="","",MAX(0,IF(P1300&gt;=0,P1300,IF(K1300+P1300&gt;=0,0,P1300+K1300))))</f>
        <v>2.61502109386617</v>
      </c>
      <c r="AA1300" s="18" t="n">
        <f aca="false">IF(D1300="","",IF(H1300&lt;=$B$16,1,IF(H1300&gt;=$B$17,$B$21,MATCH(H1300,Aux_CAV!$A$2:$A$121,1))))</f>
        <v>8</v>
      </c>
      <c r="AB1300" s="18" t="n">
        <f aca="false">IF(D1300="","",IF(L1300&lt;=$B$16,1,IF(L1300&gt;=$B$17,$B$21,MATCH(L1300,Aux_CAV!$A$2:$A$121,1))))</f>
        <v>8</v>
      </c>
      <c r="AC1300" s="19" t="n">
        <f aca="false">IF(D1300="","",COUNT($D$24:D1300))</f>
        <v>1265</v>
      </c>
    </row>
    <row r="1301" customFormat="false" ht="12.75" hidden="false" customHeight="true" outlineLevel="0" collapsed="false">
      <c r="A1301" s="14" t="n">
        <f aca="false">IF(D1301="","",DATE(B1301,C1301,1))</f>
        <v>42522</v>
      </c>
      <c r="B1301" s="15" t="n">
        <f aca="false" t="array" ref="B1301:B1301">IF(D1301="","",IFERROR(VALUE(INDEX(Vazoes_COLAR!$A$2:$A$200,INT((ROW()-24)/12)+1)),""))</f>
        <v>2016</v>
      </c>
      <c r="C1301" s="15" t="n">
        <f aca="false">IF(D1301="","",MOD(ROW()-24,12)+1)</f>
        <v>6</v>
      </c>
      <c r="D1301" s="16" t="n">
        <f aca="false" t="array" ref="D1301: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0.07750257471033</v>
      </c>
      <c r="E1301" s="16" t="n">
        <f aca="false">IF(D1301="","",D1301*$B$15)</f>
        <v>0.200886673649175</v>
      </c>
      <c r="F1301" s="16" t="n">
        <f aca="false" t="array" ref="F1301:F1301">IF(D1301="","",IFERROR(INDEX(Dados_Evap!$C$2:$N$15,MATCH($B$9,Dados_Evap!$A$2:$A$15,0),C1301),0))</f>
        <v>161.3</v>
      </c>
      <c r="G1301" s="16" t="n">
        <f aca="false">IF(F1301="","",F1301/1000)</f>
        <v>0.1613</v>
      </c>
      <c r="H1301" s="16" t="n">
        <f aca="false">IF(D1301="","",MAX(0,MIN($B$8,IFERROR(LOOKUP(2,1/($U$24:U1300&lt;&gt;""),$U$24:U1300),$B$11))))</f>
        <v>2.61502109386617</v>
      </c>
      <c r="I1301" s="16" t="n">
        <f aca="false" t="array" ref="I1301: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>1.1272857375316</v>
      </c>
      <c r="J1301" s="16" t="n">
        <f aca="false">IF(D1301="","",$B$12)</f>
        <v>0.35</v>
      </c>
      <c r="K1301" s="16" t="n">
        <f aca="false">IF(J1301="","",J1301*$B$15)</f>
        <v>0.9072</v>
      </c>
      <c r="L1301" s="16" t="n">
        <f aca="false">IF(D1301="","",H1301+E1301-K1301-G1301*I1301)</f>
        <v>1.7268765780515</v>
      </c>
      <c r="M1301" s="16" t="n">
        <f aca="false" t="array" ref="M1301: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>0.888125415276711</v>
      </c>
      <c r="N1301" s="16" t="n">
        <f aca="false">IF(D1301="","",(I1301+M1301)/2)</f>
        <v>1.00770557640416</v>
      </c>
      <c r="O1301" s="16" t="n">
        <f aca="false">IF(D1301="","",G1301*N1301)</f>
        <v>0.16254290947399</v>
      </c>
      <c r="P1301" s="16" t="n">
        <f aca="false">IF(D1301="","",H1301+E1301-K1301-O1301)</f>
        <v>1.74616485804136</v>
      </c>
      <c r="Q1301" s="16" t="n">
        <f aca="false">IF(D1301="","",IF(P1301&gt;=0,K1301,MAX(0,K1301+P1301)))</f>
        <v>0.9072</v>
      </c>
      <c r="R1301" s="16" t="n">
        <f aca="false">IF(D1301="","",Q1301/$B$15)</f>
        <v>0.35</v>
      </c>
      <c r="S1301" s="16" t="n">
        <f aca="false">IF(D1301="","",MAX(0,J1301-R1301))</f>
        <v>0</v>
      </c>
      <c r="T1301" s="16" t="n">
        <f aca="false">IF(D1301="","",MAX(0,Z1301-$B$8))</f>
        <v>0</v>
      </c>
      <c r="U1301" s="16" t="n">
        <f aca="false">IF(D1301="","",MAX(0,MIN($B$8,Z1301)))</f>
        <v>1.74616485804136</v>
      </c>
      <c r="V1301" s="16" t="str">
        <f aca="false">IF(D1301="","",IF(S1301&gt;0.0000001,"Sim","Não"))</f>
        <v>Não</v>
      </c>
      <c r="W1301" s="16" t="n">
        <f aca="false">IF(D1301="","",U1301-(H1301+E1301-Q1301-O1301-T1301))</f>
        <v>0</v>
      </c>
      <c r="X1301" s="16" t="n">
        <f aca="false">IF(W1301="","",ABS(W1301))</f>
        <v>0</v>
      </c>
      <c r="Y1301" s="16" t="n">
        <f aca="false">IF(U1301="","",IF($B$8=0,0,U1301/$B$8*100))</f>
        <v>3.697934896318</v>
      </c>
      <c r="Z1301" s="18" t="n">
        <f aca="false">IF(D1301="","",MAX(0,IF(P1301&gt;=0,P1301,IF(K1301+P1301&gt;=0,0,P1301+K1301))))</f>
        <v>1.74616485804136</v>
      </c>
      <c r="AA1301" s="18" t="n">
        <f aca="false">IF(D1301="","",IF(H1301&lt;=$B$16,1,IF(H1301&gt;=$B$17,$B$21,MATCH(H1301,Aux_CAV!$A$2:$A$121,1))))</f>
        <v>8</v>
      </c>
      <c r="AB1301" s="18" t="n">
        <f aca="false">IF(D1301="","",IF(L1301&lt;=$B$16,1,IF(L1301&gt;=$B$17,$B$21,MATCH(L1301,Aux_CAV!$A$2:$A$121,1))))</f>
        <v>7</v>
      </c>
      <c r="AC1301" s="19" t="n">
        <f aca="false">IF(D1301="","",COUNT($D$24:D1301))</f>
        <v>1266</v>
      </c>
    </row>
    <row r="1302" customFormat="false" ht="12.75" hidden="false" customHeight="true" outlineLevel="0" collapsed="false">
      <c r="A1302" s="14" t="n">
        <f aca="false">IF(D1302="","",DATE(B1302,C1302,1))</f>
        <v>42552</v>
      </c>
      <c r="B1302" s="15" t="n">
        <f aca="false" t="array" ref="B1302:B1302">IF(D1302="","",IFERROR(VALUE(INDEX(Vazoes_COLAR!$A$2:$A$200,INT((ROW()-24)/12)+1)),""))</f>
        <v>2016</v>
      </c>
      <c r="C1302" s="15" t="n">
        <f aca="false">IF(D1302="","",MOD(ROW()-24,12)+1)</f>
        <v>7</v>
      </c>
      <c r="D1302" s="16" t="n">
        <f aca="false" t="array" ref="D1302: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0.00558428649190532</v>
      </c>
      <c r="E1302" s="16" t="n">
        <f aca="false">IF(D1302="","",D1302*$B$15)</f>
        <v>0.0144744705870186</v>
      </c>
      <c r="F1302" s="16" t="n">
        <f aca="false" t="array" ref="F1302:F1302">IF(D1302="","",IFERROR(INDEX(Dados_Evap!$C$2:$N$15,MATCH($B$9,Dados_Evap!$A$2:$A$15,0),C1302),0))</f>
        <v>224.8</v>
      </c>
      <c r="G1302" s="16" t="n">
        <f aca="false">IF(F1302="","",F1302/1000)</f>
        <v>0.2248</v>
      </c>
      <c r="H1302" s="16" t="n">
        <f aca="false">IF(D1302="","",MAX(0,MIN($B$8,IFERROR(LOOKUP(2,1/($U$24:U1301&lt;&gt;""),$U$24:U1301),$B$11))))</f>
        <v>1.74616485804136</v>
      </c>
      <c r="I1302" s="16" t="n">
        <f aca="false" t="array" ref="I1302: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>0.893201278431936</v>
      </c>
      <c r="J1302" s="16" t="n">
        <f aca="false">IF(D1302="","",$B$12)</f>
        <v>0.35</v>
      </c>
      <c r="K1302" s="16" t="n">
        <f aca="false">IF(J1302="","",J1302*$B$15)</f>
        <v>0.9072</v>
      </c>
      <c r="L1302" s="16" t="n">
        <f aca="false">IF(D1302="","",H1302+E1302-K1302-G1302*I1302)</f>
        <v>0.652647681236878</v>
      </c>
      <c r="M1302" s="16" t="n">
        <f aca="false" t="array" ref="M1302: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>0.506049252316274</v>
      </c>
      <c r="N1302" s="16" t="n">
        <f aca="false">IF(D1302="","",(I1302+M1302)/2)</f>
        <v>0.699625265374105</v>
      </c>
      <c r="O1302" s="16" t="n">
        <f aca="false">IF(D1302="","",G1302*N1302)</f>
        <v>0.157275759656099</v>
      </c>
      <c r="P1302" s="16" t="n">
        <f aca="false">IF(D1302="","",H1302+E1302-K1302-O1302)</f>
        <v>0.696163568972278</v>
      </c>
      <c r="Q1302" s="16" t="n">
        <f aca="false">IF(D1302="","",IF(P1302&gt;=0,K1302,MAX(0,K1302+P1302)))</f>
        <v>0.9072</v>
      </c>
      <c r="R1302" s="16" t="n">
        <f aca="false">IF(D1302="","",Q1302/$B$15)</f>
        <v>0.35</v>
      </c>
      <c r="S1302" s="16" t="n">
        <f aca="false">IF(D1302="","",MAX(0,J1302-R1302))</f>
        <v>0</v>
      </c>
      <c r="T1302" s="16" t="n">
        <f aca="false">IF(D1302="","",MAX(0,Z1302-$B$8))</f>
        <v>0</v>
      </c>
      <c r="U1302" s="16" t="n">
        <f aca="false">IF(D1302="","",MAX(0,MIN($B$8,Z1302)))</f>
        <v>0.696163568972278</v>
      </c>
      <c r="V1302" s="16" t="str">
        <f aca="false">IF(D1302="","",IF(S1302&gt;0.0000001,"Sim","Não"))</f>
        <v>Não</v>
      </c>
      <c r="W1302" s="16" t="n">
        <f aca="false">IF(D1302="","",U1302-(H1302+E1302-Q1302-O1302-T1302))</f>
        <v>0</v>
      </c>
      <c r="X1302" s="16" t="n">
        <f aca="false">IF(W1302="","",ABS(W1302))</f>
        <v>0</v>
      </c>
      <c r="Y1302" s="16" t="n">
        <f aca="false">IF(U1302="","",IF($B$8=0,0,U1302/$B$8*100))</f>
        <v>1.47429811302897</v>
      </c>
      <c r="Z1302" s="18" t="n">
        <f aca="false">IF(D1302="","",MAX(0,IF(P1302&gt;=0,P1302,IF(K1302+P1302&gt;=0,0,P1302+K1302))))</f>
        <v>0.696163568972278</v>
      </c>
      <c r="AA1302" s="18" t="n">
        <f aca="false">IF(D1302="","",IF(H1302&lt;=$B$16,1,IF(H1302&gt;=$B$17,$B$21,MATCH(H1302,Aux_CAV!$A$2:$A$121,1))))</f>
        <v>7</v>
      </c>
      <c r="AB1302" s="18" t="n">
        <f aca="false">IF(D1302="","",IF(L1302&lt;=$B$16,1,IF(L1302&gt;=$B$17,$B$21,MATCH(L1302,Aux_CAV!$A$2:$A$121,1))))</f>
        <v>6</v>
      </c>
      <c r="AC1302" s="19" t="n">
        <f aca="false">IF(D1302="","",COUNT($D$24:D1302))</f>
        <v>1267</v>
      </c>
    </row>
    <row r="1303" customFormat="false" ht="12.75" hidden="false" customHeight="true" outlineLevel="0" collapsed="false">
      <c r="A1303" s="14" t="n">
        <f aca="false">IF(D1303="","",DATE(B1303,C1303,1))</f>
        <v>42583</v>
      </c>
      <c r="B1303" s="15" t="n">
        <f aca="false" t="array" ref="B1303:B1303">IF(D1303="","",IFERROR(VALUE(INDEX(Vazoes_COLAR!$A$2:$A$200,INT((ROW()-24)/12)+1)),""))</f>
        <v>2016</v>
      </c>
      <c r="C1303" s="15" t="n">
        <f aca="false">IF(D1303="","",MOD(ROW()-24,12)+1)</f>
        <v>8</v>
      </c>
      <c r="D1303" s="16" t="n">
        <f aca="false" t="array" ref="D1303: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0.00517897870701581</v>
      </c>
      <c r="E1303" s="16" t="n">
        <f aca="false">IF(D1303="","",D1303*$B$15)</f>
        <v>0.013423912808585</v>
      </c>
      <c r="F1303" s="16" t="n">
        <f aca="false" t="array" ref="F1303:F1303">IF(D1303="","",IFERROR(INDEX(Dados_Evap!$C$2:$N$15,MATCH($B$9,Dados_Evap!$A$2:$A$15,0),C1303),0))</f>
        <v>268.7</v>
      </c>
      <c r="G1303" s="16" t="n">
        <f aca="false">IF(F1303="","",F1303/1000)</f>
        <v>0.2687</v>
      </c>
      <c r="H1303" s="16" t="n">
        <f aca="false">IF(D1303="","",MAX(0,MIN($B$8,IFERROR(LOOKUP(2,1/($U$24:U1302&lt;&gt;""),$U$24:U1302),$B$11))))</f>
        <v>0.696163568972278</v>
      </c>
      <c r="I1303" s="16" t="n">
        <f aca="false" t="array" ref="I1303: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>0.528384840711435</v>
      </c>
      <c r="J1303" s="16" t="n">
        <f aca="false">IF(D1303="","",$B$12)</f>
        <v>0.35</v>
      </c>
      <c r="K1303" s="16" t="n">
        <f aca="false">IF(J1303="","",J1303*$B$15)</f>
        <v>0.9072</v>
      </c>
      <c r="L1303" s="16" t="n">
        <f aca="false">IF(D1303="","",H1303+E1303-K1303-G1303*I1303)</f>
        <v>-0.339589524918299</v>
      </c>
      <c r="M1303" s="16" t="n">
        <f aca="false" t="array" ref="M1303: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>0</v>
      </c>
      <c r="N1303" s="16" t="n">
        <f aca="false">IF(D1303="","",(I1303+M1303)/2)</f>
        <v>0.264192420355717</v>
      </c>
      <c r="O1303" s="16" t="n">
        <f aca="false">IF(D1303="","",G1303*N1303)</f>
        <v>0.0709885033495813</v>
      </c>
      <c r="P1303" s="16" t="n">
        <f aca="false">IF(D1303="","",H1303+E1303-K1303-O1303)</f>
        <v>-0.268601021568718</v>
      </c>
      <c r="Q1303" s="16" t="n">
        <f aca="false">IF(D1303="","",IF(P1303&gt;=0,K1303,MAX(0,K1303+P1303)))</f>
        <v>0.638598978431282</v>
      </c>
      <c r="R1303" s="16" t="n">
        <f aca="false">IF(D1303="","",Q1303/$B$15)</f>
        <v>0.24637306266639</v>
      </c>
      <c r="S1303" s="16" t="n">
        <f aca="false">IF(D1303="","",MAX(0,J1303-R1303))</f>
        <v>0.10362693733361</v>
      </c>
      <c r="T1303" s="16" t="n">
        <f aca="false">IF(D1303="","",MAX(0,Z1303-$B$8))</f>
        <v>0</v>
      </c>
      <c r="U1303" s="16" t="n">
        <f aca="false">IF(D1303="","",MAX(0,MIN($B$8,Z1303)))</f>
        <v>0</v>
      </c>
      <c r="V1303" s="16" t="str">
        <f aca="false">IF(D1303="","",IF(S1303&gt;0.0000001,"Sim","Não"))</f>
        <v>Sim</v>
      </c>
      <c r="W1303" s="16" t="n">
        <f aca="false">IF(D1303="","",U1303-(H1303+E1303-Q1303-O1303-T1303))</f>
        <v>0</v>
      </c>
      <c r="X1303" s="16" t="n">
        <f aca="false">IF(W1303="","",ABS(W1303))</f>
        <v>0</v>
      </c>
      <c r="Y1303" s="16" t="n">
        <f aca="false">IF(U1303="","",IF($B$8=0,0,U1303/$B$8*100))</f>
        <v>0</v>
      </c>
      <c r="Z1303" s="18" t="n">
        <f aca="false">IF(D1303="","",MAX(0,IF(P1303&gt;=0,P1303,IF(K1303+P1303&gt;=0,0,P1303+K1303))))</f>
        <v>0</v>
      </c>
      <c r="AA1303" s="18" t="n">
        <f aca="false">IF(D1303="","",IF(H1303&lt;=$B$16,1,IF(H1303&gt;=$B$17,$B$21,MATCH(H1303,Aux_CAV!$A$2:$A$121,1))))</f>
        <v>6</v>
      </c>
      <c r="AB1303" s="18" t="n">
        <f aca="false">IF(D1303="","",IF(L1303&lt;=$B$16,1,IF(L1303&gt;=$B$17,$B$21,MATCH(L1303,Aux_CAV!$A$2:$A$121,1))))</f>
        <v>1</v>
      </c>
      <c r="AC1303" s="19" t="n">
        <f aca="false">IF(D1303="","",COUNT($D$24:D1303))</f>
        <v>1268</v>
      </c>
    </row>
    <row r="1304" customFormat="false" ht="12.75" hidden="false" customHeight="true" outlineLevel="0" collapsed="false">
      <c r="A1304" s="14" t="n">
        <f aca="false">IF(D1304="","",DATE(B1304,C1304,1))</f>
        <v>42614</v>
      </c>
      <c r="B1304" s="15" t="n">
        <f aca="false" t="array" ref="B1304:B1304">IF(D1304="","",IFERROR(VALUE(INDEX(Vazoes_COLAR!$A$2:$A$200,INT((ROW()-24)/12)+1)),""))</f>
        <v>2016</v>
      </c>
      <c r="C1304" s="15" t="n">
        <f aca="false">IF(D1304="","",MOD(ROW()-24,12)+1)</f>
        <v>9</v>
      </c>
      <c r="D1304" s="16" t="n">
        <f aca="false" t="array" ref="D1304: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0.00982779875948989</v>
      </c>
      <c r="E1304" s="16" t="n">
        <f aca="false">IF(D1304="","",D1304*$B$15)</f>
        <v>0.0254736543845978</v>
      </c>
      <c r="F1304" s="16" t="n">
        <f aca="false" t="array" ref="F1304:F1304">IF(D1304="","",IFERROR(INDEX(Dados_Evap!$C$2:$N$15,MATCH($B$9,Dados_Evap!$A$2:$A$15,0),C1304),0))</f>
        <v>292.8</v>
      </c>
      <c r="G1304" s="16" t="n">
        <f aca="false">IF(F1304="","",F1304/1000)</f>
        <v>0.2928</v>
      </c>
      <c r="H1304" s="16" t="n">
        <f aca="false">IF(D1304="","",MAX(0,MIN($B$8,IFERROR(LOOKUP(2,1/($U$24:U1303&lt;&gt;""),$U$24:U1303),$B$11))))</f>
        <v>0</v>
      </c>
      <c r="I1304" s="16" t="n">
        <f aca="false" t="array" ref="I1304: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>0</v>
      </c>
      <c r="J1304" s="16" t="n">
        <f aca="false">IF(D1304="","",$B$12)</f>
        <v>0.35</v>
      </c>
      <c r="K1304" s="16" t="n">
        <f aca="false">IF(J1304="","",J1304*$B$15)</f>
        <v>0.9072</v>
      </c>
      <c r="L1304" s="16" t="n">
        <f aca="false">IF(D1304="","",H1304+E1304-K1304-G1304*I1304)</f>
        <v>-0.881726345615402</v>
      </c>
      <c r="M1304" s="16" t="n">
        <f aca="false" t="array" ref="M1304: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>0</v>
      </c>
      <c r="N1304" s="16" t="n">
        <f aca="false">IF(D1304="","",(I1304+M1304)/2)</f>
        <v>0</v>
      </c>
      <c r="O1304" s="16" t="n">
        <f aca="false">IF(D1304="","",G1304*N1304)</f>
        <v>0</v>
      </c>
      <c r="P1304" s="16" t="n">
        <f aca="false">IF(D1304="","",H1304+E1304-K1304-O1304)</f>
        <v>-0.881726345615402</v>
      </c>
      <c r="Q1304" s="16" t="n">
        <f aca="false">IF(D1304="","",IF(P1304&gt;=0,K1304,MAX(0,K1304+P1304)))</f>
        <v>0.0254736543845978</v>
      </c>
      <c r="R1304" s="16" t="n">
        <f aca="false">IF(D1304="","",Q1304/$B$15)</f>
        <v>0.0098277987594899</v>
      </c>
      <c r="S1304" s="16" t="n">
        <f aca="false">IF(D1304="","",MAX(0,J1304-R1304))</f>
        <v>0.34017220124051</v>
      </c>
      <c r="T1304" s="16" t="n">
        <f aca="false">IF(D1304="","",MAX(0,Z1304-$B$8))</f>
        <v>0</v>
      </c>
      <c r="U1304" s="16" t="n">
        <f aca="false">IF(D1304="","",MAX(0,MIN($B$8,Z1304)))</f>
        <v>0</v>
      </c>
      <c r="V1304" s="16" t="str">
        <f aca="false">IF(D1304="","",IF(S1304&gt;0.0000001,"Sim","Não"))</f>
        <v>Sim</v>
      </c>
      <c r="W1304" s="16" t="n">
        <f aca="false">IF(D1304="","",U1304-(H1304+E1304-Q1304-O1304-T1304))</f>
        <v>0</v>
      </c>
      <c r="X1304" s="16" t="n">
        <f aca="false">IF(W1304="","",ABS(W1304))</f>
        <v>0</v>
      </c>
      <c r="Y1304" s="16" t="n">
        <f aca="false">IF(U1304="","",IF($B$8=0,0,U1304/$B$8*100))</f>
        <v>0</v>
      </c>
      <c r="Z1304" s="18" t="n">
        <f aca="false">IF(D1304="","",MAX(0,IF(P1304&gt;=0,P1304,IF(K1304+P1304&gt;=0,0,P1304+K1304))))</f>
        <v>0</v>
      </c>
      <c r="AA1304" s="18" t="n">
        <f aca="false">IF(D1304="","",IF(H1304&lt;=$B$16,1,IF(H1304&gt;=$B$17,$B$21,MATCH(H1304,Aux_CAV!$A$2:$A$121,1))))</f>
        <v>1</v>
      </c>
      <c r="AB1304" s="18" t="n">
        <f aca="false">IF(D1304="","",IF(L1304&lt;=$B$16,1,IF(L1304&gt;=$B$17,$B$21,MATCH(L1304,Aux_CAV!$A$2:$A$121,1))))</f>
        <v>1</v>
      </c>
      <c r="AC1304" s="19" t="n">
        <f aca="false">IF(D1304="","",COUNT($D$24:D1304))</f>
        <v>1269</v>
      </c>
    </row>
    <row r="1305" customFormat="false" ht="12.75" hidden="false" customHeight="true" outlineLevel="0" collapsed="false">
      <c r="A1305" s="14" t="n">
        <f aca="false">IF(D1305="","",DATE(B1305,C1305,1))</f>
        <v>42644</v>
      </c>
      <c r="B1305" s="15" t="n">
        <f aca="false" t="array" ref="B1305:B1305">IF(D1305="","",IFERROR(VALUE(INDEX(Vazoes_COLAR!$A$2:$A$200,INT((ROW()-24)/12)+1)),""))</f>
        <v>2016</v>
      </c>
      <c r="C1305" s="15" t="n">
        <f aca="false">IF(D1305="","",MOD(ROW()-24,12)+1)</f>
        <v>10</v>
      </c>
      <c r="D1305" s="16" t="n">
        <f aca="false" t="array" ref="D1305: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0.00454333756177662</v>
      </c>
      <c r="E1305" s="16" t="n">
        <f aca="false">IF(D1305="","",D1305*$B$15)</f>
        <v>0.011776330960125</v>
      </c>
      <c r="F1305" s="16" t="n">
        <f aca="false" t="array" ref="F1305:F1305">IF(D1305="","",IFERROR(INDEX(Dados_Evap!$C$2:$N$15,MATCH($B$9,Dados_Evap!$A$2:$A$15,0),C1305),0))</f>
        <v>262.9</v>
      </c>
      <c r="G1305" s="16" t="n">
        <f aca="false">IF(F1305="","",F1305/1000)</f>
        <v>0.2629</v>
      </c>
      <c r="H1305" s="16" t="n">
        <f aca="false">IF(D1305="","",MAX(0,MIN($B$8,IFERROR(LOOKUP(2,1/($U$24:U1304&lt;&gt;""),$U$24:U1304),$B$11))))</f>
        <v>0</v>
      </c>
      <c r="I1305" s="16" t="n">
        <f aca="false" t="array" ref="I1305: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>0</v>
      </c>
      <c r="J1305" s="16" t="n">
        <f aca="false">IF(D1305="","",$B$12)</f>
        <v>0.35</v>
      </c>
      <c r="K1305" s="16" t="n">
        <f aca="false">IF(J1305="","",J1305*$B$15)</f>
        <v>0.9072</v>
      </c>
      <c r="L1305" s="16" t="n">
        <f aca="false">IF(D1305="","",H1305+E1305-K1305-G1305*I1305)</f>
        <v>-0.895423669039875</v>
      </c>
      <c r="M1305" s="16" t="n">
        <f aca="false" t="array" ref="M1305: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>0</v>
      </c>
      <c r="N1305" s="16" t="n">
        <f aca="false">IF(D1305="","",(I1305+M1305)/2)</f>
        <v>0</v>
      </c>
      <c r="O1305" s="16" t="n">
        <f aca="false">IF(D1305="","",G1305*N1305)</f>
        <v>0</v>
      </c>
      <c r="P1305" s="16" t="n">
        <f aca="false">IF(D1305="","",H1305+E1305-K1305-O1305)</f>
        <v>-0.895423669039875</v>
      </c>
      <c r="Q1305" s="16" t="n">
        <f aca="false">IF(D1305="","",IF(P1305&gt;=0,K1305,MAX(0,K1305+P1305)))</f>
        <v>0.011776330960125</v>
      </c>
      <c r="R1305" s="16" t="n">
        <f aca="false">IF(D1305="","",Q1305/$B$15)</f>
        <v>0.00454333756177661</v>
      </c>
      <c r="S1305" s="16" t="n">
        <f aca="false">IF(D1305="","",MAX(0,J1305-R1305))</f>
        <v>0.345456662438223</v>
      </c>
      <c r="T1305" s="16" t="n">
        <f aca="false">IF(D1305="","",MAX(0,Z1305-$B$8))</f>
        <v>0</v>
      </c>
      <c r="U1305" s="16" t="n">
        <f aca="false">IF(D1305="","",MAX(0,MIN($B$8,Z1305)))</f>
        <v>0</v>
      </c>
      <c r="V1305" s="16" t="str">
        <f aca="false">IF(D1305="","",IF(S1305&gt;0.0000001,"Sim","Não"))</f>
        <v>Sim</v>
      </c>
      <c r="W1305" s="16" t="n">
        <f aca="false">IF(D1305="","",U1305-(H1305+E1305-Q1305-O1305-T1305))</f>
        <v>0</v>
      </c>
      <c r="X1305" s="16" t="n">
        <f aca="false">IF(W1305="","",ABS(W1305))</f>
        <v>0</v>
      </c>
      <c r="Y1305" s="16" t="n">
        <f aca="false">IF(U1305="","",IF($B$8=0,0,U1305/$B$8*100))</f>
        <v>0</v>
      </c>
      <c r="Z1305" s="18" t="n">
        <f aca="false">IF(D1305="","",MAX(0,IF(P1305&gt;=0,P1305,IF(K1305+P1305&gt;=0,0,P1305+K1305))))</f>
        <v>0</v>
      </c>
      <c r="AA1305" s="18" t="n">
        <f aca="false">IF(D1305="","",IF(H1305&lt;=$B$16,1,IF(H1305&gt;=$B$17,$B$21,MATCH(H1305,Aux_CAV!$A$2:$A$121,1))))</f>
        <v>1</v>
      </c>
      <c r="AB1305" s="18" t="n">
        <f aca="false">IF(D1305="","",IF(L1305&lt;=$B$16,1,IF(L1305&gt;=$B$17,$B$21,MATCH(L1305,Aux_CAV!$A$2:$A$121,1))))</f>
        <v>1</v>
      </c>
      <c r="AC1305" s="19" t="n">
        <f aca="false">IF(D1305="","",COUNT($D$24:D1305))</f>
        <v>1270</v>
      </c>
    </row>
    <row r="1306" customFormat="false" ht="12.75" hidden="false" customHeight="true" outlineLevel="0" collapsed="false">
      <c r="A1306" s="14" t="n">
        <f aca="false">IF(D1306="","",DATE(B1306,C1306,1))</f>
        <v>42675</v>
      </c>
      <c r="B1306" s="15" t="n">
        <f aca="false" t="array" ref="B1306:B1306">IF(D1306="","",IFERROR(VALUE(INDEX(Vazoes_COLAR!$A$2:$A$200,INT((ROW()-24)/12)+1)),""))</f>
        <v>2016</v>
      </c>
      <c r="C1306" s="15" t="n">
        <f aca="false">IF(D1306="","",MOD(ROW()-24,12)+1)</f>
        <v>11</v>
      </c>
      <c r="D1306" s="16" t="n">
        <f aca="false" t="array" ref="D1306: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0.0037322546272628</v>
      </c>
      <c r="E1306" s="16" t="n">
        <f aca="false">IF(D1306="","",D1306*$B$15)</f>
        <v>0.00967400399386518</v>
      </c>
      <c r="F1306" s="16" t="n">
        <f aca="false" t="array" ref="F1306:F1306">IF(D1306="","",IFERROR(INDEX(Dados_Evap!$C$2:$N$15,MATCH($B$9,Dados_Evap!$A$2:$A$15,0),C1306),0))</f>
        <v>223.7</v>
      </c>
      <c r="G1306" s="16" t="n">
        <f aca="false">IF(F1306="","",F1306/1000)</f>
        <v>0.2237</v>
      </c>
      <c r="H1306" s="16" t="n">
        <f aca="false">IF(D1306="","",MAX(0,MIN($B$8,IFERROR(LOOKUP(2,1/($U$24:U1305&lt;&gt;""),$U$24:U1305),$B$11))))</f>
        <v>0</v>
      </c>
      <c r="I1306" s="16" t="n">
        <f aca="false" t="array" ref="I1306: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>0</v>
      </c>
      <c r="J1306" s="16" t="n">
        <f aca="false">IF(D1306="","",$B$12)</f>
        <v>0.35</v>
      </c>
      <c r="K1306" s="16" t="n">
        <f aca="false">IF(J1306="","",J1306*$B$15)</f>
        <v>0.9072</v>
      </c>
      <c r="L1306" s="16" t="n">
        <f aca="false">IF(D1306="","",H1306+E1306-K1306-G1306*I1306)</f>
        <v>-0.897525996006135</v>
      </c>
      <c r="M1306" s="16" t="n">
        <f aca="false" t="array" ref="M1306: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>0</v>
      </c>
      <c r="N1306" s="16" t="n">
        <f aca="false">IF(D1306="","",(I1306+M1306)/2)</f>
        <v>0</v>
      </c>
      <c r="O1306" s="16" t="n">
        <f aca="false">IF(D1306="","",G1306*N1306)</f>
        <v>0</v>
      </c>
      <c r="P1306" s="16" t="n">
        <f aca="false">IF(D1306="","",H1306+E1306-K1306-O1306)</f>
        <v>-0.897525996006135</v>
      </c>
      <c r="Q1306" s="16" t="n">
        <f aca="false">IF(D1306="","",IF(P1306&gt;=0,K1306,MAX(0,K1306+P1306)))</f>
        <v>0.0096740039938652</v>
      </c>
      <c r="R1306" s="16" t="n">
        <f aca="false">IF(D1306="","",Q1306/$B$15)</f>
        <v>0.00373225462726281</v>
      </c>
      <c r="S1306" s="16" t="n">
        <f aca="false">IF(D1306="","",MAX(0,J1306-R1306))</f>
        <v>0.346267745372737</v>
      </c>
      <c r="T1306" s="16" t="n">
        <f aca="false">IF(D1306="","",MAX(0,Z1306-$B$8))</f>
        <v>0</v>
      </c>
      <c r="U1306" s="16" t="n">
        <f aca="false">IF(D1306="","",MAX(0,MIN($B$8,Z1306)))</f>
        <v>0</v>
      </c>
      <c r="V1306" s="16" t="str">
        <f aca="false">IF(D1306="","",IF(S1306&gt;0.0000001,"Sim","Não"))</f>
        <v>Sim</v>
      </c>
      <c r="W1306" s="16" t="n">
        <f aca="false">IF(D1306="","",U1306-(H1306+E1306-Q1306-O1306-T1306))</f>
        <v>0</v>
      </c>
      <c r="X1306" s="16" t="n">
        <f aca="false">IF(W1306="","",ABS(W1306))</f>
        <v>0</v>
      </c>
      <c r="Y1306" s="16" t="n">
        <f aca="false">IF(U1306="","",IF($B$8=0,0,U1306/$B$8*100))</f>
        <v>0</v>
      </c>
      <c r="Z1306" s="18" t="n">
        <f aca="false">IF(D1306="","",MAX(0,IF(P1306&gt;=0,P1306,IF(K1306+P1306&gt;=0,0,P1306+K1306))))</f>
        <v>0</v>
      </c>
      <c r="AA1306" s="18" t="n">
        <f aca="false">IF(D1306="","",IF(H1306&lt;=$B$16,1,IF(H1306&gt;=$B$17,$B$21,MATCH(H1306,Aux_CAV!$A$2:$A$121,1))))</f>
        <v>1</v>
      </c>
      <c r="AB1306" s="18" t="n">
        <f aca="false">IF(D1306="","",IF(L1306&lt;=$B$16,1,IF(L1306&gt;=$B$17,$B$21,MATCH(L1306,Aux_CAV!$A$2:$A$121,1))))</f>
        <v>1</v>
      </c>
      <c r="AC1306" s="19" t="n">
        <f aca="false">IF(D1306="","",COUNT($D$24:D1306))</f>
        <v>1271</v>
      </c>
    </row>
    <row r="1307" customFormat="false" ht="12.75" hidden="false" customHeight="true" outlineLevel="0" collapsed="false">
      <c r="A1307" s="14" t="n">
        <f aca="false">IF(D1307="","",DATE(B1307,C1307,1))</f>
        <v>42705</v>
      </c>
      <c r="B1307" s="15" t="n">
        <f aca="false" t="array" ref="B1307:B1307">IF(D1307="","",IFERROR(VALUE(INDEX(Vazoes_COLAR!$A$2:$A$200,INT((ROW()-24)/12)+1)),""))</f>
        <v>2016</v>
      </c>
      <c r="C1307" s="15" t="n">
        <f aca="false">IF(D1307="","",MOD(ROW()-24,12)+1)</f>
        <v>12</v>
      </c>
      <c r="D1307" s="16" t="n">
        <f aca="false" t="array" ref="D1307: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0.0205976847260904</v>
      </c>
      <c r="E1307" s="16" t="n">
        <f aca="false">IF(D1307="","",D1307*$B$15)</f>
        <v>0.0533891988100263</v>
      </c>
      <c r="F1307" s="16" t="n">
        <f aca="false" t="array" ref="F1307:F1307">IF(D1307="","",IFERROR(INDEX(Dados_Evap!$C$2:$N$15,MATCH($B$9,Dados_Evap!$A$2:$A$15,0),C1307),0))</f>
        <v>216.1</v>
      </c>
      <c r="G1307" s="16" t="n">
        <f aca="false">IF(F1307="","",F1307/1000)</f>
        <v>0.2161</v>
      </c>
      <c r="H1307" s="16" t="n">
        <f aca="false">IF(D1307="","",MAX(0,MIN($B$8,IFERROR(LOOKUP(2,1/($U$24:U1306&lt;&gt;""),$U$24:U1306),$B$11))))</f>
        <v>0</v>
      </c>
      <c r="I1307" s="16" t="n">
        <f aca="false" t="array" ref="I1307: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>0</v>
      </c>
      <c r="J1307" s="16" t="n">
        <f aca="false">IF(D1307="","",$B$12)</f>
        <v>0.35</v>
      </c>
      <c r="K1307" s="16" t="n">
        <f aca="false">IF(J1307="","",J1307*$B$15)</f>
        <v>0.9072</v>
      </c>
      <c r="L1307" s="16" t="n">
        <f aca="false">IF(D1307="","",H1307+E1307-K1307-G1307*I1307)</f>
        <v>-0.853810801189974</v>
      </c>
      <c r="M1307" s="16" t="n">
        <f aca="false" t="array" ref="M1307: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>0</v>
      </c>
      <c r="N1307" s="16" t="n">
        <f aca="false">IF(D1307="","",(I1307+M1307)/2)</f>
        <v>0</v>
      </c>
      <c r="O1307" s="16" t="n">
        <f aca="false">IF(D1307="","",G1307*N1307)</f>
        <v>0</v>
      </c>
      <c r="P1307" s="16" t="n">
        <f aca="false">IF(D1307="","",H1307+E1307-K1307-O1307)</f>
        <v>-0.853810801189974</v>
      </c>
      <c r="Q1307" s="16" t="n">
        <f aca="false">IF(D1307="","",IF(P1307&gt;=0,K1307,MAX(0,K1307+P1307)))</f>
        <v>0.0533891988100264</v>
      </c>
      <c r="R1307" s="16" t="n">
        <f aca="false">IF(D1307="","",Q1307/$B$15)</f>
        <v>0.0205976847260904</v>
      </c>
      <c r="S1307" s="16" t="n">
        <f aca="false">IF(D1307="","",MAX(0,J1307-R1307))</f>
        <v>0.32940231527391</v>
      </c>
      <c r="T1307" s="16" t="n">
        <f aca="false">IF(D1307="","",MAX(0,Z1307-$B$8))</f>
        <v>0</v>
      </c>
      <c r="U1307" s="16" t="n">
        <f aca="false">IF(D1307="","",MAX(0,MIN($B$8,Z1307)))</f>
        <v>0</v>
      </c>
      <c r="V1307" s="16" t="str">
        <f aca="false">IF(D1307="","",IF(S1307&gt;0.0000001,"Sim","Não"))</f>
        <v>Sim</v>
      </c>
      <c r="W1307" s="16" t="n">
        <f aca="false">IF(D1307="","",U1307-(H1307+E1307-Q1307-O1307-T1307))</f>
        <v>0</v>
      </c>
      <c r="X1307" s="16" t="n">
        <f aca="false">IF(W1307="","",ABS(W1307))</f>
        <v>0</v>
      </c>
      <c r="Y1307" s="16" t="n">
        <f aca="false">IF(U1307="","",IF($B$8=0,0,U1307/$B$8*100))</f>
        <v>0</v>
      </c>
      <c r="Z1307" s="18" t="n">
        <f aca="false">IF(D1307="","",MAX(0,IF(P1307&gt;=0,P1307,IF(K1307+P1307&gt;=0,0,P1307+K1307))))</f>
        <v>0</v>
      </c>
      <c r="AA1307" s="18" t="n">
        <f aca="false">IF(D1307="","",IF(H1307&lt;=$B$16,1,IF(H1307&gt;=$B$17,$B$21,MATCH(H1307,Aux_CAV!$A$2:$A$121,1))))</f>
        <v>1</v>
      </c>
      <c r="AB1307" s="18" t="n">
        <f aca="false">IF(D1307="","",IF(L1307&lt;=$B$16,1,IF(L1307&gt;=$B$17,$B$21,MATCH(L1307,Aux_CAV!$A$2:$A$121,1))))</f>
        <v>1</v>
      </c>
      <c r="AC1307" s="19" t="n">
        <f aca="false">IF(D1307="","",COUNT($D$24:D1307))</f>
        <v>1272</v>
      </c>
    </row>
    <row r="1308" customFormat="false" ht="12.75" hidden="false" customHeight="true" outlineLevel="0" collapsed="false">
      <c r="A1308" s="14" t="n">
        <f aca="false">IF(D1308="","",DATE(B1308,C1308,1))</f>
        <v>42736</v>
      </c>
      <c r="B1308" s="15" t="n">
        <f aca="false" t="array" ref="B1308:B1308">IF(D1308="","",IFERROR(VALUE(INDEX(Vazoes_COLAR!$A$2:$A$200,INT((ROW()-24)/12)+1)),""))</f>
        <v>2017</v>
      </c>
      <c r="C1308" s="15" t="n">
        <f aca="false">IF(D1308="","",MOD(ROW()-24,12)+1)</f>
        <v>1</v>
      </c>
      <c r="D1308" s="16" t="n">
        <f aca="false" t="array" ref="D1308: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0.129879574762959</v>
      </c>
      <c r="E1308" s="16" t="n">
        <f aca="false">IF(D1308="","",D1308*$B$15)</f>
        <v>0.33664785778559</v>
      </c>
      <c r="F1308" s="16" t="n">
        <f aca="false" t="array" ref="F1308:F1308">IF(D1308="","",IFERROR(INDEX(Dados_Evap!$C$2:$N$15,MATCH($B$9,Dados_Evap!$A$2:$A$15,0),C1308),0))</f>
        <v>160</v>
      </c>
      <c r="G1308" s="16" t="n">
        <f aca="false">IF(F1308="","",F1308/1000)</f>
        <v>0.16</v>
      </c>
      <c r="H1308" s="16" t="n">
        <f aca="false">IF(D1308="","",MAX(0,MIN($B$8,IFERROR(LOOKUP(2,1/($U$24:U1307&lt;&gt;""),$U$24:U1307),$B$11))))</f>
        <v>0</v>
      </c>
      <c r="I1308" s="16" t="n">
        <f aca="false" t="array" ref="I1308: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>0</v>
      </c>
      <c r="J1308" s="16" t="n">
        <f aca="false">IF(D1308="","",$B$12)</f>
        <v>0.35</v>
      </c>
      <c r="K1308" s="16" t="n">
        <f aca="false">IF(J1308="","",J1308*$B$15)</f>
        <v>0.9072</v>
      </c>
      <c r="L1308" s="16" t="n">
        <f aca="false">IF(D1308="","",H1308+E1308-K1308-G1308*I1308)</f>
        <v>-0.57055214221441</v>
      </c>
      <c r="M1308" s="16" t="n">
        <f aca="false" t="array" ref="M1308: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>0</v>
      </c>
      <c r="N1308" s="16" t="n">
        <f aca="false">IF(D1308="","",(I1308+M1308)/2)</f>
        <v>0</v>
      </c>
      <c r="O1308" s="16" t="n">
        <f aca="false">IF(D1308="","",G1308*N1308)</f>
        <v>0</v>
      </c>
      <c r="P1308" s="16" t="n">
        <f aca="false">IF(D1308="","",H1308+E1308-K1308-O1308)</f>
        <v>-0.57055214221441</v>
      </c>
      <c r="Q1308" s="16" t="n">
        <f aca="false">IF(D1308="","",IF(P1308&gt;=0,K1308,MAX(0,K1308+P1308)))</f>
        <v>0.33664785778559</v>
      </c>
      <c r="R1308" s="16" t="n">
        <f aca="false">IF(D1308="","",Q1308/$B$15)</f>
        <v>0.129879574762959</v>
      </c>
      <c r="S1308" s="16" t="n">
        <f aca="false">IF(D1308="","",MAX(0,J1308-R1308))</f>
        <v>0.220120425237041</v>
      </c>
      <c r="T1308" s="16" t="n">
        <f aca="false">IF(D1308="","",MAX(0,Z1308-$B$8))</f>
        <v>0</v>
      </c>
      <c r="U1308" s="16" t="n">
        <f aca="false">IF(D1308="","",MAX(0,MIN($B$8,Z1308)))</f>
        <v>0</v>
      </c>
      <c r="V1308" s="16" t="str">
        <f aca="false">IF(D1308="","",IF(S1308&gt;0.0000001,"Sim","Não"))</f>
        <v>Sim</v>
      </c>
      <c r="W1308" s="16" t="n">
        <f aca="false">IF(D1308="","",U1308-(H1308+E1308-Q1308-O1308-T1308))</f>
        <v>0</v>
      </c>
      <c r="X1308" s="16" t="n">
        <f aca="false">IF(W1308="","",ABS(W1308))</f>
        <v>0</v>
      </c>
      <c r="Y1308" s="16" t="n">
        <f aca="false">IF(U1308="","",IF($B$8=0,0,U1308/$B$8*100))</f>
        <v>0</v>
      </c>
      <c r="Z1308" s="18" t="n">
        <f aca="false">IF(D1308="","",MAX(0,IF(P1308&gt;=0,P1308,IF(K1308+P1308&gt;=0,0,P1308+K1308))))</f>
        <v>0</v>
      </c>
      <c r="AA1308" s="18" t="n">
        <f aca="false">IF(D1308="","",IF(H1308&lt;=$B$16,1,IF(H1308&gt;=$B$17,$B$21,MATCH(H1308,Aux_CAV!$A$2:$A$121,1))))</f>
        <v>1</v>
      </c>
      <c r="AB1308" s="18" t="n">
        <f aca="false">IF(D1308="","",IF(L1308&lt;=$B$16,1,IF(L1308&gt;=$B$17,$B$21,MATCH(L1308,Aux_CAV!$A$2:$A$121,1))))</f>
        <v>1</v>
      </c>
      <c r="AC1308" s="19" t="n">
        <f aca="false">IF(D1308="","",COUNT($D$24:D1308))</f>
        <v>1273</v>
      </c>
    </row>
    <row r="1309" customFormat="false" ht="12.75" hidden="false" customHeight="true" outlineLevel="0" collapsed="false">
      <c r="A1309" s="14" t="n">
        <f aca="false">IF(D1309="","",DATE(B1309,C1309,1))</f>
        <v>42767</v>
      </c>
      <c r="B1309" s="15" t="n">
        <f aca="false" t="array" ref="B1309:B1309">IF(D1309="","",IFERROR(VALUE(INDEX(Vazoes_COLAR!$A$2:$A$200,INT((ROW()-24)/12)+1)),""))</f>
        <v>2017</v>
      </c>
      <c r="C1309" s="15" t="n">
        <f aca="false">IF(D1309="","",MOD(ROW()-24,12)+1)</f>
        <v>2</v>
      </c>
      <c r="D1309" s="16" t="n">
        <f aca="false" t="array" ref="D1309: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0.332395476481064</v>
      </c>
      <c r="E1309" s="16" t="n">
        <f aca="false">IF(D1309="","",D1309*$B$15)</f>
        <v>0.861569075038918</v>
      </c>
      <c r="F1309" s="16" t="n">
        <f aca="false" t="array" ref="F1309:F1309">IF(D1309="","",IFERROR(INDEX(Dados_Evap!$C$2:$N$15,MATCH($B$9,Dados_Evap!$A$2:$A$15,0),C1309),0))</f>
        <v>124.3</v>
      </c>
      <c r="G1309" s="16" t="n">
        <f aca="false">IF(F1309="","",F1309/1000)</f>
        <v>0.1243</v>
      </c>
      <c r="H1309" s="16" t="n">
        <f aca="false">IF(D1309="","",MAX(0,MIN($B$8,IFERROR(LOOKUP(2,1/($U$24:U1308&lt;&gt;""),$U$24:U1308),$B$11))))</f>
        <v>0</v>
      </c>
      <c r="I1309" s="16" t="n">
        <f aca="false" t="array" ref="I1309: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>0</v>
      </c>
      <c r="J1309" s="16" t="n">
        <f aca="false">IF(D1309="","",$B$12)</f>
        <v>0.35</v>
      </c>
      <c r="K1309" s="16" t="n">
        <f aca="false">IF(J1309="","",J1309*$B$15)</f>
        <v>0.9072</v>
      </c>
      <c r="L1309" s="16" t="n">
        <f aca="false">IF(D1309="","",H1309+E1309-K1309-G1309*I1309)</f>
        <v>-0.0456309249610821</v>
      </c>
      <c r="M1309" s="16" t="n">
        <f aca="false" t="array" ref="M1309: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>0</v>
      </c>
      <c r="N1309" s="16" t="n">
        <f aca="false">IF(D1309="","",(I1309+M1309)/2)</f>
        <v>0</v>
      </c>
      <c r="O1309" s="16" t="n">
        <f aca="false">IF(D1309="","",G1309*N1309)</f>
        <v>0</v>
      </c>
      <c r="P1309" s="16" t="n">
        <f aca="false">IF(D1309="","",H1309+E1309-K1309-O1309)</f>
        <v>-0.0456309249610821</v>
      </c>
      <c r="Q1309" s="16" t="n">
        <f aca="false">IF(D1309="","",IF(P1309&gt;=0,K1309,MAX(0,K1309+P1309)))</f>
        <v>0.861569075038918</v>
      </c>
      <c r="R1309" s="16" t="n">
        <f aca="false">IF(D1309="","",Q1309/$B$15)</f>
        <v>0.332395476481064</v>
      </c>
      <c r="S1309" s="16" t="n">
        <f aca="false">IF(D1309="","",MAX(0,J1309-R1309))</f>
        <v>0.017604523518936</v>
      </c>
      <c r="T1309" s="16" t="n">
        <f aca="false">IF(D1309="","",MAX(0,Z1309-$B$8))</f>
        <v>0</v>
      </c>
      <c r="U1309" s="16" t="n">
        <f aca="false">IF(D1309="","",MAX(0,MIN($B$8,Z1309)))</f>
        <v>0</v>
      </c>
      <c r="V1309" s="16" t="str">
        <f aca="false">IF(D1309="","",IF(S1309&gt;0.0000001,"Sim","Não"))</f>
        <v>Sim</v>
      </c>
      <c r="W1309" s="16" t="n">
        <f aca="false">IF(D1309="","",U1309-(H1309+E1309-Q1309-O1309-T1309))</f>
        <v>0</v>
      </c>
      <c r="X1309" s="16" t="n">
        <f aca="false">IF(W1309="","",ABS(W1309))</f>
        <v>0</v>
      </c>
      <c r="Y1309" s="16" t="n">
        <f aca="false">IF(U1309="","",IF($B$8=0,0,U1309/$B$8*100))</f>
        <v>0</v>
      </c>
      <c r="Z1309" s="18" t="n">
        <f aca="false">IF(D1309="","",MAX(0,IF(P1309&gt;=0,P1309,IF(K1309+P1309&gt;=0,0,P1309+K1309))))</f>
        <v>0</v>
      </c>
      <c r="AA1309" s="18" t="n">
        <f aca="false">IF(D1309="","",IF(H1309&lt;=$B$16,1,IF(H1309&gt;=$B$17,$B$21,MATCH(H1309,Aux_CAV!$A$2:$A$121,1))))</f>
        <v>1</v>
      </c>
      <c r="AB1309" s="18" t="n">
        <f aca="false">IF(D1309="","",IF(L1309&lt;=$B$16,1,IF(L1309&gt;=$B$17,$B$21,MATCH(L1309,Aux_CAV!$A$2:$A$121,1))))</f>
        <v>1</v>
      </c>
      <c r="AC1309" s="19" t="n">
        <f aca="false">IF(D1309="","",COUNT($D$24:D1309))</f>
        <v>1274</v>
      </c>
    </row>
    <row r="1310" customFormat="false" ht="12.75" hidden="false" customHeight="true" outlineLevel="0" collapsed="false">
      <c r="A1310" s="14" t="n">
        <f aca="false">IF(D1310="","",DATE(B1310,C1310,1))</f>
        <v>42795</v>
      </c>
      <c r="B1310" s="15" t="n">
        <f aca="false" t="array" ref="B1310:B1310">IF(D1310="","",IFERROR(VALUE(INDEX(Vazoes_COLAR!$A$2:$A$200,INT((ROW()-24)/12)+1)),""))</f>
        <v>2017</v>
      </c>
      <c r="C1310" s="15" t="n">
        <f aca="false">IF(D1310="","",MOD(ROW()-24,12)+1)</f>
        <v>3</v>
      </c>
      <c r="D1310" s="16" t="n">
        <f aca="false" t="array" ref="D1310: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1.19415473580965</v>
      </c>
      <c r="E1310" s="16" t="n">
        <f aca="false">IF(D1310="","",D1310*$B$15)</f>
        <v>3.09524907521861</v>
      </c>
      <c r="F1310" s="16" t="n">
        <f aca="false" t="array" ref="F1310:F1310">IF(D1310="","",IFERROR(INDEX(Dados_Evap!$C$2:$N$15,MATCH($B$9,Dados_Evap!$A$2:$A$15,0),C1310),0))</f>
        <v>107.7</v>
      </c>
      <c r="G1310" s="16" t="n">
        <f aca="false">IF(F1310="","",F1310/1000)</f>
        <v>0.1077</v>
      </c>
      <c r="H1310" s="16" t="n">
        <f aca="false">IF(D1310="","",MAX(0,MIN($B$8,IFERROR(LOOKUP(2,1/($U$24:U1309&lt;&gt;""),$U$24:U1309),$B$11))))</f>
        <v>0</v>
      </c>
      <c r="I1310" s="16" t="n">
        <f aca="false" t="array" ref="I1310: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>0</v>
      </c>
      <c r="J1310" s="16" t="n">
        <f aca="false">IF(D1310="","",$B$12)</f>
        <v>0.35</v>
      </c>
      <c r="K1310" s="16" t="n">
        <f aca="false">IF(J1310="","",J1310*$B$15)</f>
        <v>0.9072</v>
      </c>
      <c r="L1310" s="16" t="n">
        <f aca="false">IF(D1310="","",H1310+E1310-K1310-G1310*I1310)</f>
        <v>2.18804907521861</v>
      </c>
      <c r="M1310" s="16" t="n">
        <f aca="false" t="array" ref="M1310: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>1.01114934845946</v>
      </c>
      <c r="N1310" s="16" t="n">
        <f aca="false">IF(D1310="","",(I1310+M1310)/2)</f>
        <v>0.505574674229731</v>
      </c>
      <c r="O1310" s="16" t="n">
        <f aca="false">IF(D1310="","",G1310*N1310)</f>
        <v>0.0544503924145421</v>
      </c>
      <c r="P1310" s="16" t="n">
        <f aca="false">IF(D1310="","",H1310+E1310-K1310-O1310)</f>
        <v>2.13359868280407</v>
      </c>
      <c r="Q1310" s="16" t="n">
        <f aca="false">IF(D1310="","",IF(P1310&gt;=0,K1310,MAX(0,K1310+P1310)))</f>
        <v>0.9072</v>
      </c>
      <c r="R1310" s="16" t="n">
        <f aca="false">IF(D1310="","",Q1310/$B$15)</f>
        <v>0.35</v>
      </c>
      <c r="S1310" s="16" t="n">
        <f aca="false">IF(D1310="","",MAX(0,J1310-R1310))</f>
        <v>0</v>
      </c>
      <c r="T1310" s="16" t="n">
        <f aca="false">IF(D1310="","",MAX(0,Z1310-$B$8))</f>
        <v>0</v>
      </c>
      <c r="U1310" s="16" t="n">
        <f aca="false">IF(D1310="","",MAX(0,MIN($B$8,Z1310)))</f>
        <v>2.13359868280407</v>
      </c>
      <c r="V1310" s="16" t="str">
        <f aca="false">IF(D1310="","",IF(S1310&gt;0.0000001,"Sim","Não"))</f>
        <v>Não</v>
      </c>
      <c r="W1310" s="16" t="n">
        <f aca="false">IF(D1310="","",U1310-(H1310+E1310-Q1310-O1310-T1310))</f>
        <v>0</v>
      </c>
      <c r="X1310" s="16" t="n">
        <f aca="false">IF(W1310="","",ABS(W1310))</f>
        <v>0</v>
      </c>
      <c r="Y1310" s="16" t="n">
        <f aca="false">IF(U1310="","",IF($B$8=0,0,U1310/$B$8*100))</f>
        <v>4.51842160695483</v>
      </c>
      <c r="Z1310" s="18" t="n">
        <f aca="false">IF(D1310="","",MAX(0,IF(P1310&gt;=0,P1310,IF(K1310+P1310&gt;=0,0,P1310+K1310))))</f>
        <v>2.13359868280407</v>
      </c>
      <c r="AA1310" s="18" t="n">
        <f aca="false">IF(D1310="","",IF(H1310&lt;=$B$16,1,IF(H1310&gt;=$B$17,$B$21,MATCH(H1310,Aux_CAV!$A$2:$A$121,1))))</f>
        <v>1</v>
      </c>
      <c r="AB1310" s="18" t="n">
        <f aca="false">IF(D1310="","",IF(L1310&lt;=$B$16,1,IF(L1310&gt;=$B$17,$B$21,MATCH(L1310,Aux_CAV!$A$2:$A$121,1))))</f>
        <v>8</v>
      </c>
      <c r="AC1310" s="19" t="n">
        <f aca="false">IF(D1310="","",COUNT($D$24:D1310))</f>
        <v>1275</v>
      </c>
    </row>
    <row r="1311" customFormat="false" ht="12.75" hidden="false" customHeight="true" outlineLevel="0" collapsed="false">
      <c r="A1311" s="14" t="n">
        <f aca="false">IF(D1311="","",DATE(B1311,C1311,1))</f>
        <v>42826</v>
      </c>
      <c r="B1311" s="15" t="n">
        <f aca="false" t="array" ref="B1311:B1311">IF(D1311="","",IFERROR(VALUE(INDEX(Vazoes_COLAR!$A$2:$A$200,INT((ROW()-24)/12)+1)),""))</f>
        <v>2017</v>
      </c>
      <c r="C1311" s="15" t="n">
        <f aca="false">IF(D1311="","",MOD(ROW()-24,12)+1)</f>
        <v>4</v>
      </c>
      <c r="D1311" s="16" t="n">
        <f aca="false" t="array" ref="D1311: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1.28413153761077</v>
      </c>
      <c r="E1311" s="16" t="n">
        <f aca="false">IF(D1311="","",D1311*$B$15)</f>
        <v>3.32846894548712</v>
      </c>
      <c r="F1311" s="16" t="n">
        <f aca="false" t="array" ref="F1311:F1311">IF(D1311="","",IFERROR(INDEX(Dados_Evap!$C$2:$N$15,MATCH($B$9,Dados_Evap!$A$2:$A$15,0),C1311),0))</f>
        <v>100.5</v>
      </c>
      <c r="G1311" s="16" t="n">
        <f aca="false">IF(F1311="","",F1311/1000)</f>
        <v>0.1005</v>
      </c>
      <c r="H1311" s="16" t="n">
        <f aca="false">IF(D1311="","",MAX(0,MIN($B$8,IFERROR(LOOKUP(2,1/($U$24:U1310&lt;&gt;""),$U$24:U1310),$B$11))))</f>
        <v>2.13359868280407</v>
      </c>
      <c r="I1311" s="16" t="n">
        <f aca="false" t="array" ref="I1311: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>0.996338841722707</v>
      </c>
      <c r="J1311" s="16" t="n">
        <f aca="false">IF(D1311="","",$B$12)</f>
        <v>0.35</v>
      </c>
      <c r="K1311" s="16" t="n">
        <f aca="false">IF(J1311="","",J1311*$B$15)</f>
        <v>0.9072</v>
      </c>
      <c r="L1311" s="16" t="n">
        <f aca="false">IF(D1311="","",H1311+E1311-K1311-G1311*I1311)</f>
        <v>4.45473557469806</v>
      </c>
      <c r="M1311" s="16" t="n">
        <f aca="false" t="array" ref="M1311: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>1.62768807631787</v>
      </c>
      <c r="N1311" s="16" t="n">
        <f aca="false">IF(D1311="","",(I1311+M1311)/2)</f>
        <v>1.31201345902029</v>
      </c>
      <c r="O1311" s="16" t="n">
        <f aca="false">IF(D1311="","",G1311*N1311)</f>
        <v>0.131857352631539</v>
      </c>
      <c r="P1311" s="16" t="n">
        <f aca="false">IF(D1311="","",H1311+E1311-K1311-O1311)</f>
        <v>4.42301027565965</v>
      </c>
      <c r="Q1311" s="16" t="n">
        <f aca="false">IF(D1311="","",IF(P1311&gt;=0,K1311,MAX(0,K1311+P1311)))</f>
        <v>0.9072</v>
      </c>
      <c r="R1311" s="16" t="n">
        <f aca="false">IF(D1311="","",Q1311/$B$15)</f>
        <v>0.35</v>
      </c>
      <c r="S1311" s="16" t="n">
        <f aca="false">IF(D1311="","",MAX(0,J1311-R1311))</f>
        <v>0</v>
      </c>
      <c r="T1311" s="16" t="n">
        <f aca="false">IF(D1311="","",MAX(0,Z1311-$B$8))</f>
        <v>0</v>
      </c>
      <c r="U1311" s="16" t="n">
        <f aca="false">IF(D1311="","",MAX(0,MIN($B$8,Z1311)))</f>
        <v>4.42301027565965</v>
      </c>
      <c r="V1311" s="16" t="str">
        <f aca="false">IF(D1311="","",IF(S1311&gt;0.0000001,"Sim","Não"))</f>
        <v>Não</v>
      </c>
      <c r="W1311" s="16" t="n">
        <f aca="false">IF(D1311="","",U1311-(H1311+E1311-Q1311-O1311-T1311))</f>
        <v>0</v>
      </c>
      <c r="X1311" s="16" t="n">
        <f aca="false">IF(W1311="","",ABS(W1311))</f>
        <v>0</v>
      </c>
      <c r="Y1311" s="16" t="n">
        <f aca="false">IF(U1311="","",IF($B$8=0,0,U1311/$B$8*100))</f>
        <v>9.36681549271421</v>
      </c>
      <c r="Z1311" s="18" t="n">
        <f aca="false">IF(D1311="","",MAX(0,IF(P1311&gt;=0,P1311,IF(K1311+P1311&gt;=0,0,P1311+K1311))))</f>
        <v>4.42301027565965</v>
      </c>
      <c r="AA1311" s="18" t="n">
        <f aca="false">IF(D1311="","",IF(H1311&lt;=$B$16,1,IF(H1311&gt;=$B$17,$B$21,MATCH(H1311,Aux_CAV!$A$2:$A$121,1))))</f>
        <v>8</v>
      </c>
      <c r="AB1311" s="18" t="n">
        <f aca="false">IF(D1311="","",IF(L1311&lt;=$B$16,1,IF(L1311&gt;=$B$17,$B$21,MATCH(L1311,Aux_CAV!$A$2:$A$121,1))))</f>
        <v>8</v>
      </c>
      <c r="AC1311" s="19" t="n">
        <f aca="false">IF(D1311="","",COUNT($D$24:D1311))</f>
        <v>1276</v>
      </c>
    </row>
    <row r="1312" customFormat="false" ht="12.75" hidden="false" customHeight="true" outlineLevel="0" collapsed="false">
      <c r="A1312" s="14" t="n">
        <f aca="false">IF(D1312="","",DATE(B1312,C1312,1))</f>
        <v>42856</v>
      </c>
      <c r="B1312" s="15" t="n">
        <f aca="false" t="array" ref="B1312:B1312">IF(D1312="","",IFERROR(VALUE(INDEX(Vazoes_COLAR!$A$2:$A$200,INT((ROW()-24)/12)+1)),""))</f>
        <v>2017</v>
      </c>
      <c r="C1312" s="15" t="n">
        <f aca="false">IF(D1312="","",MOD(ROW()-24,12)+1)</f>
        <v>5</v>
      </c>
      <c r="D1312" s="16" t="n">
        <f aca="false" t="array" ref="D1312: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0.575440137913363</v>
      </c>
      <c r="E1312" s="16" t="n">
        <f aca="false">IF(D1312="","",D1312*$B$15)</f>
        <v>1.49154083747144</v>
      </c>
      <c r="F1312" s="16" t="n">
        <f aca="false" t="array" ref="F1312:F1312">IF(D1312="","",IFERROR(INDEX(Dados_Evap!$C$2:$N$15,MATCH($B$9,Dados_Evap!$A$2:$A$15,0),C1312),0))</f>
        <v>145.8</v>
      </c>
      <c r="G1312" s="16" t="n">
        <f aca="false">IF(F1312="","",F1312/1000)</f>
        <v>0.1458</v>
      </c>
      <c r="H1312" s="16" t="n">
        <f aca="false">IF(D1312="","",MAX(0,MIN($B$8,IFERROR(LOOKUP(2,1/($U$24:U1311&lt;&gt;""),$U$24:U1311),$B$11))))</f>
        <v>4.42301027565965</v>
      </c>
      <c r="I1312" s="16" t="n">
        <f aca="false" t="array" ref="I1312: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>1.61905879497942</v>
      </c>
      <c r="J1312" s="16" t="n">
        <f aca="false">IF(D1312="","",$B$12)</f>
        <v>0.35</v>
      </c>
      <c r="K1312" s="16" t="n">
        <f aca="false">IF(J1312="","",J1312*$B$15)</f>
        <v>0.9072</v>
      </c>
      <c r="L1312" s="16" t="n">
        <f aca="false">IF(D1312="","",H1312+E1312-K1312-G1312*I1312)</f>
        <v>4.77129234082308</v>
      </c>
      <c r="M1312" s="16" t="n">
        <f aca="false" t="array" ref="M1312: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>1.72254213773979</v>
      </c>
      <c r="N1312" s="16" t="n">
        <f aca="false">IF(D1312="","",(I1312+M1312)/2)</f>
        <v>1.67080046635961</v>
      </c>
      <c r="O1312" s="16" t="n">
        <f aca="false">IF(D1312="","",G1312*N1312)</f>
        <v>0.243602707995231</v>
      </c>
      <c r="P1312" s="16" t="n">
        <f aca="false">IF(D1312="","",H1312+E1312-K1312-O1312)</f>
        <v>4.76374840513585</v>
      </c>
      <c r="Q1312" s="16" t="n">
        <f aca="false">IF(D1312="","",IF(P1312&gt;=0,K1312,MAX(0,K1312+P1312)))</f>
        <v>0.9072</v>
      </c>
      <c r="R1312" s="16" t="n">
        <f aca="false">IF(D1312="","",Q1312/$B$15)</f>
        <v>0.35</v>
      </c>
      <c r="S1312" s="16" t="n">
        <f aca="false">IF(D1312="","",MAX(0,J1312-R1312))</f>
        <v>0</v>
      </c>
      <c r="T1312" s="16" t="n">
        <f aca="false">IF(D1312="","",MAX(0,Z1312-$B$8))</f>
        <v>0</v>
      </c>
      <c r="U1312" s="16" t="n">
        <f aca="false">IF(D1312="","",MAX(0,MIN($B$8,Z1312)))</f>
        <v>4.76374840513585</v>
      </c>
      <c r="V1312" s="16" t="str">
        <f aca="false">IF(D1312="","",IF(S1312&gt;0.0000001,"Sim","Não"))</f>
        <v>Não</v>
      </c>
      <c r="W1312" s="16" t="n">
        <f aca="false">IF(D1312="","",U1312-(H1312+E1312-Q1312-O1312-T1312))</f>
        <v>0</v>
      </c>
      <c r="X1312" s="16" t="n">
        <f aca="false">IF(W1312="","",ABS(W1312))</f>
        <v>0</v>
      </c>
      <c r="Y1312" s="16" t="n">
        <f aca="false">IF(U1312="","",IF($B$8=0,0,U1312/$B$8*100))</f>
        <v>10.088412547937</v>
      </c>
      <c r="Z1312" s="18" t="n">
        <f aca="false">IF(D1312="","",MAX(0,IF(P1312&gt;=0,P1312,IF(K1312+P1312&gt;=0,0,P1312+K1312))))</f>
        <v>4.76374840513585</v>
      </c>
      <c r="AA1312" s="18" t="n">
        <f aca="false">IF(D1312="","",IF(H1312&lt;=$B$16,1,IF(H1312&gt;=$B$17,$B$21,MATCH(H1312,Aux_CAV!$A$2:$A$121,1))))</f>
        <v>8</v>
      </c>
      <c r="AB1312" s="18" t="n">
        <f aca="false">IF(D1312="","",IF(L1312&lt;=$B$16,1,IF(L1312&gt;=$B$17,$B$21,MATCH(L1312,Aux_CAV!$A$2:$A$121,1))))</f>
        <v>9</v>
      </c>
      <c r="AC1312" s="19" t="n">
        <f aca="false">IF(D1312="","",COUNT($D$24:D1312))</f>
        <v>1277</v>
      </c>
    </row>
    <row r="1313" customFormat="false" ht="12.75" hidden="false" customHeight="true" outlineLevel="0" collapsed="false">
      <c r="A1313" s="14" t="n">
        <f aca="false">IF(D1313="","",DATE(B1313,C1313,1))</f>
        <v>42887</v>
      </c>
      <c r="B1313" s="15" t="n">
        <f aca="false" t="array" ref="B1313:B1313">IF(D1313="","",IFERROR(VALUE(INDEX(Vazoes_COLAR!$A$2:$A$200,INT((ROW()-24)/12)+1)),""))</f>
        <v>2017</v>
      </c>
      <c r="C1313" s="15" t="n">
        <f aca="false">IF(D1313="","",MOD(ROW()-24,12)+1)</f>
        <v>6</v>
      </c>
      <c r="D1313" s="16" t="n">
        <f aca="false" t="array" ref="D1313: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0.285798427058581</v>
      </c>
      <c r="E1313" s="16" t="n">
        <f aca="false">IF(D1313="","",D1313*$B$15)</f>
        <v>0.740789522935842</v>
      </c>
      <c r="F1313" s="16" t="n">
        <f aca="false" t="array" ref="F1313:F1313">IF(D1313="","",IFERROR(INDEX(Dados_Evap!$C$2:$N$15,MATCH($B$9,Dados_Evap!$A$2:$A$15,0),C1313),0))</f>
        <v>161.3</v>
      </c>
      <c r="G1313" s="16" t="n">
        <f aca="false">IF(F1313="","",F1313/1000)</f>
        <v>0.1613</v>
      </c>
      <c r="H1313" s="16" t="n">
        <f aca="false">IF(D1313="","",MAX(0,MIN($B$8,IFERROR(LOOKUP(2,1/($U$24:U1312&lt;&gt;""),$U$24:U1312),$B$11))))</f>
        <v>4.76374840513585</v>
      </c>
      <c r="I1313" s="16" t="n">
        <f aca="false" t="array" ref="I1313: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>1.72024685517963</v>
      </c>
      <c r="J1313" s="16" t="n">
        <f aca="false">IF(D1313="","",$B$12)</f>
        <v>0.35</v>
      </c>
      <c r="K1313" s="16" t="n">
        <f aca="false">IF(J1313="","",J1313*$B$15)</f>
        <v>0.9072</v>
      </c>
      <c r="L1313" s="16" t="n">
        <f aca="false">IF(D1313="","",H1313+E1313-K1313-G1313*I1313)</f>
        <v>4.31986211033122</v>
      </c>
      <c r="M1313" s="16" t="n">
        <f aca="false" t="array" ref="M1313: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>1.59100249401009</v>
      </c>
      <c r="N1313" s="16" t="n">
        <f aca="false">IF(D1313="","",(I1313+M1313)/2)</f>
        <v>1.65562467459486</v>
      </c>
      <c r="O1313" s="16" t="n">
        <f aca="false">IF(D1313="","",G1313*N1313)</f>
        <v>0.267052260012151</v>
      </c>
      <c r="P1313" s="16" t="n">
        <f aca="false">IF(D1313="","",H1313+E1313-K1313-O1313)</f>
        <v>4.33028566805954</v>
      </c>
      <c r="Q1313" s="16" t="n">
        <f aca="false">IF(D1313="","",IF(P1313&gt;=0,K1313,MAX(0,K1313+P1313)))</f>
        <v>0.9072</v>
      </c>
      <c r="R1313" s="16" t="n">
        <f aca="false">IF(D1313="","",Q1313/$B$15)</f>
        <v>0.35</v>
      </c>
      <c r="S1313" s="16" t="n">
        <f aca="false">IF(D1313="","",MAX(0,J1313-R1313))</f>
        <v>0</v>
      </c>
      <c r="T1313" s="16" t="n">
        <f aca="false">IF(D1313="","",MAX(0,Z1313-$B$8))</f>
        <v>0</v>
      </c>
      <c r="U1313" s="16" t="n">
        <f aca="false">IF(D1313="","",MAX(0,MIN($B$8,Z1313)))</f>
        <v>4.33028566805954</v>
      </c>
      <c r="V1313" s="16" t="str">
        <f aca="false">IF(D1313="","",IF(S1313&gt;0.0000001,"Sim","Não"))</f>
        <v>Não</v>
      </c>
      <c r="W1313" s="16" t="n">
        <f aca="false">IF(D1313="","",U1313-(H1313+E1313-Q1313-O1313-T1313))</f>
        <v>0</v>
      </c>
      <c r="X1313" s="16" t="n">
        <f aca="false">IF(W1313="","",ABS(W1313))</f>
        <v>0</v>
      </c>
      <c r="Y1313" s="16" t="n">
        <f aca="false">IF(U1313="","",IF($B$8=0,0,U1313/$B$8*100))</f>
        <v>9.1704482593383</v>
      </c>
      <c r="Z1313" s="18" t="n">
        <f aca="false">IF(D1313="","",MAX(0,IF(P1313&gt;=0,P1313,IF(K1313+P1313&gt;=0,0,P1313+K1313))))</f>
        <v>4.33028566805954</v>
      </c>
      <c r="AA1313" s="18" t="n">
        <f aca="false">IF(D1313="","",IF(H1313&lt;=$B$16,1,IF(H1313&gt;=$B$17,$B$21,MATCH(H1313,Aux_CAV!$A$2:$A$121,1))))</f>
        <v>9</v>
      </c>
      <c r="AB1313" s="18" t="n">
        <f aca="false">IF(D1313="","",IF(L1313&lt;=$B$16,1,IF(L1313&gt;=$B$17,$B$21,MATCH(L1313,Aux_CAV!$A$2:$A$121,1))))</f>
        <v>8</v>
      </c>
      <c r="AC1313" s="19" t="n">
        <f aca="false">IF(D1313="","",COUNT($D$24:D1313))</f>
        <v>1278</v>
      </c>
    </row>
    <row r="1314" customFormat="false" ht="12.75" hidden="false" customHeight="true" outlineLevel="0" collapsed="false">
      <c r="A1314" s="14" t="n">
        <f aca="false">IF(D1314="","",DATE(B1314,C1314,1))</f>
        <v>42917</v>
      </c>
      <c r="B1314" s="15" t="n">
        <f aca="false" t="array" ref="B1314:B1314">IF(D1314="","",IFERROR(VALUE(INDEX(Vazoes_COLAR!$A$2:$A$200,INT((ROW()-24)/12)+1)),""))</f>
        <v>2017</v>
      </c>
      <c r="C1314" s="15" t="n">
        <f aca="false">IF(D1314="","",MOD(ROW()-24,12)+1)</f>
        <v>7</v>
      </c>
      <c r="D1314" s="16" t="n">
        <f aca="false" t="array" ref="D1314: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0.0486554577813635</v>
      </c>
      <c r="E1314" s="16" t="n">
        <f aca="false">IF(D1314="","",D1314*$B$15)</f>
        <v>0.126114946569294</v>
      </c>
      <c r="F1314" s="16" t="n">
        <f aca="false" t="array" ref="F1314:F1314">IF(D1314="","",IFERROR(INDEX(Dados_Evap!$C$2:$N$15,MATCH($B$9,Dados_Evap!$A$2:$A$15,0),C1314),0))</f>
        <v>224.8</v>
      </c>
      <c r="G1314" s="16" t="n">
        <f aca="false">IF(F1314="","",F1314/1000)</f>
        <v>0.2248</v>
      </c>
      <c r="H1314" s="16" t="n">
        <f aca="false">IF(D1314="","",MAX(0,MIN($B$8,IFERROR(LOOKUP(2,1/($U$24:U1313&lt;&gt;""),$U$24:U1313),$B$11))))</f>
        <v>4.33028566805954</v>
      </c>
      <c r="I1314" s="16" t="n">
        <f aca="false" t="array" ref="I1314: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>1.5938377017122</v>
      </c>
      <c r="J1314" s="16" t="n">
        <f aca="false">IF(D1314="","",$B$12)</f>
        <v>0.35</v>
      </c>
      <c r="K1314" s="16" t="n">
        <f aca="false">IF(J1314="","",J1314*$B$15)</f>
        <v>0.9072</v>
      </c>
      <c r="L1314" s="16" t="n">
        <f aca="false">IF(D1314="","",H1314+E1314-K1314-G1314*I1314)</f>
        <v>3.19090589928394</v>
      </c>
      <c r="M1314" s="16" t="n">
        <f aca="false" t="array" ref="M1314: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>1.28392640460523</v>
      </c>
      <c r="N1314" s="16" t="n">
        <f aca="false">IF(D1314="","",(I1314+M1314)/2)</f>
        <v>1.43888205315871</v>
      </c>
      <c r="O1314" s="16" t="n">
        <f aca="false">IF(D1314="","",G1314*N1314)</f>
        <v>0.323460685550079</v>
      </c>
      <c r="P1314" s="16" t="n">
        <f aca="false">IF(D1314="","",H1314+E1314-K1314-O1314)</f>
        <v>3.22573992907876</v>
      </c>
      <c r="Q1314" s="16" t="n">
        <f aca="false">IF(D1314="","",IF(P1314&gt;=0,K1314,MAX(0,K1314+P1314)))</f>
        <v>0.9072</v>
      </c>
      <c r="R1314" s="16" t="n">
        <f aca="false">IF(D1314="","",Q1314/$B$15)</f>
        <v>0.35</v>
      </c>
      <c r="S1314" s="16" t="n">
        <f aca="false">IF(D1314="","",MAX(0,J1314-R1314))</f>
        <v>0</v>
      </c>
      <c r="T1314" s="16" t="n">
        <f aca="false">IF(D1314="","",MAX(0,Z1314-$B$8))</f>
        <v>0</v>
      </c>
      <c r="U1314" s="16" t="n">
        <f aca="false">IF(D1314="","",MAX(0,MIN($B$8,Z1314)))</f>
        <v>3.22573992907876</v>
      </c>
      <c r="V1314" s="16" t="str">
        <f aca="false">IF(D1314="","",IF(S1314&gt;0.0000001,"Sim","Não"))</f>
        <v>Não</v>
      </c>
      <c r="W1314" s="16" t="n">
        <f aca="false">IF(D1314="","",U1314-(H1314+E1314-Q1314-O1314-T1314))</f>
        <v>0</v>
      </c>
      <c r="X1314" s="16" t="n">
        <f aca="false">IF(W1314="","",ABS(W1314))</f>
        <v>0</v>
      </c>
      <c r="Y1314" s="16" t="n">
        <f aca="false">IF(U1314="","",IF($B$8=0,0,U1314/$B$8*100))</f>
        <v>6.83130014629132</v>
      </c>
      <c r="Z1314" s="18" t="n">
        <f aca="false">IF(D1314="","",MAX(0,IF(P1314&gt;=0,P1314,IF(K1314+P1314&gt;=0,0,P1314+K1314))))</f>
        <v>3.22573992907876</v>
      </c>
      <c r="AA1314" s="18" t="n">
        <f aca="false">IF(D1314="","",IF(H1314&lt;=$B$16,1,IF(H1314&gt;=$B$17,$B$21,MATCH(H1314,Aux_CAV!$A$2:$A$121,1))))</f>
        <v>8</v>
      </c>
      <c r="AB1314" s="18" t="n">
        <f aca="false">IF(D1314="","",IF(L1314&lt;=$B$16,1,IF(L1314&gt;=$B$17,$B$21,MATCH(L1314,Aux_CAV!$A$2:$A$121,1))))</f>
        <v>8</v>
      </c>
      <c r="AC1314" s="19" t="n">
        <f aca="false">IF(D1314="","",COUNT($D$24:D1314))</f>
        <v>1279</v>
      </c>
    </row>
    <row r="1315" customFormat="false" ht="12.75" hidden="false" customHeight="true" outlineLevel="0" collapsed="false">
      <c r="A1315" s="14" t="n">
        <f aca="false">IF(D1315="","",DATE(B1315,C1315,1))</f>
        <v>42948</v>
      </c>
      <c r="B1315" s="15" t="n">
        <f aca="false" t="array" ref="B1315:B1315">IF(D1315="","",IFERROR(VALUE(INDEX(Vazoes_COLAR!$A$2:$A$200,INT((ROW()-24)/12)+1)),""))</f>
        <v>2017</v>
      </c>
      <c r="C1315" s="15" t="n">
        <f aca="false">IF(D1315="","",MOD(ROW()-24,12)+1)</f>
        <v>8</v>
      </c>
      <c r="D1315" s="16" t="n">
        <f aca="false" t="array" ref="D1315: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0.00752864576056739</v>
      </c>
      <c r="E1315" s="16" t="n">
        <f aca="false">IF(D1315="","",D1315*$B$15)</f>
        <v>0.0195142498113907</v>
      </c>
      <c r="F1315" s="16" t="n">
        <f aca="false" t="array" ref="F1315:F1315">IF(D1315="","",IFERROR(INDEX(Dados_Evap!$C$2:$N$15,MATCH($B$9,Dados_Evap!$A$2:$A$15,0),C1315),0))</f>
        <v>268.7</v>
      </c>
      <c r="G1315" s="16" t="n">
        <f aca="false">IF(F1315="","",F1315/1000)</f>
        <v>0.2687</v>
      </c>
      <c r="H1315" s="16" t="n">
        <f aca="false">IF(D1315="","",MAX(0,MIN($B$8,IFERROR(LOOKUP(2,1/($U$24:U1314&lt;&gt;""),$U$24:U1314),$B$11))))</f>
        <v>3.22573992907876</v>
      </c>
      <c r="I1315" s="16" t="n">
        <f aca="false" t="array" ref="I1315: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>1.29340126070942</v>
      </c>
      <c r="J1315" s="16" t="n">
        <f aca="false">IF(D1315="","",$B$12)</f>
        <v>0.35</v>
      </c>
      <c r="K1315" s="16" t="n">
        <f aca="false">IF(J1315="","",J1315*$B$15)</f>
        <v>0.9072</v>
      </c>
      <c r="L1315" s="16" t="n">
        <f aca="false">IF(D1315="","",H1315+E1315-K1315-G1315*I1315)</f>
        <v>1.99051726013753</v>
      </c>
      <c r="M1315" s="16" t="n">
        <f aca="false" t="array" ref="M1315: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>0.957504542141455</v>
      </c>
      <c r="N1315" s="16" t="n">
        <f aca="false">IF(D1315="","",(I1315+M1315)/2)</f>
        <v>1.12545290142544</v>
      </c>
      <c r="O1315" s="16" t="n">
        <f aca="false">IF(D1315="","",G1315*N1315)</f>
        <v>0.302409194613015</v>
      </c>
      <c r="P1315" s="16" t="n">
        <f aca="false">IF(D1315="","",H1315+E1315-K1315-O1315)</f>
        <v>2.03564498427714</v>
      </c>
      <c r="Q1315" s="16" t="n">
        <f aca="false">IF(D1315="","",IF(P1315&gt;=0,K1315,MAX(0,K1315+P1315)))</f>
        <v>0.9072</v>
      </c>
      <c r="R1315" s="16" t="n">
        <f aca="false">IF(D1315="","",Q1315/$B$15)</f>
        <v>0.35</v>
      </c>
      <c r="S1315" s="16" t="n">
        <f aca="false">IF(D1315="","",MAX(0,J1315-R1315))</f>
        <v>0</v>
      </c>
      <c r="T1315" s="16" t="n">
        <f aca="false">IF(D1315="","",MAX(0,Z1315-$B$8))</f>
        <v>0</v>
      </c>
      <c r="U1315" s="16" t="n">
        <f aca="false">IF(D1315="","",MAX(0,MIN($B$8,Z1315)))</f>
        <v>2.03564498427714</v>
      </c>
      <c r="V1315" s="16" t="str">
        <f aca="false">IF(D1315="","",IF(S1315&gt;0.0000001,"Sim","Não"))</f>
        <v>Não</v>
      </c>
      <c r="W1315" s="16" t="n">
        <f aca="false">IF(D1315="","",U1315-(H1315+E1315-Q1315-O1315-T1315))</f>
        <v>0</v>
      </c>
      <c r="X1315" s="16" t="n">
        <f aca="false">IF(W1315="","",ABS(W1315))</f>
        <v>0</v>
      </c>
      <c r="Y1315" s="16" t="n">
        <f aca="false">IF(U1315="","",IF($B$8=0,0,U1315/$B$8*100))</f>
        <v>4.31098048343316</v>
      </c>
      <c r="Z1315" s="18" t="n">
        <f aca="false">IF(D1315="","",MAX(0,IF(P1315&gt;=0,P1315,IF(K1315+P1315&gt;=0,0,P1315+K1315))))</f>
        <v>2.03564498427714</v>
      </c>
      <c r="AA1315" s="18" t="n">
        <f aca="false">IF(D1315="","",IF(H1315&lt;=$B$16,1,IF(H1315&gt;=$B$17,$B$21,MATCH(H1315,Aux_CAV!$A$2:$A$121,1))))</f>
        <v>8</v>
      </c>
      <c r="AB1315" s="18" t="n">
        <f aca="false">IF(D1315="","",IF(L1315&lt;=$B$16,1,IF(L1315&gt;=$B$17,$B$21,MATCH(L1315,Aux_CAV!$A$2:$A$121,1))))</f>
        <v>7</v>
      </c>
      <c r="AC1315" s="19" t="n">
        <f aca="false">IF(D1315="","",COUNT($D$24:D1315))</f>
        <v>1280</v>
      </c>
    </row>
    <row r="1316" customFormat="false" ht="12.75" hidden="false" customHeight="true" outlineLevel="0" collapsed="false">
      <c r="A1316" s="14" t="n">
        <f aca="false">IF(D1316="","",DATE(B1316,C1316,1))</f>
        <v>42979</v>
      </c>
      <c r="B1316" s="15" t="n">
        <f aca="false" t="array" ref="B1316:B1316">IF(D1316="","",IFERROR(VALUE(INDEX(Vazoes_COLAR!$A$2:$A$200,INT((ROW()-24)/12)+1)),""))</f>
        <v>2017</v>
      </c>
      <c r="C1316" s="15" t="n">
        <f aca="false">IF(D1316="","",MOD(ROW()-24,12)+1)</f>
        <v>9</v>
      </c>
      <c r="D1316" s="16" t="n">
        <f aca="false" t="array" ref="D1316: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0.00681342122028033</v>
      </c>
      <c r="E1316" s="16" t="n">
        <f aca="false">IF(D1316="","",D1316*$B$15)</f>
        <v>0.0176603878029666</v>
      </c>
      <c r="F1316" s="16" t="n">
        <f aca="false" t="array" ref="F1316:F1316">IF(D1316="","",IFERROR(INDEX(Dados_Evap!$C$2:$N$15,MATCH($B$9,Dados_Evap!$A$2:$A$15,0),C1316),0))</f>
        <v>292.8</v>
      </c>
      <c r="G1316" s="16" t="n">
        <f aca="false">IF(F1316="","",F1316/1000)</f>
        <v>0.2928</v>
      </c>
      <c r="H1316" s="16" t="n">
        <f aca="false">IF(D1316="","",MAX(0,MIN($B$8,IFERROR(LOOKUP(2,1/($U$24:U1315&lt;&gt;""),$U$24:U1315),$B$11))))</f>
        <v>2.03564498427714</v>
      </c>
      <c r="I1316" s="16" t="n">
        <f aca="false" t="array" ref="I1316: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>0.969695435723381</v>
      </c>
      <c r="J1316" s="16" t="n">
        <f aca="false">IF(D1316="","",$B$12)</f>
        <v>0.35</v>
      </c>
      <c r="K1316" s="16" t="n">
        <f aca="false">IF(J1316="","",J1316*$B$15)</f>
        <v>0.9072</v>
      </c>
      <c r="L1316" s="16" t="n">
        <f aca="false">IF(D1316="","",H1316+E1316-K1316-G1316*I1316)</f>
        <v>0.862178548500296</v>
      </c>
      <c r="M1316" s="16" t="n">
        <f aca="false" t="array" ref="M1316: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>0.613596069141745</v>
      </c>
      <c r="N1316" s="16" t="n">
        <f aca="false">IF(D1316="","",(I1316+M1316)/2)</f>
        <v>0.791645752432563</v>
      </c>
      <c r="O1316" s="16" t="n">
        <f aca="false">IF(D1316="","",G1316*N1316)</f>
        <v>0.231793876312254</v>
      </c>
      <c r="P1316" s="16" t="n">
        <f aca="false">IF(D1316="","",H1316+E1316-K1316-O1316)</f>
        <v>0.914311495767847</v>
      </c>
      <c r="Q1316" s="16" t="n">
        <f aca="false">IF(D1316="","",IF(P1316&gt;=0,K1316,MAX(0,K1316+P1316)))</f>
        <v>0.9072</v>
      </c>
      <c r="R1316" s="16" t="n">
        <f aca="false">IF(D1316="","",Q1316/$B$15)</f>
        <v>0.35</v>
      </c>
      <c r="S1316" s="16" t="n">
        <f aca="false">IF(D1316="","",MAX(0,J1316-R1316))</f>
        <v>0</v>
      </c>
      <c r="T1316" s="16" t="n">
        <f aca="false">IF(D1316="","",MAX(0,Z1316-$B$8))</f>
        <v>0</v>
      </c>
      <c r="U1316" s="16" t="n">
        <f aca="false">IF(D1316="","",MAX(0,MIN($B$8,Z1316)))</f>
        <v>0.914311495767847</v>
      </c>
      <c r="V1316" s="16" t="str">
        <f aca="false">IF(D1316="","",IF(S1316&gt;0.0000001,"Sim","Não"))</f>
        <v>Não</v>
      </c>
      <c r="W1316" s="16" t="n">
        <f aca="false">IF(D1316="","",U1316-(H1316+E1316-Q1316-O1316-T1316))</f>
        <v>0</v>
      </c>
      <c r="X1316" s="16" t="n">
        <f aca="false">IF(W1316="","",ABS(W1316))</f>
        <v>0</v>
      </c>
      <c r="Y1316" s="16" t="n">
        <f aca="false">IF(U1316="","",IF($B$8=0,0,U1316/$B$8*100))</f>
        <v>1.9362801689281</v>
      </c>
      <c r="Z1316" s="18" t="n">
        <f aca="false">IF(D1316="","",MAX(0,IF(P1316&gt;=0,P1316,IF(K1316+P1316&gt;=0,0,P1316+K1316))))</f>
        <v>0.914311495767847</v>
      </c>
      <c r="AA1316" s="18" t="n">
        <f aca="false">IF(D1316="","",IF(H1316&lt;=$B$16,1,IF(H1316&gt;=$B$17,$B$21,MATCH(H1316,Aux_CAV!$A$2:$A$121,1))))</f>
        <v>8</v>
      </c>
      <c r="AB1316" s="18" t="n">
        <f aca="false">IF(D1316="","",IF(L1316&lt;=$B$16,1,IF(L1316&gt;=$B$17,$B$21,MATCH(L1316,Aux_CAV!$A$2:$A$121,1))))</f>
        <v>6</v>
      </c>
      <c r="AC1316" s="19" t="n">
        <f aca="false">IF(D1316="","",COUNT($D$24:D1316))</f>
        <v>1281</v>
      </c>
    </row>
    <row r="1317" customFormat="false" ht="12.75" hidden="false" customHeight="true" outlineLevel="0" collapsed="false">
      <c r="A1317" s="14" t="n">
        <f aca="false">IF(D1317="","",DATE(B1317,C1317,1))</f>
        <v>43009</v>
      </c>
      <c r="B1317" s="15" t="n">
        <f aca="false" t="array" ref="B1317:B1317">IF(D1317="","",IFERROR(VALUE(INDEX(Vazoes_COLAR!$A$2:$A$200,INT((ROW()-24)/12)+1)),""))</f>
        <v>2017</v>
      </c>
      <c r="C1317" s="15" t="n">
        <f aca="false">IF(D1317="","",MOD(ROW()-24,12)+1)</f>
        <v>10</v>
      </c>
      <c r="D1317" s="16" t="n">
        <f aca="false" t="array" ref="D1317: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0.00672920672229406</v>
      </c>
      <c r="E1317" s="16" t="n">
        <f aca="false">IF(D1317="","",D1317*$B$15)</f>
        <v>0.0174421038241862</v>
      </c>
      <c r="F1317" s="16" t="n">
        <f aca="false" t="array" ref="F1317:F1317">IF(D1317="","",IFERROR(INDEX(Dados_Evap!$C$2:$N$15,MATCH($B$9,Dados_Evap!$A$2:$A$15,0),C1317),0))</f>
        <v>262.9</v>
      </c>
      <c r="G1317" s="16" t="n">
        <f aca="false">IF(F1317="","",F1317/1000)</f>
        <v>0.2629</v>
      </c>
      <c r="H1317" s="16" t="n">
        <f aca="false">IF(D1317="","",MAX(0,MIN($B$8,IFERROR(LOOKUP(2,1/($U$24:U1316&lt;&gt;""),$U$24:U1316),$B$11))))</f>
        <v>0.914311495767847</v>
      </c>
      <c r="I1317" s="16" t="n">
        <f aca="false" t="array" ref="I1317: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>0.640354573048984</v>
      </c>
      <c r="J1317" s="16" t="n">
        <f aca="false">IF(D1317="","",$B$12)</f>
        <v>0.35</v>
      </c>
      <c r="K1317" s="16" t="n">
        <f aca="false">IF(J1317="","",J1317*$B$15)</f>
        <v>0.9072</v>
      </c>
      <c r="L1317" s="16" t="n">
        <f aca="false">IF(D1317="","",H1317+E1317-K1317-G1317*I1317)</f>
        <v>-0.143795617662544</v>
      </c>
      <c r="M1317" s="16" t="n">
        <f aca="false" t="array" ref="M1317: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>0</v>
      </c>
      <c r="N1317" s="16" t="n">
        <f aca="false">IF(D1317="","",(I1317+M1317)/2)</f>
        <v>0.320177286524492</v>
      </c>
      <c r="O1317" s="16" t="n">
        <f aca="false">IF(D1317="","",G1317*N1317)</f>
        <v>0.0841746086272889</v>
      </c>
      <c r="P1317" s="16" t="n">
        <f aca="false">IF(D1317="","",H1317+E1317-K1317-O1317)</f>
        <v>-0.0596210090352554</v>
      </c>
      <c r="Q1317" s="16" t="n">
        <f aca="false">IF(D1317="","",IF(P1317&gt;=0,K1317,MAX(0,K1317+P1317)))</f>
        <v>0.847578990964745</v>
      </c>
      <c r="R1317" s="16" t="n">
        <f aca="false">IF(D1317="","",Q1317/$B$15)</f>
        <v>0.32699806750183</v>
      </c>
      <c r="S1317" s="16" t="n">
        <f aca="false">IF(D1317="","",MAX(0,J1317-R1317))</f>
        <v>0.0230019324981695</v>
      </c>
      <c r="T1317" s="16" t="n">
        <f aca="false">IF(D1317="","",MAX(0,Z1317-$B$8))</f>
        <v>0</v>
      </c>
      <c r="U1317" s="16" t="n">
        <f aca="false">IF(D1317="","",MAX(0,MIN($B$8,Z1317)))</f>
        <v>0</v>
      </c>
      <c r="V1317" s="16" t="str">
        <f aca="false">IF(D1317="","",IF(S1317&gt;0.0000001,"Sim","Não"))</f>
        <v>Sim</v>
      </c>
      <c r="W1317" s="16" t="n">
        <f aca="false">IF(D1317="","",U1317-(H1317+E1317-Q1317-O1317-T1317))</f>
        <v>0</v>
      </c>
      <c r="X1317" s="16" t="n">
        <f aca="false">IF(W1317="","",ABS(W1317))</f>
        <v>0</v>
      </c>
      <c r="Y1317" s="16" t="n">
        <f aca="false">IF(U1317="","",IF($B$8=0,0,U1317/$B$8*100))</f>
        <v>0</v>
      </c>
      <c r="Z1317" s="18" t="n">
        <f aca="false">IF(D1317="","",MAX(0,IF(P1317&gt;=0,P1317,IF(K1317+P1317&gt;=0,0,P1317+K1317))))</f>
        <v>0</v>
      </c>
      <c r="AA1317" s="18" t="n">
        <f aca="false">IF(D1317="","",IF(H1317&lt;=$B$16,1,IF(H1317&gt;=$B$17,$B$21,MATCH(H1317,Aux_CAV!$A$2:$A$121,1))))</f>
        <v>6</v>
      </c>
      <c r="AB1317" s="18" t="n">
        <f aca="false">IF(D1317="","",IF(L1317&lt;=$B$16,1,IF(L1317&gt;=$B$17,$B$21,MATCH(L1317,Aux_CAV!$A$2:$A$121,1))))</f>
        <v>1</v>
      </c>
      <c r="AC1317" s="19" t="n">
        <f aca="false">IF(D1317="","",COUNT($D$24:D1317))</f>
        <v>1282</v>
      </c>
    </row>
    <row r="1318" customFormat="false" ht="12.75" hidden="false" customHeight="true" outlineLevel="0" collapsed="false">
      <c r="A1318" s="14" t="n">
        <f aca="false">IF(D1318="","",DATE(B1318,C1318,1))</f>
        <v>43040</v>
      </c>
      <c r="B1318" s="15" t="n">
        <f aca="false" t="array" ref="B1318:B1318">IF(D1318="","",IFERROR(VALUE(INDEX(Vazoes_COLAR!$A$2:$A$200,INT((ROW()-24)/12)+1)),""))</f>
        <v>2017</v>
      </c>
      <c r="C1318" s="15" t="n">
        <f aca="false">IF(D1318="","",MOD(ROW()-24,12)+1)</f>
        <v>11</v>
      </c>
      <c r="D1318" s="16" t="n">
        <f aca="false" t="array" ref="D1318: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0.0130730035879224</v>
      </c>
      <c r="E1318" s="16" t="n">
        <f aca="false">IF(D1318="","",D1318*$B$15)</f>
        <v>0.0338852252998949</v>
      </c>
      <c r="F1318" s="16" t="n">
        <f aca="false" t="array" ref="F1318:F1318">IF(D1318="","",IFERROR(INDEX(Dados_Evap!$C$2:$N$15,MATCH($B$9,Dados_Evap!$A$2:$A$15,0),C1318),0))</f>
        <v>223.7</v>
      </c>
      <c r="G1318" s="16" t="n">
        <f aca="false">IF(F1318="","",F1318/1000)</f>
        <v>0.2237</v>
      </c>
      <c r="H1318" s="16" t="n">
        <f aca="false">IF(D1318="","",MAX(0,MIN($B$8,IFERROR(LOOKUP(2,1/($U$24:U1317&lt;&gt;""),$U$24:U1317),$B$11))))</f>
        <v>0</v>
      </c>
      <c r="I1318" s="16" t="n">
        <f aca="false" t="array" ref="I1318: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>0</v>
      </c>
      <c r="J1318" s="16" t="n">
        <f aca="false">IF(D1318="","",$B$12)</f>
        <v>0.35</v>
      </c>
      <c r="K1318" s="16" t="n">
        <f aca="false">IF(J1318="","",J1318*$B$15)</f>
        <v>0.9072</v>
      </c>
      <c r="L1318" s="16" t="n">
        <f aca="false">IF(D1318="","",H1318+E1318-K1318-G1318*I1318)</f>
        <v>-0.873314774700105</v>
      </c>
      <c r="M1318" s="16" t="n">
        <f aca="false" t="array" ref="M1318: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>0</v>
      </c>
      <c r="N1318" s="16" t="n">
        <f aca="false">IF(D1318="","",(I1318+M1318)/2)</f>
        <v>0</v>
      </c>
      <c r="O1318" s="16" t="n">
        <f aca="false">IF(D1318="","",G1318*N1318)</f>
        <v>0</v>
      </c>
      <c r="P1318" s="16" t="n">
        <f aca="false">IF(D1318="","",H1318+E1318-K1318-O1318)</f>
        <v>-0.873314774700105</v>
      </c>
      <c r="Q1318" s="16" t="n">
        <f aca="false">IF(D1318="","",IF(P1318&gt;=0,K1318,MAX(0,K1318+P1318)))</f>
        <v>0.0338852252998949</v>
      </c>
      <c r="R1318" s="16" t="n">
        <f aca="false">IF(D1318="","",Q1318/$B$15)</f>
        <v>0.0130730035879224</v>
      </c>
      <c r="S1318" s="16" t="n">
        <f aca="false">IF(D1318="","",MAX(0,J1318-R1318))</f>
        <v>0.336926996412078</v>
      </c>
      <c r="T1318" s="16" t="n">
        <f aca="false">IF(D1318="","",MAX(0,Z1318-$B$8))</f>
        <v>0</v>
      </c>
      <c r="U1318" s="16" t="n">
        <f aca="false">IF(D1318="","",MAX(0,MIN($B$8,Z1318)))</f>
        <v>0</v>
      </c>
      <c r="V1318" s="16" t="str">
        <f aca="false">IF(D1318="","",IF(S1318&gt;0.0000001,"Sim","Não"))</f>
        <v>Sim</v>
      </c>
      <c r="W1318" s="16" t="n">
        <f aca="false">IF(D1318="","",U1318-(H1318+E1318-Q1318-O1318-T1318))</f>
        <v>0</v>
      </c>
      <c r="X1318" s="16" t="n">
        <f aca="false">IF(W1318="","",ABS(W1318))</f>
        <v>0</v>
      </c>
      <c r="Y1318" s="16" t="n">
        <f aca="false">IF(U1318="","",IF($B$8=0,0,U1318/$B$8*100))</f>
        <v>0</v>
      </c>
      <c r="Z1318" s="18" t="n">
        <f aca="false">IF(D1318="","",MAX(0,IF(P1318&gt;=0,P1318,IF(K1318+P1318&gt;=0,0,P1318+K1318))))</f>
        <v>0</v>
      </c>
      <c r="AA1318" s="18" t="n">
        <f aca="false">IF(D1318="","",IF(H1318&lt;=$B$16,1,IF(H1318&gt;=$B$17,$B$21,MATCH(H1318,Aux_CAV!$A$2:$A$121,1))))</f>
        <v>1</v>
      </c>
      <c r="AB1318" s="18" t="n">
        <f aca="false">IF(D1318="","",IF(L1318&lt;=$B$16,1,IF(L1318&gt;=$B$17,$B$21,MATCH(L1318,Aux_CAV!$A$2:$A$121,1))))</f>
        <v>1</v>
      </c>
      <c r="AC1318" s="19" t="n">
        <f aca="false">IF(D1318="","",COUNT($D$24:D1318))</f>
        <v>1283</v>
      </c>
    </row>
    <row r="1319" customFormat="false" ht="12.75" hidden="false" customHeight="true" outlineLevel="0" collapsed="false">
      <c r="A1319" s="14" t="n">
        <f aca="false">IF(D1319="","",DATE(B1319,C1319,1))</f>
        <v>43070</v>
      </c>
      <c r="B1319" s="15" t="n">
        <f aca="false" t="array" ref="B1319:B1319">IF(D1319="","",IFERROR(VALUE(INDEX(Vazoes_COLAR!$A$2:$A$200,INT((ROW()-24)/12)+1)),""))</f>
        <v>2017</v>
      </c>
      <c r="C1319" s="15" t="n">
        <f aca="false">IF(D1319="","",MOD(ROW()-24,12)+1)</f>
        <v>12</v>
      </c>
      <c r="D1319" s="16" t="n">
        <f aca="false" t="array" ref="D1319: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0.00977993531626096</v>
      </c>
      <c r="E1319" s="16" t="n">
        <f aca="false">IF(D1319="","",D1319*$B$15)</f>
        <v>0.0253495923397484</v>
      </c>
      <c r="F1319" s="16" t="n">
        <f aca="false" t="array" ref="F1319:F1319">IF(D1319="","",IFERROR(INDEX(Dados_Evap!$C$2:$N$15,MATCH($B$9,Dados_Evap!$A$2:$A$15,0),C1319),0))</f>
        <v>216.1</v>
      </c>
      <c r="G1319" s="16" t="n">
        <f aca="false">IF(F1319="","",F1319/1000)</f>
        <v>0.2161</v>
      </c>
      <c r="H1319" s="16" t="n">
        <f aca="false">IF(D1319="","",MAX(0,MIN($B$8,IFERROR(LOOKUP(2,1/($U$24:U1318&lt;&gt;""),$U$24:U1318),$B$11))))</f>
        <v>0</v>
      </c>
      <c r="I1319" s="16" t="n">
        <f aca="false" t="array" ref="I1319: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>0</v>
      </c>
      <c r="J1319" s="16" t="n">
        <f aca="false">IF(D1319="","",$B$12)</f>
        <v>0.35</v>
      </c>
      <c r="K1319" s="16" t="n">
        <f aca="false">IF(J1319="","",J1319*$B$15)</f>
        <v>0.9072</v>
      </c>
      <c r="L1319" s="16" t="n">
        <f aca="false">IF(D1319="","",H1319+E1319-K1319-G1319*I1319)</f>
        <v>-0.881850407660252</v>
      </c>
      <c r="M1319" s="16" t="n">
        <f aca="false" t="array" ref="M1319: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>0</v>
      </c>
      <c r="N1319" s="16" t="n">
        <f aca="false">IF(D1319="","",(I1319+M1319)/2)</f>
        <v>0</v>
      </c>
      <c r="O1319" s="16" t="n">
        <f aca="false">IF(D1319="","",G1319*N1319)</f>
        <v>0</v>
      </c>
      <c r="P1319" s="16" t="n">
        <f aca="false">IF(D1319="","",H1319+E1319-K1319-O1319)</f>
        <v>-0.881850407660252</v>
      </c>
      <c r="Q1319" s="16" t="n">
        <f aca="false">IF(D1319="","",IF(P1319&gt;=0,K1319,MAX(0,K1319+P1319)))</f>
        <v>0.0253495923397484</v>
      </c>
      <c r="R1319" s="16" t="n">
        <f aca="false">IF(D1319="","",Q1319/$B$15)</f>
        <v>0.00977993531626097</v>
      </c>
      <c r="S1319" s="16" t="n">
        <f aca="false">IF(D1319="","",MAX(0,J1319-R1319))</f>
        <v>0.340220064683739</v>
      </c>
      <c r="T1319" s="16" t="n">
        <f aca="false">IF(D1319="","",MAX(0,Z1319-$B$8))</f>
        <v>0</v>
      </c>
      <c r="U1319" s="16" t="n">
        <f aca="false">IF(D1319="","",MAX(0,MIN($B$8,Z1319)))</f>
        <v>0</v>
      </c>
      <c r="V1319" s="16" t="str">
        <f aca="false">IF(D1319="","",IF(S1319&gt;0.0000001,"Sim","Não"))</f>
        <v>Sim</v>
      </c>
      <c r="W1319" s="16" t="n">
        <f aca="false">IF(D1319="","",U1319-(H1319+E1319-Q1319-O1319-T1319))</f>
        <v>0</v>
      </c>
      <c r="X1319" s="16" t="n">
        <f aca="false">IF(W1319="","",ABS(W1319))</f>
        <v>0</v>
      </c>
      <c r="Y1319" s="16" t="n">
        <f aca="false">IF(U1319="","",IF($B$8=0,0,U1319/$B$8*100))</f>
        <v>0</v>
      </c>
      <c r="Z1319" s="18" t="n">
        <f aca="false">IF(D1319="","",MAX(0,IF(P1319&gt;=0,P1319,IF(K1319+P1319&gt;=0,0,P1319+K1319))))</f>
        <v>0</v>
      </c>
      <c r="AA1319" s="18" t="n">
        <f aca="false">IF(D1319="","",IF(H1319&lt;=$B$16,1,IF(H1319&gt;=$B$17,$B$21,MATCH(H1319,Aux_CAV!$A$2:$A$121,1))))</f>
        <v>1</v>
      </c>
      <c r="AB1319" s="18" t="n">
        <f aca="false">IF(D1319="","",IF(L1319&lt;=$B$16,1,IF(L1319&gt;=$B$17,$B$21,MATCH(L1319,Aux_CAV!$A$2:$A$121,1))))</f>
        <v>1</v>
      </c>
      <c r="AC1319" s="19" t="n">
        <f aca="false">IF(D1319="","",COUNT($D$24:D1319))</f>
        <v>1284</v>
      </c>
    </row>
    <row r="1320" customFormat="false" ht="12.75" hidden="false" customHeight="true" outlineLevel="0" collapsed="false">
      <c r="A1320" s="14" t="n">
        <f aca="false">IF(D1320="","",DATE(B1320,C1320,1))</f>
        <v>43101</v>
      </c>
      <c r="B1320" s="15" t="n">
        <f aca="false" t="array" ref="B1320:B1320">IF(D1320="","",IFERROR(VALUE(INDEX(Vazoes_COLAR!$A$2:$A$200,INT((ROW()-24)/12)+1)),""))</f>
        <v>2018</v>
      </c>
      <c r="C1320" s="15" t="n">
        <f aca="false">IF(D1320="","",MOD(ROW()-24,12)+1)</f>
        <v>1</v>
      </c>
      <c r="D1320" s="16" t="n">
        <f aca="false" t="array" ref="D1320: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0.07743687388961</v>
      </c>
      <c r="E1320" s="16" t="n">
        <f aca="false">IF(D1320="","",D1320*$B$15)</f>
        <v>0.200716377121869</v>
      </c>
      <c r="F1320" s="16" t="n">
        <f aca="false" t="array" ref="F1320:F1320">IF(D1320="","",IFERROR(INDEX(Dados_Evap!$C$2:$N$15,MATCH($B$9,Dados_Evap!$A$2:$A$15,0),C1320),0))</f>
        <v>160</v>
      </c>
      <c r="G1320" s="16" t="n">
        <f aca="false">IF(F1320="","",F1320/1000)</f>
        <v>0.16</v>
      </c>
      <c r="H1320" s="16" t="n">
        <f aca="false">IF(D1320="","",MAX(0,MIN($B$8,IFERROR(LOOKUP(2,1/($U$24:U1319&lt;&gt;""),$U$24:U1319),$B$11))))</f>
        <v>0</v>
      </c>
      <c r="I1320" s="16" t="n">
        <f aca="false" t="array" ref="I1320: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>0</v>
      </c>
      <c r="J1320" s="16" t="n">
        <f aca="false">IF(D1320="","",$B$12)</f>
        <v>0.35</v>
      </c>
      <c r="K1320" s="16" t="n">
        <f aca="false">IF(J1320="","",J1320*$B$15)</f>
        <v>0.9072</v>
      </c>
      <c r="L1320" s="16" t="n">
        <f aca="false">IF(D1320="","",H1320+E1320-K1320-G1320*I1320)</f>
        <v>-0.706483622878131</v>
      </c>
      <c r="M1320" s="16" t="n">
        <f aca="false" t="array" ref="M1320: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>0</v>
      </c>
      <c r="N1320" s="16" t="n">
        <f aca="false">IF(D1320="","",(I1320+M1320)/2)</f>
        <v>0</v>
      </c>
      <c r="O1320" s="16" t="n">
        <f aca="false">IF(D1320="","",G1320*N1320)</f>
        <v>0</v>
      </c>
      <c r="P1320" s="16" t="n">
        <f aca="false">IF(D1320="","",H1320+E1320-K1320-O1320)</f>
        <v>-0.706483622878131</v>
      </c>
      <c r="Q1320" s="16" t="n">
        <f aca="false">IF(D1320="","",IF(P1320&gt;=0,K1320,MAX(0,K1320+P1320)))</f>
        <v>0.200716377121869</v>
      </c>
      <c r="R1320" s="16" t="n">
        <f aca="false">IF(D1320="","",Q1320/$B$15)</f>
        <v>0.07743687388961</v>
      </c>
      <c r="S1320" s="16" t="n">
        <f aca="false">IF(D1320="","",MAX(0,J1320-R1320))</f>
        <v>0.27256312611039</v>
      </c>
      <c r="T1320" s="16" t="n">
        <f aca="false">IF(D1320="","",MAX(0,Z1320-$B$8))</f>
        <v>0</v>
      </c>
      <c r="U1320" s="16" t="n">
        <f aca="false">IF(D1320="","",MAX(0,MIN($B$8,Z1320)))</f>
        <v>0</v>
      </c>
      <c r="V1320" s="16" t="str">
        <f aca="false">IF(D1320="","",IF(S1320&gt;0.0000001,"Sim","Não"))</f>
        <v>Sim</v>
      </c>
      <c r="W1320" s="16" t="n">
        <f aca="false">IF(D1320="","",U1320-(H1320+E1320-Q1320-O1320-T1320))</f>
        <v>0</v>
      </c>
      <c r="X1320" s="16" t="n">
        <f aca="false">IF(W1320="","",ABS(W1320))</f>
        <v>0</v>
      </c>
      <c r="Y1320" s="16" t="n">
        <f aca="false">IF(U1320="","",IF($B$8=0,0,U1320/$B$8*100))</f>
        <v>0</v>
      </c>
      <c r="Z1320" s="18" t="n">
        <f aca="false">IF(D1320="","",MAX(0,IF(P1320&gt;=0,P1320,IF(K1320+P1320&gt;=0,0,P1320+K1320))))</f>
        <v>0</v>
      </c>
      <c r="AA1320" s="18" t="n">
        <f aca="false">IF(D1320="","",IF(H1320&lt;=$B$16,1,IF(H1320&gt;=$B$17,$B$21,MATCH(H1320,Aux_CAV!$A$2:$A$121,1))))</f>
        <v>1</v>
      </c>
      <c r="AB1320" s="18" t="n">
        <f aca="false">IF(D1320="","",IF(L1320&lt;=$B$16,1,IF(L1320&gt;=$B$17,$B$21,MATCH(L1320,Aux_CAV!$A$2:$A$121,1))))</f>
        <v>1</v>
      </c>
      <c r="AC1320" s="19" t="n">
        <f aca="false">IF(D1320="","",COUNT($D$24:D1320))</f>
        <v>1285</v>
      </c>
    </row>
    <row r="1321" customFormat="false" ht="12.75" hidden="false" customHeight="true" outlineLevel="0" collapsed="false">
      <c r="A1321" s="14" t="n">
        <f aca="false">IF(D1321="","",DATE(B1321,C1321,1))</f>
        <v>43132</v>
      </c>
      <c r="B1321" s="15" t="n">
        <f aca="false" t="array" ref="B1321:B1321">IF(D1321="","",IFERROR(VALUE(INDEX(Vazoes_COLAR!$A$2:$A$200,INT((ROW()-24)/12)+1)),""))</f>
        <v>2018</v>
      </c>
      <c r="C1321" s="15" t="n">
        <f aca="false">IF(D1321="","",MOD(ROW()-24,12)+1)</f>
        <v>2</v>
      </c>
      <c r="D1321" s="16" t="n">
        <f aca="false" t="array" ref="D1321: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1.31467152831964</v>
      </c>
      <c r="E1321" s="16" t="n">
        <f aca="false">IF(D1321="","",D1321*$B$15)</f>
        <v>3.40762860140451</v>
      </c>
      <c r="F1321" s="16" t="n">
        <f aca="false" t="array" ref="F1321:F1321">IF(D1321="","",IFERROR(INDEX(Dados_Evap!$C$2:$N$15,MATCH($B$9,Dados_Evap!$A$2:$A$15,0),C1321),0))</f>
        <v>124.3</v>
      </c>
      <c r="G1321" s="16" t="n">
        <f aca="false">IF(F1321="","",F1321/1000)</f>
        <v>0.1243</v>
      </c>
      <c r="H1321" s="16" t="n">
        <f aca="false">IF(D1321="","",MAX(0,MIN($B$8,IFERROR(LOOKUP(2,1/($U$24:U1320&lt;&gt;""),$U$24:U1320),$B$11))))</f>
        <v>0</v>
      </c>
      <c r="I1321" s="16" t="n">
        <f aca="false" t="array" ref="I1321: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>0</v>
      </c>
      <c r="J1321" s="16" t="n">
        <f aca="false">IF(D1321="","",$B$12)</f>
        <v>0.35</v>
      </c>
      <c r="K1321" s="16" t="n">
        <f aca="false">IF(J1321="","",J1321*$B$15)</f>
        <v>0.9072</v>
      </c>
      <c r="L1321" s="16" t="n">
        <f aca="false">IF(D1321="","",H1321+E1321-K1321-G1321*I1321)</f>
        <v>2.50042860140451</v>
      </c>
      <c r="M1321" s="16" t="n">
        <f aca="false" t="array" ref="M1321: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>1.09611657958203</v>
      </c>
      <c r="N1321" s="16" t="n">
        <f aca="false">IF(D1321="","",(I1321+M1321)/2)</f>
        <v>0.548058289791013</v>
      </c>
      <c r="O1321" s="16" t="n">
        <f aca="false">IF(D1321="","",G1321*N1321)</f>
        <v>0.0681236454210229</v>
      </c>
      <c r="P1321" s="16" t="n">
        <f aca="false">IF(D1321="","",H1321+E1321-K1321-O1321)</f>
        <v>2.43230495598348</v>
      </c>
      <c r="Q1321" s="16" t="n">
        <f aca="false">IF(D1321="","",IF(P1321&gt;=0,K1321,MAX(0,K1321+P1321)))</f>
        <v>0.9072</v>
      </c>
      <c r="R1321" s="16" t="n">
        <f aca="false">IF(D1321="","",Q1321/$B$15)</f>
        <v>0.35</v>
      </c>
      <c r="S1321" s="16" t="n">
        <f aca="false">IF(D1321="","",MAX(0,J1321-R1321))</f>
        <v>0</v>
      </c>
      <c r="T1321" s="16" t="n">
        <f aca="false">IF(D1321="","",MAX(0,Z1321-$B$8))</f>
        <v>0</v>
      </c>
      <c r="U1321" s="16" t="n">
        <f aca="false">IF(D1321="","",MAX(0,MIN($B$8,Z1321)))</f>
        <v>2.43230495598348</v>
      </c>
      <c r="V1321" s="16" t="str">
        <f aca="false">IF(D1321="","",IF(S1321&gt;0.0000001,"Sim","Não"))</f>
        <v>Não</v>
      </c>
      <c r="W1321" s="16" t="n">
        <f aca="false">IF(D1321="","",U1321-(H1321+E1321-Q1321-O1321-T1321))</f>
        <v>0</v>
      </c>
      <c r="X1321" s="16" t="n">
        <f aca="false">IF(W1321="","",ABS(W1321))</f>
        <v>0</v>
      </c>
      <c r="Y1321" s="16" t="n">
        <f aca="false">IF(U1321="","",IF($B$8=0,0,U1321/$B$8*100))</f>
        <v>5.15100583647498</v>
      </c>
      <c r="Z1321" s="18" t="n">
        <f aca="false">IF(D1321="","",MAX(0,IF(P1321&gt;=0,P1321,IF(K1321+P1321&gt;=0,0,P1321+K1321))))</f>
        <v>2.43230495598348</v>
      </c>
      <c r="AA1321" s="18" t="n">
        <f aca="false">IF(D1321="","",IF(H1321&lt;=$B$16,1,IF(H1321&gt;=$B$17,$B$21,MATCH(H1321,Aux_CAV!$A$2:$A$121,1))))</f>
        <v>1</v>
      </c>
      <c r="AB1321" s="18" t="n">
        <f aca="false">IF(D1321="","",IF(L1321&lt;=$B$16,1,IF(L1321&gt;=$B$17,$B$21,MATCH(L1321,Aux_CAV!$A$2:$A$121,1))))</f>
        <v>8</v>
      </c>
      <c r="AC1321" s="19" t="n">
        <f aca="false">IF(D1321="","",COUNT($D$24:D1321))</f>
        <v>1286</v>
      </c>
    </row>
    <row r="1322" customFormat="false" ht="12.75" hidden="false" customHeight="true" outlineLevel="0" collapsed="false">
      <c r="A1322" s="14" t="n">
        <f aca="false">IF(D1322="","",DATE(B1322,C1322,1))</f>
        <v>43160</v>
      </c>
      <c r="B1322" s="15" t="n">
        <f aca="false" t="array" ref="B1322:B1322">IF(D1322="","",IFERROR(VALUE(INDEX(Vazoes_COLAR!$A$2:$A$200,INT((ROW()-24)/12)+1)),""))</f>
        <v>2018</v>
      </c>
      <c r="C1322" s="15" t="n">
        <f aca="false">IF(D1322="","",MOD(ROW()-24,12)+1)</f>
        <v>3</v>
      </c>
      <c r="D1322" s="16" t="n">
        <f aca="false" t="array" ref="D1322: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1.33266589348022</v>
      </c>
      <c r="E1322" s="16" t="n">
        <f aca="false">IF(D1322="","",D1322*$B$15)</f>
        <v>3.45426999590073</v>
      </c>
      <c r="F1322" s="16" t="n">
        <f aca="false" t="array" ref="F1322:F1322">IF(D1322="","",IFERROR(INDEX(Dados_Evap!$C$2:$N$15,MATCH($B$9,Dados_Evap!$A$2:$A$15,0),C1322),0))</f>
        <v>107.7</v>
      </c>
      <c r="G1322" s="16" t="n">
        <f aca="false">IF(F1322="","",F1322/1000)</f>
        <v>0.1077</v>
      </c>
      <c r="H1322" s="16" t="n">
        <f aca="false">IF(D1322="","",MAX(0,MIN($B$8,IFERROR(LOOKUP(2,1/($U$24:U1321&lt;&gt;""),$U$24:U1321),$B$11))))</f>
        <v>2.43230495598348</v>
      </c>
      <c r="I1322" s="16" t="n">
        <f aca="false" t="array" ref="I1322: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>1.07758694802751</v>
      </c>
      <c r="J1322" s="16" t="n">
        <f aca="false">IF(D1322="","",$B$12)</f>
        <v>0.35</v>
      </c>
      <c r="K1322" s="16" t="n">
        <f aca="false">IF(J1322="","",J1322*$B$15)</f>
        <v>0.9072</v>
      </c>
      <c r="L1322" s="16" t="n">
        <f aca="false">IF(D1322="","",H1322+E1322-K1322-G1322*I1322)</f>
        <v>4.86331883758165</v>
      </c>
      <c r="M1322" s="16" t="n">
        <f aca="false" t="array" ref="M1322: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>1.75054168888123</v>
      </c>
      <c r="N1322" s="16" t="n">
        <f aca="false">IF(D1322="","",(I1322+M1322)/2)</f>
        <v>1.41406431845437</v>
      </c>
      <c r="O1322" s="16" t="n">
        <f aca="false">IF(D1322="","",G1322*N1322)</f>
        <v>0.152294727097535</v>
      </c>
      <c r="P1322" s="16" t="n">
        <f aca="false">IF(D1322="","",H1322+E1322-K1322-O1322)</f>
        <v>4.82708022478668</v>
      </c>
      <c r="Q1322" s="16" t="n">
        <f aca="false">IF(D1322="","",IF(P1322&gt;=0,K1322,MAX(0,K1322+P1322)))</f>
        <v>0.9072</v>
      </c>
      <c r="R1322" s="16" t="n">
        <f aca="false">IF(D1322="","",Q1322/$B$15)</f>
        <v>0.35</v>
      </c>
      <c r="S1322" s="16" t="n">
        <f aca="false">IF(D1322="","",MAX(0,J1322-R1322))</f>
        <v>0</v>
      </c>
      <c r="T1322" s="16" t="n">
        <f aca="false">IF(D1322="","",MAX(0,Z1322-$B$8))</f>
        <v>0</v>
      </c>
      <c r="U1322" s="16" t="n">
        <f aca="false">IF(D1322="","",MAX(0,MIN($B$8,Z1322)))</f>
        <v>4.82708022478668</v>
      </c>
      <c r="V1322" s="16" t="str">
        <f aca="false">IF(D1322="","",IF(S1322&gt;0.0000001,"Sim","Não"))</f>
        <v>Não</v>
      </c>
      <c r="W1322" s="16" t="n">
        <f aca="false">IF(D1322="","",U1322-(H1322+E1322-Q1322-O1322-T1322))</f>
        <v>0</v>
      </c>
      <c r="X1322" s="16" t="n">
        <f aca="false">IF(W1322="","",ABS(W1322))</f>
        <v>0</v>
      </c>
      <c r="Y1322" s="16" t="n">
        <f aca="false">IF(U1322="","",IF($B$8=0,0,U1322/$B$8*100))</f>
        <v>10.2225333011154</v>
      </c>
      <c r="Z1322" s="18" t="n">
        <f aca="false">IF(D1322="","",MAX(0,IF(P1322&gt;=0,P1322,IF(K1322+P1322&gt;=0,0,P1322+K1322))))</f>
        <v>4.82708022478668</v>
      </c>
      <c r="AA1322" s="18" t="n">
        <f aca="false">IF(D1322="","",IF(H1322&lt;=$B$16,1,IF(H1322&gt;=$B$17,$B$21,MATCH(H1322,Aux_CAV!$A$2:$A$121,1))))</f>
        <v>8</v>
      </c>
      <c r="AB1322" s="18" t="n">
        <f aca="false">IF(D1322="","",IF(L1322&lt;=$B$16,1,IF(L1322&gt;=$B$17,$B$21,MATCH(L1322,Aux_CAV!$A$2:$A$121,1))))</f>
        <v>9</v>
      </c>
      <c r="AC1322" s="19" t="n">
        <f aca="false">IF(D1322="","",COUNT($D$24:D1322))</f>
        <v>1287</v>
      </c>
    </row>
    <row r="1323" customFormat="false" ht="12.75" hidden="false" customHeight="true" outlineLevel="0" collapsed="false">
      <c r="A1323" s="14" t="n">
        <f aca="false">IF(D1323="","",DATE(B1323,C1323,1))</f>
        <v>43191</v>
      </c>
      <c r="B1323" s="15" t="n">
        <f aca="false" t="array" ref="B1323:B1323">IF(D1323="","",IFERROR(VALUE(INDEX(Vazoes_COLAR!$A$2:$A$200,INT((ROW()-24)/12)+1)),""))</f>
        <v>2018</v>
      </c>
      <c r="C1323" s="15" t="n">
        <f aca="false">IF(D1323="","",MOD(ROW()-24,12)+1)</f>
        <v>4</v>
      </c>
      <c r="D1323" s="16" t="n">
        <f aca="false" t="array" ref="D1323: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5.25616627723726</v>
      </c>
      <c r="E1323" s="16" t="n">
        <f aca="false">IF(D1323="","",D1323*$B$15)</f>
        <v>13.623982990599</v>
      </c>
      <c r="F1323" s="16" t="n">
        <f aca="false" t="array" ref="F1323:F1323">IF(D1323="","",IFERROR(INDEX(Dados_Evap!$C$2:$N$15,MATCH($B$9,Dados_Evap!$A$2:$A$15,0),C1323),0))</f>
        <v>100.5</v>
      </c>
      <c r="G1323" s="16" t="n">
        <f aca="false">IF(F1323="","",F1323/1000)</f>
        <v>0.1005</v>
      </c>
      <c r="H1323" s="16" t="n">
        <f aca="false">IF(D1323="","",MAX(0,MIN($B$8,IFERROR(LOOKUP(2,1/($U$24:U1322&lt;&gt;""),$U$24:U1322),$B$11))))</f>
        <v>4.82708022478668</v>
      </c>
      <c r="I1323" s="16" t="n">
        <f aca="false" t="array" ref="I1323: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>1.73951589817978</v>
      </c>
      <c r="J1323" s="16" t="n">
        <f aca="false">IF(D1323="","",$B$12)</f>
        <v>0.35</v>
      </c>
      <c r="K1323" s="16" t="n">
        <f aca="false">IF(J1323="","",J1323*$B$15)</f>
        <v>0.9072</v>
      </c>
      <c r="L1323" s="16" t="n">
        <f aca="false">IF(D1323="","",H1323+E1323-K1323-G1323*I1323)</f>
        <v>17.3690418676186</v>
      </c>
      <c r="M1323" s="16" t="n">
        <f aca="false" t="array" ref="M1323: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>3.81361719881295</v>
      </c>
      <c r="N1323" s="16" t="n">
        <f aca="false">IF(D1323="","",(I1323+M1323)/2)</f>
        <v>2.77656654849637</v>
      </c>
      <c r="O1323" s="16" t="n">
        <f aca="false">IF(D1323="","",G1323*N1323)</f>
        <v>0.279044938123885</v>
      </c>
      <c r="P1323" s="16" t="n">
        <f aca="false">IF(D1323="","",H1323+E1323-K1323-O1323)</f>
        <v>17.2648182772618</v>
      </c>
      <c r="Q1323" s="16" t="n">
        <f aca="false">IF(D1323="","",IF(P1323&gt;=0,K1323,MAX(0,K1323+P1323)))</f>
        <v>0.9072</v>
      </c>
      <c r="R1323" s="16" t="n">
        <f aca="false">IF(D1323="","",Q1323/$B$15)</f>
        <v>0.35</v>
      </c>
      <c r="S1323" s="16" t="n">
        <f aca="false">IF(D1323="","",MAX(0,J1323-R1323))</f>
        <v>0</v>
      </c>
      <c r="T1323" s="16" t="n">
        <f aca="false">IF(D1323="","",MAX(0,Z1323-$B$8))</f>
        <v>0</v>
      </c>
      <c r="U1323" s="16" t="n">
        <f aca="false">IF(D1323="","",MAX(0,MIN($B$8,Z1323)))</f>
        <v>17.2648182772618</v>
      </c>
      <c r="V1323" s="16" t="str">
        <f aca="false">IF(D1323="","",IF(S1323&gt;0.0000001,"Sim","Não"))</f>
        <v>Não</v>
      </c>
      <c r="W1323" s="16" t="n">
        <f aca="false">IF(D1323="","",U1323-(H1323+E1323-Q1323-O1323-T1323))</f>
        <v>0</v>
      </c>
      <c r="X1323" s="16" t="n">
        <f aca="false">IF(W1323="","",ABS(W1323))</f>
        <v>0</v>
      </c>
      <c r="Y1323" s="16" t="n">
        <f aca="false">IF(U1323="","",IF($B$8=0,0,U1323/$B$8*100))</f>
        <v>36.5625122347772</v>
      </c>
      <c r="Z1323" s="18" t="n">
        <f aca="false">IF(D1323="","",MAX(0,IF(P1323&gt;=0,P1323,IF(K1323+P1323&gt;=0,0,P1323+K1323))))</f>
        <v>17.2648182772618</v>
      </c>
      <c r="AA1323" s="18" t="n">
        <f aca="false">IF(D1323="","",IF(H1323&lt;=$B$16,1,IF(H1323&gt;=$B$17,$B$21,MATCH(H1323,Aux_CAV!$A$2:$A$121,1))))</f>
        <v>9</v>
      </c>
      <c r="AB1323" s="18" t="n">
        <f aca="false">IF(D1323="","",IF(L1323&lt;=$B$16,1,IF(L1323&gt;=$B$17,$B$21,MATCH(L1323,Aux_CAV!$A$2:$A$121,1))))</f>
        <v>11</v>
      </c>
      <c r="AC1323" s="19" t="n">
        <f aca="false">IF(D1323="","",COUNT($D$24:D1323))</f>
        <v>1288</v>
      </c>
    </row>
    <row r="1324" customFormat="false" ht="12.75" hidden="false" customHeight="true" outlineLevel="0" collapsed="false">
      <c r="A1324" s="14" t="n">
        <f aca="false">IF(D1324="","",DATE(B1324,C1324,1))</f>
        <v>43221</v>
      </c>
      <c r="B1324" s="15" t="n">
        <f aca="false" t="array" ref="B1324:B1324">IF(D1324="","",IFERROR(VALUE(INDEX(Vazoes_COLAR!$A$2:$A$200,INT((ROW()-24)/12)+1)),""))</f>
        <v>2018</v>
      </c>
      <c r="C1324" s="15" t="n">
        <f aca="false">IF(D1324="","",MOD(ROW()-24,12)+1)</f>
        <v>5</v>
      </c>
      <c r="D1324" s="16" t="n">
        <f aca="false" t="array" ref="D1324: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0.798127301580004</v>
      </c>
      <c r="E1324" s="16" t="n">
        <f aca="false">IF(D1324="","",D1324*$B$15)</f>
        <v>2.06874596569537</v>
      </c>
      <c r="F1324" s="16" t="n">
        <f aca="false" t="array" ref="F1324:F1324">IF(D1324="","",IFERROR(INDEX(Dados_Evap!$C$2:$N$15,MATCH($B$9,Dados_Evap!$A$2:$A$15,0),C1324),0))</f>
        <v>145.8</v>
      </c>
      <c r="G1324" s="16" t="n">
        <f aca="false">IF(F1324="","",F1324/1000)</f>
        <v>0.1458</v>
      </c>
      <c r="H1324" s="16" t="n">
        <f aca="false">IF(D1324="","",MAX(0,MIN($B$8,IFERROR(LOOKUP(2,1/($U$24:U1323&lt;&gt;""),$U$24:U1323),$B$11))))</f>
        <v>17.2648182772618</v>
      </c>
      <c r="I1324" s="16" t="n">
        <f aca="false" t="array" ref="I1324: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>3.80116120874592</v>
      </c>
      <c r="J1324" s="16" t="n">
        <f aca="false">IF(D1324="","",$B$12)</f>
        <v>0.35</v>
      </c>
      <c r="K1324" s="16" t="n">
        <f aca="false">IF(J1324="","",J1324*$B$15)</f>
        <v>0.9072</v>
      </c>
      <c r="L1324" s="16" t="n">
        <f aca="false">IF(D1324="","",H1324+E1324-K1324-G1324*I1324)</f>
        <v>17.872154938722</v>
      </c>
      <c r="M1324" s="16" t="n">
        <f aca="false" t="array" ref="M1324: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>3.87374534633507</v>
      </c>
      <c r="N1324" s="16" t="n">
        <f aca="false">IF(D1324="","",(I1324+M1324)/2)</f>
        <v>3.83745327754049</v>
      </c>
      <c r="O1324" s="16" t="n">
        <f aca="false">IF(D1324="","",G1324*N1324)</f>
        <v>0.559500687865404</v>
      </c>
      <c r="P1324" s="16" t="n">
        <f aca="false">IF(D1324="","",H1324+E1324-K1324-O1324)</f>
        <v>17.8668635550917</v>
      </c>
      <c r="Q1324" s="16" t="n">
        <f aca="false">IF(D1324="","",IF(P1324&gt;=0,K1324,MAX(0,K1324+P1324)))</f>
        <v>0.9072</v>
      </c>
      <c r="R1324" s="16" t="n">
        <f aca="false">IF(D1324="","",Q1324/$B$15)</f>
        <v>0.35</v>
      </c>
      <c r="S1324" s="16" t="n">
        <f aca="false">IF(D1324="","",MAX(0,J1324-R1324))</f>
        <v>0</v>
      </c>
      <c r="T1324" s="16" t="n">
        <f aca="false">IF(D1324="","",MAX(0,Z1324-$B$8))</f>
        <v>0</v>
      </c>
      <c r="U1324" s="16" t="n">
        <f aca="false">IF(D1324="","",MAX(0,MIN($B$8,Z1324)))</f>
        <v>17.8668635550917</v>
      </c>
      <c r="V1324" s="16" t="str">
        <f aca="false">IF(D1324="","",IF(S1324&gt;0.0000001,"Sim","Não"))</f>
        <v>Não</v>
      </c>
      <c r="W1324" s="16" t="n">
        <f aca="false">IF(D1324="","",U1324-(H1324+E1324-Q1324-O1324-T1324))</f>
        <v>0</v>
      </c>
      <c r="X1324" s="16" t="n">
        <f aca="false">IF(W1324="","",ABS(W1324))</f>
        <v>0</v>
      </c>
      <c r="Y1324" s="16" t="n">
        <f aca="false">IF(U1324="","",IF($B$8=0,0,U1324/$B$8*100))</f>
        <v>37.8374916456835</v>
      </c>
      <c r="Z1324" s="18" t="n">
        <f aca="false">IF(D1324="","",MAX(0,IF(P1324&gt;=0,P1324,IF(K1324+P1324&gt;=0,0,P1324+K1324))))</f>
        <v>17.8668635550917</v>
      </c>
      <c r="AA1324" s="18" t="n">
        <f aca="false">IF(D1324="","",IF(H1324&lt;=$B$16,1,IF(H1324&gt;=$B$17,$B$21,MATCH(H1324,Aux_CAV!$A$2:$A$121,1))))</f>
        <v>11</v>
      </c>
      <c r="AB1324" s="18" t="n">
        <f aca="false">IF(D1324="","",IF(L1324&lt;=$B$16,1,IF(L1324&gt;=$B$17,$B$21,MATCH(L1324,Aux_CAV!$A$2:$A$121,1))))</f>
        <v>11</v>
      </c>
      <c r="AC1324" s="19" t="n">
        <f aca="false">IF(D1324="","",COUNT($D$24:D1324))</f>
        <v>1289</v>
      </c>
    </row>
    <row r="1325" customFormat="false" ht="12.75" hidden="false" customHeight="true" outlineLevel="0" collapsed="false">
      <c r="A1325" s="14" t="n">
        <f aca="false">IF(D1325="","",DATE(B1325,C1325,1))</f>
        <v>43252</v>
      </c>
      <c r="B1325" s="15" t="n">
        <f aca="false" t="array" ref="B1325:B1325">IF(D1325="","",IFERROR(VALUE(INDEX(Vazoes_COLAR!$A$2:$A$200,INT((ROW()-24)/12)+1)),""))</f>
        <v>2018</v>
      </c>
      <c r="C1325" s="15" t="n">
        <f aca="false">IF(D1325="","",MOD(ROW()-24,12)+1)</f>
        <v>6</v>
      </c>
      <c r="D1325" s="16" t="n">
        <f aca="false" t="array" ref="D1325: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0.166488695343585</v>
      </c>
      <c r="E1325" s="16" t="n">
        <f aca="false">IF(D1325="","",D1325*$B$15)</f>
        <v>0.431538698330572</v>
      </c>
      <c r="F1325" s="16" t="n">
        <f aca="false" t="array" ref="F1325:F1325">IF(D1325="","",IFERROR(INDEX(Dados_Evap!$C$2:$N$15,MATCH($B$9,Dados_Evap!$A$2:$A$15,0),C1325),0))</f>
        <v>161.3</v>
      </c>
      <c r="G1325" s="16" t="n">
        <f aca="false">IF(F1325="","",F1325/1000)</f>
        <v>0.1613</v>
      </c>
      <c r="H1325" s="16" t="n">
        <f aca="false">IF(D1325="","",MAX(0,MIN($B$8,IFERROR(LOOKUP(2,1/($U$24:U1324&lt;&gt;""),$U$24:U1324),$B$11))))</f>
        <v>17.8668635550917</v>
      </c>
      <c r="I1325" s="16" t="n">
        <f aca="false" t="array" ref="I1325: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>3.87311296146218</v>
      </c>
      <c r="J1325" s="16" t="n">
        <f aca="false">IF(D1325="","",$B$12)</f>
        <v>0.35</v>
      </c>
      <c r="K1325" s="16" t="n">
        <f aca="false">IF(J1325="","",J1325*$B$15)</f>
        <v>0.9072</v>
      </c>
      <c r="L1325" s="16" t="n">
        <f aca="false">IF(D1325="","",H1325+E1325-K1325-G1325*I1325)</f>
        <v>16.7664691327385</v>
      </c>
      <c r="M1325" s="16" t="n">
        <f aca="false" t="array" ref="M1325: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>3.74160240854679</v>
      </c>
      <c r="N1325" s="16" t="n">
        <f aca="false">IF(D1325="","",(I1325+M1325)/2)</f>
        <v>3.80735768500449</v>
      </c>
      <c r="O1325" s="16" t="n">
        <f aca="false">IF(D1325="","",G1325*N1325)</f>
        <v>0.614126794591224</v>
      </c>
      <c r="P1325" s="16" t="n">
        <f aca="false">IF(D1325="","",H1325+E1325-K1325-O1325)</f>
        <v>16.7770754588311</v>
      </c>
      <c r="Q1325" s="16" t="n">
        <f aca="false">IF(D1325="","",IF(P1325&gt;=0,K1325,MAX(0,K1325+P1325)))</f>
        <v>0.9072</v>
      </c>
      <c r="R1325" s="16" t="n">
        <f aca="false">IF(D1325="","",Q1325/$B$15)</f>
        <v>0.35</v>
      </c>
      <c r="S1325" s="16" t="n">
        <f aca="false">IF(D1325="","",MAX(0,J1325-R1325))</f>
        <v>0</v>
      </c>
      <c r="T1325" s="16" t="n">
        <f aca="false">IF(D1325="","",MAX(0,Z1325-$B$8))</f>
        <v>0</v>
      </c>
      <c r="U1325" s="16" t="n">
        <f aca="false">IF(D1325="","",MAX(0,MIN($B$8,Z1325)))</f>
        <v>16.7770754588311</v>
      </c>
      <c r="V1325" s="16" t="str">
        <f aca="false">IF(D1325="","",IF(S1325&gt;0.0000001,"Sim","Não"))</f>
        <v>Não</v>
      </c>
      <c r="W1325" s="16" t="n">
        <f aca="false">IF(D1325="","",U1325-(H1325+E1325-Q1325-O1325-T1325))</f>
        <v>0</v>
      </c>
      <c r="X1325" s="16" t="n">
        <f aca="false">IF(W1325="","",ABS(W1325))</f>
        <v>0</v>
      </c>
      <c r="Y1325" s="16" t="n">
        <f aca="false">IF(U1325="","",IF($B$8=0,0,U1325/$B$8*100))</f>
        <v>35.529596482065</v>
      </c>
      <c r="Z1325" s="18" t="n">
        <f aca="false">IF(D1325="","",MAX(0,IF(P1325&gt;=0,P1325,IF(K1325+P1325&gt;=0,0,P1325+K1325))))</f>
        <v>16.7770754588311</v>
      </c>
      <c r="AA1325" s="18" t="n">
        <f aca="false">IF(D1325="","",IF(H1325&lt;=$B$16,1,IF(H1325&gt;=$B$17,$B$21,MATCH(H1325,Aux_CAV!$A$2:$A$121,1))))</f>
        <v>11</v>
      </c>
      <c r="AB1325" s="18" t="n">
        <f aca="false">IF(D1325="","",IF(L1325&lt;=$B$16,1,IF(L1325&gt;=$B$17,$B$21,MATCH(L1325,Aux_CAV!$A$2:$A$121,1))))</f>
        <v>11</v>
      </c>
      <c r="AC1325" s="19" t="n">
        <f aca="false">IF(D1325="","",COUNT($D$24:D1325))</f>
        <v>1290</v>
      </c>
    </row>
    <row r="1326" customFormat="false" ht="12.75" hidden="false" customHeight="true" outlineLevel="0" collapsed="false">
      <c r="A1326" s="14" t="n">
        <f aca="false">IF(D1326="","",DATE(B1326,C1326,1))</f>
        <v>43282</v>
      </c>
      <c r="B1326" s="15" t="n">
        <f aca="false" t="array" ref="B1326:B1326">IF(D1326="","",IFERROR(VALUE(INDEX(Vazoes_COLAR!$A$2:$A$200,INT((ROW()-24)/12)+1)),""))</f>
        <v>2018</v>
      </c>
      <c r="C1326" s="15" t="n">
        <f aca="false">IF(D1326="","",MOD(ROW()-24,12)+1)</f>
        <v>7</v>
      </c>
      <c r="D1326" s="16" t="n">
        <f aca="false" t="array" ref="D1326: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0.0350084377215966</v>
      </c>
      <c r="E1326" s="16" t="n">
        <f aca="false">IF(D1326="","",D1326*$B$15)</f>
        <v>0.0907418705743784</v>
      </c>
      <c r="F1326" s="16" t="n">
        <f aca="false" t="array" ref="F1326:F1326">IF(D1326="","",IFERROR(INDEX(Dados_Evap!$C$2:$N$15,MATCH($B$9,Dados_Evap!$A$2:$A$15,0),C1326),0))</f>
        <v>224.8</v>
      </c>
      <c r="G1326" s="16" t="n">
        <f aca="false">IF(F1326="","",F1326/1000)</f>
        <v>0.2248</v>
      </c>
      <c r="H1326" s="16" t="n">
        <f aca="false">IF(D1326="","",MAX(0,MIN($B$8,IFERROR(LOOKUP(2,1/($U$24:U1325&lt;&gt;""),$U$24:U1325),$B$11))))</f>
        <v>16.7770754588311</v>
      </c>
      <c r="I1326" s="16" t="n">
        <f aca="false" t="array" ref="I1326: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>3.7428699938603</v>
      </c>
      <c r="J1326" s="16" t="n">
        <f aca="false">IF(D1326="","",$B$12)</f>
        <v>0.35</v>
      </c>
      <c r="K1326" s="16" t="n">
        <f aca="false">IF(J1326="","",J1326*$B$15)</f>
        <v>0.9072</v>
      </c>
      <c r="L1326" s="16" t="n">
        <f aca="false">IF(D1326="","",H1326+E1326-K1326-G1326*I1326)</f>
        <v>15.1192201547857</v>
      </c>
      <c r="M1326" s="16" t="n">
        <f aca="false" t="array" ref="M1326: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>3.57487466026113</v>
      </c>
      <c r="N1326" s="16" t="n">
        <f aca="false">IF(D1326="","",(I1326+M1326)/2)</f>
        <v>3.65887232706072</v>
      </c>
      <c r="O1326" s="16" t="n">
        <f aca="false">IF(D1326="","",G1326*N1326)</f>
        <v>0.822514499123249</v>
      </c>
      <c r="P1326" s="16" t="n">
        <f aca="false">IF(D1326="","",H1326+E1326-K1326-O1326)</f>
        <v>15.1381028302822</v>
      </c>
      <c r="Q1326" s="16" t="n">
        <f aca="false">IF(D1326="","",IF(P1326&gt;=0,K1326,MAX(0,K1326+P1326)))</f>
        <v>0.9072</v>
      </c>
      <c r="R1326" s="16" t="n">
        <f aca="false">IF(D1326="","",Q1326/$B$15)</f>
        <v>0.35</v>
      </c>
      <c r="S1326" s="16" t="n">
        <f aca="false">IF(D1326="","",MAX(0,J1326-R1326))</f>
        <v>0</v>
      </c>
      <c r="T1326" s="16" t="n">
        <f aca="false">IF(D1326="","",MAX(0,Z1326-$B$8))</f>
        <v>0</v>
      </c>
      <c r="U1326" s="16" t="n">
        <f aca="false">IF(D1326="","",MAX(0,MIN($B$8,Z1326)))</f>
        <v>15.1381028302822</v>
      </c>
      <c r="V1326" s="16" t="str">
        <f aca="false">IF(D1326="","",IF(S1326&gt;0.0000001,"Sim","Não"))</f>
        <v>Não</v>
      </c>
      <c r="W1326" s="16" t="n">
        <f aca="false">IF(D1326="","",U1326-(H1326+E1326-Q1326-O1326-T1326))</f>
        <v>0</v>
      </c>
      <c r="X1326" s="16" t="n">
        <f aca="false">IF(W1326="","",ABS(W1326))</f>
        <v>0</v>
      </c>
      <c r="Y1326" s="16" t="n">
        <f aca="false">IF(U1326="","",IF($B$8=0,0,U1326/$B$8*100))</f>
        <v>32.0586675778954</v>
      </c>
      <c r="Z1326" s="18" t="n">
        <f aca="false">IF(D1326="","",MAX(0,IF(P1326&gt;=0,P1326,IF(K1326+P1326&gt;=0,0,P1326+K1326))))</f>
        <v>15.1381028302822</v>
      </c>
      <c r="AA1326" s="18" t="n">
        <f aca="false">IF(D1326="","",IF(H1326&lt;=$B$16,1,IF(H1326&gt;=$B$17,$B$21,MATCH(H1326,Aux_CAV!$A$2:$A$121,1))))</f>
        <v>11</v>
      </c>
      <c r="AB1326" s="18" t="n">
        <f aca="false">IF(D1326="","",IF(L1326&lt;=$B$16,1,IF(L1326&gt;=$B$17,$B$21,MATCH(L1326,Aux_CAV!$A$2:$A$121,1))))</f>
        <v>10</v>
      </c>
      <c r="AC1326" s="19" t="n">
        <f aca="false">IF(D1326="","",COUNT($D$24:D1326))</f>
        <v>1291</v>
      </c>
    </row>
    <row r="1327" customFormat="false" ht="12.75" hidden="false" customHeight="true" outlineLevel="0" collapsed="false">
      <c r="A1327" s="14" t="n">
        <f aca="false">IF(D1327="","",DATE(B1327,C1327,1))</f>
        <v>43313</v>
      </c>
      <c r="B1327" s="15" t="n">
        <f aca="false" t="array" ref="B1327:B1327">IF(D1327="","",IFERROR(VALUE(INDEX(Vazoes_COLAR!$A$2:$A$200,INT((ROW()-24)/12)+1)),""))</f>
        <v>2018</v>
      </c>
      <c r="C1327" s="15" t="n">
        <f aca="false">IF(D1327="","",MOD(ROW()-24,12)+1)</f>
        <v>8</v>
      </c>
      <c r="D1327" s="16" t="n">
        <f aca="false" t="array" ref="D1327: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0.018799863476283</v>
      </c>
      <c r="E1327" s="16" t="n">
        <f aca="false">IF(D1327="","",D1327*$B$15)</f>
        <v>0.0487292461305255</v>
      </c>
      <c r="F1327" s="16" t="n">
        <f aca="false" t="array" ref="F1327:F1327">IF(D1327="","",IFERROR(INDEX(Dados_Evap!$C$2:$N$15,MATCH($B$9,Dados_Evap!$A$2:$A$15,0),C1327),0))</f>
        <v>268.7</v>
      </c>
      <c r="G1327" s="16" t="n">
        <f aca="false">IF(F1327="","",F1327/1000)</f>
        <v>0.2687</v>
      </c>
      <c r="H1327" s="16" t="n">
        <f aca="false">IF(D1327="","",MAX(0,MIN($B$8,IFERROR(LOOKUP(2,1/($U$24:U1326&lt;&gt;""),$U$24:U1326),$B$11))))</f>
        <v>15.1381028302822</v>
      </c>
      <c r="I1327" s="16" t="n">
        <f aca="false" t="array" ref="I1327: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>3.57648524140642</v>
      </c>
      <c r="J1327" s="16" t="n">
        <f aca="false">IF(D1327="","",$B$12)</f>
        <v>0.35</v>
      </c>
      <c r="K1327" s="16" t="n">
        <f aca="false">IF(J1327="","",J1327*$B$15)</f>
        <v>0.9072</v>
      </c>
      <c r="L1327" s="16" t="n">
        <f aca="false">IF(D1327="","",H1327+E1327-K1327-G1327*I1327)</f>
        <v>13.3186304920468</v>
      </c>
      <c r="M1327" s="16" t="n">
        <f aca="false" t="array" ref="M1327: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>3.42129495373341</v>
      </c>
      <c r="N1327" s="16" t="n">
        <f aca="false">IF(D1327="","",(I1327+M1327)/2)</f>
        <v>3.49889009756992</v>
      </c>
      <c r="O1327" s="16" t="n">
        <f aca="false">IF(D1327="","",G1327*N1327)</f>
        <v>0.940151769217036</v>
      </c>
      <c r="P1327" s="16" t="n">
        <f aca="false">IF(D1327="","",H1327+E1327-K1327-O1327)</f>
        <v>13.3394803071957</v>
      </c>
      <c r="Q1327" s="16" t="n">
        <f aca="false">IF(D1327="","",IF(P1327&gt;=0,K1327,MAX(0,K1327+P1327)))</f>
        <v>0.9072</v>
      </c>
      <c r="R1327" s="16" t="n">
        <f aca="false">IF(D1327="","",Q1327/$B$15)</f>
        <v>0.35</v>
      </c>
      <c r="S1327" s="16" t="n">
        <f aca="false">IF(D1327="","",MAX(0,J1327-R1327))</f>
        <v>0</v>
      </c>
      <c r="T1327" s="16" t="n">
        <f aca="false">IF(D1327="","",MAX(0,Z1327-$B$8))</f>
        <v>0</v>
      </c>
      <c r="U1327" s="16" t="n">
        <f aca="false">IF(D1327="","",MAX(0,MIN($B$8,Z1327)))</f>
        <v>13.3394803071957</v>
      </c>
      <c r="V1327" s="16" t="str">
        <f aca="false">IF(D1327="","",IF(S1327&gt;0.0000001,"Sim","Não"))</f>
        <v>Não</v>
      </c>
      <c r="W1327" s="16" t="n">
        <f aca="false">IF(D1327="","",U1327-(H1327+E1327-Q1327-O1327-T1327))</f>
        <v>0</v>
      </c>
      <c r="X1327" s="16" t="n">
        <f aca="false">IF(W1327="","",ABS(W1327))</f>
        <v>0</v>
      </c>
      <c r="Y1327" s="16" t="n">
        <f aca="false">IF(U1327="","",IF($B$8=0,0,U1327/$B$8*100))</f>
        <v>28.2496406336207</v>
      </c>
      <c r="Z1327" s="18" t="n">
        <f aca="false">IF(D1327="","",MAX(0,IF(P1327&gt;=0,P1327,IF(K1327+P1327&gt;=0,0,P1327+K1327))))</f>
        <v>13.3394803071957</v>
      </c>
      <c r="AA1327" s="18" t="n">
        <f aca="false">IF(D1327="","",IF(H1327&lt;=$B$16,1,IF(H1327&gt;=$B$17,$B$21,MATCH(H1327,Aux_CAV!$A$2:$A$121,1))))</f>
        <v>10</v>
      </c>
      <c r="AB1327" s="18" t="n">
        <f aca="false">IF(D1327="","",IF(L1327&lt;=$B$16,1,IF(L1327&gt;=$B$17,$B$21,MATCH(L1327,Aux_CAV!$A$2:$A$121,1))))</f>
        <v>10</v>
      </c>
      <c r="AC1327" s="19" t="n">
        <f aca="false">IF(D1327="","",COUNT($D$24:D1327))</f>
        <v>1292</v>
      </c>
    </row>
    <row r="1328" customFormat="false" ht="12.75" hidden="false" customHeight="true" outlineLevel="0" collapsed="false">
      <c r="A1328" s="14" t="n">
        <f aca="false">IF(D1328="","",DATE(B1328,C1328,1))</f>
        <v>43344</v>
      </c>
      <c r="B1328" s="15" t="n">
        <f aca="false" t="array" ref="B1328:B1328">IF(D1328="","",IFERROR(VALUE(INDEX(Vazoes_COLAR!$A$2:$A$200,INT((ROW()-24)/12)+1)),""))</f>
        <v>2018</v>
      </c>
      <c r="C1328" s="15" t="n">
        <f aca="false">IF(D1328="","",MOD(ROW()-24,12)+1)</f>
        <v>9</v>
      </c>
      <c r="D1328" s="16" t="n">
        <f aca="false" t="array" ref="D1328: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0.0143959641589929</v>
      </c>
      <c r="E1328" s="16" t="n">
        <f aca="false">IF(D1328="","",D1328*$B$15)</f>
        <v>0.0373143391001096</v>
      </c>
      <c r="F1328" s="16" t="n">
        <f aca="false" t="array" ref="F1328:F1328">IF(D1328="","",IFERROR(INDEX(Dados_Evap!$C$2:$N$15,MATCH($B$9,Dados_Evap!$A$2:$A$15,0),C1328),0))</f>
        <v>292.8</v>
      </c>
      <c r="G1328" s="16" t="n">
        <f aca="false">IF(F1328="","",F1328/1000)</f>
        <v>0.2928</v>
      </c>
      <c r="H1328" s="16" t="n">
        <f aca="false">IF(D1328="","",MAX(0,MIN($B$8,IFERROR(LOOKUP(2,1/($U$24:U1327&lt;&gt;""),$U$24:U1327),$B$11))))</f>
        <v>13.3394803071957</v>
      </c>
      <c r="I1328" s="16" t="n">
        <f aca="false" t="array" ref="I1328: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>3.42307332031963</v>
      </c>
      <c r="J1328" s="16" t="n">
        <f aca="false">IF(D1328="","",$B$12)</f>
        <v>0.35</v>
      </c>
      <c r="K1328" s="16" t="n">
        <f aca="false">IF(J1328="","",J1328*$B$15)</f>
        <v>0.9072</v>
      </c>
      <c r="L1328" s="16" t="n">
        <f aca="false">IF(D1328="","",H1328+E1328-K1328-G1328*I1328)</f>
        <v>11.4673187781062</v>
      </c>
      <c r="M1328" s="16" t="n">
        <f aca="false" t="array" ref="M1328: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>3.26338895460318</v>
      </c>
      <c r="N1328" s="16" t="n">
        <f aca="false">IF(D1328="","",(I1328+M1328)/2)</f>
        <v>3.34323113746141</v>
      </c>
      <c r="O1328" s="16" t="n">
        <f aca="false">IF(D1328="","",G1328*N1328)</f>
        <v>0.9788980770487</v>
      </c>
      <c r="P1328" s="16" t="n">
        <f aca="false">IF(D1328="","",H1328+E1328-K1328-O1328)</f>
        <v>11.4906965692471</v>
      </c>
      <c r="Q1328" s="16" t="n">
        <f aca="false">IF(D1328="","",IF(P1328&gt;=0,K1328,MAX(0,K1328+P1328)))</f>
        <v>0.9072</v>
      </c>
      <c r="R1328" s="16" t="n">
        <f aca="false">IF(D1328="","",Q1328/$B$15)</f>
        <v>0.35</v>
      </c>
      <c r="S1328" s="16" t="n">
        <f aca="false">IF(D1328="","",MAX(0,J1328-R1328))</f>
        <v>0</v>
      </c>
      <c r="T1328" s="16" t="n">
        <f aca="false">IF(D1328="","",MAX(0,Z1328-$B$8))</f>
        <v>0</v>
      </c>
      <c r="U1328" s="16" t="n">
        <f aca="false">IF(D1328="","",MAX(0,MIN($B$8,Z1328)))</f>
        <v>11.4906965692471</v>
      </c>
      <c r="V1328" s="16" t="str">
        <f aca="false">IF(D1328="","",IF(S1328&gt;0.0000001,"Sim","Não"))</f>
        <v>Não</v>
      </c>
      <c r="W1328" s="16" t="n">
        <f aca="false">IF(D1328="","",U1328-(H1328+E1328-Q1328-O1328-T1328))</f>
        <v>0</v>
      </c>
      <c r="X1328" s="16" t="n">
        <f aca="false">IF(W1328="","",ABS(W1328))</f>
        <v>0</v>
      </c>
      <c r="Y1328" s="16" t="n">
        <f aca="false">IF(U1328="","",IF($B$8=0,0,U1328/$B$8*100))</f>
        <v>24.3343849412264</v>
      </c>
      <c r="Z1328" s="18" t="n">
        <f aca="false">IF(D1328="","",MAX(0,IF(P1328&gt;=0,P1328,IF(K1328+P1328&gt;=0,0,P1328+K1328))))</f>
        <v>11.4906965692471</v>
      </c>
      <c r="AA1328" s="18" t="n">
        <f aca="false">IF(D1328="","",IF(H1328&lt;=$B$16,1,IF(H1328&gt;=$B$17,$B$21,MATCH(H1328,Aux_CAV!$A$2:$A$121,1))))</f>
        <v>10</v>
      </c>
      <c r="AB1328" s="18" t="n">
        <f aca="false">IF(D1328="","",IF(L1328&lt;=$B$16,1,IF(L1328&gt;=$B$17,$B$21,MATCH(L1328,Aux_CAV!$A$2:$A$121,1))))</f>
        <v>10</v>
      </c>
      <c r="AC1328" s="19" t="n">
        <f aca="false">IF(D1328="","",COUNT($D$24:D1328))</f>
        <v>1293</v>
      </c>
    </row>
    <row r="1329" customFormat="false" ht="12.75" hidden="false" customHeight="true" outlineLevel="0" collapsed="false">
      <c r="A1329" s="14" t="n">
        <f aca="false">IF(D1329="","",DATE(B1329,C1329,1))</f>
        <v>43374</v>
      </c>
      <c r="B1329" s="15" t="n">
        <f aca="false" t="array" ref="B1329:B1329">IF(D1329="","",IFERROR(VALUE(INDEX(Vazoes_COLAR!$A$2:$A$200,INT((ROW()-24)/12)+1)),""))</f>
        <v>2018</v>
      </c>
      <c r="C1329" s="15" t="n">
        <f aca="false">IF(D1329="","",MOD(ROW()-24,12)+1)</f>
        <v>10</v>
      </c>
      <c r="D1329" s="16" t="n">
        <f aca="false" t="array" ref="D1329: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0.0128537469301053</v>
      </c>
      <c r="E1329" s="16" t="n">
        <f aca="false">IF(D1329="","",D1329*$B$15)</f>
        <v>0.0333169120428329</v>
      </c>
      <c r="F1329" s="16" t="n">
        <f aca="false" t="array" ref="F1329:F1329">IF(D1329="","",IFERROR(INDEX(Dados_Evap!$C$2:$N$15,MATCH($B$9,Dados_Evap!$A$2:$A$15,0),C1329),0))</f>
        <v>262.9</v>
      </c>
      <c r="G1329" s="16" t="n">
        <f aca="false">IF(F1329="","",F1329/1000)</f>
        <v>0.2629</v>
      </c>
      <c r="H1329" s="16" t="n">
        <f aca="false">IF(D1329="","",MAX(0,MIN($B$8,IFERROR(LOOKUP(2,1/($U$24:U1328&lt;&gt;""),$U$24:U1328),$B$11))))</f>
        <v>11.4906965692471</v>
      </c>
      <c r="I1329" s="16" t="n">
        <f aca="false" t="array" ref="I1329: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>3.26538294267108</v>
      </c>
      <c r="J1329" s="16" t="n">
        <f aca="false">IF(D1329="","",$B$12)</f>
        <v>0.35</v>
      </c>
      <c r="K1329" s="16" t="n">
        <f aca="false">IF(J1329="","",J1329*$B$15)</f>
        <v>0.9072</v>
      </c>
      <c r="L1329" s="16" t="n">
        <f aca="false">IF(D1329="","",H1329+E1329-K1329-G1329*I1329)</f>
        <v>9.75834430566173</v>
      </c>
      <c r="M1329" s="16" t="n">
        <f aca="false" t="array" ref="M1329: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>3.11762348489468</v>
      </c>
      <c r="N1329" s="16" t="n">
        <f aca="false">IF(D1329="","",(I1329+M1329)/2)</f>
        <v>3.19150321378288</v>
      </c>
      <c r="O1329" s="16" t="n">
        <f aca="false">IF(D1329="","",G1329*N1329)</f>
        <v>0.839046194903518</v>
      </c>
      <c r="P1329" s="16" t="n">
        <f aca="false">IF(D1329="","",H1329+E1329-K1329-O1329)</f>
        <v>9.77776728638644</v>
      </c>
      <c r="Q1329" s="16" t="n">
        <f aca="false">IF(D1329="","",IF(P1329&gt;=0,K1329,MAX(0,K1329+P1329)))</f>
        <v>0.9072</v>
      </c>
      <c r="R1329" s="16" t="n">
        <f aca="false">IF(D1329="","",Q1329/$B$15)</f>
        <v>0.35</v>
      </c>
      <c r="S1329" s="16" t="n">
        <f aca="false">IF(D1329="","",MAX(0,J1329-R1329))</f>
        <v>0</v>
      </c>
      <c r="T1329" s="16" t="n">
        <f aca="false">IF(D1329="","",MAX(0,Z1329-$B$8))</f>
        <v>0</v>
      </c>
      <c r="U1329" s="16" t="n">
        <f aca="false">IF(D1329="","",MAX(0,MIN($B$8,Z1329)))</f>
        <v>9.77776728638644</v>
      </c>
      <c r="V1329" s="16" t="str">
        <f aca="false">IF(D1329="","",IF(S1329&gt;0.0000001,"Sim","Não"))</f>
        <v>Não</v>
      </c>
      <c r="W1329" s="16" t="n">
        <f aca="false">IF(D1329="","",U1329-(H1329+E1329-Q1329-O1329-T1329))</f>
        <v>0</v>
      </c>
      <c r="X1329" s="16" t="n">
        <f aca="false">IF(W1329="","",ABS(W1329))</f>
        <v>0</v>
      </c>
      <c r="Y1329" s="16" t="n">
        <f aca="false">IF(U1329="","",IF($B$8=0,0,U1329/$B$8*100))</f>
        <v>20.7068345751513</v>
      </c>
      <c r="Z1329" s="18" t="n">
        <f aca="false">IF(D1329="","",MAX(0,IF(P1329&gt;=0,P1329,IF(K1329+P1329&gt;=0,0,P1329+K1329))))</f>
        <v>9.77776728638644</v>
      </c>
      <c r="AA1329" s="18" t="n">
        <f aca="false">IF(D1329="","",IF(H1329&lt;=$B$16,1,IF(H1329&gt;=$B$17,$B$21,MATCH(H1329,Aux_CAV!$A$2:$A$121,1))))</f>
        <v>10</v>
      </c>
      <c r="AB1329" s="18" t="n">
        <f aca="false">IF(D1329="","",IF(L1329&lt;=$B$16,1,IF(L1329&gt;=$B$17,$B$21,MATCH(L1329,Aux_CAV!$A$2:$A$121,1))))</f>
        <v>10</v>
      </c>
      <c r="AC1329" s="19" t="n">
        <f aca="false">IF(D1329="","",COUNT($D$24:D1329))</f>
        <v>1294</v>
      </c>
    </row>
    <row r="1330" customFormat="false" ht="12.75" hidden="false" customHeight="true" outlineLevel="0" collapsed="false">
      <c r="A1330" s="14" t="n">
        <f aca="false">IF(D1330="","",DATE(B1330,C1330,1))</f>
        <v>43405</v>
      </c>
      <c r="B1330" s="15" t="n">
        <f aca="false" t="array" ref="B1330:B1330">IF(D1330="","",IFERROR(VALUE(INDEX(Vazoes_COLAR!$A$2:$A$200,INT((ROW()-24)/12)+1)),""))</f>
        <v>2018</v>
      </c>
      <c r="C1330" s="15" t="n">
        <f aca="false">IF(D1330="","",MOD(ROW()-24,12)+1)</f>
        <v>11</v>
      </c>
      <c r="D1330" s="16" t="n">
        <f aca="false" t="array" ref="D1330: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0.0708575967394245</v>
      </c>
      <c r="E1330" s="16" t="n">
        <f aca="false">IF(D1330="","",D1330*$B$15)</f>
        <v>0.183662890748588</v>
      </c>
      <c r="F1330" s="16" t="n">
        <f aca="false" t="array" ref="F1330:F1330">IF(D1330="","",IFERROR(INDEX(Dados_Evap!$C$2:$N$15,MATCH($B$9,Dados_Evap!$A$2:$A$15,0),C1330),0))</f>
        <v>223.7</v>
      </c>
      <c r="G1330" s="16" t="n">
        <f aca="false">IF(F1330="","",F1330/1000)</f>
        <v>0.2237</v>
      </c>
      <c r="H1330" s="16" t="n">
        <f aca="false">IF(D1330="","",MAX(0,MIN($B$8,IFERROR(LOOKUP(2,1/($U$24:U1329&lt;&gt;""),$U$24:U1329),$B$11))))</f>
        <v>9.77776728638644</v>
      </c>
      <c r="I1330" s="16" t="n">
        <f aca="false" t="array" ref="I1330: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>3.11928015089767</v>
      </c>
      <c r="J1330" s="16" t="n">
        <f aca="false">IF(D1330="","",$B$12)</f>
        <v>0.35</v>
      </c>
      <c r="K1330" s="16" t="n">
        <f aca="false">IF(J1330="","",J1330*$B$15)</f>
        <v>0.9072</v>
      </c>
      <c r="L1330" s="16" t="n">
        <f aca="false">IF(D1330="","",H1330+E1330-K1330-G1330*I1330)</f>
        <v>8.35644720737922</v>
      </c>
      <c r="M1330" s="16" t="n">
        <f aca="false" t="array" ref="M1330: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>2.81334457586219</v>
      </c>
      <c r="N1330" s="16" t="n">
        <f aca="false">IF(D1330="","",(I1330+M1330)/2)</f>
        <v>2.96631236337993</v>
      </c>
      <c r="O1330" s="16" t="n">
        <f aca="false">IF(D1330="","",G1330*N1330)</f>
        <v>0.66356407568809</v>
      </c>
      <c r="P1330" s="16" t="n">
        <f aca="false">IF(D1330="","",H1330+E1330-K1330-O1330)</f>
        <v>8.39066610144693</v>
      </c>
      <c r="Q1330" s="16" t="n">
        <f aca="false">IF(D1330="","",IF(P1330&gt;=0,K1330,MAX(0,K1330+P1330)))</f>
        <v>0.9072</v>
      </c>
      <c r="R1330" s="16" t="n">
        <f aca="false">IF(D1330="","",Q1330/$B$15)</f>
        <v>0.35</v>
      </c>
      <c r="S1330" s="16" t="n">
        <f aca="false">IF(D1330="","",MAX(0,J1330-R1330))</f>
        <v>0</v>
      </c>
      <c r="T1330" s="16" t="n">
        <f aca="false">IF(D1330="","",MAX(0,Z1330-$B$8))</f>
        <v>0</v>
      </c>
      <c r="U1330" s="16" t="n">
        <f aca="false">IF(D1330="","",MAX(0,MIN($B$8,Z1330)))</f>
        <v>8.39066610144693</v>
      </c>
      <c r="V1330" s="16" t="str">
        <f aca="false">IF(D1330="","",IF(S1330&gt;0.0000001,"Sim","Não"))</f>
        <v>Não</v>
      </c>
      <c r="W1330" s="16" t="n">
        <f aca="false">IF(D1330="","",U1330-(H1330+E1330-Q1330-O1330-T1330))</f>
        <v>0</v>
      </c>
      <c r="X1330" s="16" t="n">
        <f aca="false">IF(W1330="","",ABS(W1330))</f>
        <v>0</v>
      </c>
      <c r="Y1330" s="16" t="n">
        <f aca="false">IF(U1330="","",IF($B$8=0,0,U1330/$B$8*100))</f>
        <v>17.7693055939156</v>
      </c>
      <c r="Z1330" s="18" t="n">
        <f aca="false">IF(D1330="","",MAX(0,IF(P1330&gt;=0,P1330,IF(K1330+P1330&gt;=0,0,P1330+K1330))))</f>
        <v>8.39066610144693</v>
      </c>
      <c r="AA1330" s="18" t="n">
        <f aca="false">IF(D1330="","",IF(H1330&lt;=$B$16,1,IF(H1330&gt;=$B$17,$B$21,MATCH(H1330,Aux_CAV!$A$2:$A$121,1))))</f>
        <v>10</v>
      </c>
      <c r="AB1330" s="18" t="n">
        <f aca="false">IF(D1330="","",IF(L1330&lt;=$B$16,1,IF(L1330&gt;=$B$17,$B$21,MATCH(L1330,Aux_CAV!$A$2:$A$121,1))))</f>
        <v>9</v>
      </c>
      <c r="AC1330" s="19" t="n">
        <f aca="false">IF(D1330="","",COUNT($D$24:D1330))</f>
        <v>1295</v>
      </c>
    </row>
    <row r="1331" customFormat="false" ht="12.75" hidden="false" customHeight="true" outlineLevel="0" collapsed="false">
      <c r="A1331" s="14" t="n">
        <f aca="false">IF(D1331="","",DATE(B1331,C1331,1))</f>
        <v>43435</v>
      </c>
      <c r="B1331" s="15" t="n">
        <f aca="false" t="array" ref="B1331:B1331">IF(D1331="","",IFERROR(VALUE(INDEX(Vazoes_COLAR!$A$2:$A$200,INT((ROW()-24)/12)+1)),""))</f>
        <v>2018</v>
      </c>
      <c r="C1331" s="15" t="n">
        <f aca="false">IF(D1331="","",MOD(ROW()-24,12)+1)</f>
        <v>12</v>
      </c>
      <c r="D1331" s="16" t="n">
        <f aca="false" t="array" ref="D1331: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0.177401051574076</v>
      </c>
      <c r="E1331" s="16" t="n">
        <f aca="false">IF(D1331="","",D1331*$B$15)</f>
        <v>0.459823525680005</v>
      </c>
      <c r="F1331" s="16" t="n">
        <f aca="false" t="array" ref="F1331:F1331">IF(D1331="","",IFERROR(INDEX(Dados_Evap!$C$2:$N$15,MATCH($B$9,Dados_Evap!$A$2:$A$15,0),C1331),0))</f>
        <v>216.1</v>
      </c>
      <c r="G1331" s="16" t="n">
        <f aca="false">IF(F1331="","",F1331/1000)</f>
        <v>0.2161</v>
      </c>
      <c r="H1331" s="16" t="n">
        <f aca="false">IF(D1331="","",MAX(0,MIN($B$8,IFERROR(LOOKUP(2,1/($U$24:U1330&lt;&gt;""),$U$24:U1330),$B$11))))</f>
        <v>8.39066610144693</v>
      </c>
      <c r="I1331" s="16" t="n">
        <f aca="false" t="array" ref="I1331: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>2.82375585639768</v>
      </c>
      <c r="J1331" s="16" t="n">
        <f aca="false">IF(D1331="","",$B$12)</f>
        <v>0.35</v>
      </c>
      <c r="K1331" s="16" t="n">
        <f aca="false">IF(J1331="","",J1331*$B$15)</f>
        <v>0.9072</v>
      </c>
      <c r="L1331" s="16" t="n">
        <f aca="false">IF(D1331="","",H1331+E1331-K1331-G1331*I1331)</f>
        <v>7.3330759865594</v>
      </c>
      <c r="M1331" s="16" t="n">
        <f aca="false" t="array" ref="M1331: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>2.50197843846382</v>
      </c>
      <c r="N1331" s="16" t="n">
        <f aca="false">IF(D1331="","",(I1331+M1331)/2)</f>
        <v>2.66286714743075</v>
      </c>
      <c r="O1331" s="16" t="n">
        <f aca="false">IF(D1331="","",G1331*N1331)</f>
        <v>0.575445590559785</v>
      </c>
      <c r="P1331" s="16" t="n">
        <f aca="false">IF(D1331="","",H1331+E1331-K1331-O1331)</f>
        <v>7.36784403656715</v>
      </c>
      <c r="Q1331" s="16" t="n">
        <f aca="false">IF(D1331="","",IF(P1331&gt;=0,K1331,MAX(0,K1331+P1331)))</f>
        <v>0.9072</v>
      </c>
      <c r="R1331" s="16" t="n">
        <f aca="false">IF(D1331="","",Q1331/$B$15)</f>
        <v>0.35</v>
      </c>
      <c r="S1331" s="16" t="n">
        <f aca="false">IF(D1331="","",MAX(0,J1331-R1331))</f>
        <v>0</v>
      </c>
      <c r="T1331" s="16" t="n">
        <f aca="false">IF(D1331="","",MAX(0,Z1331-$B$8))</f>
        <v>0</v>
      </c>
      <c r="U1331" s="16" t="n">
        <f aca="false">IF(D1331="","",MAX(0,MIN($B$8,Z1331)))</f>
        <v>7.36784403656715</v>
      </c>
      <c r="V1331" s="16" t="str">
        <f aca="false">IF(D1331="","",IF(S1331&gt;0.0000001,"Sim","Não"))</f>
        <v>Não</v>
      </c>
      <c r="W1331" s="16" t="n">
        <f aca="false">IF(D1331="","",U1331-(H1331+E1331-Q1331-O1331-T1331))</f>
        <v>0</v>
      </c>
      <c r="X1331" s="16" t="n">
        <f aca="false">IF(W1331="","",ABS(W1331))</f>
        <v>0</v>
      </c>
      <c r="Y1331" s="16" t="n">
        <f aca="false">IF(U1331="","",IF($B$8=0,0,U1331/$B$8*100))</f>
        <v>15.6032275234374</v>
      </c>
      <c r="Z1331" s="18" t="n">
        <f aca="false">IF(D1331="","",MAX(0,IF(P1331&gt;=0,P1331,IF(K1331+P1331&gt;=0,0,P1331+K1331))))</f>
        <v>7.36784403656715</v>
      </c>
      <c r="AA1331" s="18" t="n">
        <f aca="false">IF(D1331="","",IF(H1331&lt;=$B$16,1,IF(H1331&gt;=$B$17,$B$21,MATCH(H1331,Aux_CAV!$A$2:$A$121,1))))</f>
        <v>9</v>
      </c>
      <c r="AB1331" s="18" t="n">
        <f aca="false">IF(D1331="","",IF(L1331&lt;=$B$16,1,IF(L1331&gt;=$B$17,$B$21,MATCH(L1331,Aux_CAV!$A$2:$A$121,1))))</f>
        <v>9</v>
      </c>
      <c r="AC1331" s="19" t="n">
        <f aca="false">IF(D1331="","",COUNT($D$24:D1331))</f>
        <v>1296</v>
      </c>
    </row>
    <row r="1332" customFormat="false" ht="12.75" hidden="false" customHeight="true" outlineLevel="0" collapsed="false">
      <c r="A1332" s="14" t="n">
        <f aca="false">IF(D1332="","",DATE(B1332,C1332,1))</f>
        <v>43466</v>
      </c>
      <c r="B1332" s="15" t="n">
        <f aca="false" t="array" ref="B1332:B1332">IF(D1332="","",IFERROR(VALUE(INDEX(Vazoes_COLAR!$A$2:$A$200,INT((ROW()-24)/12)+1)),""))</f>
        <v>2019</v>
      </c>
      <c r="C1332" s="15" t="n">
        <f aca="false">IF(D1332="","",MOD(ROW()-24,12)+1)</f>
        <v>1</v>
      </c>
      <c r="D1332" s="16" t="n">
        <f aca="false" t="array" ref="D1332: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0.18172946292689</v>
      </c>
      <c r="E1332" s="16" t="n">
        <f aca="false">IF(D1332="","",D1332*$B$15)</f>
        <v>0.471042767906499</v>
      </c>
      <c r="F1332" s="16" t="n">
        <f aca="false" t="array" ref="F1332:F1332">IF(D1332="","",IFERROR(INDEX(Dados_Evap!$C$2:$N$15,MATCH($B$9,Dados_Evap!$A$2:$A$15,0),C1332),0))</f>
        <v>160</v>
      </c>
      <c r="G1332" s="16" t="n">
        <f aca="false">IF(F1332="","",F1332/1000)</f>
        <v>0.16</v>
      </c>
      <c r="H1332" s="16" t="n">
        <f aca="false">IF(D1332="","",MAX(0,MIN($B$8,IFERROR(LOOKUP(2,1/($U$24:U1331&lt;&gt;""),$U$24:U1331),$B$11))))</f>
        <v>7.36784403656715</v>
      </c>
      <c r="I1332" s="16" t="n">
        <f aca="false" t="array" ref="I1332: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>2.51255680261511</v>
      </c>
      <c r="J1332" s="16" t="n">
        <f aca="false">IF(D1332="","",$B$12)</f>
        <v>0.35</v>
      </c>
      <c r="K1332" s="16" t="n">
        <f aca="false">IF(J1332="","",J1332*$B$15)</f>
        <v>0.9072</v>
      </c>
      <c r="L1332" s="16" t="n">
        <f aca="false">IF(D1332="","",H1332+E1332-K1332-G1332*I1332)</f>
        <v>6.52967771605524</v>
      </c>
      <c r="M1332" s="16" t="n">
        <f aca="false" t="array" ref="M1332: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>2.25754024126787</v>
      </c>
      <c r="N1332" s="16" t="n">
        <f aca="false">IF(D1332="","",(I1332+M1332)/2)</f>
        <v>2.38504852194149</v>
      </c>
      <c r="O1332" s="16" t="n">
        <f aca="false">IF(D1332="","",G1332*N1332)</f>
        <v>0.381607763510639</v>
      </c>
      <c r="P1332" s="16" t="n">
        <f aca="false">IF(D1332="","",H1332+E1332-K1332-O1332)</f>
        <v>6.55007904096301</v>
      </c>
      <c r="Q1332" s="16" t="n">
        <f aca="false">IF(D1332="","",IF(P1332&gt;=0,K1332,MAX(0,K1332+P1332)))</f>
        <v>0.9072</v>
      </c>
      <c r="R1332" s="16" t="n">
        <f aca="false">IF(D1332="","",Q1332/$B$15)</f>
        <v>0.35</v>
      </c>
      <c r="S1332" s="16" t="n">
        <f aca="false">IF(D1332="","",MAX(0,J1332-R1332))</f>
        <v>0</v>
      </c>
      <c r="T1332" s="16" t="n">
        <f aca="false">IF(D1332="","",MAX(0,Z1332-$B$8))</f>
        <v>0</v>
      </c>
      <c r="U1332" s="16" t="n">
        <f aca="false">IF(D1332="","",MAX(0,MIN($B$8,Z1332)))</f>
        <v>6.55007904096301</v>
      </c>
      <c r="V1332" s="16" t="str">
        <f aca="false">IF(D1332="","",IF(S1332&gt;0.0000001,"Sim","Não"))</f>
        <v>Não</v>
      </c>
      <c r="W1332" s="16" t="n">
        <f aca="false">IF(D1332="","",U1332-(H1332+E1332-Q1332-O1332-T1332))</f>
        <v>0</v>
      </c>
      <c r="X1332" s="16" t="n">
        <f aca="false">IF(W1332="","",ABS(W1332))</f>
        <v>0</v>
      </c>
      <c r="Y1332" s="16" t="n">
        <f aca="false">IF(U1332="","",IF($B$8=0,0,U1332/$B$8*100))</f>
        <v>13.8714083883164</v>
      </c>
      <c r="Z1332" s="18" t="n">
        <f aca="false">IF(D1332="","",MAX(0,IF(P1332&gt;=0,P1332,IF(K1332+P1332&gt;=0,0,P1332+K1332))))</f>
        <v>6.55007904096301</v>
      </c>
      <c r="AA1332" s="18" t="n">
        <f aca="false">IF(D1332="","",IF(H1332&lt;=$B$16,1,IF(H1332&gt;=$B$17,$B$21,MATCH(H1332,Aux_CAV!$A$2:$A$121,1))))</f>
        <v>9</v>
      </c>
      <c r="AB1332" s="18" t="n">
        <f aca="false">IF(D1332="","",IF(L1332&lt;=$B$16,1,IF(L1332&gt;=$B$17,$B$21,MATCH(L1332,Aux_CAV!$A$2:$A$121,1))))</f>
        <v>9</v>
      </c>
      <c r="AC1332" s="19" t="n">
        <f aca="false">IF(D1332="","",COUNT($D$24:D1332))</f>
        <v>1297</v>
      </c>
    </row>
    <row r="1333" customFormat="false" ht="12.75" hidden="false" customHeight="true" outlineLevel="0" collapsed="false">
      <c r="A1333" s="14" t="n">
        <f aca="false">IF(D1333="","",DATE(B1333,C1333,1))</f>
        <v>43497</v>
      </c>
      <c r="B1333" s="15" t="n">
        <f aca="false" t="array" ref="B1333:B1333">IF(D1333="","",IFERROR(VALUE(INDEX(Vazoes_COLAR!$A$2:$A$200,INT((ROW()-24)/12)+1)),""))</f>
        <v>2019</v>
      </c>
      <c r="C1333" s="15" t="n">
        <f aca="false">IF(D1333="","",MOD(ROW()-24,12)+1)</f>
        <v>2</v>
      </c>
      <c r="D1333" s="16" t="n">
        <f aca="false" t="array" ref="D1333: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0.304962304139327</v>
      </c>
      <c r="E1333" s="16" t="n">
        <f aca="false">IF(D1333="","",D1333*$B$15)</f>
        <v>0.790462292329136</v>
      </c>
      <c r="F1333" s="16" t="n">
        <f aca="false" t="array" ref="F1333:F1333">IF(D1333="","",IFERROR(INDEX(Dados_Evap!$C$2:$N$15,MATCH($B$9,Dados_Evap!$A$2:$A$15,0),C1333),0))</f>
        <v>124.3</v>
      </c>
      <c r="G1333" s="16" t="n">
        <f aca="false">IF(F1333="","",F1333/1000)</f>
        <v>0.1243</v>
      </c>
      <c r="H1333" s="16" t="n">
        <f aca="false">IF(D1333="","",MAX(0,MIN($B$8,IFERROR(LOOKUP(2,1/($U$24:U1332&lt;&gt;""),$U$24:U1332),$B$11))))</f>
        <v>6.55007904096301</v>
      </c>
      <c r="I1333" s="16" t="n">
        <f aca="false" t="array" ref="I1333: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>2.26374745288875</v>
      </c>
      <c r="J1333" s="16" t="n">
        <f aca="false">IF(D1333="","",$B$12)</f>
        <v>0.35</v>
      </c>
      <c r="K1333" s="16" t="n">
        <f aca="false">IF(J1333="","",J1333*$B$15)</f>
        <v>0.9072</v>
      </c>
      <c r="L1333" s="16" t="n">
        <f aca="false">IF(D1333="","",H1333+E1333-K1333-G1333*I1333)</f>
        <v>6.15195752489808</v>
      </c>
      <c r="M1333" s="16" t="n">
        <f aca="false" t="array" ref="M1333: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>2.14261686395835</v>
      </c>
      <c r="N1333" s="16" t="n">
        <f aca="false">IF(D1333="","",(I1333+M1333)/2)</f>
        <v>2.20318215842355</v>
      </c>
      <c r="O1333" s="16" t="n">
        <f aca="false">IF(D1333="","",G1333*N1333)</f>
        <v>0.273855542292047</v>
      </c>
      <c r="P1333" s="16" t="n">
        <f aca="false">IF(D1333="","",H1333+E1333-K1333-O1333)</f>
        <v>6.1594857910001</v>
      </c>
      <c r="Q1333" s="16" t="n">
        <f aca="false">IF(D1333="","",IF(P1333&gt;=0,K1333,MAX(0,K1333+P1333)))</f>
        <v>0.9072</v>
      </c>
      <c r="R1333" s="16" t="n">
        <f aca="false">IF(D1333="","",Q1333/$B$15)</f>
        <v>0.35</v>
      </c>
      <c r="S1333" s="16" t="n">
        <f aca="false">IF(D1333="","",MAX(0,J1333-R1333))</f>
        <v>0</v>
      </c>
      <c r="T1333" s="16" t="n">
        <f aca="false">IF(D1333="","",MAX(0,Z1333-$B$8))</f>
        <v>0</v>
      </c>
      <c r="U1333" s="16" t="n">
        <f aca="false">IF(D1333="","",MAX(0,MIN($B$8,Z1333)))</f>
        <v>6.1594857910001</v>
      </c>
      <c r="V1333" s="16" t="str">
        <f aca="false">IF(D1333="","",IF(S1333&gt;0.0000001,"Sim","Não"))</f>
        <v>Não</v>
      </c>
      <c r="W1333" s="16" t="n">
        <f aca="false">IF(D1333="","",U1333-(H1333+E1333-Q1333-O1333-T1333))</f>
        <v>0</v>
      </c>
      <c r="X1333" s="16" t="n">
        <f aca="false">IF(W1333="","",ABS(W1333))</f>
        <v>0</v>
      </c>
      <c r="Y1333" s="16" t="n">
        <f aca="false">IF(U1333="","",IF($B$8=0,0,U1333/$B$8*100))</f>
        <v>13.0442308153327</v>
      </c>
      <c r="Z1333" s="18" t="n">
        <f aca="false">IF(D1333="","",MAX(0,IF(P1333&gt;=0,P1333,IF(K1333+P1333&gt;=0,0,P1333+K1333))))</f>
        <v>6.1594857910001</v>
      </c>
      <c r="AA1333" s="18" t="n">
        <f aca="false">IF(D1333="","",IF(H1333&lt;=$B$16,1,IF(H1333&gt;=$B$17,$B$21,MATCH(H1333,Aux_CAV!$A$2:$A$121,1))))</f>
        <v>9</v>
      </c>
      <c r="AB1333" s="18" t="n">
        <f aca="false">IF(D1333="","",IF(L1333&lt;=$B$16,1,IF(L1333&gt;=$B$17,$B$21,MATCH(L1333,Aux_CAV!$A$2:$A$121,1))))</f>
        <v>9</v>
      </c>
      <c r="AC1333" s="19" t="n">
        <f aca="false">IF(D1333="","",COUNT($D$24:D1333))</f>
        <v>1298</v>
      </c>
    </row>
    <row r="1334" customFormat="false" ht="12.75" hidden="false" customHeight="true" outlineLevel="0" collapsed="false">
      <c r="A1334" s="14" t="n">
        <f aca="false">IF(D1334="","",DATE(B1334,C1334,1))</f>
        <v>43525</v>
      </c>
      <c r="B1334" s="15" t="n">
        <f aca="false" t="array" ref="B1334:B1334">IF(D1334="","",IFERROR(VALUE(INDEX(Vazoes_COLAR!$A$2:$A$200,INT((ROW()-24)/12)+1)),""))</f>
        <v>2019</v>
      </c>
      <c r="C1334" s="15" t="n">
        <f aca="false">IF(D1334="","",MOD(ROW()-24,12)+1)</f>
        <v>3</v>
      </c>
      <c r="D1334" s="16" t="n">
        <f aca="false" t="array" ref="D1334: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1.712718512482</v>
      </c>
      <c r="E1334" s="16" t="n">
        <f aca="false">IF(D1334="","",D1334*$B$15)</f>
        <v>4.43936638435334</v>
      </c>
      <c r="F1334" s="16" t="n">
        <f aca="false" t="array" ref="F1334:F1334">IF(D1334="","",IFERROR(INDEX(Dados_Evap!$C$2:$N$15,MATCH($B$9,Dados_Evap!$A$2:$A$15,0),C1334),0))</f>
        <v>107.7</v>
      </c>
      <c r="G1334" s="16" t="n">
        <f aca="false">IF(F1334="","",F1334/1000)</f>
        <v>0.1077</v>
      </c>
      <c r="H1334" s="16" t="n">
        <f aca="false">IF(D1334="","",MAX(0,MIN($B$8,IFERROR(LOOKUP(2,1/($U$24:U1333&lt;&gt;""),$U$24:U1333),$B$11))))</f>
        <v>6.1594857910001</v>
      </c>
      <c r="I1334" s="16" t="n">
        <f aca="false" t="array" ref="I1334: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>2.14490737896386</v>
      </c>
      <c r="J1334" s="16" t="n">
        <f aca="false">IF(D1334="","",$B$12)</f>
        <v>0.35</v>
      </c>
      <c r="K1334" s="16" t="n">
        <f aca="false">IF(J1334="","",J1334*$B$15)</f>
        <v>0.9072</v>
      </c>
      <c r="L1334" s="16" t="n">
        <f aca="false">IF(D1334="","",H1334+E1334-K1334-G1334*I1334)</f>
        <v>9.46064565063904</v>
      </c>
      <c r="M1334" s="16" t="n">
        <f aca="false" t="array" ref="M1334: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>3.0922315407898</v>
      </c>
      <c r="N1334" s="16" t="n">
        <f aca="false">IF(D1334="","",(I1334+M1334)/2)</f>
        <v>2.61856945987683</v>
      </c>
      <c r="O1334" s="16" t="n">
        <f aca="false">IF(D1334="","",G1334*N1334)</f>
        <v>0.282019930828735</v>
      </c>
      <c r="P1334" s="16" t="n">
        <f aca="false">IF(D1334="","",H1334+E1334-K1334-O1334)</f>
        <v>9.40963224452471</v>
      </c>
      <c r="Q1334" s="16" t="n">
        <f aca="false">IF(D1334="","",IF(P1334&gt;=0,K1334,MAX(0,K1334+P1334)))</f>
        <v>0.9072</v>
      </c>
      <c r="R1334" s="16" t="n">
        <f aca="false">IF(D1334="","",Q1334/$B$15)</f>
        <v>0.35</v>
      </c>
      <c r="S1334" s="16" t="n">
        <f aca="false">IF(D1334="","",MAX(0,J1334-R1334))</f>
        <v>0</v>
      </c>
      <c r="T1334" s="16" t="n">
        <f aca="false">IF(D1334="","",MAX(0,Z1334-$B$8))</f>
        <v>0</v>
      </c>
      <c r="U1334" s="16" t="n">
        <f aca="false">IF(D1334="","",MAX(0,MIN($B$8,Z1334)))</f>
        <v>9.40963224452471</v>
      </c>
      <c r="V1334" s="16" t="str">
        <f aca="false">IF(D1334="","",IF(S1334&gt;0.0000001,"Sim","Não"))</f>
        <v>Não</v>
      </c>
      <c r="W1334" s="16" t="n">
        <f aca="false">IF(D1334="","",U1334-(H1334+E1334-Q1334-O1334-T1334))</f>
        <v>0</v>
      </c>
      <c r="X1334" s="16" t="n">
        <f aca="false">IF(W1334="","",ABS(W1334))</f>
        <v>0</v>
      </c>
      <c r="Y1334" s="16" t="n">
        <f aca="false">IF(U1334="","",IF($B$8=0,0,U1334/$B$8*100))</f>
        <v>19.9272177986546</v>
      </c>
      <c r="Z1334" s="18" t="n">
        <f aca="false">IF(D1334="","",MAX(0,IF(P1334&gt;=0,P1334,IF(K1334+P1334&gt;=0,0,P1334+K1334))))</f>
        <v>9.40963224452471</v>
      </c>
      <c r="AA1334" s="18" t="n">
        <f aca="false">IF(D1334="","",IF(H1334&lt;=$B$16,1,IF(H1334&gt;=$B$17,$B$21,MATCH(H1334,Aux_CAV!$A$2:$A$121,1))))</f>
        <v>9</v>
      </c>
      <c r="AB1334" s="18" t="n">
        <f aca="false">IF(D1334="","",IF(L1334&lt;=$B$16,1,IF(L1334&gt;=$B$17,$B$21,MATCH(L1334,Aux_CAV!$A$2:$A$121,1))))</f>
        <v>10</v>
      </c>
      <c r="AC1334" s="19" t="n">
        <f aca="false">IF(D1334="","",COUNT($D$24:D1334))</f>
        <v>1299</v>
      </c>
    </row>
    <row r="1335" customFormat="false" ht="12.75" hidden="false" customHeight="true" outlineLevel="0" collapsed="false">
      <c r="A1335" s="14" t="n">
        <f aca="false">IF(D1335="","",DATE(B1335,C1335,1))</f>
        <v>43556</v>
      </c>
      <c r="B1335" s="15" t="n">
        <f aca="false" t="array" ref="B1335:B1335">IF(D1335="","",IFERROR(VALUE(INDEX(Vazoes_COLAR!$A$2:$A$200,INT((ROW()-24)/12)+1)),""))</f>
        <v>2019</v>
      </c>
      <c r="C1335" s="15" t="n">
        <f aca="false">IF(D1335="","",MOD(ROW()-24,12)+1)</f>
        <v>4</v>
      </c>
      <c r="D1335" s="16" t="n">
        <f aca="false" t="array" ref="D1335: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2.31624037906308</v>
      </c>
      <c r="E1335" s="16" t="n">
        <f aca="false">IF(D1335="","",D1335*$B$15)</f>
        <v>6.0036950625315</v>
      </c>
      <c r="F1335" s="16" t="n">
        <f aca="false" t="array" ref="F1335:F1335">IF(D1335="","",IFERROR(INDEX(Dados_Evap!$C$2:$N$15,MATCH($B$9,Dados_Evap!$A$2:$A$15,0),C1335),0))</f>
        <v>100.5</v>
      </c>
      <c r="G1335" s="16" t="n">
        <f aca="false">IF(F1335="","",F1335/1000)</f>
        <v>0.1005</v>
      </c>
      <c r="H1335" s="16" t="n">
        <f aca="false">IF(D1335="","",MAX(0,MIN($B$8,IFERROR(LOOKUP(2,1/($U$24:U1334&lt;&gt;""),$U$24:U1334),$B$11))))</f>
        <v>9.40963224452471</v>
      </c>
      <c r="I1335" s="16" t="n">
        <f aca="false" t="array" ref="I1335: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>3.08788039732711</v>
      </c>
      <c r="J1335" s="16" t="n">
        <f aca="false">IF(D1335="","",$B$12)</f>
        <v>0.35</v>
      </c>
      <c r="K1335" s="16" t="n">
        <f aca="false">IF(J1335="","",J1335*$B$15)</f>
        <v>0.9072</v>
      </c>
      <c r="L1335" s="16" t="n">
        <f aca="false">IF(D1335="","",H1335+E1335-K1335-G1335*I1335)</f>
        <v>14.1957953271248</v>
      </c>
      <c r="M1335" s="16" t="n">
        <f aca="false" t="array" ref="M1335: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>3.49611195437241</v>
      </c>
      <c r="N1335" s="16" t="n">
        <f aca="false">IF(D1335="","",(I1335+M1335)/2)</f>
        <v>3.29199617584976</v>
      </c>
      <c r="O1335" s="16" t="n">
        <f aca="false">IF(D1335="","",G1335*N1335)</f>
        <v>0.330845615672901</v>
      </c>
      <c r="P1335" s="16" t="n">
        <f aca="false">IF(D1335="","",H1335+E1335-K1335-O1335)</f>
        <v>14.1752816913833</v>
      </c>
      <c r="Q1335" s="16" t="n">
        <f aca="false">IF(D1335="","",IF(P1335&gt;=0,K1335,MAX(0,K1335+P1335)))</f>
        <v>0.9072</v>
      </c>
      <c r="R1335" s="16" t="n">
        <f aca="false">IF(D1335="","",Q1335/$B$15)</f>
        <v>0.35</v>
      </c>
      <c r="S1335" s="16" t="n">
        <f aca="false">IF(D1335="","",MAX(0,J1335-R1335))</f>
        <v>0</v>
      </c>
      <c r="T1335" s="16" t="n">
        <f aca="false">IF(D1335="","",MAX(0,Z1335-$B$8))</f>
        <v>0</v>
      </c>
      <c r="U1335" s="16" t="n">
        <f aca="false">IF(D1335="","",MAX(0,MIN($B$8,Z1335)))</f>
        <v>14.1752816913833</v>
      </c>
      <c r="V1335" s="16" t="str">
        <f aca="false">IF(D1335="","",IF(S1335&gt;0.0000001,"Sim","Não"))</f>
        <v>Não</v>
      </c>
      <c r="W1335" s="16" t="n">
        <f aca="false">IF(D1335="","",U1335-(H1335+E1335-Q1335-O1335-T1335))</f>
        <v>0</v>
      </c>
      <c r="X1335" s="16" t="n">
        <f aca="false">IF(W1335="","",ABS(W1335))</f>
        <v>0</v>
      </c>
      <c r="Y1335" s="16" t="n">
        <f aca="false">IF(U1335="","",IF($B$8=0,0,U1335/$B$8*100))</f>
        <v>30.0196562714598</v>
      </c>
      <c r="Z1335" s="18" t="n">
        <f aca="false">IF(D1335="","",MAX(0,IF(P1335&gt;=0,P1335,IF(K1335+P1335&gt;=0,0,P1335+K1335))))</f>
        <v>14.1752816913833</v>
      </c>
      <c r="AA1335" s="18" t="n">
        <f aca="false">IF(D1335="","",IF(H1335&lt;=$B$16,1,IF(H1335&gt;=$B$17,$B$21,MATCH(H1335,Aux_CAV!$A$2:$A$121,1))))</f>
        <v>10</v>
      </c>
      <c r="AB1335" s="18" t="n">
        <f aca="false">IF(D1335="","",IF(L1335&lt;=$B$16,1,IF(L1335&gt;=$B$17,$B$21,MATCH(L1335,Aux_CAV!$A$2:$A$121,1))))</f>
        <v>10</v>
      </c>
      <c r="AC1335" s="19" t="n">
        <f aca="false">IF(D1335="","",COUNT($D$24:D1335))</f>
        <v>1300</v>
      </c>
    </row>
    <row r="1336" customFormat="false" ht="12.75" hidden="false" customHeight="true" outlineLevel="0" collapsed="false">
      <c r="A1336" s="14" t="n">
        <f aca="false">IF(D1336="","",DATE(B1336,C1336,1))</f>
        <v>43586</v>
      </c>
      <c r="B1336" s="15" t="n">
        <f aca="false" t="array" ref="B1336:B1336">IF(D1336="","",IFERROR(VALUE(INDEX(Vazoes_COLAR!$A$2:$A$200,INT((ROW()-24)/12)+1)),""))</f>
        <v>2019</v>
      </c>
      <c r="C1336" s="15" t="n">
        <f aca="false">IF(D1336="","",MOD(ROW()-24,12)+1)</f>
        <v>5</v>
      </c>
      <c r="D1336" s="16" t="n">
        <f aca="false" t="array" ref="D1336: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0.566922936030997</v>
      </c>
      <c r="E1336" s="16" t="n">
        <f aca="false">IF(D1336="","",D1336*$B$15)</f>
        <v>1.46946425019234</v>
      </c>
      <c r="F1336" s="16" t="n">
        <f aca="false" t="array" ref="F1336:F1336">IF(D1336="","",IFERROR(INDEX(Dados_Evap!$C$2:$N$15,MATCH($B$9,Dados_Evap!$A$2:$A$15,0),C1336),0))</f>
        <v>145.8</v>
      </c>
      <c r="G1336" s="16" t="n">
        <f aca="false">IF(F1336="","",F1336/1000)</f>
        <v>0.1458</v>
      </c>
      <c r="H1336" s="16" t="n">
        <f aca="false">IF(D1336="","",MAX(0,MIN($B$8,IFERROR(LOOKUP(2,1/($U$24:U1335&lt;&gt;""),$U$24:U1335),$B$11))))</f>
        <v>14.1752816913833</v>
      </c>
      <c r="I1336" s="16" t="n">
        <f aca="false" t="array" ref="I1336: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>3.49436226191211</v>
      </c>
      <c r="J1336" s="16" t="n">
        <f aca="false">IF(D1336="","",$B$12)</f>
        <v>0.35</v>
      </c>
      <c r="K1336" s="16" t="n">
        <f aca="false">IF(J1336="","",J1336*$B$15)</f>
        <v>0.9072</v>
      </c>
      <c r="L1336" s="16" t="n">
        <f aca="false">IF(D1336="","",H1336+E1336-K1336-G1336*I1336)</f>
        <v>14.2280679237889</v>
      </c>
      <c r="M1336" s="16" t="n">
        <f aca="false" t="array" ref="M1336: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>3.49886461702905</v>
      </c>
      <c r="N1336" s="16" t="n">
        <f aca="false">IF(D1336="","",(I1336+M1336)/2)</f>
        <v>3.49661343947058</v>
      </c>
      <c r="O1336" s="16" t="n">
        <f aca="false">IF(D1336="","",G1336*N1336)</f>
        <v>0.50980623947481</v>
      </c>
      <c r="P1336" s="16" t="n">
        <f aca="false">IF(D1336="","",H1336+E1336-K1336-O1336)</f>
        <v>14.2277397021008</v>
      </c>
      <c r="Q1336" s="16" t="n">
        <f aca="false">IF(D1336="","",IF(P1336&gt;=0,K1336,MAX(0,K1336+P1336)))</f>
        <v>0.9072</v>
      </c>
      <c r="R1336" s="16" t="n">
        <f aca="false">IF(D1336="","",Q1336/$B$15)</f>
        <v>0.35</v>
      </c>
      <c r="S1336" s="16" t="n">
        <f aca="false">IF(D1336="","",MAX(0,J1336-R1336))</f>
        <v>0</v>
      </c>
      <c r="T1336" s="16" t="n">
        <f aca="false">IF(D1336="","",MAX(0,Z1336-$B$8))</f>
        <v>0</v>
      </c>
      <c r="U1336" s="16" t="n">
        <f aca="false">IF(D1336="","",MAX(0,MIN($B$8,Z1336)))</f>
        <v>14.2277397021008</v>
      </c>
      <c r="V1336" s="16" t="str">
        <f aca="false">IF(D1336="","",IF(S1336&gt;0.0000001,"Sim","Não"))</f>
        <v>Não</v>
      </c>
      <c r="W1336" s="16" t="n">
        <f aca="false">IF(D1336="","",U1336-(H1336+E1336-Q1336-O1336-T1336))</f>
        <v>0</v>
      </c>
      <c r="X1336" s="16" t="n">
        <f aca="false">IF(W1336="","",ABS(W1336))</f>
        <v>0</v>
      </c>
      <c r="Y1336" s="16" t="n">
        <f aca="false">IF(U1336="","",IF($B$8=0,0,U1336/$B$8*100))</f>
        <v>30.130749051463</v>
      </c>
      <c r="Z1336" s="18" t="n">
        <f aca="false">IF(D1336="","",MAX(0,IF(P1336&gt;=0,P1336,IF(K1336+P1336&gt;=0,0,P1336+K1336))))</f>
        <v>14.2277397021008</v>
      </c>
      <c r="AA1336" s="18" t="n">
        <f aca="false">IF(D1336="","",IF(H1336&lt;=$B$16,1,IF(H1336&gt;=$B$17,$B$21,MATCH(H1336,Aux_CAV!$A$2:$A$121,1))))</f>
        <v>10</v>
      </c>
      <c r="AB1336" s="18" t="n">
        <f aca="false">IF(D1336="","",IF(L1336&lt;=$B$16,1,IF(L1336&gt;=$B$17,$B$21,MATCH(L1336,Aux_CAV!$A$2:$A$121,1))))</f>
        <v>10</v>
      </c>
      <c r="AC1336" s="19" t="n">
        <f aca="false">IF(D1336="","",COUNT($D$24:D1336))</f>
        <v>1301</v>
      </c>
    </row>
    <row r="1337" customFormat="false" ht="12.75" hidden="false" customHeight="true" outlineLevel="0" collapsed="false">
      <c r="A1337" s="14" t="n">
        <f aca="false">IF(D1337="","",DATE(B1337,C1337,1))</f>
        <v>43617</v>
      </c>
      <c r="B1337" s="15" t="n">
        <f aca="false" t="array" ref="B1337:B1337">IF(D1337="","",IFERROR(VALUE(INDEX(Vazoes_COLAR!$A$2:$A$200,INT((ROW()-24)/12)+1)),""))</f>
        <v>2019</v>
      </c>
      <c r="C1337" s="15" t="n">
        <f aca="false">IF(D1337="","",MOD(ROW()-24,12)+1)</f>
        <v>6</v>
      </c>
      <c r="D1337" s="16" t="n">
        <f aca="false" t="array" ref="D1337: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0.561051848538385</v>
      </c>
      <c r="E1337" s="16" t="n">
        <f aca="false">IF(D1337="","",D1337*$B$15)</f>
        <v>1.45424639141149</v>
      </c>
      <c r="F1337" s="16" t="n">
        <f aca="false" t="array" ref="F1337:F1337">IF(D1337="","",IFERROR(INDEX(Dados_Evap!$C$2:$N$15,MATCH($B$9,Dados_Evap!$A$2:$A$15,0),C1337),0))</f>
        <v>161.3</v>
      </c>
      <c r="G1337" s="16" t="n">
        <f aca="false">IF(F1337="","",F1337/1000)</f>
        <v>0.1613</v>
      </c>
      <c r="H1337" s="16" t="n">
        <f aca="false">IF(D1337="","",MAX(0,MIN($B$8,IFERROR(LOOKUP(2,1/($U$24:U1336&lt;&gt;""),$U$24:U1336),$B$11))))</f>
        <v>14.2277397021008</v>
      </c>
      <c r="I1337" s="16" t="n">
        <f aca="false" t="array" ref="I1337: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>3.49883662164978</v>
      </c>
      <c r="J1337" s="16" t="n">
        <f aca="false">IF(D1337="","",$B$12)</f>
        <v>0.35</v>
      </c>
      <c r="K1337" s="16" t="n">
        <f aca="false">IF(J1337="","",J1337*$B$15)</f>
        <v>0.9072</v>
      </c>
      <c r="L1337" s="16" t="n">
        <f aca="false">IF(D1337="","",H1337+E1337-K1337-G1337*I1337)</f>
        <v>14.2104237464402</v>
      </c>
      <c r="M1337" s="16" t="n">
        <f aca="false" t="array" ref="M1337: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>3.49735967249049</v>
      </c>
      <c r="N1337" s="16" t="n">
        <f aca="false">IF(D1337="","",(I1337+M1337)/2)</f>
        <v>3.49809814707013</v>
      </c>
      <c r="O1337" s="16" t="n">
        <f aca="false">IF(D1337="","",G1337*N1337)</f>
        <v>0.564243231122413</v>
      </c>
      <c r="P1337" s="16" t="n">
        <f aca="false">IF(D1337="","",H1337+E1337-K1337-O1337)</f>
        <v>14.2105428623899</v>
      </c>
      <c r="Q1337" s="16" t="n">
        <f aca="false">IF(D1337="","",IF(P1337&gt;=0,K1337,MAX(0,K1337+P1337)))</f>
        <v>0.9072</v>
      </c>
      <c r="R1337" s="16" t="n">
        <f aca="false">IF(D1337="","",Q1337/$B$15)</f>
        <v>0.35</v>
      </c>
      <c r="S1337" s="16" t="n">
        <f aca="false">IF(D1337="","",MAX(0,J1337-R1337))</f>
        <v>0</v>
      </c>
      <c r="T1337" s="16" t="n">
        <f aca="false">IF(D1337="","",MAX(0,Z1337-$B$8))</f>
        <v>0</v>
      </c>
      <c r="U1337" s="16" t="n">
        <f aca="false">IF(D1337="","",MAX(0,MIN($B$8,Z1337)))</f>
        <v>14.2105428623899</v>
      </c>
      <c r="V1337" s="16" t="str">
        <f aca="false">IF(D1337="","",IF(S1337&gt;0.0000001,"Sim","Não"))</f>
        <v>Não</v>
      </c>
      <c r="W1337" s="16" t="n">
        <f aca="false">IF(D1337="","",U1337-(H1337+E1337-Q1337-O1337-T1337))</f>
        <v>0</v>
      </c>
      <c r="X1337" s="16" t="n">
        <f aca="false">IF(W1337="","",ABS(W1337))</f>
        <v>0</v>
      </c>
      <c r="Y1337" s="16" t="n">
        <f aca="false">IF(U1337="","",IF($B$8=0,0,U1337/$B$8*100))</f>
        <v>30.094330500614</v>
      </c>
      <c r="Z1337" s="18" t="n">
        <f aca="false">IF(D1337="","",MAX(0,IF(P1337&gt;=0,P1337,IF(K1337+P1337&gt;=0,0,P1337+K1337))))</f>
        <v>14.2105428623899</v>
      </c>
      <c r="AA1337" s="18" t="n">
        <f aca="false">IF(D1337="","",IF(H1337&lt;=$B$16,1,IF(H1337&gt;=$B$17,$B$21,MATCH(H1337,Aux_CAV!$A$2:$A$121,1))))</f>
        <v>10</v>
      </c>
      <c r="AB1337" s="18" t="n">
        <f aca="false">IF(D1337="","",IF(L1337&lt;=$B$16,1,IF(L1337&gt;=$B$17,$B$21,MATCH(L1337,Aux_CAV!$A$2:$A$121,1))))</f>
        <v>10</v>
      </c>
      <c r="AC1337" s="19" t="n">
        <f aca="false">IF(D1337="","",COUNT($D$24:D1337))</f>
        <v>1302</v>
      </c>
    </row>
    <row r="1338" customFormat="false" ht="12.75" hidden="false" customHeight="true" outlineLevel="0" collapsed="false">
      <c r="A1338" s="14" t="n">
        <f aca="false">IF(D1338="","",DATE(B1338,C1338,1))</f>
        <v>43647</v>
      </c>
      <c r="B1338" s="15" t="n">
        <f aca="false" t="array" ref="B1338:B1338">IF(D1338="","",IFERROR(VALUE(INDEX(Vazoes_COLAR!$A$2:$A$200,INT((ROW()-24)/12)+1)),""))</f>
        <v>2019</v>
      </c>
      <c r="C1338" s="15" t="n">
        <f aca="false">IF(D1338="","",MOD(ROW()-24,12)+1)</f>
        <v>7</v>
      </c>
      <c r="D1338" s="16" t="n">
        <f aca="false" t="array" ref="D1338: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0.049297015665398</v>
      </c>
      <c r="E1338" s="16" t="n">
        <f aca="false">IF(D1338="","",D1338*$B$15)</f>
        <v>0.127777864604712</v>
      </c>
      <c r="F1338" s="16" t="n">
        <f aca="false" t="array" ref="F1338:F1338">IF(D1338="","",IFERROR(INDEX(Dados_Evap!$C$2:$N$15,MATCH($B$9,Dados_Evap!$A$2:$A$15,0),C1338),0))</f>
        <v>224.8</v>
      </c>
      <c r="G1338" s="16" t="n">
        <f aca="false">IF(F1338="","",F1338/1000)</f>
        <v>0.2248</v>
      </c>
      <c r="H1338" s="16" t="n">
        <f aca="false">IF(D1338="","",MAX(0,MIN($B$8,IFERROR(LOOKUP(2,1/($U$24:U1337&lt;&gt;""),$U$24:U1337),$B$11))))</f>
        <v>14.2105428623899</v>
      </c>
      <c r="I1338" s="16" t="n">
        <f aca="false" t="array" ref="I1338: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>3.49736983238032</v>
      </c>
      <c r="J1338" s="16" t="n">
        <f aca="false">IF(D1338="","",$B$12)</f>
        <v>0.35</v>
      </c>
      <c r="K1338" s="16" t="n">
        <f aca="false">IF(J1338="","",J1338*$B$15)</f>
        <v>0.9072</v>
      </c>
      <c r="L1338" s="16" t="n">
        <f aca="false">IF(D1338="","",H1338+E1338-K1338-G1338*I1338)</f>
        <v>12.6449119886755</v>
      </c>
      <c r="M1338" s="16" t="n">
        <f aca="false" t="array" ref="M1338: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>3.36383072844586</v>
      </c>
      <c r="N1338" s="16" t="n">
        <f aca="false">IF(D1338="","",(I1338+M1338)/2)</f>
        <v>3.43060028041309</v>
      </c>
      <c r="O1338" s="16" t="n">
        <f aca="false">IF(D1338="","",G1338*N1338)</f>
        <v>0.771198943036862</v>
      </c>
      <c r="P1338" s="16" t="n">
        <f aca="false">IF(D1338="","",H1338+E1338-K1338-O1338)</f>
        <v>12.6599217839578</v>
      </c>
      <c r="Q1338" s="16" t="n">
        <f aca="false">IF(D1338="","",IF(P1338&gt;=0,K1338,MAX(0,K1338+P1338)))</f>
        <v>0.9072</v>
      </c>
      <c r="R1338" s="16" t="n">
        <f aca="false">IF(D1338="","",Q1338/$B$15)</f>
        <v>0.35</v>
      </c>
      <c r="S1338" s="16" t="n">
        <f aca="false">IF(D1338="","",MAX(0,J1338-R1338))</f>
        <v>0</v>
      </c>
      <c r="T1338" s="16" t="n">
        <f aca="false">IF(D1338="","",MAX(0,Z1338-$B$8))</f>
        <v>0</v>
      </c>
      <c r="U1338" s="16" t="n">
        <f aca="false">IF(D1338="","",MAX(0,MIN($B$8,Z1338)))</f>
        <v>12.6599217839578</v>
      </c>
      <c r="V1338" s="16" t="str">
        <f aca="false">IF(D1338="","",IF(S1338&gt;0.0000001,"Sim","Não"))</f>
        <v>Não</v>
      </c>
      <c r="W1338" s="16" t="n">
        <f aca="false">IF(D1338="","",U1338-(H1338+E1338-Q1338-O1338-T1338))</f>
        <v>0</v>
      </c>
      <c r="X1338" s="16" t="n">
        <f aca="false">IF(W1338="","",ABS(W1338))</f>
        <v>0</v>
      </c>
      <c r="Y1338" s="16" t="n">
        <f aca="false">IF(U1338="","",IF($B$8=0,0,U1338/$B$8*100))</f>
        <v>26.8105078016895</v>
      </c>
      <c r="Z1338" s="18" t="n">
        <f aca="false">IF(D1338="","",MAX(0,IF(P1338&gt;=0,P1338,IF(K1338+P1338&gt;=0,0,P1338+K1338))))</f>
        <v>12.6599217839578</v>
      </c>
      <c r="AA1338" s="18" t="n">
        <f aca="false">IF(D1338="","",IF(H1338&lt;=$B$16,1,IF(H1338&gt;=$B$17,$B$21,MATCH(H1338,Aux_CAV!$A$2:$A$121,1))))</f>
        <v>10</v>
      </c>
      <c r="AB1338" s="18" t="n">
        <f aca="false">IF(D1338="","",IF(L1338&lt;=$B$16,1,IF(L1338&gt;=$B$17,$B$21,MATCH(L1338,Aux_CAV!$A$2:$A$121,1))))</f>
        <v>10</v>
      </c>
      <c r="AC1338" s="19" t="n">
        <f aca="false">IF(D1338="","",COUNT($D$24:D1338))</f>
        <v>1303</v>
      </c>
    </row>
    <row r="1339" customFormat="false" ht="12.75" hidden="false" customHeight="true" outlineLevel="0" collapsed="false">
      <c r="A1339" s="14" t="n">
        <f aca="false">IF(D1339="","",DATE(B1339,C1339,1))</f>
        <v>43678</v>
      </c>
      <c r="B1339" s="15" t="n">
        <f aca="false" t="array" ref="B1339:B1339">IF(D1339="","",IFERROR(VALUE(INDEX(Vazoes_COLAR!$A$2:$A$200,INT((ROW()-24)/12)+1)),""))</f>
        <v>2019</v>
      </c>
      <c r="C1339" s="15" t="n">
        <f aca="false">IF(D1339="","",MOD(ROW()-24,12)+1)</f>
        <v>8</v>
      </c>
      <c r="D1339" s="16" t="n">
        <f aca="false" t="array" ref="D1339: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0.0128828745607527</v>
      </c>
      <c r="E1339" s="16" t="n">
        <f aca="false">IF(D1339="","",D1339*$B$15)</f>
        <v>0.033392410861471</v>
      </c>
      <c r="F1339" s="16" t="n">
        <f aca="false" t="array" ref="F1339:F1339">IF(D1339="","",IFERROR(INDEX(Dados_Evap!$C$2:$N$15,MATCH($B$9,Dados_Evap!$A$2:$A$15,0),C1339),0))</f>
        <v>268.7</v>
      </c>
      <c r="G1339" s="16" t="n">
        <f aca="false">IF(F1339="","",F1339/1000)</f>
        <v>0.2687</v>
      </c>
      <c r="H1339" s="16" t="n">
        <f aca="false">IF(D1339="","",MAX(0,MIN($B$8,IFERROR(LOOKUP(2,1/($U$24:U1338&lt;&gt;""),$U$24:U1338),$B$11))))</f>
        <v>12.6599217839578</v>
      </c>
      <c r="I1339" s="16" t="n">
        <f aca="false" t="array" ref="I1339: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>3.36511097569052</v>
      </c>
      <c r="J1339" s="16" t="n">
        <f aca="false">IF(D1339="","",$B$12)</f>
        <v>0.35</v>
      </c>
      <c r="K1339" s="16" t="n">
        <f aca="false">IF(J1339="","",J1339*$B$15)</f>
        <v>0.9072</v>
      </c>
      <c r="L1339" s="16" t="n">
        <f aca="false">IF(D1339="","",H1339+E1339-K1339-G1339*I1339)</f>
        <v>10.8819088756512</v>
      </c>
      <c r="M1339" s="16" t="n">
        <f aca="false" t="array" ref="M1339: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>3.21345693351143</v>
      </c>
      <c r="N1339" s="16" t="n">
        <f aca="false">IF(D1339="","",(I1339+M1339)/2)</f>
        <v>3.28928395460097</v>
      </c>
      <c r="O1339" s="16" t="n">
        <f aca="false">IF(D1339="","",G1339*N1339)</f>
        <v>0.883830598601281</v>
      </c>
      <c r="P1339" s="16" t="n">
        <f aca="false">IF(D1339="","",H1339+E1339-K1339-O1339)</f>
        <v>10.902283596218</v>
      </c>
      <c r="Q1339" s="16" t="n">
        <f aca="false">IF(D1339="","",IF(P1339&gt;=0,K1339,MAX(0,K1339+P1339)))</f>
        <v>0.9072</v>
      </c>
      <c r="R1339" s="16" t="n">
        <f aca="false">IF(D1339="","",Q1339/$B$15)</f>
        <v>0.35</v>
      </c>
      <c r="S1339" s="16" t="n">
        <f aca="false">IF(D1339="","",MAX(0,J1339-R1339))</f>
        <v>0</v>
      </c>
      <c r="T1339" s="16" t="n">
        <f aca="false">IF(D1339="","",MAX(0,Z1339-$B$8))</f>
        <v>0</v>
      </c>
      <c r="U1339" s="16" t="n">
        <f aca="false">IF(D1339="","",MAX(0,MIN($B$8,Z1339)))</f>
        <v>10.902283596218</v>
      </c>
      <c r="V1339" s="16" t="str">
        <f aca="false">IF(D1339="","",IF(S1339&gt;0.0000001,"Sim","Não"))</f>
        <v>Não</v>
      </c>
      <c r="W1339" s="16" t="n">
        <f aca="false">IF(D1339="","",U1339-(H1339+E1339-Q1339-O1339-T1339))</f>
        <v>0</v>
      </c>
      <c r="X1339" s="16" t="n">
        <f aca="false">IF(W1339="","",ABS(W1339))</f>
        <v>0</v>
      </c>
      <c r="Y1339" s="16" t="n">
        <f aca="false">IF(U1339="","",IF($B$8=0,0,U1339/$B$8*100))</f>
        <v>23.0882752990639</v>
      </c>
      <c r="Z1339" s="18" t="n">
        <f aca="false">IF(D1339="","",MAX(0,IF(P1339&gt;=0,P1339,IF(K1339+P1339&gt;=0,0,P1339+K1339))))</f>
        <v>10.902283596218</v>
      </c>
      <c r="AA1339" s="18" t="n">
        <f aca="false">IF(D1339="","",IF(H1339&lt;=$B$16,1,IF(H1339&gt;=$B$17,$B$21,MATCH(H1339,Aux_CAV!$A$2:$A$121,1))))</f>
        <v>10</v>
      </c>
      <c r="AB1339" s="18" t="n">
        <f aca="false">IF(D1339="","",IF(L1339&lt;=$B$16,1,IF(L1339&gt;=$B$17,$B$21,MATCH(L1339,Aux_CAV!$A$2:$A$121,1))))</f>
        <v>10</v>
      </c>
      <c r="AC1339" s="19" t="n">
        <f aca="false">IF(D1339="","",COUNT($D$24:D1339))</f>
        <v>1304</v>
      </c>
    </row>
    <row r="1340" customFormat="false" ht="12.75" hidden="false" customHeight="true" outlineLevel="0" collapsed="false">
      <c r="A1340" s="14" t="n">
        <f aca="false">IF(D1340="","",DATE(B1340,C1340,1))</f>
        <v>43709</v>
      </c>
      <c r="B1340" s="15" t="n">
        <f aca="false" t="array" ref="B1340:B1340">IF(D1340="","",IFERROR(VALUE(INDEX(Vazoes_COLAR!$A$2:$A$200,INT((ROW()-24)/12)+1)),""))</f>
        <v>2019</v>
      </c>
      <c r="C1340" s="15" t="n">
        <f aca="false">IF(D1340="","",MOD(ROW()-24,12)+1)</f>
        <v>9</v>
      </c>
      <c r="D1340" s="16" t="n">
        <f aca="false" t="array" ref="D1340: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0.0122990152835494</v>
      </c>
      <c r="E1340" s="16" t="n">
        <f aca="false">IF(D1340="","",D1340*$B$15)</f>
        <v>0.03187904761496</v>
      </c>
      <c r="F1340" s="16" t="n">
        <f aca="false" t="array" ref="F1340:F1340">IF(D1340="","",IFERROR(INDEX(Dados_Evap!$C$2:$N$15,MATCH($B$9,Dados_Evap!$A$2:$A$15,0),C1340),0))</f>
        <v>292.8</v>
      </c>
      <c r="G1340" s="16" t="n">
        <f aca="false">IF(F1340="","",F1340/1000)</f>
        <v>0.2928</v>
      </c>
      <c r="H1340" s="16" t="n">
        <f aca="false">IF(D1340="","",MAX(0,MIN($B$8,IFERROR(LOOKUP(2,1/($U$24:U1339&lt;&gt;""),$U$24:U1339),$B$11))))</f>
        <v>10.902283596218</v>
      </c>
      <c r="I1340" s="16" t="n">
        <f aca="false" t="array" ref="I1340: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>3.21519477732447</v>
      </c>
      <c r="J1340" s="16" t="n">
        <f aca="false">IF(D1340="","",$B$12)</f>
        <v>0.35</v>
      </c>
      <c r="K1340" s="16" t="n">
        <f aca="false">IF(J1340="","",J1340*$B$15)</f>
        <v>0.9072</v>
      </c>
      <c r="L1340" s="16" t="n">
        <f aca="false">IF(D1340="","",H1340+E1340-K1340-G1340*I1340)</f>
        <v>9.08555361303232</v>
      </c>
      <c r="M1340" s="16" t="n">
        <f aca="false" t="array" ref="M1340: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>3.03517907800771</v>
      </c>
      <c r="N1340" s="16" t="n">
        <f aca="false">IF(D1340="","",(I1340+M1340)/2)</f>
        <v>3.12518692766609</v>
      </c>
      <c r="O1340" s="16" t="n">
        <f aca="false">IF(D1340="","",G1340*N1340)</f>
        <v>0.915054732420631</v>
      </c>
      <c r="P1340" s="16" t="n">
        <f aca="false">IF(D1340="","",H1340+E1340-K1340-O1340)</f>
        <v>9.1119079114123</v>
      </c>
      <c r="Q1340" s="16" t="n">
        <f aca="false">IF(D1340="","",IF(P1340&gt;=0,K1340,MAX(0,K1340+P1340)))</f>
        <v>0.9072</v>
      </c>
      <c r="R1340" s="16" t="n">
        <f aca="false">IF(D1340="","",Q1340/$B$15)</f>
        <v>0.35</v>
      </c>
      <c r="S1340" s="16" t="n">
        <f aca="false">IF(D1340="","",MAX(0,J1340-R1340))</f>
        <v>0</v>
      </c>
      <c r="T1340" s="16" t="n">
        <f aca="false">IF(D1340="","",MAX(0,Z1340-$B$8))</f>
        <v>0</v>
      </c>
      <c r="U1340" s="16" t="n">
        <f aca="false">IF(D1340="","",MAX(0,MIN($B$8,Z1340)))</f>
        <v>9.1119079114123</v>
      </c>
      <c r="V1340" s="16" t="str">
        <f aca="false">IF(D1340="","",IF(S1340&gt;0.0000001,"Sim","Não"))</f>
        <v>Não</v>
      </c>
      <c r="W1340" s="16" t="n">
        <f aca="false">IF(D1340="","",U1340-(H1340+E1340-Q1340-O1340-T1340))</f>
        <v>0</v>
      </c>
      <c r="X1340" s="16" t="n">
        <f aca="false">IF(W1340="","",ABS(W1340))</f>
        <v>0</v>
      </c>
      <c r="Y1340" s="16" t="n">
        <f aca="false">IF(U1340="","",IF($B$8=0,0,U1340/$B$8*100))</f>
        <v>19.2967130694881</v>
      </c>
      <c r="Z1340" s="18" t="n">
        <f aca="false">IF(D1340="","",MAX(0,IF(P1340&gt;=0,P1340,IF(K1340+P1340&gt;=0,0,P1340+K1340))))</f>
        <v>9.1119079114123</v>
      </c>
      <c r="AA1340" s="18" t="n">
        <f aca="false">IF(D1340="","",IF(H1340&lt;=$B$16,1,IF(H1340&gt;=$B$17,$B$21,MATCH(H1340,Aux_CAV!$A$2:$A$121,1))))</f>
        <v>10</v>
      </c>
      <c r="AB1340" s="18" t="n">
        <f aca="false">IF(D1340="","",IF(L1340&lt;=$B$16,1,IF(L1340&gt;=$B$17,$B$21,MATCH(L1340,Aux_CAV!$A$2:$A$121,1))))</f>
        <v>9</v>
      </c>
      <c r="AC1340" s="19" t="n">
        <f aca="false">IF(D1340="","",COUNT($D$24:D1340))</f>
        <v>1305</v>
      </c>
    </row>
    <row r="1341" customFormat="false" ht="12.75" hidden="false" customHeight="true" outlineLevel="0" collapsed="false">
      <c r="A1341" s="14" t="n">
        <f aca="false">IF(D1341="","",DATE(B1341,C1341,1))</f>
        <v>43739</v>
      </c>
      <c r="B1341" s="15" t="n">
        <f aca="false" t="array" ref="B1341:B1341">IF(D1341="","",IFERROR(VALUE(INDEX(Vazoes_COLAR!$A$2:$A$200,INT((ROW()-24)/12)+1)),""))</f>
        <v>2019</v>
      </c>
      <c r="C1341" s="15" t="n">
        <f aca="false">IF(D1341="","",MOD(ROW()-24,12)+1)</f>
        <v>10</v>
      </c>
      <c r="D1341" s="16" t="n">
        <f aca="false" t="array" ref="D1341: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0.0118828445149518</v>
      </c>
      <c r="E1341" s="16" t="n">
        <f aca="false">IF(D1341="","",D1341*$B$15)</f>
        <v>0.0308003329827551</v>
      </c>
      <c r="F1341" s="16" t="n">
        <f aca="false" t="array" ref="F1341:F1341">IF(D1341="","",IFERROR(INDEX(Dados_Evap!$C$2:$N$15,MATCH($B$9,Dados_Evap!$A$2:$A$15,0),C1341),0))</f>
        <v>262.9</v>
      </c>
      <c r="G1341" s="16" t="n">
        <f aca="false">IF(F1341="","",F1341/1000)</f>
        <v>0.2629</v>
      </c>
      <c r="H1341" s="16" t="n">
        <f aca="false">IF(D1341="","",MAX(0,MIN($B$8,IFERROR(LOOKUP(2,1/($U$24:U1340&lt;&gt;""),$U$24:U1340),$B$11))))</f>
        <v>9.1119079114123</v>
      </c>
      <c r="I1341" s="16" t="n">
        <f aca="false" t="array" ref="I1341: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>3.04319751347225</v>
      </c>
      <c r="J1341" s="16" t="n">
        <f aca="false">IF(D1341="","",$B$12)</f>
        <v>0.35</v>
      </c>
      <c r="K1341" s="16" t="n">
        <f aca="false">IF(J1341="","",J1341*$B$15)</f>
        <v>0.9072</v>
      </c>
      <c r="L1341" s="16" t="n">
        <f aca="false">IF(D1341="","",H1341+E1341-K1341-G1341*I1341)</f>
        <v>7.4354516181032</v>
      </c>
      <c r="M1341" s="16" t="n">
        <f aca="false" t="array" ref="M1341: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>2.53312676891225</v>
      </c>
      <c r="N1341" s="16" t="n">
        <f aca="false">IF(D1341="","",(I1341+M1341)/2)</f>
        <v>2.78816214119225</v>
      </c>
      <c r="O1341" s="16" t="n">
        <f aca="false">IF(D1341="","",G1341*N1341)</f>
        <v>0.733007826919443</v>
      </c>
      <c r="P1341" s="16" t="n">
        <f aca="false">IF(D1341="","",H1341+E1341-K1341-O1341)</f>
        <v>7.50250041747561</v>
      </c>
      <c r="Q1341" s="16" t="n">
        <f aca="false">IF(D1341="","",IF(P1341&gt;=0,K1341,MAX(0,K1341+P1341)))</f>
        <v>0.9072</v>
      </c>
      <c r="R1341" s="16" t="n">
        <f aca="false">IF(D1341="","",Q1341/$B$15)</f>
        <v>0.35</v>
      </c>
      <c r="S1341" s="16" t="n">
        <f aca="false">IF(D1341="","",MAX(0,J1341-R1341))</f>
        <v>0</v>
      </c>
      <c r="T1341" s="16" t="n">
        <f aca="false">IF(D1341="","",MAX(0,Z1341-$B$8))</f>
        <v>0</v>
      </c>
      <c r="U1341" s="16" t="n">
        <f aca="false">IF(D1341="","",MAX(0,MIN($B$8,Z1341)))</f>
        <v>7.50250041747561</v>
      </c>
      <c r="V1341" s="16" t="str">
        <f aca="false">IF(D1341="","",IF(S1341&gt;0.0000001,"Sim","Não"))</f>
        <v>Não</v>
      </c>
      <c r="W1341" s="16" t="n">
        <f aca="false">IF(D1341="","",U1341-(H1341+E1341-Q1341-O1341-T1341))</f>
        <v>0</v>
      </c>
      <c r="X1341" s="16" t="n">
        <f aca="false">IF(W1341="","",ABS(W1341))</f>
        <v>0</v>
      </c>
      <c r="Y1341" s="16" t="n">
        <f aca="false">IF(U1341="","",IF($B$8=0,0,U1341/$B$8*100))</f>
        <v>15.8883956320957</v>
      </c>
      <c r="Z1341" s="18" t="n">
        <f aca="false">IF(D1341="","",MAX(0,IF(P1341&gt;=0,P1341,IF(K1341+P1341&gt;=0,0,P1341+K1341))))</f>
        <v>7.50250041747561</v>
      </c>
      <c r="AA1341" s="18" t="n">
        <f aca="false">IF(D1341="","",IF(H1341&lt;=$B$16,1,IF(H1341&gt;=$B$17,$B$21,MATCH(H1341,Aux_CAV!$A$2:$A$121,1))))</f>
        <v>9</v>
      </c>
      <c r="AB1341" s="18" t="n">
        <f aca="false">IF(D1341="","",IF(L1341&lt;=$B$16,1,IF(L1341&gt;=$B$17,$B$21,MATCH(L1341,Aux_CAV!$A$2:$A$121,1))))</f>
        <v>9</v>
      </c>
      <c r="AC1341" s="19" t="n">
        <f aca="false">IF(D1341="","",COUNT($D$24:D1341))</f>
        <v>1306</v>
      </c>
    </row>
    <row r="1342" customFormat="false" ht="12.75" hidden="false" customHeight="true" outlineLevel="0" collapsed="false">
      <c r="A1342" s="14" t="n">
        <f aca="false">IF(D1342="","",DATE(B1342,C1342,1))</f>
        <v>43770</v>
      </c>
      <c r="B1342" s="15" t="n">
        <f aca="false" t="array" ref="B1342:B1342">IF(D1342="","",IFERROR(VALUE(INDEX(Vazoes_COLAR!$A$2:$A$200,INT((ROW()-24)/12)+1)),""))</f>
        <v>2019</v>
      </c>
      <c r="C1342" s="15" t="n">
        <f aca="false">IF(D1342="","",MOD(ROW()-24,12)+1)</f>
        <v>11</v>
      </c>
      <c r="D1342" s="16" t="n">
        <f aca="false" t="array" ref="D1342: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0.0125256110038052</v>
      </c>
      <c r="E1342" s="16" t="n">
        <f aca="false">IF(D1342="","",D1342*$B$15)</f>
        <v>0.0324663837218631</v>
      </c>
      <c r="F1342" s="16" t="n">
        <f aca="false" t="array" ref="F1342:F1342">IF(D1342="","",IFERROR(INDEX(Dados_Evap!$C$2:$N$15,MATCH($B$9,Dados_Evap!$A$2:$A$15,0),C1342),0))</f>
        <v>223.7</v>
      </c>
      <c r="G1342" s="16" t="n">
        <f aca="false">IF(F1342="","",F1342/1000)</f>
        <v>0.2237</v>
      </c>
      <c r="H1342" s="16" t="n">
        <f aca="false">IF(D1342="","",MAX(0,MIN($B$8,IFERROR(LOOKUP(2,1/($U$24:U1341&lt;&gt;""),$U$24:U1341),$B$11))))</f>
        <v>7.50250041747561</v>
      </c>
      <c r="I1342" s="16" t="n">
        <f aca="false" t="array" ref="I1342: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>2.55352672276386</v>
      </c>
      <c r="J1342" s="16" t="n">
        <f aca="false">IF(D1342="","",$B$12)</f>
        <v>0.35</v>
      </c>
      <c r="K1342" s="16" t="n">
        <f aca="false">IF(J1342="","",J1342*$B$15)</f>
        <v>0.9072</v>
      </c>
      <c r="L1342" s="16" t="n">
        <f aca="false">IF(D1342="","",H1342+E1342-K1342-G1342*I1342)</f>
        <v>6.0565428733152</v>
      </c>
      <c r="M1342" s="16" t="n">
        <f aca="false" t="array" ref="M1342: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>2.11358644868952</v>
      </c>
      <c r="N1342" s="16" t="n">
        <f aca="false">IF(D1342="","",(I1342+M1342)/2)</f>
        <v>2.33355658572669</v>
      </c>
      <c r="O1342" s="16" t="n">
        <f aca="false">IF(D1342="","",G1342*N1342)</f>
        <v>0.52201660822706</v>
      </c>
      <c r="P1342" s="16" t="n">
        <f aca="false">IF(D1342="","",H1342+E1342-K1342-O1342)</f>
        <v>6.10575019297042</v>
      </c>
      <c r="Q1342" s="16" t="n">
        <f aca="false">IF(D1342="","",IF(P1342&gt;=0,K1342,MAX(0,K1342+P1342)))</f>
        <v>0.9072</v>
      </c>
      <c r="R1342" s="16" t="n">
        <f aca="false">IF(D1342="","",Q1342/$B$15)</f>
        <v>0.35</v>
      </c>
      <c r="S1342" s="16" t="n">
        <f aca="false">IF(D1342="","",MAX(0,J1342-R1342))</f>
        <v>0</v>
      </c>
      <c r="T1342" s="16" t="n">
        <f aca="false">IF(D1342="","",MAX(0,Z1342-$B$8))</f>
        <v>0</v>
      </c>
      <c r="U1342" s="16" t="n">
        <f aca="false">IF(D1342="","",MAX(0,MIN($B$8,Z1342)))</f>
        <v>6.10575019297042</v>
      </c>
      <c r="V1342" s="16" t="str">
        <f aca="false">IF(D1342="","",IF(S1342&gt;0.0000001,"Sim","Não"))</f>
        <v>Não</v>
      </c>
      <c r="W1342" s="16" t="n">
        <f aca="false">IF(D1342="","",U1342-(H1342+E1342-Q1342-O1342-T1342))</f>
        <v>0</v>
      </c>
      <c r="X1342" s="16" t="n">
        <f aca="false">IF(W1342="","",ABS(W1342))</f>
        <v>0</v>
      </c>
      <c r="Y1342" s="16" t="n">
        <f aca="false">IF(U1342="","",IF($B$8=0,0,U1342/$B$8*100))</f>
        <v>12.9304324289928</v>
      </c>
      <c r="Z1342" s="18" t="n">
        <f aca="false">IF(D1342="","",MAX(0,IF(P1342&gt;=0,P1342,IF(K1342+P1342&gt;=0,0,P1342+K1342))))</f>
        <v>6.10575019297042</v>
      </c>
      <c r="AA1342" s="18" t="n">
        <f aca="false">IF(D1342="","",IF(H1342&lt;=$B$16,1,IF(H1342&gt;=$B$17,$B$21,MATCH(H1342,Aux_CAV!$A$2:$A$121,1))))</f>
        <v>9</v>
      </c>
      <c r="AB1342" s="18" t="n">
        <f aca="false">IF(D1342="","",IF(L1342&lt;=$B$16,1,IF(L1342&gt;=$B$17,$B$21,MATCH(L1342,Aux_CAV!$A$2:$A$121,1))))</f>
        <v>9</v>
      </c>
      <c r="AC1342" s="19" t="n">
        <f aca="false">IF(D1342="","",COUNT($D$24:D1342))</f>
        <v>1307</v>
      </c>
    </row>
    <row r="1343" customFormat="false" ht="12.75" hidden="false" customHeight="true" outlineLevel="0" collapsed="false">
      <c r="A1343" s="14" t="n">
        <f aca="false">IF(D1343="","",DATE(B1343,C1343,1))</f>
        <v>43800</v>
      </c>
      <c r="B1343" s="15" t="n">
        <f aca="false" t="array" ref="B1343:B1343">IF(D1343="","",IFERROR(VALUE(INDEX(Vazoes_COLAR!$A$2:$A$200,INT((ROW()-24)/12)+1)),""))</f>
        <v>2019</v>
      </c>
      <c r="C1343" s="15" t="n">
        <f aca="false">IF(D1343="","",MOD(ROW()-24,12)+1)</f>
        <v>12</v>
      </c>
      <c r="D1343" s="16" t="n">
        <f aca="false" t="array" ref="D1343: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0.0148588589903215</v>
      </c>
      <c r="E1343" s="16" t="n">
        <f aca="false">IF(D1343="","",D1343*$B$15)</f>
        <v>0.0385141625029133</v>
      </c>
      <c r="F1343" s="16" t="n">
        <f aca="false" t="array" ref="F1343:F1343">IF(D1343="","",IFERROR(INDEX(Dados_Evap!$C$2:$N$15,MATCH($B$9,Dados_Evap!$A$2:$A$15,0),C1343),0))</f>
        <v>216.1</v>
      </c>
      <c r="G1343" s="16" t="n">
        <f aca="false">IF(F1343="","",F1343/1000)</f>
        <v>0.2161</v>
      </c>
      <c r="H1343" s="16" t="n">
        <f aca="false">IF(D1343="","",MAX(0,MIN($B$8,IFERROR(LOOKUP(2,1/($U$24:U1342&lt;&gt;""),$U$24:U1342),$B$11))))</f>
        <v>6.10575019297042</v>
      </c>
      <c r="I1343" s="16" t="n">
        <f aca="false" t="array" ref="I1343: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>2.12855803743568</v>
      </c>
      <c r="J1343" s="16" t="n">
        <f aca="false">IF(D1343="","",$B$12)</f>
        <v>0.35</v>
      </c>
      <c r="K1343" s="16" t="n">
        <f aca="false">IF(J1343="","",J1343*$B$15)</f>
        <v>0.9072</v>
      </c>
      <c r="L1343" s="16" t="n">
        <f aca="false">IF(D1343="","",H1343+E1343-K1343-G1343*I1343)</f>
        <v>4.77708296358348</v>
      </c>
      <c r="M1343" s="16" t="n">
        <f aca="false" t="array" ref="M1343: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>1.72430396551582</v>
      </c>
      <c r="N1343" s="16" t="n">
        <f aca="false">IF(D1343="","",(I1343+M1343)/2)</f>
        <v>1.92643100147575</v>
      </c>
      <c r="O1343" s="16" t="n">
        <f aca="false">IF(D1343="","",G1343*N1343)</f>
        <v>0.41630173941891</v>
      </c>
      <c r="P1343" s="16" t="n">
        <f aca="false">IF(D1343="","",H1343+E1343-K1343-O1343)</f>
        <v>4.82076261605442</v>
      </c>
      <c r="Q1343" s="16" t="n">
        <f aca="false">IF(D1343="","",IF(P1343&gt;=0,K1343,MAX(0,K1343+P1343)))</f>
        <v>0.9072</v>
      </c>
      <c r="R1343" s="16" t="n">
        <f aca="false">IF(D1343="","",Q1343/$B$15)</f>
        <v>0.35</v>
      </c>
      <c r="S1343" s="16" t="n">
        <f aca="false">IF(D1343="","",MAX(0,J1343-R1343))</f>
        <v>0</v>
      </c>
      <c r="T1343" s="16" t="n">
        <f aca="false">IF(D1343="","",MAX(0,Z1343-$B$8))</f>
        <v>0</v>
      </c>
      <c r="U1343" s="16" t="n">
        <f aca="false">IF(D1343="","",MAX(0,MIN($B$8,Z1343)))</f>
        <v>4.82076261605442</v>
      </c>
      <c r="V1343" s="16" t="str">
        <f aca="false">IF(D1343="","",IF(S1343&gt;0.0000001,"Sim","Não"))</f>
        <v>Não</v>
      </c>
      <c r="W1343" s="16" t="n">
        <f aca="false">IF(D1343="","",U1343-(H1343+E1343-Q1343-O1343-T1343))</f>
        <v>0</v>
      </c>
      <c r="X1343" s="16" t="n">
        <f aca="false">IF(W1343="","",ABS(W1343))</f>
        <v>0</v>
      </c>
      <c r="Y1343" s="16" t="n">
        <f aca="false">IF(U1343="","",IF($B$8=0,0,U1343/$B$8*100))</f>
        <v>10.2091542059602</v>
      </c>
      <c r="Z1343" s="18" t="n">
        <f aca="false">IF(D1343="","",MAX(0,IF(P1343&gt;=0,P1343,IF(K1343+P1343&gt;=0,0,P1343+K1343))))</f>
        <v>4.82076261605442</v>
      </c>
      <c r="AA1343" s="18" t="n">
        <f aca="false">IF(D1343="","",IF(H1343&lt;=$B$16,1,IF(H1343&gt;=$B$17,$B$21,MATCH(H1343,Aux_CAV!$A$2:$A$121,1))))</f>
        <v>9</v>
      </c>
      <c r="AB1343" s="18" t="n">
        <f aca="false">IF(D1343="","",IF(L1343&lt;=$B$16,1,IF(L1343&gt;=$B$17,$B$21,MATCH(L1343,Aux_CAV!$A$2:$A$121,1))))</f>
        <v>9</v>
      </c>
      <c r="AC1343" s="19" t="n">
        <f aca="false">IF(D1343="","",COUNT($D$24:D1343))</f>
        <v>1308</v>
      </c>
    </row>
    <row r="1344" customFormat="false" ht="12.75" hidden="false" customHeight="true" outlineLevel="0" collapsed="false">
      <c r="A1344" s="14" t="n">
        <f aca="false">IF(D1344="","",DATE(B1344,C1344,1))</f>
        <v>43831</v>
      </c>
      <c r="B1344" s="15" t="n">
        <f aca="false" t="array" ref="B1344:B1344">IF(D1344="","",IFERROR(VALUE(INDEX(Vazoes_COLAR!$A$2:$A$200,INT((ROW()-24)/12)+1)),""))</f>
        <v>2020</v>
      </c>
      <c r="C1344" s="15" t="n">
        <f aca="false">IF(D1344="","",MOD(ROW()-24,12)+1)</f>
        <v>1</v>
      </c>
      <c r="D1344" s="16" t="n">
        <f aca="false" t="array" ref="D1344: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0.180819917971554</v>
      </c>
      <c r="E1344" s="16" t="n">
        <f aca="false">IF(D1344="","",D1344*$B$15)</f>
        <v>0.468685227382268</v>
      </c>
      <c r="F1344" s="16" t="n">
        <f aca="false" t="array" ref="F1344:F1344">IF(D1344="","",IFERROR(INDEX(Dados_Evap!$C$2:$N$15,MATCH($B$9,Dados_Evap!$A$2:$A$15,0),C1344),0))</f>
        <v>160</v>
      </c>
      <c r="G1344" s="16" t="n">
        <f aca="false">IF(F1344="","",F1344/1000)</f>
        <v>0.16</v>
      </c>
      <c r="H1344" s="16" t="n">
        <f aca="false">IF(D1344="","",MAX(0,MIN($B$8,IFERROR(LOOKUP(2,1/($U$24:U1343&lt;&gt;""),$U$24:U1343),$B$11))))</f>
        <v>4.82076261605442</v>
      </c>
      <c r="I1344" s="16" t="n">
        <f aca="false" t="array" ref="I1344: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>1.73759373211869</v>
      </c>
      <c r="J1344" s="16" t="n">
        <f aca="false">IF(D1344="","",$B$12)</f>
        <v>0.35</v>
      </c>
      <c r="K1344" s="16" t="n">
        <f aca="false">IF(J1344="","",J1344*$B$15)</f>
        <v>0.9072</v>
      </c>
      <c r="L1344" s="16" t="n">
        <f aca="false">IF(D1344="","",H1344+E1344-K1344-G1344*I1344)</f>
        <v>4.1042328462977</v>
      </c>
      <c r="M1344" s="16" t="n">
        <f aca="false" t="array" ref="M1344: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>1.53235133419297</v>
      </c>
      <c r="N1344" s="16" t="n">
        <f aca="false">IF(D1344="","",(I1344+M1344)/2)</f>
        <v>1.63497253315583</v>
      </c>
      <c r="O1344" s="16" t="n">
        <f aca="false">IF(D1344="","",G1344*N1344)</f>
        <v>0.261595605304933</v>
      </c>
      <c r="P1344" s="16" t="n">
        <f aca="false">IF(D1344="","",H1344+E1344-K1344-O1344)</f>
        <v>4.12065223813175</v>
      </c>
      <c r="Q1344" s="16" t="n">
        <f aca="false">IF(D1344="","",IF(P1344&gt;=0,K1344,MAX(0,K1344+P1344)))</f>
        <v>0.9072</v>
      </c>
      <c r="R1344" s="16" t="n">
        <f aca="false">IF(D1344="","",Q1344/$B$15)</f>
        <v>0.35</v>
      </c>
      <c r="S1344" s="16" t="n">
        <f aca="false">IF(D1344="","",MAX(0,J1344-R1344))</f>
        <v>0</v>
      </c>
      <c r="T1344" s="16" t="n">
        <f aca="false">IF(D1344="","",MAX(0,Z1344-$B$8))</f>
        <v>0</v>
      </c>
      <c r="U1344" s="16" t="n">
        <f aca="false">IF(D1344="","",MAX(0,MIN($B$8,Z1344)))</f>
        <v>4.12065223813175</v>
      </c>
      <c r="V1344" s="16" t="str">
        <f aca="false">IF(D1344="","",IF(S1344&gt;0.0000001,"Sim","Não"))</f>
        <v>Não</v>
      </c>
      <c r="W1344" s="16" t="n">
        <f aca="false">IF(D1344="","",U1344-(H1344+E1344-Q1344-O1344-T1344))</f>
        <v>0</v>
      </c>
      <c r="X1344" s="16" t="n">
        <f aca="false">IF(W1344="","",ABS(W1344))</f>
        <v>0</v>
      </c>
      <c r="Y1344" s="16" t="n">
        <f aca="false">IF(U1344="","",IF($B$8=0,0,U1344/$B$8*100))</f>
        <v>8.72649775123201</v>
      </c>
      <c r="Z1344" s="18" t="n">
        <f aca="false">IF(D1344="","",MAX(0,IF(P1344&gt;=0,P1344,IF(K1344+P1344&gt;=0,0,P1344+K1344))))</f>
        <v>4.12065223813175</v>
      </c>
      <c r="AA1344" s="18" t="n">
        <f aca="false">IF(D1344="","",IF(H1344&lt;=$B$16,1,IF(H1344&gt;=$B$17,$B$21,MATCH(H1344,Aux_CAV!$A$2:$A$121,1))))</f>
        <v>9</v>
      </c>
      <c r="AB1344" s="18" t="n">
        <f aca="false">IF(D1344="","",IF(L1344&lt;=$B$16,1,IF(L1344&gt;=$B$17,$B$21,MATCH(L1344,Aux_CAV!$A$2:$A$121,1))))</f>
        <v>8</v>
      </c>
      <c r="AC1344" s="19" t="n">
        <f aca="false">IF(D1344="","",COUNT($D$24:D1344))</f>
        <v>1309</v>
      </c>
    </row>
    <row r="1345" customFormat="false" ht="12.75" hidden="false" customHeight="true" outlineLevel="0" collapsed="false">
      <c r="A1345" s="14" t="n">
        <f aca="false">IF(D1345="","",DATE(B1345,C1345,1))</f>
        <v>43862</v>
      </c>
      <c r="B1345" s="15" t="n">
        <f aca="false" t="array" ref="B1345:B1345">IF(D1345="","",IFERROR(VALUE(INDEX(Vazoes_COLAR!$A$2:$A$200,INT((ROW()-24)/12)+1)),""))</f>
        <v>2020</v>
      </c>
      <c r="C1345" s="15" t="n">
        <f aca="false">IF(D1345="","",MOD(ROW()-24,12)+1)</f>
        <v>2</v>
      </c>
      <c r="D1345" s="16" t="n">
        <f aca="false" t="array" ref="D1345: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1.01172228006379</v>
      </c>
      <c r="E1345" s="16" t="n">
        <f aca="false">IF(D1345="","",D1345*$B$15)</f>
        <v>2.62238414992534</v>
      </c>
      <c r="F1345" s="16" t="n">
        <f aca="false" t="array" ref="F1345:F1345">IF(D1345="","",IFERROR(INDEX(Dados_Evap!$C$2:$N$15,MATCH($B$9,Dados_Evap!$A$2:$A$15,0),C1345),0))</f>
        <v>124.3</v>
      </c>
      <c r="G1345" s="16" t="n">
        <f aca="false">IF(F1345="","",F1345/1000)</f>
        <v>0.1243</v>
      </c>
      <c r="H1345" s="16" t="n">
        <f aca="false">IF(D1345="","",MAX(0,MIN($B$8,IFERROR(LOOKUP(2,1/($U$24:U1344&lt;&gt;""),$U$24:U1344),$B$11))))</f>
        <v>4.12065223813175</v>
      </c>
      <c r="I1345" s="16" t="n">
        <f aca="false" t="array" ref="I1345: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>1.53681740877184</v>
      </c>
      <c r="J1345" s="16" t="n">
        <f aca="false">IF(D1345="","",$B$12)</f>
        <v>0.35</v>
      </c>
      <c r="K1345" s="16" t="n">
        <f aca="false">IF(J1345="","",J1345*$B$15)</f>
        <v>0.9072</v>
      </c>
      <c r="L1345" s="16" t="n">
        <f aca="false">IF(D1345="","",H1345+E1345-K1345-G1345*I1345)</f>
        <v>5.64480998414676</v>
      </c>
      <c r="M1345" s="16" t="n">
        <f aca="false" t="array" ref="M1345: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>1.98831452709146</v>
      </c>
      <c r="N1345" s="16" t="n">
        <f aca="false">IF(D1345="","",(I1345+M1345)/2)</f>
        <v>1.76256596793165</v>
      </c>
      <c r="O1345" s="16" t="n">
        <f aca="false">IF(D1345="","",G1345*N1345)</f>
        <v>0.219086949813904</v>
      </c>
      <c r="P1345" s="16" t="n">
        <f aca="false">IF(D1345="","",H1345+E1345-K1345-O1345)</f>
        <v>5.61674943824319</v>
      </c>
      <c r="Q1345" s="16" t="n">
        <f aca="false">IF(D1345="","",IF(P1345&gt;=0,K1345,MAX(0,K1345+P1345)))</f>
        <v>0.9072</v>
      </c>
      <c r="R1345" s="16" t="n">
        <f aca="false">IF(D1345="","",Q1345/$B$15)</f>
        <v>0.35</v>
      </c>
      <c r="S1345" s="16" t="n">
        <f aca="false">IF(D1345="","",MAX(0,J1345-R1345))</f>
        <v>0</v>
      </c>
      <c r="T1345" s="16" t="n">
        <f aca="false">IF(D1345="","",MAX(0,Z1345-$B$8))</f>
        <v>0</v>
      </c>
      <c r="U1345" s="16" t="n">
        <f aca="false">IF(D1345="","",MAX(0,MIN($B$8,Z1345)))</f>
        <v>5.61674943824319</v>
      </c>
      <c r="V1345" s="16" t="str">
        <f aca="false">IF(D1345="","",IF(S1345&gt;0.0000001,"Sim","Não"))</f>
        <v>Não</v>
      </c>
      <c r="W1345" s="16" t="n">
        <f aca="false">IF(D1345="","",U1345-(H1345+E1345-Q1345-O1345-T1345))</f>
        <v>0</v>
      </c>
      <c r="X1345" s="16" t="n">
        <f aca="false">IF(W1345="","",ABS(W1345))</f>
        <v>0</v>
      </c>
      <c r="Y1345" s="16" t="n">
        <f aca="false">IF(U1345="","",IF($B$8=0,0,U1345/$B$8*100))</f>
        <v>11.8948526858179</v>
      </c>
      <c r="Z1345" s="18" t="n">
        <f aca="false">IF(D1345="","",MAX(0,IF(P1345&gt;=0,P1345,IF(K1345+P1345&gt;=0,0,P1345+K1345))))</f>
        <v>5.61674943824319</v>
      </c>
      <c r="AA1345" s="18" t="n">
        <f aca="false">IF(D1345="","",IF(H1345&lt;=$B$16,1,IF(H1345&gt;=$B$17,$B$21,MATCH(H1345,Aux_CAV!$A$2:$A$121,1))))</f>
        <v>8</v>
      </c>
      <c r="AB1345" s="18" t="n">
        <f aca="false">IF(D1345="","",IF(L1345&lt;=$B$16,1,IF(L1345&gt;=$B$17,$B$21,MATCH(L1345,Aux_CAV!$A$2:$A$121,1))))</f>
        <v>9</v>
      </c>
      <c r="AC1345" s="19" t="n">
        <f aca="false">IF(D1345="","",COUNT($D$24:D1345))</f>
        <v>1310</v>
      </c>
    </row>
    <row r="1346" customFormat="false" ht="12.75" hidden="false" customHeight="true" outlineLevel="0" collapsed="false">
      <c r="A1346" s="14" t="n">
        <f aca="false">IF(D1346="","",DATE(B1346,C1346,1))</f>
        <v>43891</v>
      </c>
      <c r="B1346" s="15" t="n">
        <f aca="false" t="array" ref="B1346:B1346">IF(D1346="","",IFERROR(VALUE(INDEX(Vazoes_COLAR!$A$2:$A$200,INT((ROW()-24)/12)+1)),""))</f>
        <v>2020</v>
      </c>
      <c r="C1346" s="15" t="n">
        <f aca="false">IF(D1346="","",MOD(ROW()-24,12)+1)</f>
        <v>3</v>
      </c>
      <c r="D1346" s="16" t="n">
        <f aca="false" t="array" ref="D1346: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6.49484989332549</v>
      </c>
      <c r="E1346" s="16" t="n">
        <f aca="false">IF(D1346="","",D1346*$B$15)</f>
        <v>16.8346509234997</v>
      </c>
      <c r="F1346" s="16" t="n">
        <f aca="false" t="array" ref="F1346:F1346">IF(D1346="","",IFERROR(INDEX(Dados_Evap!$C$2:$N$15,MATCH($B$9,Dados_Evap!$A$2:$A$15,0),C1346),0))</f>
        <v>107.7</v>
      </c>
      <c r="G1346" s="16" t="n">
        <f aca="false">IF(F1346="","",F1346/1000)</f>
        <v>0.1077</v>
      </c>
      <c r="H1346" s="16" t="n">
        <f aca="false">IF(D1346="","",MAX(0,MIN($B$8,IFERROR(LOOKUP(2,1/($U$24:U1345&lt;&gt;""),$U$24:U1345),$B$11))))</f>
        <v>5.61674943824319</v>
      </c>
      <c r="I1346" s="16" t="n">
        <f aca="false" t="array" ref="I1346: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>1.97977695674208</v>
      </c>
      <c r="J1346" s="16" t="n">
        <f aca="false">IF(D1346="","",$B$12)</f>
        <v>0.35</v>
      </c>
      <c r="K1346" s="16" t="n">
        <f aca="false">IF(J1346="","",J1346*$B$15)</f>
        <v>0.9072</v>
      </c>
      <c r="L1346" s="16" t="n">
        <f aca="false">IF(D1346="","",H1346+E1346-K1346-G1346*I1346)</f>
        <v>21.3309783835017</v>
      </c>
      <c r="M1346" s="16" t="n">
        <f aca="false" t="array" ref="M1346: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>4.28711692875996</v>
      </c>
      <c r="N1346" s="16" t="n">
        <f aca="false">IF(D1346="","",(I1346+M1346)/2)</f>
        <v>3.13344694275102</v>
      </c>
      <c r="O1346" s="16" t="n">
        <f aca="false">IF(D1346="","",G1346*N1346)</f>
        <v>0.337472235734285</v>
      </c>
      <c r="P1346" s="16" t="n">
        <f aca="false">IF(D1346="","",H1346+E1346-K1346-O1346)</f>
        <v>21.2067281260086</v>
      </c>
      <c r="Q1346" s="16" t="n">
        <f aca="false">IF(D1346="","",IF(P1346&gt;=0,K1346,MAX(0,K1346+P1346)))</f>
        <v>0.9072</v>
      </c>
      <c r="R1346" s="16" t="n">
        <f aca="false">IF(D1346="","",Q1346/$B$15)</f>
        <v>0.35</v>
      </c>
      <c r="S1346" s="16" t="n">
        <f aca="false">IF(D1346="","",MAX(0,J1346-R1346))</f>
        <v>0</v>
      </c>
      <c r="T1346" s="16" t="n">
        <f aca="false">IF(D1346="","",MAX(0,Z1346-$B$8))</f>
        <v>0</v>
      </c>
      <c r="U1346" s="16" t="n">
        <f aca="false">IF(D1346="","",MAX(0,MIN($B$8,Z1346)))</f>
        <v>21.2067281260086</v>
      </c>
      <c r="V1346" s="16" t="str">
        <f aca="false">IF(D1346="","",IF(S1346&gt;0.0000001,"Sim","Não"))</f>
        <v>Não</v>
      </c>
      <c r="W1346" s="16" t="n">
        <f aca="false">IF(D1346="","",U1346-(H1346+E1346-Q1346-O1346-T1346))</f>
        <v>0</v>
      </c>
      <c r="X1346" s="16" t="n">
        <f aca="false">IF(W1346="","",ABS(W1346))</f>
        <v>0</v>
      </c>
      <c r="Y1346" s="16" t="n">
        <f aca="false">IF(U1346="","",IF($B$8=0,0,U1346/$B$8*100))</f>
        <v>44.9104788776124</v>
      </c>
      <c r="Z1346" s="18" t="n">
        <f aca="false">IF(D1346="","",MAX(0,IF(P1346&gt;=0,P1346,IF(K1346+P1346&gt;=0,0,P1346+K1346))))</f>
        <v>21.2067281260086</v>
      </c>
      <c r="AA1346" s="18" t="n">
        <f aca="false">IF(D1346="","",IF(H1346&lt;=$B$16,1,IF(H1346&gt;=$B$17,$B$21,MATCH(H1346,Aux_CAV!$A$2:$A$121,1))))</f>
        <v>9</v>
      </c>
      <c r="AB1346" s="18" t="n">
        <f aca="false">IF(D1346="","",IF(L1346&lt;=$B$16,1,IF(L1346&gt;=$B$17,$B$21,MATCH(L1346,Aux_CAV!$A$2:$A$121,1))))</f>
        <v>11</v>
      </c>
      <c r="AC1346" s="19" t="n">
        <f aca="false">IF(D1346="","",COUNT($D$24:D1346))</f>
        <v>1311</v>
      </c>
    </row>
    <row r="1347" customFormat="false" ht="12.75" hidden="false" customHeight="true" outlineLevel="0" collapsed="false">
      <c r="A1347" s="14" t="n">
        <f aca="false">IF(D1347="","",DATE(B1347,C1347,1))</f>
        <v>43922</v>
      </c>
      <c r="B1347" s="15" t="n">
        <f aca="false" t="array" ref="B1347:B1347">IF(D1347="","",IFERROR(VALUE(INDEX(Vazoes_COLAR!$A$2:$A$200,INT((ROW()-24)/12)+1)),""))</f>
        <v>2020</v>
      </c>
      <c r="C1347" s="15" t="n">
        <f aca="false">IF(D1347="","",MOD(ROW()-24,12)+1)</f>
        <v>4</v>
      </c>
      <c r="D1347" s="16" t="n">
        <f aca="false" t="array" ref="D1347: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8.21904579946501</v>
      </c>
      <c r="E1347" s="16" t="n">
        <f aca="false">IF(D1347="","",D1347*$B$15)</f>
        <v>21.3037667122133</v>
      </c>
      <c r="F1347" s="16" t="n">
        <f aca="false" t="array" ref="F1347:F1347">IF(D1347="","",IFERROR(INDEX(Dados_Evap!$C$2:$N$15,MATCH($B$9,Dados_Evap!$A$2:$A$15,0),C1347),0))</f>
        <v>100.5</v>
      </c>
      <c r="G1347" s="16" t="n">
        <f aca="false">IF(F1347="","",F1347/1000)</f>
        <v>0.1005</v>
      </c>
      <c r="H1347" s="16" t="n">
        <f aca="false">IF(D1347="","",MAX(0,MIN($B$8,IFERROR(LOOKUP(2,1/($U$24:U1346&lt;&gt;""),$U$24:U1346),$B$11))))</f>
        <v>21.2067281260086</v>
      </c>
      <c r="I1347" s="16" t="n">
        <f aca="false" t="array" ref="I1347: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>4.27226750774249</v>
      </c>
      <c r="J1347" s="16" t="n">
        <f aca="false">IF(D1347="","",$B$12)</f>
        <v>0.35</v>
      </c>
      <c r="K1347" s="16" t="n">
        <f aca="false">IF(J1347="","",J1347*$B$15)</f>
        <v>0.9072</v>
      </c>
      <c r="L1347" s="16" t="n">
        <f aca="false">IF(D1347="","",H1347+E1347-K1347-G1347*I1347)</f>
        <v>41.1739319536938</v>
      </c>
      <c r="M1347" s="16" t="n">
        <f aca="false" t="array" ref="M1347: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>6.3663438349993</v>
      </c>
      <c r="N1347" s="16" t="n">
        <f aca="false">IF(D1347="","",(I1347+M1347)/2)</f>
        <v>5.31930567137089</v>
      </c>
      <c r="O1347" s="16" t="n">
        <f aca="false">IF(D1347="","",G1347*N1347)</f>
        <v>0.534590219972775</v>
      </c>
      <c r="P1347" s="16" t="n">
        <f aca="false">IF(D1347="","",H1347+E1347-K1347-O1347)</f>
        <v>41.0687046182491</v>
      </c>
      <c r="Q1347" s="16" t="n">
        <f aca="false">IF(D1347="","",IF(P1347&gt;=0,K1347,MAX(0,K1347+P1347)))</f>
        <v>0.9072</v>
      </c>
      <c r="R1347" s="16" t="n">
        <f aca="false">IF(D1347="","",Q1347/$B$15)</f>
        <v>0.35</v>
      </c>
      <c r="S1347" s="16" t="n">
        <f aca="false">IF(D1347="","",MAX(0,J1347-R1347))</f>
        <v>0</v>
      </c>
      <c r="T1347" s="16" t="n">
        <f aca="false">IF(D1347="","",MAX(0,Z1347-$B$8))</f>
        <v>0</v>
      </c>
      <c r="U1347" s="16" t="n">
        <f aca="false">IF(D1347="","",MAX(0,MIN($B$8,Z1347)))</f>
        <v>41.0687046182491</v>
      </c>
      <c r="V1347" s="16" t="str">
        <f aca="false">IF(D1347="","",IF(S1347&gt;0.0000001,"Sim","Não"))</f>
        <v>Não</v>
      </c>
      <c r="W1347" s="16" t="n">
        <f aca="false">IF(D1347="","",U1347-(H1347+E1347-Q1347-O1347-T1347))</f>
        <v>0</v>
      </c>
      <c r="X1347" s="16" t="n">
        <f aca="false">IF(W1347="","",ABS(W1347))</f>
        <v>0</v>
      </c>
      <c r="Y1347" s="16" t="n">
        <f aca="false">IF(U1347="","",IF($B$8=0,0,U1347/$B$8*100))</f>
        <v>86.9731143969697</v>
      </c>
      <c r="Z1347" s="18" t="n">
        <f aca="false">IF(D1347="","",MAX(0,IF(P1347&gt;=0,P1347,IF(K1347+P1347&gt;=0,0,P1347+K1347))))</f>
        <v>41.0687046182491</v>
      </c>
      <c r="AA1347" s="18" t="n">
        <f aca="false">IF(D1347="","",IF(H1347&lt;=$B$16,1,IF(H1347&gt;=$B$17,$B$21,MATCH(H1347,Aux_CAV!$A$2:$A$121,1))))</f>
        <v>11</v>
      </c>
      <c r="AB1347" s="18" t="n">
        <f aca="false">IF(D1347="","",IF(L1347&lt;=$B$16,1,IF(L1347&gt;=$B$17,$B$21,MATCH(L1347,Aux_CAV!$A$2:$A$121,1))))</f>
        <v>13</v>
      </c>
      <c r="AC1347" s="19" t="n">
        <f aca="false">IF(D1347="","",COUNT($D$24:D1347))</f>
        <v>1312</v>
      </c>
    </row>
    <row r="1348" customFormat="false" ht="12.75" hidden="false" customHeight="true" outlineLevel="0" collapsed="false">
      <c r="A1348" s="14" t="n">
        <f aca="false">IF(D1348="","",DATE(B1348,C1348,1))</f>
        <v>43952</v>
      </c>
      <c r="B1348" s="15" t="n">
        <f aca="false" t="array" ref="B1348:B1348">IF(D1348="","",IFERROR(VALUE(INDEX(Vazoes_COLAR!$A$2:$A$200,INT((ROW()-24)/12)+1)),""))</f>
        <v>2020</v>
      </c>
      <c r="C1348" s="15" t="n">
        <f aca="false">IF(D1348="","",MOD(ROW()-24,12)+1)</f>
        <v>5</v>
      </c>
      <c r="D1348" s="16" t="n">
        <f aca="false" t="array" ref="D1348: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3.11677117580967</v>
      </c>
      <c r="E1348" s="16" t="n">
        <f aca="false">IF(D1348="","",D1348*$B$15)</f>
        <v>8.07867088769867</v>
      </c>
      <c r="F1348" s="16" t="n">
        <f aca="false" t="array" ref="F1348:F1348">IF(D1348="","",IFERROR(INDEX(Dados_Evap!$C$2:$N$15,MATCH($B$9,Dados_Evap!$A$2:$A$15,0),C1348),0))</f>
        <v>145.8</v>
      </c>
      <c r="G1348" s="16" t="n">
        <f aca="false">IF(F1348="","",F1348/1000)</f>
        <v>0.1458</v>
      </c>
      <c r="H1348" s="16" t="n">
        <f aca="false">IF(D1348="","",MAX(0,MIN($B$8,IFERROR(LOOKUP(2,1/($U$24:U1347&lt;&gt;""),$U$24:U1347),$B$11))))</f>
        <v>41.0687046182491</v>
      </c>
      <c r="I1348" s="16" t="n">
        <f aca="false" t="array" ref="I1348: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>6.35583764663336</v>
      </c>
      <c r="J1348" s="16" t="n">
        <f aca="false">IF(D1348="","",$B$12)</f>
        <v>0.35</v>
      </c>
      <c r="K1348" s="16" t="n">
        <f aca="false">IF(J1348="","",J1348*$B$15)</f>
        <v>0.9072</v>
      </c>
      <c r="L1348" s="16" t="n">
        <f aca="false">IF(D1348="","",H1348+E1348-K1348-G1348*I1348)</f>
        <v>47.3134943770686</v>
      </c>
      <c r="M1348" s="16" t="n">
        <f aca="false" t="array" ref="M1348: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>6.98102169485768</v>
      </c>
      <c r="N1348" s="16" t="n">
        <f aca="false">IF(D1348="","",(I1348+M1348)/2)</f>
        <v>6.66842967074552</v>
      </c>
      <c r="O1348" s="16" t="n">
        <f aca="false">IF(D1348="","",G1348*N1348)</f>
        <v>0.972257045994697</v>
      </c>
      <c r="P1348" s="16" t="n">
        <f aca="false">IF(D1348="","",H1348+E1348-K1348-O1348)</f>
        <v>47.2679184599531</v>
      </c>
      <c r="Q1348" s="16" t="n">
        <f aca="false">IF(D1348="","",IF(P1348&gt;=0,K1348,MAX(0,K1348+P1348)))</f>
        <v>0.9072</v>
      </c>
      <c r="R1348" s="16" t="n">
        <f aca="false">IF(D1348="","",Q1348/$B$15)</f>
        <v>0.35</v>
      </c>
      <c r="S1348" s="16" t="n">
        <f aca="false">IF(D1348="","",MAX(0,J1348-R1348))</f>
        <v>0</v>
      </c>
      <c r="T1348" s="16" t="n">
        <f aca="false">IF(D1348="","",MAX(0,Z1348-$B$8))</f>
        <v>0.047918459953074</v>
      </c>
      <c r="U1348" s="16" t="n">
        <f aca="false">IF(D1348="","",MAX(0,MIN($B$8,Z1348)))</f>
        <v>47.22</v>
      </c>
      <c r="V1348" s="16" t="str">
        <f aca="false">IF(D1348="","",IF(S1348&gt;0.0000001,"Sim","Não"))</f>
        <v>Não</v>
      </c>
      <c r="W1348" s="16" t="n">
        <f aca="false">IF(D1348="","",U1348-(H1348+E1348-Q1348-O1348-T1348))</f>
        <v>0</v>
      </c>
      <c r="X1348" s="16" t="n">
        <f aca="false">IF(W1348="","",ABS(W1348))</f>
        <v>0</v>
      </c>
      <c r="Y1348" s="16" t="n">
        <f aca="false">IF(U1348="","",IF($B$8=0,0,U1348/$B$8*100))</f>
        <v>100</v>
      </c>
      <c r="Z1348" s="18" t="n">
        <f aca="false">IF(D1348="","",MAX(0,IF(P1348&gt;=0,P1348,IF(K1348+P1348&gt;=0,0,P1348+K1348))))</f>
        <v>47.2679184599531</v>
      </c>
      <c r="AA1348" s="18" t="n">
        <f aca="false">IF(D1348="","",IF(H1348&lt;=$B$16,1,IF(H1348&gt;=$B$17,$B$21,MATCH(H1348,Aux_CAV!$A$2:$A$121,1))))</f>
        <v>13</v>
      </c>
      <c r="AB1348" s="18" t="n">
        <f aca="false">IF(D1348="","",IF(L1348&lt;=$B$16,1,IF(L1348&gt;=$B$17,$B$21,MATCH(L1348,Aux_CAV!$A$2:$A$121,1))))</f>
        <v>14</v>
      </c>
      <c r="AC1348" s="19" t="n">
        <f aca="false">IF(D1348="","",COUNT($D$24:D1348))</f>
        <v>1313</v>
      </c>
    </row>
    <row r="1349" customFormat="false" ht="12.75" hidden="false" customHeight="true" outlineLevel="0" collapsed="false">
      <c r="A1349" s="14" t="n">
        <f aca="false">IF(D1349="","",DATE(B1349,C1349,1))</f>
        <v>43983</v>
      </c>
      <c r="B1349" s="15" t="n">
        <f aca="false" t="array" ref="B1349:B1349">IF(D1349="","",IFERROR(VALUE(INDEX(Vazoes_COLAR!$A$2:$A$200,INT((ROW()-24)/12)+1)),""))</f>
        <v>2020</v>
      </c>
      <c r="C1349" s="15" t="n">
        <f aca="false">IF(D1349="","",MOD(ROW()-24,12)+1)</f>
        <v>6</v>
      </c>
      <c r="D1349" s="16" t="n">
        <f aca="false" t="array" ref="D1349: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0.671861589163507</v>
      </c>
      <c r="E1349" s="16" t="n">
        <f aca="false">IF(D1349="","",D1349*$B$15)</f>
        <v>1.74146523911181</v>
      </c>
      <c r="F1349" s="16" t="n">
        <f aca="false" t="array" ref="F1349:F1349">IF(D1349="","",IFERROR(INDEX(Dados_Evap!$C$2:$N$15,MATCH($B$9,Dados_Evap!$A$2:$A$15,0),C1349),0))</f>
        <v>161.3</v>
      </c>
      <c r="G1349" s="16" t="n">
        <f aca="false">IF(F1349="","",F1349/1000)</f>
        <v>0.1613</v>
      </c>
      <c r="H1349" s="16" t="n">
        <f aca="false">IF(D1349="","",MAX(0,MIN($B$8,IFERROR(LOOKUP(2,1/($U$24:U1348&lt;&gt;""),$U$24:U1348),$B$11))))</f>
        <v>47.22</v>
      </c>
      <c r="I1349" s="16" t="n">
        <f aca="false" t="array" ref="I1349: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>6.97</v>
      </c>
      <c r="J1349" s="16" t="n">
        <f aca="false">IF(D1349="","",$B$12)</f>
        <v>0.35</v>
      </c>
      <c r="K1349" s="16" t="n">
        <f aca="false">IF(J1349="","",J1349*$B$15)</f>
        <v>0.9072</v>
      </c>
      <c r="L1349" s="16" t="n">
        <f aca="false">IF(D1349="","",H1349+E1349-K1349-G1349*I1349)</f>
        <v>46.9300042391118</v>
      </c>
      <c r="M1349" s="16" t="n">
        <f aca="false" t="array" ref="M1349: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>6.94104602072893</v>
      </c>
      <c r="N1349" s="16" t="n">
        <f aca="false">IF(D1349="","",(I1349+M1349)/2)</f>
        <v>6.95552301036447</v>
      </c>
      <c r="O1349" s="16" t="n">
        <f aca="false">IF(D1349="","",G1349*N1349)</f>
        <v>1.12192586157179</v>
      </c>
      <c r="P1349" s="16" t="n">
        <f aca="false">IF(D1349="","",H1349+E1349-K1349-O1349)</f>
        <v>46.93233937754</v>
      </c>
      <c r="Q1349" s="16" t="n">
        <f aca="false">IF(D1349="","",IF(P1349&gt;=0,K1349,MAX(0,K1349+P1349)))</f>
        <v>0.9072</v>
      </c>
      <c r="R1349" s="16" t="n">
        <f aca="false">IF(D1349="","",Q1349/$B$15)</f>
        <v>0.35</v>
      </c>
      <c r="S1349" s="16" t="n">
        <f aca="false">IF(D1349="","",MAX(0,J1349-R1349))</f>
        <v>0</v>
      </c>
      <c r="T1349" s="16" t="n">
        <f aca="false">IF(D1349="","",MAX(0,Z1349-$B$8))</f>
        <v>0</v>
      </c>
      <c r="U1349" s="16" t="n">
        <f aca="false">IF(D1349="","",MAX(0,MIN($B$8,Z1349)))</f>
        <v>46.93233937754</v>
      </c>
      <c r="V1349" s="16" t="str">
        <f aca="false">IF(D1349="","",IF(S1349&gt;0.0000001,"Sim","Não"))</f>
        <v>Não</v>
      </c>
      <c r="W1349" s="16" t="n">
        <f aca="false">IF(D1349="","",U1349-(H1349+E1349-Q1349-O1349-T1349))</f>
        <v>0</v>
      </c>
      <c r="X1349" s="16" t="n">
        <f aca="false">IF(W1349="","",ABS(W1349))</f>
        <v>0</v>
      </c>
      <c r="Y1349" s="16" t="n">
        <f aca="false">IF(U1349="","",IF($B$8=0,0,U1349/$B$8*100))</f>
        <v>99.3908076610335</v>
      </c>
      <c r="Z1349" s="18" t="n">
        <f aca="false">IF(D1349="","",MAX(0,IF(P1349&gt;=0,P1349,IF(K1349+P1349&gt;=0,0,P1349+K1349))))</f>
        <v>46.93233937754</v>
      </c>
      <c r="AA1349" s="18" t="n">
        <f aca="false">IF(D1349="","",IF(H1349&lt;=$B$16,1,IF(H1349&gt;=$B$17,$B$21,MATCH(H1349,Aux_CAV!$A$2:$A$121,1))))</f>
        <v>14</v>
      </c>
      <c r="AB1349" s="18" t="n">
        <f aca="false">IF(D1349="","",IF(L1349&lt;=$B$16,1,IF(L1349&gt;=$B$17,$B$21,MATCH(L1349,Aux_CAV!$A$2:$A$121,1))))</f>
        <v>13</v>
      </c>
      <c r="AC1349" s="19" t="n">
        <f aca="false">IF(D1349="","",COUNT($D$24:D1349))</f>
        <v>1314</v>
      </c>
    </row>
    <row r="1350" customFormat="false" ht="12.75" hidden="false" customHeight="true" outlineLevel="0" collapsed="false">
      <c r="A1350" s="14" t="n">
        <f aca="false">IF(D1350="","",DATE(B1350,C1350,1))</f>
        <v>44013</v>
      </c>
      <c r="B1350" s="15" t="n">
        <f aca="false" t="array" ref="B1350:B1350">IF(D1350="","",IFERROR(VALUE(INDEX(Vazoes_COLAR!$A$2:$A$200,INT((ROW()-24)/12)+1)),""))</f>
        <v>2020</v>
      </c>
      <c r="C1350" s="15" t="n">
        <f aca="false">IF(D1350="","",MOD(ROW()-24,12)+1)</f>
        <v>7</v>
      </c>
      <c r="D1350" s="16" t="n">
        <f aca="false" t="array" ref="D1350: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0.0694434446964408</v>
      </c>
      <c r="E1350" s="16" t="n">
        <f aca="false">IF(D1350="","",D1350*$B$15)</f>
        <v>0.179997408653175</v>
      </c>
      <c r="F1350" s="16" t="n">
        <f aca="false" t="array" ref="F1350:F1350">IF(D1350="","",IFERROR(INDEX(Dados_Evap!$C$2:$N$15,MATCH($B$9,Dados_Evap!$A$2:$A$15,0),C1350),0))</f>
        <v>224.8</v>
      </c>
      <c r="G1350" s="16" t="n">
        <f aca="false">IF(F1350="","",F1350/1000)</f>
        <v>0.2248</v>
      </c>
      <c r="H1350" s="16" t="n">
        <f aca="false">IF(D1350="","",MAX(0,MIN($B$8,IFERROR(LOOKUP(2,1/($U$24:U1349&lt;&gt;""),$U$24:U1349),$B$11))))</f>
        <v>46.93233937754</v>
      </c>
      <c r="I1350" s="16" t="n">
        <f aca="false" t="array" ref="I1350: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>6.94127916741162</v>
      </c>
      <c r="J1350" s="16" t="n">
        <f aca="false">IF(D1350="","",$B$12)</f>
        <v>0.35</v>
      </c>
      <c r="K1350" s="16" t="n">
        <f aca="false">IF(J1350="","",J1350*$B$15)</f>
        <v>0.9072</v>
      </c>
      <c r="L1350" s="16" t="n">
        <f aca="false">IF(D1350="","",H1350+E1350-K1350-G1350*I1350)</f>
        <v>44.6447372293591</v>
      </c>
      <c r="M1350" s="16" t="n">
        <f aca="false" t="array" ref="M1350: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>6.71287863846588</v>
      </c>
      <c r="N1350" s="16" t="n">
        <f aca="false">IF(D1350="","",(I1350+M1350)/2)</f>
        <v>6.82707890293875</v>
      </c>
      <c r="O1350" s="16" t="n">
        <f aca="false">IF(D1350="","",G1350*N1350)</f>
        <v>1.53472733738063</v>
      </c>
      <c r="P1350" s="16" t="n">
        <f aca="false">IF(D1350="","",H1350+E1350-K1350-O1350)</f>
        <v>44.6704094488126</v>
      </c>
      <c r="Q1350" s="16" t="n">
        <f aca="false">IF(D1350="","",IF(P1350&gt;=0,K1350,MAX(0,K1350+P1350)))</f>
        <v>0.9072</v>
      </c>
      <c r="R1350" s="16" t="n">
        <f aca="false">IF(D1350="","",Q1350/$B$15)</f>
        <v>0.35</v>
      </c>
      <c r="S1350" s="16" t="n">
        <f aca="false">IF(D1350="","",MAX(0,J1350-R1350))</f>
        <v>0</v>
      </c>
      <c r="T1350" s="16" t="n">
        <f aca="false">IF(D1350="","",MAX(0,Z1350-$B$8))</f>
        <v>0</v>
      </c>
      <c r="U1350" s="16" t="n">
        <f aca="false">IF(D1350="","",MAX(0,MIN($B$8,Z1350)))</f>
        <v>44.6704094488126</v>
      </c>
      <c r="V1350" s="16" t="str">
        <f aca="false">IF(D1350="","",IF(S1350&gt;0.0000001,"Sim","Não"))</f>
        <v>Não</v>
      </c>
      <c r="W1350" s="16" t="n">
        <f aca="false">IF(D1350="","",U1350-(H1350+E1350-Q1350-O1350-T1350))</f>
        <v>0</v>
      </c>
      <c r="X1350" s="16" t="n">
        <f aca="false">IF(W1350="","",ABS(W1350))</f>
        <v>0</v>
      </c>
      <c r="Y1350" s="16" t="n">
        <f aca="false">IF(U1350="","",IF($B$8=0,0,U1350/$B$8*100))</f>
        <v>94.6006129792727</v>
      </c>
      <c r="Z1350" s="18" t="n">
        <f aca="false">IF(D1350="","",MAX(0,IF(P1350&gt;=0,P1350,IF(K1350+P1350&gt;=0,0,P1350+K1350))))</f>
        <v>44.6704094488126</v>
      </c>
      <c r="AA1350" s="18" t="n">
        <f aca="false">IF(D1350="","",IF(H1350&lt;=$B$16,1,IF(H1350&gt;=$B$17,$B$21,MATCH(H1350,Aux_CAV!$A$2:$A$121,1))))</f>
        <v>13</v>
      </c>
      <c r="AB1350" s="18" t="n">
        <f aca="false">IF(D1350="","",IF(L1350&lt;=$B$16,1,IF(L1350&gt;=$B$17,$B$21,MATCH(L1350,Aux_CAV!$A$2:$A$121,1))))</f>
        <v>13</v>
      </c>
      <c r="AC1350" s="19" t="n">
        <f aca="false">IF(D1350="","",COUNT($D$24:D1350))</f>
        <v>1315</v>
      </c>
    </row>
    <row r="1351" customFormat="false" ht="12.75" hidden="false" customHeight="true" outlineLevel="0" collapsed="false">
      <c r="A1351" s="14" t="n">
        <f aca="false">IF(D1351="","",DATE(B1351,C1351,1))</f>
        <v>44044</v>
      </c>
      <c r="B1351" s="15" t="n">
        <f aca="false" t="array" ref="B1351:B1351">IF(D1351="","",IFERROR(VALUE(INDEX(Vazoes_COLAR!$A$2:$A$200,INT((ROW()-24)/12)+1)),""))</f>
        <v>2020</v>
      </c>
      <c r="C1351" s="15" t="n">
        <f aca="false">IF(D1351="","",MOD(ROW()-24,12)+1)</f>
        <v>8</v>
      </c>
      <c r="D1351" s="16" t="n">
        <f aca="false" t="array" ref="D1351: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0.0249728839714463</v>
      </c>
      <c r="E1351" s="16" t="n">
        <f aca="false">IF(D1351="","",D1351*$B$15)</f>
        <v>0.0647297152539888</v>
      </c>
      <c r="F1351" s="16" t="n">
        <f aca="false" t="array" ref="F1351:F1351">IF(D1351="","",IFERROR(INDEX(Dados_Evap!$C$2:$N$15,MATCH($B$9,Dados_Evap!$A$2:$A$15,0),C1351),0))</f>
        <v>268.7</v>
      </c>
      <c r="G1351" s="16" t="n">
        <f aca="false">IF(F1351="","",F1351/1000)</f>
        <v>0.2687</v>
      </c>
      <c r="H1351" s="16" t="n">
        <f aca="false">IF(D1351="","",MAX(0,MIN($B$8,IFERROR(LOOKUP(2,1/($U$24:U1350&lt;&gt;""),$U$24:U1350),$B$11))))</f>
        <v>44.6704094488126</v>
      </c>
      <c r="I1351" s="16" t="n">
        <f aca="false" t="array" ref="I1351: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>6.71544182389874</v>
      </c>
      <c r="J1351" s="16" t="n">
        <f aca="false">IF(D1351="","",$B$12)</f>
        <v>0.35</v>
      </c>
      <c r="K1351" s="16" t="n">
        <f aca="false">IF(J1351="","",J1351*$B$15)</f>
        <v>0.9072</v>
      </c>
      <c r="L1351" s="16" t="n">
        <f aca="false">IF(D1351="","",H1351+E1351-K1351-G1351*I1351)</f>
        <v>42.023499945985</v>
      </c>
      <c r="M1351" s="16" t="n">
        <f aca="false" t="array" ref="M1351: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>6.45116705435542</v>
      </c>
      <c r="N1351" s="16" t="n">
        <f aca="false">IF(D1351="","",(I1351+M1351)/2)</f>
        <v>6.58330443912708</v>
      </c>
      <c r="O1351" s="16" t="n">
        <f aca="false">IF(D1351="","",G1351*N1351)</f>
        <v>1.76893390279345</v>
      </c>
      <c r="P1351" s="16" t="n">
        <f aca="false">IF(D1351="","",H1351+E1351-K1351-O1351)</f>
        <v>42.0590052612731</v>
      </c>
      <c r="Q1351" s="16" t="n">
        <f aca="false">IF(D1351="","",IF(P1351&gt;=0,K1351,MAX(0,K1351+P1351)))</f>
        <v>0.9072</v>
      </c>
      <c r="R1351" s="16" t="n">
        <f aca="false">IF(D1351="","",Q1351/$B$15)</f>
        <v>0.35</v>
      </c>
      <c r="S1351" s="16" t="n">
        <f aca="false">IF(D1351="","",MAX(0,J1351-R1351))</f>
        <v>0</v>
      </c>
      <c r="T1351" s="16" t="n">
        <f aca="false">IF(D1351="","",MAX(0,Z1351-$B$8))</f>
        <v>0</v>
      </c>
      <c r="U1351" s="16" t="n">
        <f aca="false">IF(D1351="","",MAX(0,MIN($B$8,Z1351)))</f>
        <v>42.0590052612731</v>
      </c>
      <c r="V1351" s="16" t="str">
        <f aca="false">IF(D1351="","",IF(S1351&gt;0.0000001,"Sim","Não"))</f>
        <v>Não</v>
      </c>
      <c r="W1351" s="16" t="n">
        <f aca="false">IF(D1351="","",U1351-(H1351+E1351-Q1351-O1351-T1351))</f>
        <v>0</v>
      </c>
      <c r="X1351" s="16" t="n">
        <f aca="false">IF(W1351="","",ABS(W1351))</f>
        <v>0</v>
      </c>
      <c r="Y1351" s="16" t="n">
        <f aca="false">IF(U1351="","",IF($B$8=0,0,U1351/$B$8*100))</f>
        <v>89.0703203330646</v>
      </c>
      <c r="Z1351" s="18" t="n">
        <f aca="false">IF(D1351="","",MAX(0,IF(P1351&gt;=0,P1351,IF(K1351+P1351&gt;=0,0,P1351+K1351))))</f>
        <v>42.0590052612731</v>
      </c>
      <c r="AA1351" s="18" t="n">
        <f aca="false">IF(D1351="","",IF(H1351&lt;=$B$16,1,IF(H1351&gt;=$B$17,$B$21,MATCH(H1351,Aux_CAV!$A$2:$A$121,1))))</f>
        <v>13</v>
      </c>
      <c r="AB1351" s="18" t="n">
        <f aca="false">IF(D1351="","",IF(L1351&lt;=$B$16,1,IF(L1351&gt;=$B$17,$B$21,MATCH(L1351,Aux_CAV!$A$2:$A$121,1))))</f>
        <v>13</v>
      </c>
      <c r="AC1351" s="19" t="n">
        <f aca="false">IF(D1351="","",COUNT($D$24:D1351))</f>
        <v>1316</v>
      </c>
    </row>
    <row r="1352" customFormat="false" ht="12.75" hidden="false" customHeight="true" outlineLevel="0" collapsed="false">
      <c r="A1352" s="14" t="n">
        <f aca="false">IF(D1352="","",DATE(B1352,C1352,1))</f>
        <v>44075</v>
      </c>
      <c r="B1352" s="15" t="n">
        <f aca="false" t="array" ref="B1352:B1352">IF(D1352="","",IFERROR(VALUE(INDEX(Vazoes_COLAR!$A$2:$A$200,INT((ROW()-24)/12)+1)),""))</f>
        <v>2020</v>
      </c>
      <c r="C1352" s="15" t="n">
        <f aca="false">IF(D1352="","",MOD(ROW()-24,12)+1)</f>
        <v>9</v>
      </c>
      <c r="D1352" s="16" t="n">
        <f aca="false" t="array" ref="D1352: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0.0310761533712063</v>
      </c>
      <c r="E1352" s="16" t="n">
        <f aca="false">IF(D1352="","",D1352*$B$15)</f>
        <v>0.0805493895381667</v>
      </c>
      <c r="F1352" s="16" t="n">
        <f aca="false" t="array" ref="F1352:F1352">IF(D1352="","",IFERROR(INDEX(Dados_Evap!$C$2:$N$15,MATCH($B$9,Dados_Evap!$A$2:$A$15,0),C1352),0))</f>
        <v>292.8</v>
      </c>
      <c r="G1352" s="16" t="n">
        <f aca="false">IF(F1352="","",F1352/1000)</f>
        <v>0.2928</v>
      </c>
      <c r="H1352" s="16" t="n">
        <f aca="false">IF(D1352="","",MAX(0,MIN($B$8,IFERROR(LOOKUP(2,1/($U$24:U1351&lt;&gt;""),$U$24:U1351),$B$11))))</f>
        <v>42.0590052612731</v>
      </c>
      <c r="I1352" s="16" t="n">
        <f aca="false" t="array" ref="I1352: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>6.45471200328749</v>
      </c>
      <c r="J1352" s="16" t="n">
        <f aca="false">IF(D1352="","",$B$12)</f>
        <v>0.35</v>
      </c>
      <c r="K1352" s="16" t="n">
        <f aca="false">IF(J1352="","",J1352*$B$15)</f>
        <v>0.9072</v>
      </c>
      <c r="L1352" s="16" t="n">
        <f aca="false">IF(D1352="","",H1352+E1352-K1352-G1352*I1352)</f>
        <v>39.3424149762487</v>
      </c>
      <c r="M1352" s="16" t="n">
        <f aca="false" t="array" ref="M1352: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>6.18348011162231</v>
      </c>
      <c r="N1352" s="16" t="n">
        <f aca="false">IF(D1352="","",(I1352+M1352)/2)</f>
        <v>6.3190960574549</v>
      </c>
      <c r="O1352" s="16" t="n">
        <f aca="false">IF(D1352="","",G1352*N1352)</f>
        <v>1.8502313256228</v>
      </c>
      <c r="P1352" s="16" t="n">
        <f aca="false">IF(D1352="","",H1352+E1352-K1352-O1352)</f>
        <v>39.3821233251885</v>
      </c>
      <c r="Q1352" s="16" t="n">
        <f aca="false">IF(D1352="","",IF(P1352&gt;=0,K1352,MAX(0,K1352+P1352)))</f>
        <v>0.9072</v>
      </c>
      <c r="R1352" s="16" t="n">
        <f aca="false">IF(D1352="","",Q1352/$B$15)</f>
        <v>0.35</v>
      </c>
      <c r="S1352" s="16" t="n">
        <f aca="false">IF(D1352="","",MAX(0,J1352-R1352))</f>
        <v>0</v>
      </c>
      <c r="T1352" s="16" t="n">
        <f aca="false">IF(D1352="","",MAX(0,Z1352-$B$8))</f>
        <v>0</v>
      </c>
      <c r="U1352" s="16" t="n">
        <f aca="false">IF(D1352="","",MAX(0,MIN($B$8,Z1352)))</f>
        <v>39.3821233251885</v>
      </c>
      <c r="V1352" s="16" t="str">
        <f aca="false">IF(D1352="","",IF(S1352&gt;0.0000001,"Sim","Não"))</f>
        <v>Não</v>
      </c>
      <c r="W1352" s="16" t="n">
        <f aca="false">IF(D1352="","",U1352-(H1352+E1352-Q1352-O1352-T1352))</f>
        <v>0</v>
      </c>
      <c r="X1352" s="16" t="n">
        <f aca="false">IF(W1352="","",ABS(W1352))</f>
        <v>0</v>
      </c>
      <c r="Y1352" s="16" t="n">
        <f aca="false">IF(U1352="","",IF($B$8=0,0,U1352/$B$8*100))</f>
        <v>83.4013623998062</v>
      </c>
      <c r="Z1352" s="18" t="n">
        <f aca="false">IF(D1352="","",MAX(0,IF(P1352&gt;=0,P1352,IF(K1352+P1352&gt;=0,0,P1352+K1352))))</f>
        <v>39.3821233251885</v>
      </c>
      <c r="AA1352" s="18" t="n">
        <f aca="false">IF(D1352="","",IF(H1352&lt;=$B$16,1,IF(H1352&gt;=$B$17,$B$21,MATCH(H1352,Aux_CAV!$A$2:$A$121,1))))</f>
        <v>13</v>
      </c>
      <c r="AB1352" s="18" t="n">
        <f aca="false">IF(D1352="","",IF(L1352&lt;=$B$16,1,IF(L1352&gt;=$B$17,$B$21,MATCH(L1352,Aux_CAV!$A$2:$A$121,1))))</f>
        <v>13</v>
      </c>
      <c r="AC1352" s="19" t="n">
        <f aca="false">IF(D1352="","",COUNT($D$24:D1352))</f>
        <v>1317</v>
      </c>
    </row>
    <row r="1353" customFormat="false" ht="12.75" hidden="false" customHeight="true" outlineLevel="0" collapsed="false">
      <c r="A1353" s="14" t="n">
        <f aca="false">IF(D1353="","",DATE(B1353,C1353,1))</f>
        <v>44105</v>
      </c>
      <c r="B1353" s="15" t="n">
        <f aca="false" t="array" ref="B1353:B1353">IF(D1353="","",IFERROR(VALUE(INDEX(Vazoes_COLAR!$A$2:$A$200,INT((ROW()-24)/12)+1)),""))</f>
        <v>2020</v>
      </c>
      <c r="C1353" s="15" t="n">
        <f aca="false">IF(D1353="","",MOD(ROW()-24,12)+1)</f>
        <v>10</v>
      </c>
      <c r="D1353" s="16" t="n">
        <f aca="false" t="array" ref="D1353: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0.0284823454630692</v>
      </c>
      <c r="E1353" s="16" t="n">
        <f aca="false">IF(D1353="","",D1353*$B$15)</f>
        <v>0.0738262394402754</v>
      </c>
      <c r="F1353" s="16" t="n">
        <f aca="false" t="array" ref="F1353:F1353">IF(D1353="","",IFERROR(INDEX(Dados_Evap!$C$2:$N$15,MATCH($B$9,Dados_Evap!$A$2:$A$15,0),C1353),0))</f>
        <v>262.9</v>
      </c>
      <c r="G1353" s="16" t="n">
        <f aca="false">IF(F1353="","",F1353/1000)</f>
        <v>0.2629</v>
      </c>
      <c r="H1353" s="16" t="n">
        <f aca="false">IF(D1353="","",MAX(0,MIN($B$8,IFERROR(LOOKUP(2,1/($U$24:U1352&lt;&gt;""),$U$24:U1352),$B$11))))</f>
        <v>39.3821233251885</v>
      </c>
      <c r="I1353" s="16" t="n">
        <f aca="false" t="array" ref="I1353: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>6.1874447030652</v>
      </c>
      <c r="J1353" s="16" t="n">
        <f aca="false">IF(D1353="","",$B$12)</f>
        <v>0.35</v>
      </c>
      <c r="K1353" s="16" t="n">
        <f aca="false">IF(J1353="","",J1353*$B$15)</f>
        <v>0.9072</v>
      </c>
      <c r="L1353" s="16" t="n">
        <f aca="false">IF(D1353="","",H1353+E1353-K1353-G1353*I1353)</f>
        <v>36.9220703521929</v>
      </c>
      <c r="M1353" s="16" t="n">
        <f aca="false" t="array" ref="M1353: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>5.94182620654756</v>
      </c>
      <c r="N1353" s="16" t="n">
        <f aca="false">IF(D1353="","",(I1353+M1353)/2)</f>
        <v>6.06463545480638</v>
      </c>
      <c r="O1353" s="16" t="n">
        <f aca="false">IF(D1353="","",G1353*N1353)</f>
        <v>1.5943926610686</v>
      </c>
      <c r="P1353" s="16" t="n">
        <f aca="false">IF(D1353="","",H1353+E1353-K1353-O1353)</f>
        <v>36.9543569035602</v>
      </c>
      <c r="Q1353" s="16" t="n">
        <f aca="false">IF(D1353="","",IF(P1353&gt;=0,K1353,MAX(0,K1353+P1353)))</f>
        <v>0.9072</v>
      </c>
      <c r="R1353" s="16" t="n">
        <f aca="false">IF(D1353="","",Q1353/$B$15)</f>
        <v>0.35</v>
      </c>
      <c r="S1353" s="16" t="n">
        <f aca="false">IF(D1353="","",MAX(0,J1353-R1353))</f>
        <v>0</v>
      </c>
      <c r="T1353" s="16" t="n">
        <f aca="false">IF(D1353="","",MAX(0,Z1353-$B$8))</f>
        <v>0</v>
      </c>
      <c r="U1353" s="16" t="n">
        <f aca="false">IF(D1353="","",MAX(0,MIN($B$8,Z1353)))</f>
        <v>36.9543569035602</v>
      </c>
      <c r="V1353" s="16" t="str">
        <f aca="false">IF(D1353="","",IF(S1353&gt;0.0000001,"Sim","Não"))</f>
        <v>Não</v>
      </c>
      <c r="W1353" s="16" t="n">
        <f aca="false">IF(D1353="","",U1353-(H1353+E1353-Q1353-O1353-T1353))</f>
        <v>0</v>
      </c>
      <c r="X1353" s="16" t="n">
        <f aca="false">IF(W1353="","",ABS(W1353))</f>
        <v>0</v>
      </c>
      <c r="Y1353" s="16" t="n">
        <f aca="false">IF(U1353="","",IF($B$8=0,0,U1353/$B$8*100))</f>
        <v>78.2599680295641</v>
      </c>
      <c r="Z1353" s="18" t="n">
        <f aca="false">IF(D1353="","",MAX(0,IF(P1353&gt;=0,P1353,IF(K1353+P1353&gt;=0,0,P1353+K1353))))</f>
        <v>36.9543569035602</v>
      </c>
      <c r="AA1353" s="18" t="n">
        <f aca="false">IF(D1353="","",IF(H1353&lt;=$B$16,1,IF(H1353&gt;=$B$17,$B$21,MATCH(H1353,Aux_CAV!$A$2:$A$121,1))))</f>
        <v>13</v>
      </c>
      <c r="AB1353" s="18" t="n">
        <f aca="false">IF(D1353="","",IF(L1353&lt;=$B$16,1,IF(L1353&gt;=$B$17,$B$21,MATCH(L1353,Aux_CAV!$A$2:$A$121,1))))</f>
        <v>13</v>
      </c>
      <c r="AC1353" s="19" t="n">
        <f aca="false">IF(D1353="","",COUNT($D$24:D1353))</f>
        <v>1318</v>
      </c>
    </row>
    <row r="1354" customFormat="false" ht="12.75" hidden="false" customHeight="true" outlineLevel="0" collapsed="false">
      <c r="A1354" s="14" t="n">
        <f aca="false">IF(D1354="","",DATE(B1354,C1354,1))</f>
        <v>44136</v>
      </c>
      <c r="B1354" s="15" t="n">
        <f aca="false" t="array" ref="B1354:B1354">IF(D1354="","",IFERROR(VALUE(INDEX(Vazoes_COLAR!$A$2:$A$200,INT((ROW()-24)/12)+1)),""))</f>
        <v>2020</v>
      </c>
      <c r="C1354" s="15" t="n">
        <f aca="false">IF(D1354="","",MOD(ROW()-24,12)+1)</f>
        <v>11</v>
      </c>
      <c r="D1354" s="16" t="n">
        <f aca="false" t="array" ref="D1354: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0.0636400651472302</v>
      </c>
      <c r="E1354" s="16" t="n">
        <f aca="false">IF(D1354="","",D1354*$B$15)</f>
        <v>0.164955048861621</v>
      </c>
      <c r="F1354" s="16" t="n">
        <f aca="false" t="array" ref="F1354:F1354">IF(D1354="","",IFERROR(INDEX(Dados_Evap!$C$2:$N$15,MATCH($B$9,Dados_Evap!$A$2:$A$15,0),C1354),0))</f>
        <v>223.7</v>
      </c>
      <c r="G1354" s="16" t="n">
        <f aca="false">IF(F1354="","",F1354/1000)</f>
        <v>0.2237</v>
      </c>
      <c r="H1354" s="16" t="n">
        <f aca="false">IF(D1354="","",MAX(0,MIN($B$8,IFERROR(LOOKUP(2,1/($U$24:U1353&lt;&gt;""),$U$24:U1353),$B$11))))</f>
        <v>36.9543569035602</v>
      </c>
      <c r="I1354" s="16" t="n">
        <f aca="false" t="array" ref="I1354: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>5.9450497851825</v>
      </c>
      <c r="J1354" s="16" t="n">
        <f aca="false">IF(D1354="","",$B$12)</f>
        <v>0.35</v>
      </c>
      <c r="K1354" s="16" t="n">
        <f aca="false">IF(J1354="","",J1354*$B$15)</f>
        <v>0.9072</v>
      </c>
      <c r="L1354" s="16" t="n">
        <f aca="false">IF(D1354="","",H1354+E1354-K1354-G1354*I1354)</f>
        <v>34.8822043154764</v>
      </c>
      <c r="M1354" s="16" t="n">
        <f aca="false" t="array" ref="M1354: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>5.73816033652949</v>
      </c>
      <c r="N1354" s="16" t="n">
        <f aca="false">IF(D1354="","",(I1354+M1354)/2)</f>
        <v>5.84160506085599</v>
      </c>
      <c r="O1354" s="16" t="n">
        <f aca="false">IF(D1354="","",G1354*N1354)</f>
        <v>1.30676705211349</v>
      </c>
      <c r="P1354" s="16" t="n">
        <f aca="false">IF(D1354="","",H1354+E1354-K1354-O1354)</f>
        <v>34.9053449003083</v>
      </c>
      <c r="Q1354" s="16" t="n">
        <f aca="false">IF(D1354="","",IF(P1354&gt;=0,K1354,MAX(0,K1354+P1354)))</f>
        <v>0.9072</v>
      </c>
      <c r="R1354" s="16" t="n">
        <f aca="false">IF(D1354="","",Q1354/$B$15)</f>
        <v>0.35</v>
      </c>
      <c r="S1354" s="16" t="n">
        <f aca="false">IF(D1354="","",MAX(0,J1354-R1354))</f>
        <v>0</v>
      </c>
      <c r="T1354" s="16" t="n">
        <f aca="false">IF(D1354="","",MAX(0,Z1354-$B$8))</f>
        <v>0</v>
      </c>
      <c r="U1354" s="16" t="n">
        <f aca="false">IF(D1354="","",MAX(0,MIN($B$8,Z1354)))</f>
        <v>34.9053449003083</v>
      </c>
      <c r="V1354" s="16" t="str">
        <f aca="false">IF(D1354="","",IF(S1354&gt;0.0000001,"Sim","Não"))</f>
        <v>Não</v>
      </c>
      <c r="W1354" s="16" t="n">
        <f aca="false">IF(D1354="","",U1354-(H1354+E1354-Q1354-O1354-T1354))</f>
        <v>0</v>
      </c>
      <c r="X1354" s="16" t="n">
        <f aca="false">IF(W1354="","",ABS(W1354))</f>
        <v>0</v>
      </c>
      <c r="Y1354" s="16" t="n">
        <f aca="false">IF(U1354="","",IF($B$8=0,0,U1354/$B$8*100))</f>
        <v>73.9206795855745</v>
      </c>
      <c r="Z1354" s="18" t="n">
        <f aca="false">IF(D1354="","",MAX(0,IF(P1354&gt;=0,P1354,IF(K1354+P1354&gt;=0,0,P1354+K1354))))</f>
        <v>34.9053449003083</v>
      </c>
      <c r="AA1354" s="18" t="n">
        <f aca="false">IF(D1354="","",IF(H1354&lt;=$B$16,1,IF(H1354&gt;=$B$17,$B$21,MATCH(H1354,Aux_CAV!$A$2:$A$121,1))))</f>
        <v>13</v>
      </c>
      <c r="AB1354" s="18" t="n">
        <f aca="false">IF(D1354="","",IF(L1354&lt;=$B$16,1,IF(L1354&gt;=$B$17,$B$21,MATCH(L1354,Aux_CAV!$A$2:$A$121,1))))</f>
        <v>13</v>
      </c>
      <c r="AC1354" s="19" t="n">
        <f aca="false">IF(D1354="","",COUNT($D$24:D1354))</f>
        <v>1319</v>
      </c>
    </row>
    <row r="1355" customFormat="false" ht="12.75" hidden="false" customHeight="true" outlineLevel="0" collapsed="false">
      <c r="A1355" s="14" t="n">
        <f aca="false">IF(D1355="","",DATE(B1355,C1355,1))</f>
        <v>44166</v>
      </c>
      <c r="B1355" s="15" t="n">
        <f aca="false" t="array" ref="B1355:B1355">IF(D1355="","",IFERROR(VALUE(INDEX(Vazoes_COLAR!$A$2:$A$200,INT((ROW()-24)/12)+1)),""))</f>
        <v>2020</v>
      </c>
      <c r="C1355" s="15" t="n">
        <f aca="false">IF(D1355="","",MOD(ROW()-24,12)+1)</f>
        <v>12</v>
      </c>
      <c r="D1355" s="16" t="n">
        <f aca="false" t="array" ref="D1355: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0.0577304522930692</v>
      </c>
      <c r="E1355" s="16" t="n">
        <f aca="false">IF(D1355="","",D1355*$B$15)</f>
        <v>0.149637332343635</v>
      </c>
      <c r="F1355" s="16" t="n">
        <f aca="false" t="array" ref="F1355:F1355">IF(D1355="","",IFERROR(INDEX(Dados_Evap!$C$2:$N$15,MATCH($B$9,Dados_Evap!$A$2:$A$15,0),C1355),0))</f>
        <v>216.1</v>
      </c>
      <c r="G1355" s="16" t="n">
        <f aca="false">IF(F1355="","",F1355/1000)</f>
        <v>0.2161</v>
      </c>
      <c r="H1355" s="16" t="n">
        <f aca="false">IF(D1355="","",MAX(0,MIN($B$8,IFERROR(LOOKUP(2,1/($U$24:U1354&lt;&gt;""),$U$24:U1354),$B$11))))</f>
        <v>34.9053449003083</v>
      </c>
      <c r="I1355" s="16" t="n">
        <f aca="false" t="array" ref="I1355: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>5.74047075655594</v>
      </c>
      <c r="J1355" s="16" t="n">
        <f aca="false">IF(D1355="","",$B$12)</f>
        <v>0.35</v>
      </c>
      <c r="K1355" s="16" t="n">
        <f aca="false">IF(J1355="","",J1355*$B$15)</f>
        <v>0.9072</v>
      </c>
      <c r="L1355" s="16" t="n">
        <f aca="false">IF(D1355="","",H1355+E1355-K1355-G1355*I1355)</f>
        <v>32.9072665021602</v>
      </c>
      <c r="M1355" s="16" t="n">
        <f aca="false" t="array" ref="M1355: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>5.53454127740887</v>
      </c>
      <c r="N1355" s="16" t="n">
        <f aca="false">IF(D1355="","",(I1355+M1355)/2)</f>
        <v>5.63750601698241</v>
      </c>
      <c r="O1355" s="16" t="n">
        <f aca="false">IF(D1355="","",G1355*N1355)</f>
        <v>1.2182650502699</v>
      </c>
      <c r="P1355" s="16" t="n">
        <f aca="false">IF(D1355="","",H1355+E1355-K1355-O1355)</f>
        <v>32.929517182382</v>
      </c>
      <c r="Q1355" s="16" t="n">
        <f aca="false">IF(D1355="","",IF(P1355&gt;=0,K1355,MAX(0,K1355+P1355)))</f>
        <v>0.9072</v>
      </c>
      <c r="R1355" s="16" t="n">
        <f aca="false">IF(D1355="","",Q1355/$B$15)</f>
        <v>0.35</v>
      </c>
      <c r="S1355" s="16" t="n">
        <f aca="false">IF(D1355="","",MAX(0,J1355-R1355))</f>
        <v>0</v>
      </c>
      <c r="T1355" s="16" t="n">
        <f aca="false">IF(D1355="","",MAX(0,Z1355-$B$8))</f>
        <v>0</v>
      </c>
      <c r="U1355" s="16" t="n">
        <f aca="false">IF(D1355="","",MAX(0,MIN($B$8,Z1355)))</f>
        <v>32.929517182382</v>
      </c>
      <c r="V1355" s="16" t="str">
        <f aca="false">IF(D1355="","",IF(S1355&gt;0.0000001,"Sim","Não"))</f>
        <v>Não</v>
      </c>
      <c r="W1355" s="16" t="n">
        <f aca="false">IF(D1355="","",U1355-(H1355+E1355-Q1355-O1355-T1355))</f>
        <v>0</v>
      </c>
      <c r="X1355" s="16" t="n">
        <f aca="false">IF(W1355="","",ABS(W1355))</f>
        <v>0</v>
      </c>
      <c r="Y1355" s="16" t="n">
        <f aca="false">IF(U1355="","",IF($B$8=0,0,U1355/$B$8*100))</f>
        <v>69.7363769216053</v>
      </c>
      <c r="Z1355" s="18" t="n">
        <f aca="false">IF(D1355="","",MAX(0,IF(P1355&gt;=0,P1355,IF(K1355+P1355&gt;=0,0,P1355+K1355))))</f>
        <v>32.929517182382</v>
      </c>
      <c r="AA1355" s="18" t="n">
        <f aca="false">IF(D1355="","",IF(H1355&lt;=$B$16,1,IF(H1355&gt;=$B$17,$B$21,MATCH(H1355,Aux_CAV!$A$2:$A$121,1))))</f>
        <v>13</v>
      </c>
      <c r="AB1355" s="18" t="n">
        <f aca="false">IF(D1355="","",IF(L1355&lt;=$B$16,1,IF(L1355&gt;=$B$17,$B$21,MATCH(L1355,Aux_CAV!$A$2:$A$121,1))))</f>
        <v>12</v>
      </c>
      <c r="AC1355" s="19" t="n">
        <f aca="false">IF(D1355="","",COUNT($D$24:D1355))</f>
        <v>1320</v>
      </c>
    </row>
    <row r="1356" customFormat="false" ht="12.75" hidden="false" customHeight="true" outlineLevel="0" collapsed="false">
      <c r="A1356" s="14" t="n">
        <f aca="false">IF(D1356="","",DATE(B1356,C1356,1))</f>
        <v>44197</v>
      </c>
      <c r="B1356" s="15" t="n">
        <f aca="false" t="array" ref="B1356:B1356">IF(D1356="","",IFERROR(VALUE(INDEX(Vazoes_COLAR!$A$2:$A$200,INT((ROW()-24)/12)+1)),""))</f>
        <v>2021</v>
      </c>
      <c r="C1356" s="15" t="n">
        <f aca="false">IF(D1356="","",MOD(ROW()-24,12)+1)</f>
        <v>1</v>
      </c>
      <c r="D1356" s="16" t="n">
        <f aca="false" t="array" ref="D1356: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0.120915223296385</v>
      </c>
      <c r="E1356" s="16" t="n">
        <f aca="false">IF(D1356="","",D1356*$B$15)</f>
        <v>0.31341225878423</v>
      </c>
      <c r="F1356" s="16" t="n">
        <f aca="false" t="array" ref="F1356:F1356">IF(D1356="","",IFERROR(INDEX(Dados_Evap!$C$2:$N$15,MATCH($B$9,Dados_Evap!$A$2:$A$15,0),C1356),0))</f>
        <v>160</v>
      </c>
      <c r="G1356" s="16" t="n">
        <f aca="false">IF(F1356="","",F1356/1000)</f>
        <v>0.16</v>
      </c>
      <c r="H1356" s="16" t="n">
        <f aca="false">IF(D1356="","",MAX(0,MIN($B$8,IFERROR(LOOKUP(2,1/($U$24:U1355&lt;&gt;""),$U$24:U1355),$B$11))))</f>
        <v>32.929517182382</v>
      </c>
      <c r="I1356" s="16" t="n">
        <f aca="false" t="array" ref="I1356: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>5.53685275583969</v>
      </c>
      <c r="J1356" s="16" t="n">
        <f aca="false">IF(D1356="","",$B$12)</f>
        <v>0.35</v>
      </c>
      <c r="K1356" s="16" t="n">
        <f aca="false">IF(J1356="","",J1356*$B$15)</f>
        <v>0.9072</v>
      </c>
      <c r="L1356" s="16" t="n">
        <f aca="false">IF(D1356="","",H1356+E1356-K1356-G1356*I1356)</f>
        <v>31.4498330002319</v>
      </c>
      <c r="M1356" s="16" t="n">
        <f aca="false" t="array" ref="M1356: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>5.38313799128623</v>
      </c>
      <c r="N1356" s="16" t="n">
        <f aca="false">IF(D1356="","",(I1356+M1356)/2)</f>
        <v>5.45999537356296</v>
      </c>
      <c r="O1356" s="16" t="n">
        <f aca="false">IF(D1356="","",G1356*N1356)</f>
        <v>0.873599259770073</v>
      </c>
      <c r="P1356" s="16" t="n">
        <f aca="false">IF(D1356="","",H1356+E1356-K1356-O1356)</f>
        <v>31.4621301813962</v>
      </c>
      <c r="Q1356" s="16" t="n">
        <f aca="false">IF(D1356="","",IF(P1356&gt;=0,K1356,MAX(0,K1356+P1356)))</f>
        <v>0.9072</v>
      </c>
      <c r="R1356" s="16" t="n">
        <f aca="false">IF(D1356="","",Q1356/$B$15)</f>
        <v>0.35</v>
      </c>
      <c r="S1356" s="16" t="n">
        <f aca="false">IF(D1356="","",MAX(0,J1356-R1356))</f>
        <v>0</v>
      </c>
      <c r="T1356" s="16" t="n">
        <f aca="false">IF(D1356="","",MAX(0,Z1356-$B$8))</f>
        <v>0</v>
      </c>
      <c r="U1356" s="16" t="n">
        <f aca="false">IF(D1356="","",MAX(0,MIN($B$8,Z1356)))</f>
        <v>31.4621301813962</v>
      </c>
      <c r="V1356" s="16" t="str">
        <f aca="false">IF(D1356="","",IF(S1356&gt;0.0000001,"Sim","Não"))</f>
        <v>Não</v>
      </c>
      <c r="W1356" s="16" t="n">
        <f aca="false">IF(D1356="","",U1356-(H1356+E1356-Q1356-O1356-T1356))</f>
        <v>0</v>
      </c>
      <c r="X1356" s="16" t="n">
        <f aca="false">IF(W1356="","",ABS(W1356))</f>
        <v>0</v>
      </c>
      <c r="Y1356" s="16" t="n">
        <f aca="false">IF(U1356="","",IF($B$8=0,0,U1356/$B$8*100))</f>
        <v>66.6288229169762</v>
      </c>
      <c r="Z1356" s="18" t="n">
        <f aca="false">IF(D1356="","",MAX(0,IF(P1356&gt;=0,P1356,IF(K1356+P1356&gt;=0,0,P1356+K1356))))</f>
        <v>31.4621301813962</v>
      </c>
      <c r="AA1356" s="18" t="n">
        <f aca="false">IF(D1356="","",IF(H1356&lt;=$B$16,1,IF(H1356&gt;=$B$17,$B$21,MATCH(H1356,Aux_CAV!$A$2:$A$121,1))))</f>
        <v>12</v>
      </c>
      <c r="AB1356" s="18" t="n">
        <f aca="false">IF(D1356="","",IF(L1356&lt;=$B$16,1,IF(L1356&gt;=$B$17,$B$21,MATCH(L1356,Aux_CAV!$A$2:$A$121,1))))</f>
        <v>12</v>
      </c>
      <c r="AC1356" s="19" t="n">
        <f aca="false">IF(D1356="","",COUNT($D$24:D1356))</f>
        <v>1321</v>
      </c>
    </row>
    <row r="1357" customFormat="false" ht="12.75" hidden="false" customHeight="true" outlineLevel="0" collapsed="false">
      <c r="A1357" s="14" t="n">
        <f aca="false">IF(D1357="","",DATE(B1357,C1357,1))</f>
        <v>44228</v>
      </c>
      <c r="B1357" s="15" t="n">
        <f aca="false" t="array" ref="B1357:B1357">IF(D1357="","",IFERROR(VALUE(INDEX(Vazoes_COLAR!$A$2:$A$200,INT((ROW()-24)/12)+1)),""))</f>
        <v>2021</v>
      </c>
      <c r="C1357" s="15" t="n">
        <f aca="false">IF(D1357="","",MOD(ROW()-24,12)+1)</f>
        <v>2</v>
      </c>
      <c r="D1357" s="16" t="n">
        <f aca="false" t="array" ref="D1357: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0.568335799473766</v>
      </c>
      <c r="E1357" s="16" t="n">
        <f aca="false">IF(D1357="","",D1357*$B$15)</f>
        <v>1.473126392236</v>
      </c>
      <c r="F1357" s="16" t="n">
        <f aca="false" t="array" ref="F1357:F1357">IF(D1357="","",IFERROR(INDEX(Dados_Evap!$C$2:$N$15,MATCH($B$9,Dados_Evap!$A$2:$A$15,0),C1357),0))</f>
        <v>124.3</v>
      </c>
      <c r="G1357" s="16" t="n">
        <f aca="false">IF(F1357="","",F1357/1000)</f>
        <v>0.1243</v>
      </c>
      <c r="H1357" s="16" t="n">
        <f aca="false">IF(D1357="","",MAX(0,MIN($B$8,IFERROR(LOOKUP(2,1/($U$24:U1356&lt;&gt;""),$U$24:U1356),$B$11))))</f>
        <v>31.4621301813962</v>
      </c>
      <c r="I1357" s="16" t="n">
        <f aca="false" t="array" ref="I1357: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>5.38441546544601</v>
      </c>
      <c r="J1357" s="16" t="n">
        <f aca="false">IF(D1357="","",$B$12)</f>
        <v>0.35</v>
      </c>
      <c r="K1357" s="16" t="n">
        <f aca="false">IF(J1357="","",J1357*$B$15)</f>
        <v>0.9072</v>
      </c>
      <c r="L1357" s="16" t="n">
        <f aca="false">IF(D1357="","",H1357+E1357-K1357-G1357*I1357)</f>
        <v>31.3587737312772</v>
      </c>
      <c r="M1357" s="16" t="n">
        <f aca="false" t="array" ref="M1357: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>5.37367843616181</v>
      </c>
      <c r="N1357" s="16" t="n">
        <f aca="false">IF(D1357="","",(I1357+M1357)/2)</f>
        <v>5.37904695080391</v>
      </c>
      <c r="O1357" s="16" t="n">
        <f aca="false">IF(D1357="","",G1357*N1357)</f>
        <v>0.668615535984926</v>
      </c>
      <c r="P1357" s="16" t="n">
        <f aca="false">IF(D1357="","",H1357+E1357-K1357-O1357)</f>
        <v>31.3594410376472</v>
      </c>
      <c r="Q1357" s="16" t="n">
        <f aca="false">IF(D1357="","",IF(P1357&gt;=0,K1357,MAX(0,K1357+P1357)))</f>
        <v>0.9072</v>
      </c>
      <c r="R1357" s="16" t="n">
        <f aca="false">IF(D1357="","",Q1357/$B$15)</f>
        <v>0.35</v>
      </c>
      <c r="S1357" s="16" t="n">
        <f aca="false">IF(D1357="","",MAX(0,J1357-R1357))</f>
        <v>0</v>
      </c>
      <c r="T1357" s="16" t="n">
        <f aca="false">IF(D1357="","",MAX(0,Z1357-$B$8))</f>
        <v>0</v>
      </c>
      <c r="U1357" s="16" t="n">
        <f aca="false">IF(D1357="","",MAX(0,MIN($B$8,Z1357)))</f>
        <v>31.3594410376472</v>
      </c>
      <c r="V1357" s="16" t="str">
        <f aca="false">IF(D1357="","",IF(S1357&gt;0.0000001,"Sim","Não"))</f>
        <v>Não</v>
      </c>
      <c r="W1357" s="16" t="n">
        <f aca="false">IF(D1357="","",U1357-(H1357+E1357-Q1357-O1357-T1357))</f>
        <v>0</v>
      </c>
      <c r="X1357" s="16" t="n">
        <f aca="false">IF(W1357="","",ABS(W1357))</f>
        <v>0</v>
      </c>
      <c r="Y1357" s="16" t="n">
        <f aca="false">IF(U1357="","",IF($B$8=0,0,U1357/$B$8*100))</f>
        <v>66.4113533198798</v>
      </c>
      <c r="Z1357" s="18" t="n">
        <f aca="false">IF(D1357="","",MAX(0,IF(P1357&gt;=0,P1357,IF(K1357+P1357&gt;=0,0,P1357+K1357))))</f>
        <v>31.3594410376472</v>
      </c>
      <c r="AA1357" s="18" t="n">
        <f aca="false">IF(D1357="","",IF(H1357&lt;=$B$16,1,IF(H1357&gt;=$B$17,$B$21,MATCH(H1357,Aux_CAV!$A$2:$A$121,1))))</f>
        <v>12</v>
      </c>
      <c r="AB1357" s="18" t="n">
        <f aca="false">IF(D1357="","",IF(L1357&lt;=$B$16,1,IF(L1357&gt;=$B$17,$B$21,MATCH(L1357,Aux_CAV!$A$2:$A$121,1))))</f>
        <v>12</v>
      </c>
      <c r="AC1357" s="19" t="n">
        <f aca="false">IF(D1357="","",COUNT($D$24:D1357))</f>
        <v>1322</v>
      </c>
    </row>
    <row r="1358" customFormat="false" ht="12.75" hidden="false" customHeight="true" outlineLevel="0" collapsed="false">
      <c r="A1358" s="14" t="n">
        <f aca="false">IF(D1358="","",DATE(B1358,C1358,1))</f>
        <v>44256</v>
      </c>
      <c r="B1358" s="15" t="n">
        <f aca="false" t="array" ref="B1358:B1358">IF(D1358="","",IFERROR(VALUE(INDEX(Vazoes_COLAR!$A$2:$A$200,INT((ROW()-24)/12)+1)),""))</f>
        <v>2021</v>
      </c>
      <c r="C1358" s="15" t="n">
        <f aca="false">IF(D1358="","",MOD(ROW()-24,12)+1)</f>
        <v>3</v>
      </c>
      <c r="D1358" s="16" t="n">
        <f aca="false" t="array" ref="D1358: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2.26977146389058</v>
      </c>
      <c r="E1358" s="16" t="n">
        <f aca="false">IF(D1358="","",D1358*$B$15)</f>
        <v>5.88324763440438</v>
      </c>
      <c r="F1358" s="16" t="n">
        <f aca="false" t="array" ref="F1358:F1358">IF(D1358="","",IFERROR(INDEX(Dados_Evap!$C$2:$N$15,MATCH($B$9,Dados_Evap!$A$2:$A$15,0),C1358),0))</f>
        <v>107.7</v>
      </c>
      <c r="G1358" s="16" t="n">
        <f aca="false">IF(F1358="","",F1358/1000)</f>
        <v>0.1077</v>
      </c>
      <c r="H1358" s="16" t="n">
        <f aca="false">IF(D1358="","",MAX(0,MIN($B$8,IFERROR(LOOKUP(2,1/($U$24:U1357&lt;&gt;""),$U$24:U1357),$B$11))))</f>
        <v>31.3594410376472</v>
      </c>
      <c r="I1358" s="16" t="n">
        <f aca="false" t="array" ref="I1358: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>5.37374775827986</v>
      </c>
      <c r="J1358" s="16" t="n">
        <f aca="false">IF(D1358="","",$B$12)</f>
        <v>0.35</v>
      </c>
      <c r="K1358" s="16" t="n">
        <f aca="false">IF(J1358="","",J1358*$B$15)</f>
        <v>0.9072</v>
      </c>
      <c r="L1358" s="16" t="n">
        <f aca="false">IF(D1358="","",H1358+E1358-K1358-G1358*I1358)</f>
        <v>35.7567360384849</v>
      </c>
      <c r="M1358" s="16" t="n">
        <f aca="false" t="array" ref="M1358: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>5.82547600384244</v>
      </c>
      <c r="N1358" s="16" t="n">
        <f aca="false">IF(D1358="","",(I1358+M1358)/2)</f>
        <v>5.59961188106115</v>
      </c>
      <c r="O1358" s="16" t="n">
        <f aca="false">IF(D1358="","",G1358*N1358)</f>
        <v>0.603078199590286</v>
      </c>
      <c r="P1358" s="16" t="n">
        <f aca="false">IF(D1358="","",H1358+E1358-K1358-O1358)</f>
        <v>35.7324104724613</v>
      </c>
      <c r="Q1358" s="16" t="n">
        <f aca="false">IF(D1358="","",IF(P1358&gt;=0,K1358,MAX(0,K1358+P1358)))</f>
        <v>0.9072</v>
      </c>
      <c r="R1358" s="16" t="n">
        <f aca="false">IF(D1358="","",Q1358/$B$15)</f>
        <v>0.35</v>
      </c>
      <c r="S1358" s="16" t="n">
        <f aca="false">IF(D1358="","",MAX(0,J1358-R1358))</f>
        <v>0</v>
      </c>
      <c r="T1358" s="16" t="n">
        <f aca="false">IF(D1358="","",MAX(0,Z1358-$B$8))</f>
        <v>0</v>
      </c>
      <c r="U1358" s="16" t="n">
        <f aca="false">IF(D1358="","",MAX(0,MIN($B$8,Z1358)))</f>
        <v>35.7324104724613</v>
      </c>
      <c r="V1358" s="16" t="str">
        <f aca="false">IF(D1358="","",IF(S1358&gt;0.0000001,"Sim","Não"))</f>
        <v>Não</v>
      </c>
      <c r="W1358" s="16" t="n">
        <f aca="false">IF(D1358="","",U1358-(H1358+E1358-Q1358-O1358-T1358))</f>
        <v>0</v>
      </c>
      <c r="X1358" s="16" t="n">
        <f aca="false">IF(W1358="","",ABS(W1358))</f>
        <v>0</v>
      </c>
      <c r="Y1358" s="16" t="n">
        <f aca="false">IF(U1358="","",IF($B$8=0,0,U1358/$B$8*100))</f>
        <v>75.6721949861528</v>
      </c>
      <c r="Z1358" s="18" t="n">
        <f aca="false">IF(D1358="","",MAX(0,IF(P1358&gt;=0,P1358,IF(K1358+P1358&gt;=0,0,P1358+K1358))))</f>
        <v>35.7324104724613</v>
      </c>
      <c r="AA1358" s="18" t="n">
        <f aca="false">IF(D1358="","",IF(H1358&lt;=$B$16,1,IF(H1358&gt;=$B$17,$B$21,MATCH(H1358,Aux_CAV!$A$2:$A$121,1))))</f>
        <v>12</v>
      </c>
      <c r="AB1358" s="18" t="n">
        <f aca="false">IF(D1358="","",IF(L1358&lt;=$B$16,1,IF(L1358&gt;=$B$17,$B$21,MATCH(L1358,Aux_CAV!$A$2:$A$121,1))))</f>
        <v>13</v>
      </c>
      <c r="AC1358" s="19" t="n">
        <f aca="false">IF(D1358="","",COUNT($D$24:D1358))</f>
        <v>1323</v>
      </c>
    </row>
    <row r="1359" customFormat="false" ht="12.75" hidden="false" customHeight="true" outlineLevel="0" collapsed="false">
      <c r="A1359" s="14" t="n">
        <f aca="false">IF(D1359="","",DATE(B1359,C1359,1))</f>
        <v>44287</v>
      </c>
      <c r="B1359" s="15" t="n">
        <f aca="false" t="array" ref="B1359:B1359">IF(D1359="","",IFERROR(VALUE(INDEX(Vazoes_COLAR!$A$2:$A$200,INT((ROW()-24)/12)+1)),""))</f>
        <v>2021</v>
      </c>
      <c r="C1359" s="15" t="n">
        <f aca="false">IF(D1359="","",MOD(ROW()-24,12)+1)</f>
        <v>4</v>
      </c>
      <c r="D1359" s="16" t="n">
        <f aca="false" t="array" ref="D1359: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3.06709374294557</v>
      </c>
      <c r="E1359" s="16" t="n">
        <f aca="false">IF(D1359="","",D1359*$B$15)</f>
        <v>7.94990698171492</v>
      </c>
      <c r="F1359" s="16" t="n">
        <f aca="false" t="array" ref="F1359:F1359">IF(D1359="","",IFERROR(INDEX(Dados_Evap!$C$2:$N$15,MATCH($B$9,Dados_Evap!$A$2:$A$15,0),C1359),0))</f>
        <v>100.5</v>
      </c>
      <c r="G1359" s="16" t="n">
        <f aca="false">IF(F1359="","",F1359/1000)</f>
        <v>0.1005</v>
      </c>
      <c r="H1359" s="16" t="n">
        <f aca="false">IF(D1359="","",MAX(0,MIN($B$8,IFERROR(LOOKUP(2,1/($U$24:U1358&lt;&gt;""),$U$24:U1358),$B$11))))</f>
        <v>35.7324104724613</v>
      </c>
      <c r="I1359" s="16" t="n">
        <f aca="false" t="array" ref="I1359: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>5.82304727201462</v>
      </c>
      <c r="J1359" s="16" t="n">
        <f aca="false">IF(D1359="","",$B$12)</f>
        <v>0.35</v>
      </c>
      <c r="K1359" s="16" t="n">
        <f aca="false">IF(J1359="","",J1359*$B$15)</f>
        <v>0.9072</v>
      </c>
      <c r="L1359" s="16" t="n">
        <f aca="false">IF(D1359="","",H1359+E1359-K1359-G1359*I1359)</f>
        <v>42.1899012033388</v>
      </c>
      <c r="M1359" s="16" t="n">
        <f aca="false" t="array" ref="M1359: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>6.46778101637109</v>
      </c>
      <c r="N1359" s="16" t="n">
        <f aca="false">IF(D1359="","",(I1359+M1359)/2)</f>
        <v>6.14541414419285</v>
      </c>
      <c r="O1359" s="16" t="n">
        <f aca="false">IF(D1359="","",G1359*N1359)</f>
        <v>0.617614121491382</v>
      </c>
      <c r="P1359" s="16" t="n">
        <f aca="false">IF(D1359="","",H1359+E1359-K1359-O1359)</f>
        <v>42.1575033326849</v>
      </c>
      <c r="Q1359" s="16" t="n">
        <f aca="false">IF(D1359="","",IF(P1359&gt;=0,K1359,MAX(0,K1359+P1359)))</f>
        <v>0.9072</v>
      </c>
      <c r="R1359" s="16" t="n">
        <f aca="false">IF(D1359="","",Q1359/$B$15)</f>
        <v>0.35</v>
      </c>
      <c r="S1359" s="16" t="n">
        <f aca="false">IF(D1359="","",MAX(0,J1359-R1359))</f>
        <v>0</v>
      </c>
      <c r="T1359" s="16" t="n">
        <f aca="false">IF(D1359="","",MAX(0,Z1359-$B$8))</f>
        <v>0</v>
      </c>
      <c r="U1359" s="16" t="n">
        <f aca="false">IF(D1359="","",MAX(0,MIN($B$8,Z1359)))</f>
        <v>42.1575033326849</v>
      </c>
      <c r="V1359" s="16" t="str">
        <f aca="false">IF(D1359="","",IF(S1359&gt;0.0000001,"Sim","Não"))</f>
        <v>Não</v>
      </c>
      <c r="W1359" s="16" t="n">
        <f aca="false">IF(D1359="","",U1359-(H1359+E1359-Q1359-O1359-T1359))</f>
        <v>0</v>
      </c>
      <c r="X1359" s="16" t="n">
        <f aca="false">IF(W1359="","",ABS(W1359))</f>
        <v>0</v>
      </c>
      <c r="Y1359" s="16" t="n">
        <f aca="false">IF(U1359="","",IF($B$8=0,0,U1359/$B$8*100))</f>
        <v>89.2789143004762</v>
      </c>
      <c r="Z1359" s="18" t="n">
        <f aca="false">IF(D1359="","",MAX(0,IF(P1359&gt;=0,P1359,IF(K1359+P1359&gt;=0,0,P1359+K1359))))</f>
        <v>42.1575033326849</v>
      </c>
      <c r="AA1359" s="18" t="n">
        <f aca="false">IF(D1359="","",IF(H1359&lt;=$B$16,1,IF(H1359&gt;=$B$17,$B$21,MATCH(H1359,Aux_CAV!$A$2:$A$121,1))))</f>
        <v>13</v>
      </c>
      <c r="AB1359" s="18" t="n">
        <f aca="false">IF(D1359="","",IF(L1359&lt;=$B$16,1,IF(L1359&gt;=$B$17,$B$21,MATCH(L1359,Aux_CAV!$A$2:$A$121,1))))</f>
        <v>13</v>
      </c>
      <c r="AC1359" s="19" t="n">
        <f aca="false">IF(D1359="","",COUNT($D$24:D1359))</f>
        <v>1324</v>
      </c>
    </row>
    <row r="1360" customFormat="false" ht="12.75" hidden="false" customHeight="true" outlineLevel="0" collapsed="false">
      <c r="A1360" s="14" t="n">
        <f aca="false">IF(D1360="","",DATE(B1360,C1360,1))</f>
        <v>44317</v>
      </c>
      <c r="B1360" s="15" t="n">
        <f aca="false" t="array" ref="B1360:B1360">IF(D1360="","",IFERROR(VALUE(INDEX(Vazoes_COLAR!$A$2:$A$200,INT((ROW()-24)/12)+1)),""))</f>
        <v>2021</v>
      </c>
      <c r="C1360" s="15" t="n">
        <f aca="false">IF(D1360="","",MOD(ROW()-24,12)+1)</f>
        <v>5</v>
      </c>
      <c r="D1360" s="16" t="n">
        <f aca="false" t="array" ref="D1360: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0.555139327191731</v>
      </c>
      <c r="E1360" s="16" t="n">
        <f aca="false">IF(D1360="","",D1360*$B$15)</f>
        <v>1.43892113608097</v>
      </c>
      <c r="F1360" s="16" t="n">
        <f aca="false" t="array" ref="F1360:F1360">IF(D1360="","",IFERROR(INDEX(Dados_Evap!$C$2:$N$15,MATCH($B$9,Dados_Evap!$A$2:$A$15,0),C1360),0))</f>
        <v>145.8</v>
      </c>
      <c r="G1360" s="16" t="n">
        <f aca="false">IF(F1360="","",F1360/1000)</f>
        <v>0.1458</v>
      </c>
      <c r="H1360" s="16" t="n">
        <f aca="false">IF(D1360="","",MAX(0,MIN($B$8,IFERROR(LOOKUP(2,1/($U$24:U1359&lt;&gt;""),$U$24:U1359),$B$11))))</f>
        <v>42.1575033326849</v>
      </c>
      <c r="I1360" s="16" t="n">
        <f aca="false" t="array" ref="I1360: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>6.46454632331052</v>
      </c>
      <c r="J1360" s="16" t="n">
        <f aca="false">IF(D1360="","",$B$12)</f>
        <v>0.35</v>
      </c>
      <c r="K1360" s="16" t="n">
        <f aca="false">IF(J1360="","",J1360*$B$15)</f>
        <v>0.9072</v>
      </c>
      <c r="L1360" s="16" t="n">
        <f aca="false">IF(D1360="","",H1360+E1360-K1360-G1360*I1360)</f>
        <v>41.7466936148272</v>
      </c>
      <c r="M1360" s="16" t="n">
        <f aca="false" t="array" ref="M1360: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>6.42352994424768</v>
      </c>
      <c r="N1360" s="16" t="n">
        <f aca="false">IF(D1360="","",(I1360+M1360)/2)</f>
        <v>6.4440381337791</v>
      </c>
      <c r="O1360" s="16" t="n">
        <f aca="false">IF(D1360="","",G1360*N1360)</f>
        <v>0.939540759904993</v>
      </c>
      <c r="P1360" s="16" t="n">
        <f aca="false">IF(D1360="","",H1360+E1360-K1360-O1360)</f>
        <v>41.7496837088608</v>
      </c>
      <c r="Q1360" s="16" t="n">
        <f aca="false">IF(D1360="","",IF(P1360&gt;=0,K1360,MAX(0,K1360+P1360)))</f>
        <v>0.9072</v>
      </c>
      <c r="R1360" s="16" t="n">
        <f aca="false">IF(D1360="","",Q1360/$B$15)</f>
        <v>0.35</v>
      </c>
      <c r="S1360" s="16" t="n">
        <f aca="false">IF(D1360="","",MAX(0,J1360-R1360))</f>
        <v>0</v>
      </c>
      <c r="T1360" s="16" t="n">
        <f aca="false">IF(D1360="","",MAX(0,Z1360-$B$8))</f>
        <v>0</v>
      </c>
      <c r="U1360" s="16" t="n">
        <f aca="false">IF(D1360="","",MAX(0,MIN($B$8,Z1360)))</f>
        <v>41.7496837088608</v>
      </c>
      <c r="V1360" s="16" t="str">
        <f aca="false">IF(D1360="","",IF(S1360&gt;0.0000001,"Sim","Não"))</f>
        <v>Não</v>
      </c>
      <c r="W1360" s="16" t="n">
        <f aca="false">IF(D1360="","",U1360-(H1360+E1360-Q1360-O1360-T1360))</f>
        <v>0</v>
      </c>
      <c r="X1360" s="16" t="n">
        <f aca="false">IF(W1360="","",ABS(W1360))</f>
        <v>0</v>
      </c>
      <c r="Y1360" s="16" t="n">
        <f aca="false">IF(U1360="","",IF($B$8=0,0,U1360/$B$8*100))</f>
        <v>88.4152556307938</v>
      </c>
      <c r="Z1360" s="18" t="n">
        <f aca="false">IF(D1360="","",MAX(0,IF(P1360&gt;=0,P1360,IF(K1360+P1360&gt;=0,0,P1360+K1360))))</f>
        <v>41.7496837088608</v>
      </c>
      <c r="AA1360" s="18" t="n">
        <f aca="false">IF(D1360="","",IF(H1360&lt;=$B$16,1,IF(H1360&gt;=$B$17,$B$21,MATCH(H1360,Aux_CAV!$A$2:$A$121,1))))</f>
        <v>13</v>
      </c>
      <c r="AB1360" s="18" t="n">
        <f aca="false">IF(D1360="","",IF(L1360&lt;=$B$16,1,IF(L1360&gt;=$B$17,$B$21,MATCH(L1360,Aux_CAV!$A$2:$A$121,1))))</f>
        <v>13</v>
      </c>
      <c r="AC1360" s="19" t="n">
        <f aca="false">IF(D1360="","",COUNT($D$24:D1360))</f>
        <v>1325</v>
      </c>
    </row>
    <row r="1361" customFormat="false" ht="12.75" hidden="false" customHeight="true" outlineLevel="0" collapsed="false">
      <c r="A1361" s="14" t="n">
        <f aca="false">IF(D1361="","",DATE(B1361,C1361,1))</f>
        <v>44348</v>
      </c>
      <c r="B1361" s="15" t="n">
        <f aca="false" t="array" ref="B1361:B1361">IF(D1361="","",IFERROR(VALUE(INDEX(Vazoes_COLAR!$A$2:$A$200,INT((ROW()-24)/12)+1)),""))</f>
        <v>2021</v>
      </c>
      <c r="C1361" s="15" t="n">
        <f aca="false">IF(D1361="","",MOD(ROW()-24,12)+1)</f>
        <v>6</v>
      </c>
      <c r="D1361" s="16" t="n">
        <f aca="false" t="array" ref="D1361: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0.0721509391221843</v>
      </c>
      <c r="E1361" s="16" t="n">
        <f aca="false">IF(D1361="","",D1361*$B$15)</f>
        <v>0.187015234204702</v>
      </c>
      <c r="F1361" s="16" t="n">
        <f aca="false" t="array" ref="F1361:F1361">IF(D1361="","",IFERROR(INDEX(Dados_Evap!$C$2:$N$15,MATCH($B$9,Dados_Evap!$A$2:$A$15,0),C1361),0))</f>
        <v>161.3</v>
      </c>
      <c r="G1361" s="16" t="n">
        <f aca="false">IF(F1361="","",F1361/1000)</f>
        <v>0.1613</v>
      </c>
      <c r="H1361" s="16" t="n">
        <f aca="false">IF(D1361="","",MAX(0,MIN($B$8,IFERROR(LOOKUP(2,1/($U$24:U1360&lt;&gt;""),$U$24:U1360),$B$11))))</f>
        <v>41.7496837088608</v>
      </c>
      <c r="I1361" s="16" t="n">
        <f aca="false" t="array" ref="I1361: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>6.42382848351048</v>
      </c>
      <c r="J1361" s="16" t="n">
        <f aca="false">IF(D1361="","",$B$12)</f>
        <v>0.35</v>
      </c>
      <c r="K1361" s="16" t="n">
        <f aca="false">IF(J1361="","",J1361*$B$15)</f>
        <v>0.9072</v>
      </c>
      <c r="L1361" s="16" t="n">
        <f aca="false">IF(D1361="","",H1361+E1361-K1361-G1361*I1361)</f>
        <v>39.9933354086753</v>
      </c>
      <c r="M1361" s="16" t="n">
        <f aca="false" t="array" ref="M1361: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>6.24846980888503</v>
      </c>
      <c r="N1361" s="16" t="n">
        <f aca="false">IF(D1361="","",(I1361+M1361)/2)</f>
        <v>6.33614914619776</v>
      </c>
      <c r="O1361" s="16" t="n">
        <f aca="false">IF(D1361="","",G1361*N1361)</f>
        <v>1.0220208572817</v>
      </c>
      <c r="P1361" s="16" t="n">
        <f aca="false">IF(D1361="","",H1361+E1361-K1361-O1361)</f>
        <v>40.0074780857838</v>
      </c>
      <c r="Q1361" s="16" t="n">
        <f aca="false">IF(D1361="","",IF(P1361&gt;=0,K1361,MAX(0,K1361+P1361)))</f>
        <v>0.9072</v>
      </c>
      <c r="R1361" s="16" t="n">
        <f aca="false">IF(D1361="","",Q1361/$B$15)</f>
        <v>0.35</v>
      </c>
      <c r="S1361" s="16" t="n">
        <f aca="false">IF(D1361="","",MAX(0,J1361-R1361))</f>
        <v>0</v>
      </c>
      <c r="T1361" s="16" t="n">
        <f aca="false">IF(D1361="","",MAX(0,Z1361-$B$8))</f>
        <v>0</v>
      </c>
      <c r="U1361" s="16" t="n">
        <f aca="false">IF(D1361="","",MAX(0,MIN($B$8,Z1361)))</f>
        <v>40.0074780857838</v>
      </c>
      <c r="V1361" s="16" t="str">
        <f aca="false">IF(D1361="","",IF(S1361&gt;0.0000001,"Sim","Não"))</f>
        <v>Não</v>
      </c>
      <c r="W1361" s="16" t="n">
        <f aca="false">IF(D1361="","",U1361-(H1361+E1361-Q1361-O1361-T1361))</f>
        <v>0</v>
      </c>
      <c r="X1361" s="16" t="n">
        <f aca="false">IF(W1361="","",ABS(W1361))</f>
        <v>0</v>
      </c>
      <c r="Y1361" s="16" t="n">
        <f aca="false">IF(U1361="","",IF($B$8=0,0,U1361/$B$8*100))</f>
        <v>84.7257053913254</v>
      </c>
      <c r="Z1361" s="18" t="n">
        <f aca="false">IF(D1361="","",MAX(0,IF(P1361&gt;=0,P1361,IF(K1361+P1361&gt;=0,0,P1361+K1361))))</f>
        <v>40.0074780857838</v>
      </c>
      <c r="AA1361" s="18" t="n">
        <f aca="false">IF(D1361="","",IF(H1361&lt;=$B$16,1,IF(H1361&gt;=$B$17,$B$21,MATCH(H1361,Aux_CAV!$A$2:$A$121,1))))</f>
        <v>13</v>
      </c>
      <c r="AB1361" s="18" t="n">
        <f aca="false">IF(D1361="","",IF(L1361&lt;=$B$16,1,IF(L1361&gt;=$B$17,$B$21,MATCH(L1361,Aux_CAV!$A$2:$A$121,1))))</f>
        <v>13</v>
      </c>
      <c r="AC1361" s="19" t="n">
        <f aca="false">IF(D1361="","",COUNT($D$24:D1361))</f>
        <v>1326</v>
      </c>
    </row>
    <row r="1362" customFormat="false" ht="12.75" hidden="false" customHeight="true" outlineLevel="0" collapsed="false">
      <c r="A1362" s="14" t="n">
        <f aca="false">IF(D1362="","",DATE(B1362,C1362,1))</f>
        <v>44378</v>
      </c>
      <c r="B1362" s="15" t="n">
        <f aca="false" t="array" ref="B1362:B1362">IF(D1362="","",IFERROR(VALUE(INDEX(Vazoes_COLAR!$A$2:$A$200,INT((ROW()-24)/12)+1)),""))</f>
        <v>2021</v>
      </c>
      <c r="C1362" s="15" t="n">
        <f aca="false">IF(D1362="","",MOD(ROW()-24,12)+1)</f>
        <v>7</v>
      </c>
      <c r="D1362" s="16" t="n">
        <f aca="false" t="array" ref="D1362: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0.393158654328529</v>
      </c>
      <c r="E1362" s="16" t="n">
        <f aca="false">IF(D1362="","",D1362*$B$15)</f>
        <v>1.01906723201955</v>
      </c>
      <c r="F1362" s="16" t="n">
        <f aca="false" t="array" ref="F1362:F1362">IF(D1362="","",IFERROR(INDEX(Dados_Evap!$C$2:$N$15,MATCH($B$9,Dados_Evap!$A$2:$A$15,0),C1362),0))</f>
        <v>224.8</v>
      </c>
      <c r="G1362" s="16" t="n">
        <f aca="false">IF(F1362="","",F1362/1000)</f>
        <v>0.2248</v>
      </c>
      <c r="H1362" s="16" t="n">
        <f aca="false">IF(D1362="","",MAX(0,MIN($B$8,IFERROR(LOOKUP(2,1/($U$24:U1361&lt;&gt;""),$U$24:U1361),$B$11))))</f>
        <v>40.0074780857838</v>
      </c>
      <c r="I1362" s="16" t="n">
        <f aca="false" t="array" ref="I1362: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>6.24988185290452</v>
      </c>
      <c r="J1362" s="16" t="n">
        <f aca="false">IF(D1362="","",$B$12)</f>
        <v>0.35</v>
      </c>
      <c r="K1362" s="16" t="n">
        <f aca="false">IF(J1362="","",J1362*$B$15)</f>
        <v>0.9072</v>
      </c>
      <c r="L1362" s="16" t="n">
        <f aca="false">IF(D1362="","",H1362+E1362-K1362-G1362*I1362)</f>
        <v>38.7143718772705</v>
      </c>
      <c r="M1362" s="16" t="n">
        <f aca="false" t="array" ref="M1362: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>6.12077455063942</v>
      </c>
      <c r="N1362" s="16" t="n">
        <f aca="false">IF(D1362="","",(I1362+M1362)/2)</f>
        <v>6.18532820177197</v>
      </c>
      <c r="O1362" s="16" t="n">
        <f aca="false">IF(D1362="","",G1362*N1362)</f>
        <v>1.39046177975834</v>
      </c>
      <c r="P1362" s="16" t="n">
        <f aca="false">IF(D1362="","",H1362+E1362-K1362-O1362)</f>
        <v>38.7288835380451</v>
      </c>
      <c r="Q1362" s="16" t="n">
        <f aca="false">IF(D1362="","",IF(P1362&gt;=0,K1362,MAX(0,K1362+P1362)))</f>
        <v>0.9072</v>
      </c>
      <c r="R1362" s="16" t="n">
        <f aca="false">IF(D1362="","",Q1362/$B$15)</f>
        <v>0.35</v>
      </c>
      <c r="S1362" s="16" t="n">
        <f aca="false">IF(D1362="","",MAX(0,J1362-R1362))</f>
        <v>0</v>
      </c>
      <c r="T1362" s="16" t="n">
        <f aca="false">IF(D1362="","",MAX(0,Z1362-$B$8))</f>
        <v>0</v>
      </c>
      <c r="U1362" s="16" t="n">
        <f aca="false">IF(D1362="","",MAX(0,MIN($B$8,Z1362)))</f>
        <v>38.7288835380451</v>
      </c>
      <c r="V1362" s="16" t="str">
        <f aca="false">IF(D1362="","",IF(S1362&gt;0.0000001,"Sim","Não"))</f>
        <v>Não</v>
      </c>
      <c r="W1362" s="16" t="n">
        <f aca="false">IF(D1362="","",U1362-(H1362+E1362-Q1362-O1362-T1362))</f>
        <v>0</v>
      </c>
      <c r="X1362" s="16" t="n">
        <f aca="false">IF(W1362="","",ABS(W1362))</f>
        <v>0</v>
      </c>
      <c r="Y1362" s="16" t="n">
        <f aca="false">IF(U1362="","",IF($B$8=0,0,U1362/$B$8*100))</f>
        <v>82.0179659848476</v>
      </c>
      <c r="Z1362" s="18" t="n">
        <f aca="false">IF(D1362="","",MAX(0,IF(P1362&gt;=0,P1362,IF(K1362+P1362&gt;=0,0,P1362+K1362))))</f>
        <v>38.7288835380451</v>
      </c>
      <c r="AA1362" s="18" t="n">
        <f aca="false">IF(D1362="","",IF(H1362&lt;=$B$16,1,IF(H1362&gt;=$B$17,$B$21,MATCH(H1362,Aux_CAV!$A$2:$A$121,1))))</f>
        <v>13</v>
      </c>
      <c r="AB1362" s="18" t="n">
        <f aca="false">IF(D1362="","",IF(L1362&lt;=$B$16,1,IF(L1362&gt;=$B$17,$B$21,MATCH(L1362,Aux_CAV!$A$2:$A$121,1))))</f>
        <v>13</v>
      </c>
      <c r="AC1362" s="19" t="n">
        <f aca="false">IF(D1362="","",COUNT($D$24:D1362))</f>
        <v>1327</v>
      </c>
    </row>
    <row r="1363" customFormat="false" ht="12.75" hidden="false" customHeight="true" outlineLevel="0" collapsed="false">
      <c r="A1363" s="14" t="n">
        <f aca="false">IF(D1363="","",DATE(B1363,C1363,1))</f>
        <v>44409</v>
      </c>
      <c r="B1363" s="15" t="n">
        <f aca="false" t="array" ref="B1363:B1363">IF(D1363="","",IFERROR(VALUE(INDEX(Vazoes_COLAR!$A$2:$A$200,INT((ROW()-24)/12)+1)),""))</f>
        <v>2021</v>
      </c>
      <c r="C1363" s="15" t="n">
        <f aca="false">IF(D1363="","",MOD(ROW()-24,12)+1)</f>
        <v>8</v>
      </c>
      <c r="D1363" s="16" t="n">
        <f aca="false" t="array" ref="D1363: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0.0162106106758647</v>
      </c>
      <c r="E1363" s="16" t="n">
        <f aca="false">IF(D1363="","",D1363*$B$15)</f>
        <v>0.0420179028718413</v>
      </c>
      <c r="F1363" s="16" t="n">
        <f aca="false" t="array" ref="F1363:F1363">IF(D1363="","",IFERROR(INDEX(Dados_Evap!$C$2:$N$15,MATCH($B$9,Dados_Evap!$A$2:$A$15,0),C1363),0))</f>
        <v>268.7</v>
      </c>
      <c r="G1363" s="16" t="n">
        <f aca="false">IF(F1363="","",F1363/1000)</f>
        <v>0.2687</v>
      </c>
      <c r="H1363" s="16" t="n">
        <f aca="false">IF(D1363="","",MAX(0,MIN($B$8,IFERROR(LOOKUP(2,1/($U$24:U1362&lt;&gt;""),$U$24:U1362),$B$11))))</f>
        <v>38.7288835380451</v>
      </c>
      <c r="I1363" s="16" t="n">
        <f aca="false" t="array" ref="I1363: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>6.12222343500921</v>
      </c>
      <c r="J1363" s="16" t="n">
        <f aca="false">IF(D1363="","",$B$12)</f>
        <v>0.35</v>
      </c>
      <c r="K1363" s="16" t="n">
        <f aca="false">IF(J1363="","",J1363*$B$15)</f>
        <v>0.9072</v>
      </c>
      <c r="L1363" s="16" t="n">
        <f aca="false">IF(D1363="","",H1363+E1363-K1363-G1363*I1363)</f>
        <v>36.2186600039299</v>
      </c>
      <c r="M1363" s="16" t="n">
        <f aca="false" t="array" ref="M1363: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>5.87159577083262</v>
      </c>
      <c r="N1363" s="16" t="n">
        <f aca="false">IF(D1363="","",(I1363+M1363)/2)</f>
        <v>5.99690960292092</v>
      </c>
      <c r="O1363" s="16" t="n">
        <f aca="false">IF(D1363="","",G1363*N1363)</f>
        <v>1.61136961030485</v>
      </c>
      <c r="P1363" s="16" t="n">
        <f aca="false">IF(D1363="","",H1363+E1363-K1363-O1363)</f>
        <v>36.252331830612</v>
      </c>
      <c r="Q1363" s="16" t="n">
        <f aca="false">IF(D1363="","",IF(P1363&gt;=0,K1363,MAX(0,K1363+P1363)))</f>
        <v>0.9072</v>
      </c>
      <c r="R1363" s="16" t="n">
        <f aca="false">IF(D1363="","",Q1363/$B$15)</f>
        <v>0.35</v>
      </c>
      <c r="S1363" s="16" t="n">
        <f aca="false">IF(D1363="","",MAX(0,J1363-R1363))</f>
        <v>0</v>
      </c>
      <c r="T1363" s="16" t="n">
        <f aca="false">IF(D1363="","",MAX(0,Z1363-$B$8))</f>
        <v>0</v>
      </c>
      <c r="U1363" s="16" t="n">
        <f aca="false">IF(D1363="","",MAX(0,MIN($B$8,Z1363)))</f>
        <v>36.252331830612</v>
      </c>
      <c r="V1363" s="16" t="str">
        <f aca="false">IF(D1363="","",IF(S1363&gt;0.0000001,"Sim","Não"))</f>
        <v>Não</v>
      </c>
      <c r="W1363" s="16" t="n">
        <f aca="false">IF(D1363="","",U1363-(H1363+E1363-Q1363-O1363-T1363))</f>
        <v>0</v>
      </c>
      <c r="X1363" s="16" t="n">
        <f aca="false">IF(W1363="","",ABS(W1363))</f>
        <v>0</v>
      </c>
      <c r="Y1363" s="16" t="n">
        <f aca="false">IF(U1363="","",IF($B$8=0,0,U1363/$B$8*100))</f>
        <v>76.7732567357307</v>
      </c>
      <c r="Z1363" s="18" t="n">
        <f aca="false">IF(D1363="","",MAX(0,IF(P1363&gt;=0,P1363,IF(K1363+P1363&gt;=0,0,P1363+K1363))))</f>
        <v>36.252331830612</v>
      </c>
      <c r="AA1363" s="18" t="n">
        <f aca="false">IF(D1363="","",IF(H1363&lt;=$B$16,1,IF(H1363&gt;=$B$17,$B$21,MATCH(H1363,Aux_CAV!$A$2:$A$121,1))))</f>
        <v>13</v>
      </c>
      <c r="AB1363" s="18" t="n">
        <f aca="false">IF(D1363="","",IF(L1363&lt;=$B$16,1,IF(L1363&gt;=$B$17,$B$21,MATCH(L1363,Aux_CAV!$A$2:$A$121,1))))</f>
        <v>13</v>
      </c>
      <c r="AC1363" s="19" t="n">
        <f aca="false">IF(D1363="","",COUNT($D$24:D1363))</f>
        <v>1328</v>
      </c>
    </row>
    <row r="1364" customFormat="false" ht="12.75" hidden="false" customHeight="true" outlineLevel="0" collapsed="false">
      <c r="A1364" s="14" t="n">
        <f aca="false">IF(D1364="","",DATE(B1364,C1364,1))</f>
        <v>44440</v>
      </c>
      <c r="B1364" s="15" t="n">
        <f aca="false" t="array" ref="B1364:B1364">IF(D1364="","",IFERROR(VALUE(INDEX(Vazoes_COLAR!$A$2:$A$200,INT((ROW()-24)/12)+1)),""))</f>
        <v>2021</v>
      </c>
      <c r="C1364" s="15" t="n">
        <f aca="false">IF(D1364="","",MOD(ROW()-24,12)+1)</f>
        <v>9</v>
      </c>
      <c r="D1364" s="16" t="n">
        <f aca="false" t="array" ref="D1364: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0.0251481094358523</v>
      </c>
      <c r="E1364" s="16" t="n">
        <f aca="false">IF(D1364="","",D1364*$B$15)</f>
        <v>0.0651838996577292</v>
      </c>
      <c r="F1364" s="16" t="n">
        <f aca="false" t="array" ref="F1364:F1364">IF(D1364="","",IFERROR(INDEX(Dados_Evap!$C$2:$N$15,MATCH($B$9,Dados_Evap!$A$2:$A$15,0),C1364),0))</f>
        <v>292.8</v>
      </c>
      <c r="G1364" s="16" t="n">
        <f aca="false">IF(F1364="","",F1364/1000)</f>
        <v>0.2928</v>
      </c>
      <c r="H1364" s="16" t="n">
        <f aca="false">IF(D1364="","",MAX(0,MIN($B$8,IFERROR(LOOKUP(2,1/($U$24:U1363&lt;&gt;""),$U$24:U1363),$B$11))))</f>
        <v>36.252331830612</v>
      </c>
      <c r="I1364" s="16" t="n">
        <f aca="false" t="array" ref="I1364: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>5.87495765918847</v>
      </c>
      <c r="J1364" s="16" t="n">
        <f aca="false">IF(D1364="","",$B$12)</f>
        <v>0.35</v>
      </c>
      <c r="K1364" s="16" t="n">
        <f aca="false">IF(J1364="","",J1364*$B$15)</f>
        <v>0.9072</v>
      </c>
      <c r="L1364" s="16" t="n">
        <f aca="false">IF(D1364="","",H1364+E1364-K1364-G1364*I1364)</f>
        <v>33.6901281276594</v>
      </c>
      <c r="M1364" s="16" t="n">
        <f aca="false" t="array" ref="M1364: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>5.61586767928112</v>
      </c>
      <c r="N1364" s="16" t="n">
        <f aca="false">IF(D1364="","",(I1364+M1364)/2)</f>
        <v>5.74541266923479</v>
      </c>
      <c r="O1364" s="16" t="n">
        <f aca="false">IF(D1364="","",G1364*N1364)</f>
        <v>1.68225682955195</v>
      </c>
      <c r="P1364" s="16" t="n">
        <f aca="false">IF(D1364="","",H1364+E1364-K1364-O1364)</f>
        <v>33.7280589007178</v>
      </c>
      <c r="Q1364" s="16" t="n">
        <f aca="false">IF(D1364="","",IF(P1364&gt;=0,K1364,MAX(0,K1364+P1364)))</f>
        <v>0.9072</v>
      </c>
      <c r="R1364" s="16" t="n">
        <f aca="false">IF(D1364="","",Q1364/$B$15)</f>
        <v>0.35</v>
      </c>
      <c r="S1364" s="16" t="n">
        <f aca="false">IF(D1364="","",MAX(0,J1364-R1364))</f>
        <v>0</v>
      </c>
      <c r="T1364" s="16" t="n">
        <f aca="false">IF(D1364="","",MAX(0,Z1364-$B$8))</f>
        <v>0</v>
      </c>
      <c r="U1364" s="16" t="n">
        <f aca="false">IF(D1364="","",MAX(0,MIN($B$8,Z1364)))</f>
        <v>33.7280589007178</v>
      </c>
      <c r="V1364" s="16" t="str">
        <f aca="false">IF(D1364="","",IF(S1364&gt;0.0000001,"Sim","Não"))</f>
        <v>Não</v>
      </c>
      <c r="W1364" s="16" t="n">
        <f aca="false">IF(D1364="","",U1364-(H1364+E1364-Q1364-O1364-T1364))</f>
        <v>0</v>
      </c>
      <c r="X1364" s="16" t="n">
        <f aca="false">IF(W1364="","",ABS(W1364))</f>
        <v>0</v>
      </c>
      <c r="Y1364" s="16" t="n">
        <f aca="false">IF(U1364="","",IF($B$8=0,0,U1364/$B$8*100))</f>
        <v>71.4274860243918</v>
      </c>
      <c r="Z1364" s="18" t="n">
        <f aca="false">IF(D1364="","",MAX(0,IF(P1364&gt;=0,P1364,IF(K1364+P1364&gt;=0,0,P1364+K1364))))</f>
        <v>33.7280589007178</v>
      </c>
      <c r="AA1364" s="18" t="n">
        <f aca="false">IF(D1364="","",IF(H1364&lt;=$B$16,1,IF(H1364&gt;=$B$17,$B$21,MATCH(H1364,Aux_CAV!$A$2:$A$121,1))))</f>
        <v>13</v>
      </c>
      <c r="AB1364" s="18" t="n">
        <f aca="false">IF(D1364="","",IF(L1364&lt;=$B$16,1,IF(L1364&gt;=$B$17,$B$21,MATCH(L1364,Aux_CAV!$A$2:$A$121,1))))</f>
        <v>12</v>
      </c>
      <c r="AC1364" s="19" t="n">
        <f aca="false">IF(D1364="","",COUNT($D$24:D1364))</f>
        <v>1329</v>
      </c>
    </row>
    <row r="1365" customFormat="false" ht="12.75" hidden="false" customHeight="true" outlineLevel="0" collapsed="false">
      <c r="A1365" s="14" t="n">
        <f aca="false">IF(D1365="","",DATE(B1365,C1365,1))</f>
        <v>44470</v>
      </c>
      <c r="B1365" s="15" t="n">
        <f aca="false" t="array" ref="B1365:B1365">IF(D1365="","",IFERROR(VALUE(INDEX(Vazoes_COLAR!$A$2:$A$200,INT((ROW()-24)/12)+1)),""))</f>
        <v>2021</v>
      </c>
      <c r="C1365" s="15" t="n">
        <f aca="false">IF(D1365="","",MOD(ROW()-24,12)+1)</f>
        <v>10</v>
      </c>
      <c r="D1365" s="16" t="n">
        <f aca="false" t="array" ref="D1365: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0.0143842988729088</v>
      </c>
      <c r="E1365" s="16" t="n">
        <f aca="false">IF(D1365="","",D1365*$B$15)</f>
        <v>0.0372841026785796</v>
      </c>
      <c r="F1365" s="16" t="n">
        <f aca="false" t="array" ref="F1365:F1365">IF(D1365="","",IFERROR(INDEX(Dados_Evap!$C$2:$N$15,MATCH($B$9,Dados_Evap!$A$2:$A$15,0),C1365),0))</f>
        <v>262.9</v>
      </c>
      <c r="G1365" s="16" t="n">
        <f aca="false">IF(F1365="","",F1365/1000)</f>
        <v>0.2629</v>
      </c>
      <c r="H1365" s="16" t="n">
        <f aca="false">IF(D1365="","",MAX(0,MIN($B$8,IFERROR(LOOKUP(2,1/($U$24:U1364&lt;&gt;""),$U$24:U1364),$B$11))))</f>
        <v>33.7280589007178</v>
      </c>
      <c r="I1365" s="16" t="n">
        <f aca="false" t="array" ref="I1365: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>5.61980806056001</v>
      </c>
      <c r="J1365" s="16" t="n">
        <f aca="false">IF(D1365="","",$B$12)</f>
        <v>0.35</v>
      </c>
      <c r="K1365" s="16" t="n">
        <f aca="false">IF(J1365="","",J1365*$B$15)</f>
        <v>0.9072</v>
      </c>
      <c r="L1365" s="16" t="n">
        <f aca="false">IF(D1365="","",H1365+E1365-K1365-G1365*I1365)</f>
        <v>31.3806954642752</v>
      </c>
      <c r="M1365" s="16" t="n">
        <f aca="false" t="array" ref="M1365: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>5.37595574240528</v>
      </c>
      <c r="N1365" s="16" t="n">
        <f aca="false">IF(D1365="","",(I1365+M1365)/2)</f>
        <v>5.49788190148265</v>
      </c>
      <c r="O1365" s="16" t="n">
        <f aca="false">IF(D1365="","",G1365*N1365)</f>
        <v>1.44539315189979</v>
      </c>
      <c r="P1365" s="16" t="n">
        <f aca="false">IF(D1365="","",H1365+E1365-K1365-O1365)</f>
        <v>31.4127498514966</v>
      </c>
      <c r="Q1365" s="16" t="n">
        <f aca="false">IF(D1365="","",IF(P1365&gt;=0,K1365,MAX(0,K1365+P1365)))</f>
        <v>0.9072</v>
      </c>
      <c r="R1365" s="16" t="n">
        <f aca="false">IF(D1365="","",Q1365/$B$15)</f>
        <v>0.35</v>
      </c>
      <c r="S1365" s="16" t="n">
        <f aca="false">IF(D1365="","",MAX(0,J1365-R1365))</f>
        <v>0</v>
      </c>
      <c r="T1365" s="16" t="n">
        <f aca="false">IF(D1365="","",MAX(0,Z1365-$B$8))</f>
        <v>0</v>
      </c>
      <c r="U1365" s="16" t="n">
        <f aca="false">IF(D1365="","",MAX(0,MIN($B$8,Z1365)))</f>
        <v>31.4127498514966</v>
      </c>
      <c r="V1365" s="16" t="str">
        <f aca="false">IF(D1365="","",IF(S1365&gt;0.0000001,"Sim","Não"))</f>
        <v>Não</v>
      </c>
      <c r="W1365" s="16" t="n">
        <f aca="false">IF(D1365="","",U1365-(H1365+E1365-Q1365-O1365-T1365))</f>
        <v>0</v>
      </c>
      <c r="X1365" s="16" t="n">
        <f aca="false">IF(W1365="","",ABS(W1365))</f>
        <v>0</v>
      </c>
      <c r="Y1365" s="16" t="n">
        <f aca="false">IF(U1365="","",IF($B$8=0,0,U1365/$B$8*100))</f>
        <v>66.5242478854227</v>
      </c>
      <c r="Z1365" s="18" t="n">
        <f aca="false">IF(D1365="","",MAX(0,IF(P1365&gt;=0,P1365,IF(K1365+P1365&gt;=0,0,P1365+K1365))))</f>
        <v>31.4127498514966</v>
      </c>
      <c r="AA1365" s="18" t="n">
        <f aca="false">IF(D1365="","",IF(H1365&lt;=$B$16,1,IF(H1365&gt;=$B$17,$B$21,MATCH(H1365,Aux_CAV!$A$2:$A$121,1))))</f>
        <v>12</v>
      </c>
      <c r="AB1365" s="18" t="n">
        <f aca="false">IF(D1365="","",IF(L1365&lt;=$B$16,1,IF(L1365&gt;=$B$17,$B$21,MATCH(L1365,Aux_CAV!$A$2:$A$121,1))))</f>
        <v>12</v>
      </c>
      <c r="AC1365" s="19" t="n">
        <f aca="false">IF(D1365="","",COUNT($D$24:D1365))</f>
        <v>1330</v>
      </c>
    </row>
    <row r="1366" customFormat="false" ht="12.75" hidden="false" customHeight="true" outlineLevel="0" collapsed="false">
      <c r="A1366" s="14" t="n">
        <f aca="false">IF(D1366="","",DATE(B1366,C1366,1))</f>
        <v>44501</v>
      </c>
      <c r="B1366" s="15" t="n">
        <f aca="false" t="array" ref="B1366:B1366">IF(D1366="","",IFERROR(VALUE(INDEX(Vazoes_COLAR!$A$2:$A$200,INT((ROW()-24)/12)+1)),""))</f>
        <v>2021</v>
      </c>
      <c r="C1366" s="15" t="n">
        <f aca="false">IF(D1366="","",MOD(ROW()-24,12)+1)</f>
        <v>11</v>
      </c>
      <c r="D1366" s="16" t="n">
        <f aca="false" t="array" ref="D1366: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0.0903149360743202</v>
      </c>
      <c r="E1366" s="16" t="n">
        <f aca="false">IF(D1366="","",D1366*$B$15)</f>
        <v>0.234096314304638</v>
      </c>
      <c r="F1366" s="16" t="n">
        <f aca="false" t="array" ref="F1366:F1366">IF(D1366="","",IFERROR(INDEX(Dados_Evap!$C$2:$N$15,MATCH($B$9,Dados_Evap!$A$2:$A$15,0),C1366),0))</f>
        <v>223.7</v>
      </c>
      <c r="G1366" s="16" t="n">
        <f aca="false">IF(F1366="","",F1366/1000)</f>
        <v>0.2237</v>
      </c>
      <c r="H1366" s="16" t="n">
        <f aca="false">IF(D1366="","",MAX(0,MIN($B$8,IFERROR(LOOKUP(2,1/($U$24:U1365&lt;&gt;""),$U$24:U1365),$B$11))))</f>
        <v>31.4127498514966</v>
      </c>
      <c r="I1366" s="16" t="n">
        <f aca="false" t="array" ref="I1366: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>5.3792856641846</v>
      </c>
      <c r="J1366" s="16" t="n">
        <f aca="false">IF(D1366="","",$B$12)</f>
        <v>0.35</v>
      </c>
      <c r="K1366" s="16" t="n">
        <f aca="false">IF(J1366="","",J1366*$B$15)</f>
        <v>0.9072</v>
      </c>
      <c r="L1366" s="16" t="n">
        <f aca="false">IF(D1366="","",H1366+E1366-K1366-G1366*I1366)</f>
        <v>29.5362999627232</v>
      </c>
      <c r="M1366" s="16" t="n">
        <f aca="false" t="array" ref="M1366: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>5.18435349127318</v>
      </c>
      <c r="N1366" s="16" t="n">
        <f aca="false">IF(D1366="","",(I1366+M1366)/2)</f>
        <v>5.28181957772889</v>
      </c>
      <c r="O1366" s="16" t="n">
        <f aca="false">IF(D1366="","",G1366*N1366)</f>
        <v>1.18154303953795</v>
      </c>
      <c r="P1366" s="16" t="n">
        <f aca="false">IF(D1366="","",H1366+E1366-K1366-O1366)</f>
        <v>29.5581031262633</v>
      </c>
      <c r="Q1366" s="16" t="n">
        <f aca="false">IF(D1366="","",IF(P1366&gt;=0,K1366,MAX(0,K1366+P1366)))</f>
        <v>0.9072</v>
      </c>
      <c r="R1366" s="16" t="n">
        <f aca="false">IF(D1366="","",Q1366/$B$15)</f>
        <v>0.35</v>
      </c>
      <c r="S1366" s="16" t="n">
        <f aca="false">IF(D1366="","",MAX(0,J1366-R1366))</f>
        <v>0</v>
      </c>
      <c r="T1366" s="16" t="n">
        <f aca="false">IF(D1366="","",MAX(0,Z1366-$B$8))</f>
        <v>0</v>
      </c>
      <c r="U1366" s="16" t="n">
        <f aca="false">IF(D1366="","",MAX(0,MIN($B$8,Z1366)))</f>
        <v>29.5581031262633</v>
      </c>
      <c r="V1366" s="16" t="str">
        <f aca="false">IF(D1366="","",IF(S1366&gt;0.0000001,"Sim","Não"))</f>
        <v>Não</v>
      </c>
      <c r="W1366" s="16" t="n">
        <f aca="false">IF(D1366="","",U1366-(H1366+E1366-Q1366-O1366-T1366))</f>
        <v>0</v>
      </c>
      <c r="X1366" s="16" t="n">
        <f aca="false">IF(W1366="","",ABS(W1366))</f>
        <v>0</v>
      </c>
      <c r="Y1366" s="16" t="n">
        <f aca="false">IF(U1366="","",IF($B$8=0,0,U1366/$B$8*100))</f>
        <v>62.5965758709515</v>
      </c>
      <c r="Z1366" s="18" t="n">
        <f aca="false">IF(D1366="","",MAX(0,IF(P1366&gt;=0,P1366,IF(K1366+P1366&gt;=0,0,P1366+K1366))))</f>
        <v>29.5581031262633</v>
      </c>
      <c r="AA1366" s="18" t="n">
        <f aca="false">IF(D1366="","",IF(H1366&lt;=$B$16,1,IF(H1366&gt;=$B$17,$B$21,MATCH(H1366,Aux_CAV!$A$2:$A$121,1))))</f>
        <v>12</v>
      </c>
      <c r="AB1366" s="18" t="n">
        <f aca="false">IF(D1366="","",IF(L1366&lt;=$B$16,1,IF(L1366&gt;=$B$17,$B$21,MATCH(L1366,Aux_CAV!$A$2:$A$121,1))))</f>
        <v>12</v>
      </c>
      <c r="AC1366" s="19" t="n">
        <f aca="false">IF(D1366="","",COUNT($D$24:D1366))</f>
        <v>1331</v>
      </c>
    </row>
    <row r="1367" customFormat="false" ht="12.75" hidden="false" customHeight="true" outlineLevel="0" collapsed="false">
      <c r="A1367" s="14" t="n">
        <f aca="false">IF(D1367="","",DATE(B1367,C1367,1))</f>
        <v>44531</v>
      </c>
      <c r="B1367" s="15" t="n">
        <f aca="false" t="array" ref="B1367:B1367">IF(D1367="","",IFERROR(VALUE(INDEX(Vazoes_COLAR!$A$2:$A$200,INT((ROW()-24)/12)+1)),""))</f>
        <v>2021</v>
      </c>
      <c r="C1367" s="15" t="n">
        <f aca="false">IF(D1367="","",MOD(ROW()-24,12)+1)</f>
        <v>12</v>
      </c>
      <c r="D1367" s="16" t="n">
        <f aca="false" t="array" ref="D1367: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0.226241618289478</v>
      </c>
      <c r="E1367" s="16" t="n">
        <f aca="false">IF(D1367="","",D1367*$B$15)</f>
        <v>0.586418274606327</v>
      </c>
      <c r="F1367" s="16" t="n">
        <f aca="false" t="array" ref="F1367:F1367">IF(D1367="","",IFERROR(INDEX(Dados_Evap!$C$2:$N$15,MATCH($B$9,Dados_Evap!$A$2:$A$15,0),C1367),0))</f>
        <v>216.1</v>
      </c>
      <c r="G1367" s="16" t="n">
        <f aca="false">IF(F1367="","",F1367/1000)</f>
        <v>0.2161</v>
      </c>
      <c r="H1367" s="16" t="n">
        <f aca="false">IF(D1367="","",MAX(0,MIN($B$8,IFERROR(LOOKUP(2,1/($U$24:U1366&lt;&gt;""),$U$24:U1366),$B$11))))</f>
        <v>29.5581031262633</v>
      </c>
      <c r="I1367" s="16" t="n">
        <f aca="false" t="array" ref="I1367: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>5.18661848010696</v>
      </c>
      <c r="J1367" s="16" t="n">
        <f aca="false">IF(D1367="","",$B$12)</f>
        <v>0.35</v>
      </c>
      <c r="K1367" s="16" t="n">
        <f aca="false">IF(J1367="","",J1367*$B$15)</f>
        <v>0.9072</v>
      </c>
      <c r="L1367" s="16" t="n">
        <f aca="false">IF(D1367="","",H1367+E1367-K1367-G1367*I1367)</f>
        <v>28.1164931473185</v>
      </c>
      <c r="M1367" s="16" t="n">
        <f aca="false" t="array" ref="M1367: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>5.03685899685736</v>
      </c>
      <c r="N1367" s="16" t="n">
        <f aca="false">IF(D1367="","",(I1367+M1367)/2)</f>
        <v>5.11173873848216</v>
      </c>
      <c r="O1367" s="16" t="n">
        <f aca="false">IF(D1367="","",G1367*N1367)</f>
        <v>1.104646741386</v>
      </c>
      <c r="P1367" s="16" t="n">
        <f aca="false">IF(D1367="","",H1367+E1367-K1367-O1367)</f>
        <v>28.1326746594836</v>
      </c>
      <c r="Q1367" s="16" t="n">
        <f aca="false">IF(D1367="","",IF(P1367&gt;=0,K1367,MAX(0,K1367+P1367)))</f>
        <v>0.9072</v>
      </c>
      <c r="R1367" s="16" t="n">
        <f aca="false">IF(D1367="","",Q1367/$B$15)</f>
        <v>0.35</v>
      </c>
      <c r="S1367" s="16" t="n">
        <f aca="false">IF(D1367="","",MAX(0,J1367-R1367))</f>
        <v>0</v>
      </c>
      <c r="T1367" s="16" t="n">
        <f aca="false">IF(D1367="","",MAX(0,Z1367-$B$8))</f>
        <v>0</v>
      </c>
      <c r="U1367" s="16" t="n">
        <f aca="false">IF(D1367="","",MAX(0,MIN($B$8,Z1367)))</f>
        <v>28.1326746594836</v>
      </c>
      <c r="V1367" s="16" t="str">
        <f aca="false">IF(D1367="","",IF(S1367&gt;0.0000001,"Sim","Não"))</f>
        <v>Não</v>
      </c>
      <c r="W1367" s="16" t="n">
        <f aca="false">IF(D1367="","",U1367-(H1367+E1367-Q1367-O1367-T1367))</f>
        <v>0</v>
      </c>
      <c r="X1367" s="16" t="n">
        <f aca="false">IF(W1367="","",ABS(W1367))</f>
        <v>0</v>
      </c>
      <c r="Y1367" s="16" t="n">
        <f aca="false">IF(U1367="","",IF($B$8=0,0,U1367/$B$8*100))</f>
        <v>59.5778794144084</v>
      </c>
      <c r="Z1367" s="18" t="n">
        <f aca="false">IF(D1367="","",MAX(0,IF(P1367&gt;=0,P1367,IF(K1367+P1367&gt;=0,0,P1367+K1367))))</f>
        <v>28.1326746594836</v>
      </c>
      <c r="AA1367" s="18" t="n">
        <f aca="false">IF(D1367="","",IF(H1367&lt;=$B$16,1,IF(H1367&gt;=$B$17,$B$21,MATCH(H1367,Aux_CAV!$A$2:$A$121,1))))</f>
        <v>12</v>
      </c>
      <c r="AB1367" s="18" t="n">
        <f aca="false">IF(D1367="","",IF(L1367&lt;=$B$16,1,IF(L1367&gt;=$B$17,$B$21,MATCH(L1367,Aux_CAV!$A$2:$A$121,1))))</f>
        <v>12</v>
      </c>
      <c r="AC1367" s="18" t="n">
        <f aca="false">IF(D1367="","",COUNT($D$24:D1367))</f>
        <v>1332</v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priority="2" aboveAverage="0" equalAverage="0" bottom="0" percent="0" rank="0" text="" dxfId="0">
      <formula>V24="Sim"</formula>
    </cfRule>
  </conditionalFormatting>
  <conditionalFormatting sqref="X24:X1367">
    <cfRule type="expression" priority="3" aboveAverage="0" equalAverage="0" bottom="0" percent="0" rank="0" text="" dxfId="1">
      <formula>X24&gt;$B$19</formula>
    </cfRule>
  </conditionalFormatting>
  <conditionalFormatting sqref="E14">
    <cfRule type="expression" priority="4" aboveAverage="0" equalAverage="0" bottom="0" percent="0" rank="0" text="" dxfId="2">
      <formula>E14="OK"</formula>
    </cfRule>
  </conditionalFormatting>
  <conditionalFormatting sqref="E14">
    <cfRule type="expression" priority="5" aboveAverage="0" equalAverage="0" bottom="0" percent="0" rank="0" text="" dxfId="0">
      <formula>E14="VERIFICAR"</formula>
    </cfRule>
  </conditionalFormatting>
  <dataValidations count="1">
    <dataValidation allowBlank="true" errorStyle="stop" operator="between" showDropDown="false" showErrorMessage="false" showInputMessage="false" sqref="B6" type="list">
      <formula1>Dados_Acudes!$A$2:$A$156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12"/>
    <col collapsed="false" customWidth="true" hidden="false" outlineLevel="0" max="14" min="14" style="0" width="8.63"/>
    <col collapsed="false" customWidth="true" hidden="false" outlineLevel="0" max="18" min="15" style="0" width="18"/>
    <col collapsed="false" customWidth="true" hidden="false" outlineLevel="0" max="26" min="19" style="0" width="8.63"/>
  </cols>
  <sheetData>
    <row r="1" customFormat="false" ht="12.75" hidden="false" customHeight="true" outlineLevel="0" collapsed="false">
      <c r="A1" s="20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O1" s="3" t="s">
        <v>78</v>
      </c>
      <c r="P1" s="3"/>
      <c r="Q1" s="3"/>
      <c r="R1" s="3"/>
    </row>
    <row r="2" customFormat="false" ht="12.75" hidden="false" customHeight="true" outlineLevel="0" collapsed="false">
      <c r="A2" s="5" t="n">
        <v>1910</v>
      </c>
      <c r="L2" s="5"/>
      <c r="M2" s="5"/>
      <c r="O2" s="2" t="s">
        <v>79</v>
      </c>
      <c r="P2" s="2"/>
      <c r="Q2" s="2"/>
      <c r="R2" s="2"/>
    </row>
    <row r="3" customFormat="false" ht="12.75" hidden="false" customHeight="true" outlineLevel="0" collapsed="false">
      <c r="A3" s="5" t="n">
        <v>1911</v>
      </c>
      <c r="B3" s="0" t="n">
        <v>0.444096798327274</v>
      </c>
      <c r="C3" s="0" t="n">
        <v>0.279355320782461</v>
      </c>
      <c r="D3" s="0" t="n">
        <v>1.81875345691619</v>
      </c>
      <c r="E3" s="0" t="n">
        <v>0.924721403372383</v>
      </c>
      <c r="F3" s="0" t="n">
        <v>0.171955022879351</v>
      </c>
      <c r="G3" s="0" t="n">
        <v>0.0261048833467739</v>
      </c>
      <c r="H3" s="0" t="n">
        <v>0.0187764779726267</v>
      </c>
      <c r="I3" s="0" t="n">
        <v>0.0654756169117081</v>
      </c>
      <c r="J3" s="0" t="n">
        <v>0.02975583963389</v>
      </c>
      <c r="K3" s="0" t="n">
        <v>0.0163042960584373</v>
      </c>
      <c r="L3" s="0" t="n">
        <v>0.00855340735874364</v>
      </c>
      <c r="M3" s="0" t="n">
        <v>0.0403421189003918</v>
      </c>
      <c r="O3" s="2"/>
      <c r="P3" s="2"/>
      <c r="Q3" s="2"/>
      <c r="R3" s="2"/>
    </row>
    <row r="4" customFormat="false" ht="12.75" hidden="false" customHeight="true" outlineLevel="0" collapsed="false">
      <c r="A4" s="5" t="n">
        <v>1912</v>
      </c>
      <c r="B4" s="0" t="n">
        <v>0.0623137880391393</v>
      </c>
      <c r="C4" s="0" t="n">
        <v>1.59495755632387</v>
      </c>
      <c r="D4" s="0" t="n">
        <v>3.69020929303021</v>
      </c>
      <c r="E4" s="0" t="n">
        <v>2.83199323253307</v>
      </c>
      <c r="F4" s="0" t="n">
        <v>1.64326818688999</v>
      </c>
      <c r="G4" s="0" t="n">
        <v>0.711731598702223</v>
      </c>
      <c r="H4" s="0" t="n">
        <v>0.14886696021669</v>
      </c>
      <c r="I4" s="0" t="n">
        <v>0.0547580964317563</v>
      </c>
      <c r="J4" s="0" t="n">
        <v>0.0757704723819687</v>
      </c>
      <c r="K4" s="0" t="n">
        <v>0.0402647946405496</v>
      </c>
      <c r="L4" s="0" t="n">
        <v>0.0381777753050579</v>
      </c>
      <c r="M4" s="0" t="n">
        <v>0.0127252289967637</v>
      </c>
      <c r="O4" s="2"/>
      <c r="P4" s="2"/>
      <c r="Q4" s="2"/>
      <c r="R4" s="2"/>
    </row>
    <row r="5" customFormat="false" ht="12.75" hidden="false" customHeight="true" outlineLevel="0" collapsed="false">
      <c r="A5" s="5" t="n">
        <v>1913</v>
      </c>
      <c r="B5" s="0" t="n">
        <v>0.0510070904252747</v>
      </c>
      <c r="C5" s="0" t="n">
        <v>0.6626513188099</v>
      </c>
      <c r="D5" s="0" t="n">
        <v>2.28056784116811</v>
      </c>
      <c r="E5" s="0" t="n">
        <v>2.89028892575472</v>
      </c>
      <c r="F5" s="0" t="n">
        <v>1.82397682225803</v>
      </c>
      <c r="G5" s="0" t="n">
        <v>0.765273309955484</v>
      </c>
      <c r="H5" s="0" t="n">
        <v>0.246692293315043</v>
      </c>
      <c r="I5" s="0" t="n">
        <v>0.0653239270951651</v>
      </c>
      <c r="J5" s="0" t="n">
        <v>0.076291648451757</v>
      </c>
      <c r="K5" s="0" t="n">
        <v>0.103176152553356</v>
      </c>
      <c r="L5" s="0" t="n">
        <v>0.0223666788394164</v>
      </c>
      <c r="M5" s="0" t="n">
        <v>0.266382691712255</v>
      </c>
      <c r="O5" s="2"/>
      <c r="P5" s="2"/>
      <c r="Q5" s="2"/>
      <c r="R5" s="2"/>
    </row>
    <row r="6" customFormat="false" ht="12.75" hidden="false" customHeight="true" outlineLevel="0" collapsed="false">
      <c r="A6" s="5" t="n">
        <v>1914</v>
      </c>
      <c r="B6" s="0" t="n">
        <v>2.21992792928177</v>
      </c>
      <c r="C6" s="0" t="n">
        <v>1.71463011971433</v>
      </c>
      <c r="D6" s="0" t="n">
        <v>2.5640931123369</v>
      </c>
      <c r="E6" s="0" t="n">
        <v>1.91642037676215</v>
      </c>
      <c r="F6" s="0" t="n">
        <v>0.558952937297739</v>
      </c>
      <c r="G6" s="0" t="n">
        <v>0.650406230037519</v>
      </c>
      <c r="H6" s="0" t="n">
        <v>0.463902772284056</v>
      </c>
      <c r="I6" s="0" t="n">
        <v>0.708834527714966</v>
      </c>
      <c r="J6" s="0" t="n">
        <v>0.0379000147613207</v>
      </c>
      <c r="K6" s="0" t="n">
        <v>0.0770920531119705</v>
      </c>
      <c r="L6" s="0" t="n">
        <v>0.0199176275433443</v>
      </c>
      <c r="M6" s="0" t="n">
        <v>0.0151240127726333</v>
      </c>
      <c r="O6" s="2"/>
      <c r="P6" s="2"/>
      <c r="Q6" s="2"/>
      <c r="R6" s="2"/>
    </row>
    <row r="7" customFormat="false" ht="12.75" hidden="false" customHeight="true" outlineLevel="0" collapsed="false">
      <c r="A7" s="5" t="n">
        <v>1915</v>
      </c>
      <c r="B7" s="0" t="n">
        <v>0.0616072358724131</v>
      </c>
      <c r="C7" s="0" t="n">
        <v>0.0686849689365793</v>
      </c>
      <c r="D7" s="0" t="n">
        <v>0.13348821090005</v>
      </c>
      <c r="E7" s="0" t="n">
        <v>0.393908914796058</v>
      </c>
      <c r="F7" s="0" t="n">
        <v>0.132670736544658</v>
      </c>
      <c r="G7" s="0" t="n">
        <v>0.0109492781238821</v>
      </c>
      <c r="H7" s="0" t="n">
        <v>0.00808219904430907</v>
      </c>
      <c r="I7" s="0" t="n">
        <v>0.0064151192256264</v>
      </c>
      <c r="J7" s="0" t="n">
        <v>0.00394473265987448</v>
      </c>
      <c r="K7" s="0" t="n">
        <v>0.0036487194301372</v>
      </c>
      <c r="L7" s="0" t="n">
        <v>0.00368776334922662</v>
      </c>
      <c r="M7" s="0" t="n">
        <v>0.0492952763184742</v>
      </c>
      <c r="O7" s="2"/>
      <c r="P7" s="2"/>
      <c r="Q7" s="2"/>
      <c r="R7" s="2"/>
    </row>
    <row r="8" customFormat="false" ht="12.75" hidden="false" customHeight="true" outlineLevel="0" collapsed="false">
      <c r="A8" s="5" t="n">
        <v>1916</v>
      </c>
      <c r="B8" s="0" t="n">
        <v>0.151352737525385</v>
      </c>
      <c r="C8" s="0" t="n">
        <v>0.269398709128059</v>
      </c>
      <c r="D8" s="0" t="n">
        <v>2.00824735383984</v>
      </c>
      <c r="E8" s="0" t="n">
        <v>3.46892372733566</v>
      </c>
      <c r="F8" s="0" t="n">
        <v>1.67930113930923</v>
      </c>
      <c r="G8" s="0" t="n">
        <v>0.382075621415082</v>
      </c>
      <c r="H8" s="0" t="n">
        <v>0.0224265206345051</v>
      </c>
      <c r="I8" s="0" t="n">
        <v>0.0144430967181447</v>
      </c>
      <c r="J8" s="0" t="n">
        <v>0.0138726240180625</v>
      </c>
      <c r="K8" s="0" t="n">
        <v>0.0142894957054058</v>
      </c>
      <c r="L8" s="0" t="n">
        <v>0.0521181713746426</v>
      </c>
      <c r="M8" s="0" t="n">
        <v>0.11892421202867</v>
      </c>
    </row>
    <row r="9" customFormat="false" ht="12.75" hidden="false" customHeight="true" outlineLevel="0" collapsed="false">
      <c r="A9" s="5" t="n">
        <v>1917</v>
      </c>
      <c r="B9" s="0" t="n">
        <v>2.29901320182492</v>
      </c>
      <c r="C9" s="0" t="n">
        <v>9.59970878910989</v>
      </c>
      <c r="D9" s="0" t="n">
        <v>13.4087875167224</v>
      </c>
      <c r="E9" s="0" t="n">
        <v>8.11801033179061</v>
      </c>
      <c r="F9" s="0" t="n">
        <v>3.83433894960833</v>
      </c>
      <c r="G9" s="0" t="n">
        <v>0.380477263178196</v>
      </c>
      <c r="H9" s="0" t="n">
        <v>0.0801790304709531</v>
      </c>
      <c r="I9" s="0" t="n">
        <v>0.0511128492576332</v>
      </c>
      <c r="J9" s="0" t="n">
        <v>0.0773901043268043</v>
      </c>
      <c r="K9" s="0" t="n">
        <v>0.0630927559742428</v>
      </c>
      <c r="L9" s="0" t="n">
        <v>0.198215208056554</v>
      </c>
      <c r="M9" s="0" t="n">
        <v>0.467354893570058</v>
      </c>
    </row>
    <row r="10" customFormat="false" ht="12.75" hidden="false" customHeight="true" outlineLevel="0" collapsed="false">
      <c r="A10" s="5" t="n">
        <v>1918</v>
      </c>
      <c r="B10" s="0" t="n">
        <v>1.94261444623655</v>
      </c>
      <c r="C10" s="0" t="n">
        <v>1.42784183626761</v>
      </c>
      <c r="D10" s="0" t="n">
        <v>8.44895743238574</v>
      </c>
      <c r="E10" s="0" t="n">
        <v>4.81170274484228</v>
      </c>
      <c r="F10" s="0" t="n">
        <v>5.57170291265686</v>
      </c>
      <c r="G10" s="0" t="n">
        <v>1.84439865636676</v>
      </c>
      <c r="H10" s="0" t="n">
        <v>0.355886727031841</v>
      </c>
      <c r="I10" s="0" t="n">
        <v>0.230366987541307</v>
      </c>
      <c r="J10" s="0" t="n">
        <v>0.0656758122310299</v>
      </c>
      <c r="K10" s="0" t="n">
        <v>0.0740470096931398</v>
      </c>
      <c r="L10" s="0" t="n">
        <v>0.0890126224754366</v>
      </c>
      <c r="M10" s="0" t="n">
        <v>0.0965969287549527</v>
      </c>
    </row>
    <row r="11" customFormat="false" ht="12.75" hidden="false" customHeight="true" outlineLevel="0" collapsed="false">
      <c r="A11" s="5" t="n">
        <v>1919</v>
      </c>
      <c r="B11" s="0" t="n">
        <v>0.110210244419319</v>
      </c>
      <c r="C11" s="0" t="n">
        <v>0.256162091404568</v>
      </c>
      <c r="D11" s="0" t="n">
        <v>0.173312387127934</v>
      </c>
      <c r="E11" s="0" t="n">
        <v>0.0812075718507794</v>
      </c>
      <c r="F11" s="0" t="n">
        <v>0.0413902512221053</v>
      </c>
      <c r="G11" s="0" t="n">
        <v>0.0463808114400585</v>
      </c>
      <c r="H11" s="0" t="n">
        <v>0.0370889887833842</v>
      </c>
      <c r="I11" s="0" t="n">
        <v>0.0145636435804146</v>
      </c>
      <c r="J11" s="0" t="n">
        <v>0.0078328875961761</v>
      </c>
      <c r="K11" s="0" t="n">
        <v>0.0052930290810644</v>
      </c>
      <c r="L11" s="0" t="n">
        <v>0.00367255088405919</v>
      </c>
      <c r="M11" s="0" t="n">
        <v>0.00447261938979978</v>
      </c>
    </row>
    <row r="12" customFormat="false" ht="12.75" hidden="false" customHeight="true" outlineLevel="0" collapsed="false">
      <c r="A12" s="5" t="n">
        <v>1920</v>
      </c>
      <c r="B12" s="0" t="n">
        <v>0.00448811985254529</v>
      </c>
      <c r="C12" s="0" t="n">
        <v>0.0422603025944122</v>
      </c>
      <c r="D12" s="0" t="n">
        <v>1.92731556512078</v>
      </c>
      <c r="E12" s="0" t="n">
        <v>4.13472480964493</v>
      </c>
      <c r="F12" s="0" t="n">
        <v>0.852068892214193</v>
      </c>
      <c r="G12" s="0" t="n">
        <v>0.265976762562258</v>
      </c>
      <c r="H12" s="0" t="n">
        <v>0.225136735693913</v>
      </c>
      <c r="I12" s="0" t="n">
        <v>0.0272440171639041</v>
      </c>
      <c r="J12" s="0" t="n">
        <v>0.0434508528952101</v>
      </c>
      <c r="K12" s="0" t="n">
        <v>0.0640770267369779</v>
      </c>
      <c r="L12" s="0" t="n">
        <v>0.0204782792501822</v>
      </c>
      <c r="M12" s="0" t="n">
        <v>0.202033241656015</v>
      </c>
    </row>
    <row r="13" customFormat="false" ht="12.75" hidden="false" customHeight="true" outlineLevel="0" collapsed="false">
      <c r="A13" s="5" t="n">
        <v>1921</v>
      </c>
      <c r="B13" s="0" t="n">
        <v>0.198169487670724</v>
      </c>
      <c r="C13" s="0" t="n">
        <v>2.01439502573615</v>
      </c>
      <c r="D13" s="0" t="n">
        <v>9.81074939202689</v>
      </c>
      <c r="E13" s="0" t="n">
        <v>6.06110585065312</v>
      </c>
      <c r="F13" s="0" t="n">
        <v>4.81026790598545</v>
      </c>
      <c r="G13" s="0" t="n">
        <v>0.920292184135386</v>
      </c>
      <c r="H13" s="0" t="n">
        <v>0.265579989485517</v>
      </c>
      <c r="I13" s="0" t="n">
        <v>0.0846285782533084</v>
      </c>
      <c r="J13" s="0" t="n">
        <v>0.0660400288836871</v>
      </c>
      <c r="K13" s="0" t="n">
        <v>0.104518966277232</v>
      </c>
      <c r="L13" s="0" t="n">
        <v>0.117367025962075</v>
      </c>
      <c r="M13" s="0" t="n">
        <v>0.0591678469107378</v>
      </c>
    </row>
    <row r="14" customFormat="false" ht="12.75" hidden="false" customHeight="true" outlineLevel="0" collapsed="false">
      <c r="A14" s="5" t="n">
        <v>1922</v>
      </c>
      <c r="B14" s="0" t="n">
        <v>0.138756076228914</v>
      </c>
      <c r="C14" s="0" t="n">
        <v>0.796501145230457</v>
      </c>
      <c r="D14" s="0" t="n">
        <v>1.23380774222022</v>
      </c>
      <c r="E14" s="0" t="n">
        <v>10.0524586922942</v>
      </c>
      <c r="F14" s="0" t="n">
        <v>5.47752383380181</v>
      </c>
      <c r="G14" s="0" t="n">
        <v>4.36632406047077</v>
      </c>
      <c r="H14" s="0" t="n">
        <v>0.975733019555347</v>
      </c>
      <c r="I14" s="0" t="n">
        <v>0.190271494423481</v>
      </c>
      <c r="J14" s="0" t="n">
        <v>0.034379029513866</v>
      </c>
      <c r="K14" s="0" t="n">
        <v>0.0969086800204502</v>
      </c>
      <c r="L14" s="0" t="n">
        <v>0.316448717539385</v>
      </c>
      <c r="M14" s="0" t="n">
        <v>0.154631145118944</v>
      </c>
    </row>
    <row r="15" customFormat="false" ht="12.75" hidden="false" customHeight="true" outlineLevel="0" collapsed="false">
      <c r="A15" s="5" t="n">
        <v>1923</v>
      </c>
      <c r="B15" s="0" t="n">
        <v>0.411791899695247</v>
      </c>
      <c r="C15" s="0" t="n">
        <v>3.80727905659156</v>
      </c>
      <c r="D15" s="0" t="n">
        <v>3.46155346537617</v>
      </c>
      <c r="E15" s="0" t="n">
        <v>4.98977273849407</v>
      </c>
      <c r="F15" s="0" t="n">
        <v>2.76093797998685</v>
      </c>
      <c r="G15" s="0" t="n">
        <v>0.845249857588099</v>
      </c>
      <c r="H15" s="0" t="n">
        <v>0.252367810999267</v>
      </c>
      <c r="I15" s="0" t="n">
        <v>0.0463108849704867</v>
      </c>
      <c r="J15" s="0" t="n">
        <v>0.0259146092459666</v>
      </c>
      <c r="K15" s="0" t="n">
        <v>0.0680518965795114</v>
      </c>
      <c r="L15" s="0" t="n">
        <v>0.055667892862209</v>
      </c>
      <c r="M15" s="0" t="n">
        <v>0.0218922405309716</v>
      </c>
    </row>
    <row r="16" customFormat="false" ht="12.75" hidden="false" customHeight="true" outlineLevel="0" collapsed="false">
      <c r="A16" s="5" t="n">
        <v>1924</v>
      </c>
      <c r="B16" s="0" t="n">
        <v>0.15321348945818</v>
      </c>
      <c r="C16" s="0" t="n">
        <v>2.60845707909655</v>
      </c>
      <c r="D16" s="0" t="n">
        <v>15.2185304061331</v>
      </c>
      <c r="E16" s="0" t="n">
        <v>36.8343907576263</v>
      </c>
      <c r="F16" s="0" t="n">
        <v>8.69520027474658</v>
      </c>
      <c r="G16" s="0" t="n">
        <v>2.66442408168345</v>
      </c>
      <c r="H16" s="0" t="n">
        <v>0.201109332979903</v>
      </c>
      <c r="I16" s="0" t="n">
        <v>0.0723942946174491</v>
      </c>
      <c r="J16" s="0" t="n">
        <v>0.0866761583643414</v>
      </c>
      <c r="K16" s="0" t="n">
        <v>0.341938861047001</v>
      </c>
      <c r="L16" s="0" t="n">
        <v>0.0857791610218462</v>
      </c>
      <c r="M16" s="0" t="n">
        <v>0.26544364945346</v>
      </c>
    </row>
    <row r="17" customFormat="false" ht="12.75" hidden="false" customHeight="true" outlineLevel="0" collapsed="false">
      <c r="A17" s="5" t="n">
        <v>1925</v>
      </c>
      <c r="B17" s="0" t="n">
        <v>3.26305864662398</v>
      </c>
      <c r="C17" s="0" t="n">
        <v>3.17867802235354</v>
      </c>
      <c r="D17" s="0" t="n">
        <v>11.864656502216</v>
      </c>
      <c r="E17" s="0" t="n">
        <v>8.6824434542107</v>
      </c>
      <c r="F17" s="0" t="n">
        <v>1.79750250882047</v>
      </c>
      <c r="G17" s="0" t="n">
        <v>0.222819516562346</v>
      </c>
      <c r="H17" s="0" t="n">
        <v>0.111387863249664</v>
      </c>
      <c r="I17" s="0" t="n">
        <v>0.0412638048627291</v>
      </c>
      <c r="J17" s="0" t="n">
        <v>0.54041846293347</v>
      </c>
      <c r="K17" s="0" t="n">
        <v>0.0812588184679081</v>
      </c>
      <c r="L17" s="0" t="n">
        <v>0.0482003536040194</v>
      </c>
      <c r="M17" s="0" t="n">
        <v>0.111132868093157</v>
      </c>
    </row>
    <row r="18" customFormat="false" ht="12.75" hidden="false" customHeight="true" outlineLevel="0" collapsed="false">
      <c r="A18" s="5" t="n">
        <v>1926</v>
      </c>
      <c r="B18" s="0" t="n">
        <v>0.124666462662624</v>
      </c>
      <c r="C18" s="0" t="n">
        <v>0.596004569434048</v>
      </c>
      <c r="D18" s="0" t="n">
        <v>3.00058140870874</v>
      </c>
      <c r="E18" s="0" t="n">
        <v>3.15263303297367</v>
      </c>
      <c r="F18" s="0" t="n">
        <v>1.31668631106919</v>
      </c>
      <c r="G18" s="0" t="n">
        <v>0.298458915326148</v>
      </c>
      <c r="H18" s="0" t="n">
        <v>0.0305853477624775</v>
      </c>
      <c r="I18" s="0" t="n">
        <v>0.0202847230268603</v>
      </c>
      <c r="J18" s="0" t="n">
        <v>0.0159948047459782</v>
      </c>
      <c r="K18" s="0" t="n">
        <v>0.0186973588159507</v>
      </c>
      <c r="L18" s="0" t="n">
        <v>0.0179043032477729</v>
      </c>
      <c r="M18" s="0" t="n">
        <v>0.0142629425712544</v>
      </c>
    </row>
    <row r="19" customFormat="false" ht="12.75" hidden="false" customHeight="true" outlineLevel="0" collapsed="false">
      <c r="A19" s="5" t="n">
        <v>1927</v>
      </c>
      <c r="B19" s="0" t="n">
        <v>0.0202618618378041</v>
      </c>
      <c r="C19" s="0" t="n">
        <v>0.20645444677354</v>
      </c>
      <c r="D19" s="0" t="n">
        <v>0.673854584678344</v>
      </c>
      <c r="E19" s="0" t="n">
        <v>1.64378863601241</v>
      </c>
      <c r="F19" s="0" t="n">
        <v>0.292163550635681</v>
      </c>
      <c r="G19" s="0" t="n">
        <v>0.109471749408851</v>
      </c>
      <c r="H19" s="0" t="n">
        <v>0.0845725294191523</v>
      </c>
      <c r="I19" s="0" t="n">
        <v>0.0132513249506929</v>
      </c>
      <c r="J19" s="0" t="n">
        <v>0.00755782076853044</v>
      </c>
      <c r="K19" s="0" t="n">
        <v>0.00630320055186586</v>
      </c>
      <c r="L19" s="0" t="n">
        <v>0.00744129240685971</v>
      </c>
      <c r="M19" s="0" t="n">
        <v>0.0238268152218369</v>
      </c>
    </row>
    <row r="20" customFormat="false" ht="12.75" hidden="false" customHeight="true" outlineLevel="0" collapsed="false">
      <c r="A20" s="5" t="n">
        <v>1928</v>
      </c>
      <c r="B20" s="0" t="n">
        <v>0.041887143366136</v>
      </c>
      <c r="C20" s="0" t="n">
        <v>0.0505913501271453</v>
      </c>
      <c r="D20" s="0" t="n">
        <v>1.35879173942052</v>
      </c>
      <c r="E20" s="0" t="n">
        <v>1.66303388357973</v>
      </c>
      <c r="F20" s="0" t="n">
        <v>0.658822958155981</v>
      </c>
      <c r="G20" s="0" t="n">
        <v>0.236711483594997</v>
      </c>
      <c r="H20" s="0" t="n">
        <v>0.0221179644938829</v>
      </c>
      <c r="I20" s="0" t="n">
        <v>0.00927565131574882</v>
      </c>
      <c r="J20" s="0" t="n">
        <v>0.0111517376872951</v>
      </c>
      <c r="K20" s="0" t="n">
        <v>0.0147132865238704</v>
      </c>
      <c r="L20" s="0" t="n">
        <v>0.0112530351608699</v>
      </c>
      <c r="M20" s="0" t="n">
        <v>0.0306056386997529</v>
      </c>
    </row>
    <row r="21" customFormat="false" ht="12.75" hidden="false" customHeight="true" outlineLevel="0" collapsed="false">
      <c r="A21" s="5" t="n">
        <v>1929</v>
      </c>
      <c r="B21" s="0" t="n">
        <v>0.0776532358281536</v>
      </c>
      <c r="C21" s="0" t="n">
        <v>0.518866387270214</v>
      </c>
      <c r="D21" s="0" t="n">
        <v>1.4362884674784</v>
      </c>
      <c r="E21" s="0" t="n">
        <v>1.32570557063252</v>
      </c>
      <c r="F21" s="0" t="n">
        <v>0.437618599239633</v>
      </c>
      <c r="G21" s="0" t="n">
        <v>0.0713545851613346</v>
      </c>
      <c r="H21" s="0" t="n">
        <v>0.0298435355344571</v>
      </c>
      <c r="I21" s="0" t="n">
        <v>0.0104042072503821</v>
      </c>
      <c r="J21" s="0" t="n">
        <v>0.0152479254509013</v>
      </c>
      <c r="K21" s="0" t="n">
        <v>0.0250123530991479</v>
      </c>
      <c r="L21" s="0" t="n">
        <v>0.00971376849111217</v>
      </c>
      <c r="M21" s="0" t="n">
        <v>0.0482776387335572</v>
      </c>
    </row>
    <row r="22" customFormat="false" ht="12.75" hidden="false" customHeight="true" outlineLevel="0" collapsed="false">
      <c r="A22" s="5" t="n">
        <v>1930</v>
      </c>
      <c r="B22" s="0" t="n">
        <v>0.0492012767354517</v>
      </c>
      <c r="C22" s="0" t="n">
        <v>0.0743767003037521</v>
      </c>
      <c r="D22" s="0" t="n">
        <v>0.50075974386579</v>
      </c>
      <c r="E22" s="0" t="n">
        <v>0.491380810465074</v>
      </c>
      <c r="F22" s="0" t="n">
        <v>0.398737579521108</v>
      </c>
      <c r="G22" s="0" t="n">
        <v>0.359538370545905</v>
      </c>
      <c r="H22" s="0" t="n">
        <v>0.0100031181241074</v>
      </c>
      <c r="I22" s="0" t="n">
        <v>0.00517392429530141</v>
      </c>
      <c r="J22" s="0" t="n">
        <v>0.0043187511559581</v>
      </c>
      <c r="K22" s="0" t="n">
        <v>0.0160494001203441</v>
      </c>
      <c r="L22" s="0" t="n">
        <v>0.00542904170882582</v>
      </c>
      <c r="M22" s="0" t="n">
        <v>0.0208472475778626</v>
      </c>
    </row>
    <row r="23" customFormat="false" ht="12.75" hidden="false" customHeight="true" outlineLevel="0" collapsed="false">
      <c r="A23" s="5" t="n">
        <v>1931</v>
      </c>
      <c r="B23" s="0" t="n">
        <v>0.0488085619346513</v>
      </c>
      <c r="C23" s="0" t="n">
        <v>0.390828569130847</v>
      </c>
      <c r="D23" s="0" t="n">
        <v>0.910596074539564</v>
      </c>
      <c r="E23" s="0" t="n">
        <v>0.988493437952831</v>
      </c>
      <c r="F23" s="0" t="n">
        <v>0.284970030595138</v>
      </c>
      <c r="G23" s="0" t="n">
        <v>0.0712011816145483</v>
      </c>
      <c r="H23" s="0" t="n">
        <v>0.013908741348406</v>
      </c>
      <c r="I23" s="0" t="n">
        <v>0.0117576976497828</v>
      </c>
      <c r="J23" s="0" t="n">
        <v>0.00822330896326843</v>
      </c>
      <c r="K23" s="0" t="n">
        <v>0.0215908759197093</v>
      </c>
      <c r="L23" s="0" t="n">
        <v>0.00512736760865259</v>
      </c>
      <c r="M23" s="0" t="n">
        <v>0.00487566959886351</v>
      </c>
    </row>
    <row r="24" customFormat="false" ht="12.75" hidden="false" customHeight="true" outlineLevel="0" collapsed="false">
      <c r="A24" s="5" t="n">
        <v>1932</v>
      </c>
      <c r="B24" s="0" t="n">
        <v>0.0431226423306168</v>
      </c>
      <c r="C24" s="0" t="n">
        <v>0.101066941560476</v>
      </c>
      <c r="D24" s="0" t="n">
        <v>0.142714753345382</v>
      </c>
      <c r="E24" s="0" t="n">
        <v>0.124455729290114</v>
      </c>
      <c r="F24" s="0" t="n">
        <v>0.0640214171686164</v>
      </c>
      <c r="G24" s="0" t="n">
        <v>0.0549941217028815</v>
      </c>
      <c r="H24" s="0" t="n">
        <v>0.0382158504503742</v>
      </c>
      <c r="I24" s="0" t="n">
        <v>0.00174155885982724</v>
      </c>
      <c r="J24" s="0" t="n">
        <v>0.0328376914795016</v>
      </c>
      <c r="K24" s="0" t="n">
        <v>0.00731034414598439</v>
      </c>
      <c r="L24" s="0" t="n">
        <v>0.011378367343437</v>
      </c>
      <c r="M24" s="0" t="n">
        <v>0.00219135157284374</v>
      </c>
    </row>
    <row r="25" customFormat="false" ht="12.75" hidden="false" customHeight="true" outlineLevel="0" collapsed="false">
      <c r="A25" s="5" t="n">
        <v>1933</v>
      </c>
      <c r="B25" s="0" t="n">
        <v>0.0896881582613784</v>
      </c>
      <c r="C25" s="0" t="n">
        <v>0.268024391108567</v>
      </c>
      <c r="D25" s="0" t="n">
        <v>1.47851445502798</v>
      </c>
      <c r="E25" s="0" t="n">
        <v>3.47672636621392</v>
      </c>
      <c r="F25" s="0" t="n">
        <v>0.202637786693569</v>
      </c>
      <c r="G25" s="0" t="n">
        <v>0.055446110980564</v>
      </c>
      <c r="H25" s="0" t="n">
        <v>0.0247458694253718</v>
      </c>
      <c r="I25" s="0" t="n">
        <v>0.0144345704779161</v>
      </c>
      <c r="J25" s="0" t="n">
        <v>0.0112084726546858</v>
      </c>
      <c r="K25" s="0" t="n">
        <v>0.0148135205105033</v>
      </c>
      <c r="L25" s="0" t="n">
        <v>0.0219795069389586</v>
      </c>
      <c r="M25" s="0" t="n">
        <v>0.0160397811893073</v>
      </c>
    </row>
    <row r="26" customFormat="false" ht="12.75" hidden="false" customHeight="true" outlineLevel="0" collapsed="false">
      <c r="A26" s="5" t="n">
        <v>1934</v>
      </c>
      <c r="B26" s="0" t="n">
        <v>0.34739418979302</v>
      </c>
      <c r="C26" s="0" t="n">
        <v>1.8463339261342</v>
      </c>
      <c r="D26" s="0" t="n">
        <v>18.603251083071</v>
      </c>
      <c r="E26" s="0" t="n">
        <v>7.94969034684914</v>
      </c>
      <c r="F26" s="0" t="n">
        <v>6.74378684382801</v>
      </c>
      <c r="G26" s="0" t="n">
        <v>1.72400283194032</v>
      </c>
      <c r="H26" s="0" t="n">
        <v>0.0376306209899228</v>
      </c>
      <c r="I26" s="0" t="n">
        <v>0.0412636286833746</v>
      </c>
      <c r="J26" s="0" t="n">
        <v>0.0907133678223112</v>
      </c>
      <c r="K26" s="0" t="n">
        <v>0.0343135127639464</v>
      </c>
      <c r="L26" s="0" t="n">
        <v>0.117348370015392</v>
      </c>
      <c r="M26" s="0" t="n">
        <v>0.278944264503125</v>
      </c>
    </row>
    <row r="27" customFormat="false" ht="12.75" hidden="false" customHeight="true" outlineLevel="0" collapsed="false">
      <c r="A27" s="5" t="n">
        <v>1935</v>
      </c>
      <c r="B27" s="0" t="n">
        <v>0.552971529564828</v>
      </c>
      <c r="C27" s="0" t="n">
        <v>2.28274510029562</v>
      </c>
      <c r="D27" s="0" t="n">
        <v>4.07395435091056</v>
      </c>
      <c r="E27" s="0" t="n">
        <v>7.46907830773958</v>
      </c>
      <c r="F27" s="0" t="n">
        <v>3.84464456605651</v>
      </c>
      <c r="G27" s="0" t="n">
        <v>0.755906104610892</v>
      </c>
      <c r="H27" s="0" t="n">
        <v>0.19233760832259</v>
      </c>
      <c r="I27" s="0" t="n">
        <v>0.0370303714246078</v>
      </c>
      <c r="J27" s="0" t="n">
        <v>0.0322146589369485</v>
      </c>
      <c r="K27" s="0" t="n">
        <v>0.0285383473093305</v>
      </c>
      <c r="L27" s="0" t="n">
        <v>0.0313302908772534</v>
      </c>
      <c r="M27" s="0" t="n">
        <v>0.0188654473548429</v>
      </c>
    </row>
    <row r="28" customFormat="false" ht="12.75" hidden="false" customHeight="true" outlineLevel="0" collapsed="false">
      <c r="A28" s="5" t="n">
        <v>1936</v>
      </c>
      <c r="B28" s="0" t="n">
        <v>0.0499600262573127</v>
      </c>
      <c r="C28" s="0" t="n">
        <v>0.255174132384808</v>
      </c>
      <c r="D28" s="0" t="n">
        <v>0.22955283161308</v>
      </c>
      <c r="E28" s="0" t="n">
        <v>0.424636913914815</v>
      </c>
      <c r="F28" s="0" t="n">
        <v>0.168078549969329</v>
      </c>
      <c r="G28" s="0" t="n">
        <v>0.15183843537148</v>
      </c>
      <c r="H28" s="0" t="n">
        <v>0.0121562733211229</v>
      </c>
      <c r="I28" s="0" t="n">
        <v>0.00731755350989718</v>
      </c>
      <c r="J28" s="0" t="n">
        <v>0.00536202846297372</v>
      </c>
      <c r="K28" s="0" t="n">
        <v>0.00514674922224795</v>
      </c>
      <c r="L28" s="0" t="n">
        <v>0.00464220190271267</v>
      </c>
      <c r="M28" s="0" t="n">
        <v>0.0215021942569746</v>
      </c>
    </row>
    <row r="29" customFormat="false" ht="12.75" hidden="false" customHeight="true" outlineLevel="0" collapsed="false">
      <c r="A29" s="5" t="n">
        <v>1937</v>
      </c>
      <c r="B29" s="0" t="n">
        <v>0.018263304596157</v>
      </c>
      <c r="C29" s="0" t="n">
        <v>0.746711411556816</v>
      </c>
      <c r="D29" s="0" t="n">
        <v>1.09676582447063</v>
      </c>
      <c r="E29" s="0" t="n">
        <v>1.44079095668174</v>
      </c>
      <c r="F29" s="0" t="n">
        <v>1.74899011606938</v>
      </c>
      <c r="G29" s="0" t="n">
        <v>0.358103897904915</v>
      </c>
      <c r="H29" s="0" t="n">
        <v>0.122925784684544</v>
      </c>
      <c r="I29" s="0" t="n">
        <v>0.0171071263592443</v>
      </c>
      <c r="J29" s="0" t="n">
        <v>0.0289316936643284</v>
      </c>
      <c r="K29" s="0" t="n">
        <v>0.018061567737258</v>
      </c>
      <c r="L29" s="0" t="n">
        <v>0.0205940294790811</v>
      </c>
      <c r="M29" s="0" t="n">
        <v>0.0262217577856252</v>
      </c>
    </row>
    <row r="30" customFormat="false" ht="12.75" hidden="false" customHeight="true" outlineLevel="0" collapsed="false">
      <c r="A30" s="5" t="n">
        <v>1938</v>
      </c>
      <c r="B30" s="0" t="n">
        <v>0.132907587490365</v>
      </c>
      <c r="C30" s="0" t="n">
        <v>0.0949925647509364</v>
      </c>
      <c r="D30" s="0" t="n">
        <v>1.75383583660969</v>
      </c>
      <c r="E30" s="0" t="n">
        <v>1.28447959899663</v>
      </c>
      <c r="F30" s="0" t="n">
        <v>0.417793720410817</v>
      </c>
      <c r="G30" s="0" t="n">
        <v>0.0836303796387858</v>
      </c>
      <c r="H30" s="0" t="n">
        <v>0.0116830831674295</v>
      </c>
      <c r="I30" s="0" t="n">
        <v>0.0148912730169054</v>
      </c>
      <c r="J30" s="0" t="n">
        <v>0.0107281222055295</v>
      </c>
      <c r="K30" s="0" t="n">
        <v>0.0141765647983626</v>
      </c>
      <c r="L30" s="0" t="n">
        <v>0.0161591089349964</v>
      </c>
      <c r="M30" s="0" t="n">
        <v>0.00519771663605676</v>
      </c>
    </row>
    <row r="31" customFormat="false" ht="12.75" hidden="false" customHeight="true" outlineLevel="0" collapsed="false">
      <c r="A31" s="5" t="n">
        <v>1939</v>
      </c>
      <c r="B31" s="0" t="n">
        <v>0.0140403103050496</v>
      </c>
      <c r="C31" s="0" t="n">
        <v>0.718243672761944</v>
      </c>
      <c r="D31" s="0" t="n">
        <v>2.59939790447794</v>
      </c>
      <c r="E31" s="0" t="n">
        <v>1.19964281719247</v>
      </c>
      <c r="F31" s="0" t="n">
        <v>1.05262244047712</v>
      </c>
      <c r="G31" s="0" t="n">
        <v>0.135788709416905</v>
      </c>
      <c r="H31" s="0" t="n">
        <v>0.0926884785337245</v>
      </c>
      <c r="I31" s="0" t="n">
        <v>0.059041184534377</v>
      </c>
      <c r="J31" s="0" t="n">
        <v>0.0392987132341198</v>
      </c>
      <c r="K31" s="0" t="n">
        <v>0.0862367386140783</v>
      </c>
      <c r="L31" s="0" t="n">
        <v>0.0787293751887184</v>
      </c>
      <c r="M31" s="0" t="n">
        <v>0.0347937510428148</v>
      </c>
    </row>
    <row r="32" customFormat="false" ht="12.75" hidden="false" customHeight="true" outlineLevel="0" collapsed="false">
      <c r="A32" s="5" t="n">
        <v>1940</v>
      </c>
      <c r="B32" s="0" t="n">
        <v>0.160470145845522</v>
      </c>
      <c r="C32" s="0" t="n">
        <v>0.513779310560979</v>
      </c>
      <c r="D32" s="0" t="n">
        <v>6.98419473091504</v>
      </c>
      <c r="E32" s="0" t="n">
        <v>12.2501554304686</v>
      </c>
      <c r="F32" s="0" t="n">
        <v>5.92469954286836</v>
      </c>
      <c r="G32" s="0" t="n">
        <v>0.991029858744934</v>
      </c>
      <c r="H32" s="0" t="n">
        <v>0.196616894190884</v>
      </c>
      <c r="I32" s="0" t="n">
        <v>0.0514651201303207</v>
      </c>
      <c r="J32" s="0" t="n">
        <v>0.0633409117382173</v>
      </c>
      <c r="K32" s="0" t="n">
        <v>0.0346945937651654</v>
      </c>
      <c r="L32" s="0" t="n">
        <v>0.115560063686489</v>
      </c>
      <c r="M32" s="0" t="n">
        <v>0.0871697647596774</v>
      </c>
    </row>
    <row r="33" customFormat="false" ht="12.75" hidden="false" customHeight="true" outlineLevel="0" collapsed="false">
      <c r="A33" s="5" t="n">
        <v>1941</v>
      </c>
      <c r="B33" s="0" t="n">
        <v>0.100573634852633</v>
      </c>
      <c r="C33" s="0" t="n">
        <v>0.410698659542048</v>
      </c>
      <c r="D33" s="0" t="n">
        <v>2.36027398760152</v>
      </c>
      <c r="E33" s="0" t="n">
        <v>2.87857353316696</v>
      </c>
      <c r="F33" s="0" t="n">
        <v>1.06482527547731</v>
      </c>
      <c r="G33" s="0" t="n">
        <v>0.100071198251632</v>
      </c>
      <c r="H33" s="0" t="n">
        <v>0.100189439521626</v>
      </c>
      <c r="I33" s="0" t="n">
        <v>0.0330983847470968</v>
      </c>
      <c r="J33" s="0" t="n">
        <v>0.0147226464070765</v>
      </c>
      <c r="K33" s="0" t="n">
        <v>0.0173176903519274</v>
      </c>
      <c r="L33" s="0" t="n">
        <v>0.0296815396268672</v>
      </c>
      <c r="M33" s="0" t="n">
        <v>0.0165553767375439</v>
      </c>
    </row>
    <row r="34" customFormat="false" ht="12.75" hidden="false" customHeight="true" outlineLevel="0" collapsed="false">
      <c r="A34" s="5" t="n">
        <v>1942</v>
      </c>
      <c r="B34" s="0" t="n">
        <v>0.0257670029464671</v>
      </c>
      <c r="C34" s="0" t="n">
        <v>0.104745256870361</v>
      </c>
      <c r="D34" s="0" t="n">
        <v>0.208698036580867</v>
      </c>
      <c r="E34" s="0" t="n">
        <v>0.229228693560809</v>
      </c>
      <c r="F34" s="0" t="n">
        <v>0.125152778843549</v>
      </c>
      <c r="G34" s="0" t="n">
        <v>0.00859541235328824</v>
      </c>
      <c r="H34" s="0" t="n">
        <v>0.00467455495604889</v>
      </c>
      <c r="I34" s="0" t="n">
        <v>0.00487222030486888</v>
      </c>
      <c r="J34" s="0" t="n">
        <v>0.00349466450183133</v>
      </c>
      <c r="K34" s="0" t="n">
        <v>0.0252772428312418</v>
      </c>
      <c r="L34" s="0" t="n">
        <v>0.00641059090838063</v>
      </c>
      <c r="M34" s="0" t="n">
        <v>0.0672181165367843</v>
      </c>
    </row>
    <row r="35" customFormat="false" ht="12.75" hidden="false" customHeight="true" outlineLevel="0" collapsed="false">
      <c r="A35" s="5" t="n">
        <v>1943</v>
      </c>
      <c r="B35" s="0" t="n">
        <v>0.173878118848599</v>
      </c>
      <c r="C35" s="0" t="n">
        <v>0.36032660874104</v>
      </c>
      <c r="D35" s="0" t="n">
        <v>3.13050748356129</v>
      </c>
      <c r="E35" s="0" t="n">
        <v>2.822302514928</v>
      </c>
      <c r="F35" s="0" t="n">
        <v>0.667893945595586</v>
      </c>
      <c r="G35" s="0" t="n">
        <v>0.111367640762498</v>
      </c>
      <c r="H35" s="0" t="n">
        <v>0.0827041977754981</v>
      </c>
      <c r="I35" s="0" t="n">
        <v>0.0205637407478289</v>
      </c>
      <c r="J35" s="0" t="n">
        <v>0.0117677707288185</v>
      </c>
      <c r="K35" s="0" t="n">
        <v>0.00985841071992989</v>
      </c>
      <c r="L35" s="0" t="n">
        <v>0.0471829371010328</v>
      </c>
      <c r="M35" s="0" t="n">
        <v>0.0372167574547457</v>
      </c>
    </row>
    <row r="36" customFormat="false" ht="12.75" hidden="false" customHeight="true" outlineLevel="0" collapsed="false">
      <c r="A36" s="5" t="n">
        <v>1944</v>
      </c>
      <c r="B36" s="0" t="n">
        <v>0.0644200749772234</v>
      </c>
      <c r="C36" s="0" t="n">
        <v>0.0895427076658396</v>
      </c>
      <c r="D36" s="0" t="n">
        <v>0.531929236801301</v>
      </c>
      <c r="E36" s="0" t="n">
        <v>1.37596229826905</v>
      </c>
      <c r="F36" s="0" t="n">
        <v>0.561642310443132</v>
      </c>
      <c r="G36" s="0" t="n">
        <v>0.0924719046745777</v>
      </c>
      <c r="H36" s="0" t="n">
        <v>0.0576419002617277</v>
      </c>
      <c r="I36" s="0" t="n">
        <v>0.00825300075412394</v>
      </c>
      <c r="J36" s="0" t="n">
        <v>0.027455952047894</v>
      </c>
      <c r="K36" s="0" t="n">
        <v>0.00641618180063097</v>
      </c>
      <c r="L36" s="0" t="n">
        <v>0.00588584920688435</v>
      </c>
      <c r="M36" s="0" t="n">
        <v>0.163836000004533</v>
      </c>
    </row>
    <row r="37" customFormat="false" ht="12.75" hidden="false" customHeight="true" outlineLevel="0" collapsed="false">
      <c r="A37" s="5" t="n">
        <v>1945</v>
      </c>
      <c r="B37" s="0" t="n">
        <v>0.228074702660575</v>
      </c>
      <c r="C37" s="0" t="n">
        <v>0.735661782412555</v>
      </c>
      <c r="D37" s="0" t="n">
        <v>1.74303805687833</v>
      </c>
      <c r="E37" s="0" t="n">
        <v>1.65209265410343</v>
      </c>
      <c r="F37" s="0" t="n">
        <v>2.77270118724662</v>
      </c>
      <c r="G37" s="0" t="n">
        <v>0.720495575825663</v>
      </c>
      <c r="H37" s="0" t="n">
        <v>0.148987684938538</v>
      </c>
      <c r="I37" s="0" t="n">
        <v>0.0154865564320495</v>
      </c>
      <c r="J37" s="0" t="n">
        <v>0.0158557109853232</v>
      </c>
      <c r="K37" s="0" t="n">
        <v>0.113771325354679</v>
      </c>
      <c r="L37" s="0" t="n">
        <v>0.0193731413116228</v>
      </c>
      <c r="M37" s="0" t="n">
        <v>0.0947318400595085</v>
      </c>
    </row>
    <row r="38" customFormat="false" ht="12.75" hidden="false" customHeight="true" outlineLevel="0" collapsed="false">
      <c r="A38" s="5" t="n">
        <v>1946</v>
      </c>
      <c r="B38" s="0" t="n">
        <v>0.462340800585852</v>
      </c>
      <c r="C38" s="0" t="n">
        <v>0.898465393571245</v>
      </c>
      <c r="D38" s="0" t="n">
        <v>2.2644036236287</v>
      </c>
      <c r="E38" s="0" t="n">
        <v>3.10577926904828</v>
      </c>
      <c r="F38" s="0" t="n">
        <v>1.15038813010836</v>
      </c>
      <c r="G38" s="0" t="n">
        <v>1.04168244883656</v>
      </c>
      <c r="H38" s="0" t="n">
        <v>0.0885233045241947</v>
      </c>
      <c r="I38" s="0" t="n">
        <v>0.0302159143423669</v>
      </c>
      <c r="J38" s="0" t="n">
        <v>0.0330988939979986</v>
      </c>
      <c r="K38" s="0" t="n">
        <v>0.0135954034769962</v>
      </c>
      <c r="L38" s="0" t="n">
        <v>0.0950354421103988</v>
      </c>
      <c r="M38" s="0" t="n">
        <v>0.228308686001932</v>
      </c>
    </row>
    <row r="39" customFormat="false" ht="12.75" hidden="false" customHeight="true" outlineLevel="0" collapsed="false">
      <c r="A39" s="5" t="n">
        <v>1947</v>
      </c>
      <c r="B39" s="0" t="n">
        <v>0.334080007088908</v>
      </c>
      <c r="C39" s="0" t="n">
        <v>1.14220890778997</v>
      </c>
      <c r="D39" s="0" t="n">
        <v>7.75304335978216</v>
      </c>
      <c r="E39" s="0" t="n">
        <v>13.3995354655725</v>
      </c>
      <c r="F39" s="0" t="n">
        <v>0.761721032620671</v>
      </c>
      <c r="G39" s="0" t="n">
        <v>0.146914734024269</v>
      </c>
      <c r="H39" s="0" t="n">
        <v>0.0672687546004846</v>
      </c>
      <c r="I39" s="0" t="n">
        <v>0.0347504436607355</v>
      </c>
      <c r="J39" s="0" t="n">
        <v>0.0268579232570104</v>
      </c>
      <c r="K39" s="0" t="n">
        <v>0.0346857881540458</v>
      </c>
      <c r="L39" s="0" t="n">
        <v>0.326139263276266</v>
      </c>
      <c r="M39" s="0" t="n">
        <v>0.231942716299747</v>
      </c>
    </row>
    <row r="40" customFormat="false" ht="12.75" hidden="false" customHeight="true" outlineLevel="0" collapsed="false">
      <c r="A40" s="5" t="n">
        <v>1948</v>
      </c>
      <c r="B40" s="0" t="n">
        <v>0.460965918117341</v>
      </c>
      <c r="C40" s="0" t="n">
        <v>0.323426259313599</v>
      </c>
      <c r="D40" s="0" t="n">
        <v>3.78318806249109</v>
      </c>
      <c r="E40" s="0" t="n">
        <v>3.54187450535555</v>
      </c>
      <c r="F40" s="0" t="n">
        <v>1.26290213356165</v>
      </c>
      <c r="G40" s="0" t="n">
        <v>0.554025725053529</v>
      </c>
      <c r="H40" s="0" t="n">
        <v>0.350004997062675</v>
      </c>
      <c r="I40" s="0" t="n">
        <v>0.0542762385205528</v>
      </c>
      <c r="J40" s="0" t="n">
        <v>0.0219514128749391</v>
      </c>
      <c r="K40" s="0" t="n">
        <v>0.0221746844834628</v>
      </c>
      <c r="L40" s="0" t="n">
        <v>0.0249171539519444</v>
      </c>
      <c r="M40" s="0" t="n">
        <v>0.0619063646906037</v>
      </c>
    </row>
    <row r="41" customFormat="false" ht="12.75" hidden="false" customHeight="true" outlineLevel="0" collapsed="false">
      <c r="A41" s="5" t="n">
        <v>1949</v>
      </c>
      <c r="B41" s="0" t="n">
        <v>0.0278965660968301</v>
      </c>
      <c r="C41" s="0" t="n">
        <v>0.263188118083492</v>
      </c>
      <c r="D41" s="0" t="n">
        <v>1.03224868439994</v>
      </c>
      <c r="E41" s="0" t="n">
        <v>2.24529073018524</v>
      </c>
      <c r="F41" s="0" t="n">
        <v>1.55834566351036</v>
      </c>
      <c r="G41" s="0" t="n">
        <v>0.240103196234652</v>
      </c>
      <c r="H41" s="0" t="n">
        <v>0.0625402084811985</v>
      </c>
      <c r="I41" s="0" t="n">
        <v>0.0641498362033289</v>
      </c>
      <c r="J41" s="0" t="n">
        <v>0.0170905008006814</v>
      </c>
      <c r="K41" s="0" t="n">
        <v>0.030073010205143</v>
      </c>
      <c r="L41" s="0" t="n">
        <v>0.241296966903596</v>
      </c>
      <c r="M41" s="0" t="n">
        <v>0.0382619190621166</v>
      </c>
    </row>
    <row r="42" customFormat="false" ht="12.75" hidden="false" customHeight="true" outlineLevel="0" collapsed="false">
      <c r="A42" s="5" t="n">
        <v>1950</v>
      </c>
      <c r="B42" s="0" t="n">
        <v>0.081975388662109</v>
      </c>
      <c r="C42" s="0" t="n">
        <v>0.308984596389462</v>
      </c>
      <c r="D42" s="0" t="n">
        <v>2.26366954682888</v>
      </c>
      <c r="E42" s="0" t="n">
        <v>11.2653531268448</v>
      </c>
      <c r="F42" s="0" t="n">
        <v>0.531567558685497</v>
      </c>
      <c r="G42" s="0" t="n">
        <v>0.0494315447553313</v>
      </c>
      <c r="H42" s="0" t="n">
        <v>0.0529704914770038</v>
      </c>
      <c r="I42" s="0" t="n">
        <v>0.0244454155441193</v>
      </c>
      <c r="J42" s="0" t="n">
        <v>0.0471921025910531</v>
      </c>
      <c r="K42" s="0" t="n">
        <v>0.0567908279033068</v>
      </c>
      <c r="L42" s="0" t="n">
        <v>0.0143681593621961</v>
      </c>
      <c r="M42" s="0" t="n">
        <v>0.0458977845535071</v>
      </c>
    </row>
    <row r="43" customFormat="false" ht="12.75" hidden="false" customHeight="true" outlineLevel="0" collapsed="false">
      <c r="A43" s="5" t="n">
        <v>1951</v>
      </c>
      <c r="B43" s="0" t="n">
        <v>0.0825564898421445</v>
      </c>
      <c r="C43" s="0" t="n">
        <v>0.125053927735711</v>
      </c>
      <c r="D43" s="0" t="n">
        <v>0.26247725474339</v>
      </c>
      <c r="E43" s="0" t="n">
        <v>1.01965461610479</v>
      </c>
      <c r="F43" s="0" t="n">
        <v>0.481116710800363</v>
      </c>
      <c r="G43" s="0" t="n">
        <v>0.233849983323144</v>
      </c>
      <c r="H43" s="0" t="n">
        <v>0.0135351341334835</v>
      </c>
      <c r="I43" s="0" t="n">
        <v>0.00691556983557275</v>
      </c>
      <c r="J43" s="0" t="n">
        <v>0.00592412596733058</v>
      </c>
      <c r="K43" s="0" t="n">
        <v>0.00691975993097452</v>
      </c>
      <c r="L43" s="0" t="n">
        <v>0.00730298083341722</v>
      </c>
      <c r="M43" s="0" t="n">
        <v>0.0213645741632461</v>
      </c>
    </row>
    <row r="44" customFormat="false" ht="12.75" hidden="false" customHeight="true" outlineLevel="0" collapsed="false">
      <c r="A44" s="5" t="n">
        <v>1952</v>
      </c>
      <c r="B44" s="0" t="n">
        <v>0.0381708058225733</v>
      </c>
      <c r="C44" s="0" t="n">
        <v>0.153774084977624</v>
      </c>
      <c r="D44" s="0" t="n">
        <v>0.812951853403952</v>
      </c>
      <c r="E44" s="0" t="n">
        <v>1.9791579374316</v>
      </c>
      <c r="F44" s="0" t="n">
        <v>0.478012827624227</v>
      </c>
      <c r="G44" s="0" t="n">
        <v>0.0325120904773566</v>
      </c>
      <c r="H44" s="0" t="n">
        <v>0.0166926553811942</v>
      </c>
      <c r="I44" s="0" t="n">
        <v>0.00817190921150724</v>
      </c>
      <c r="J44" s="0" t="n">
        <v>0.00979746951515195</v>
      </c>
      <c r="K44" s="0" t="n">
        <v>0.00607515122654692</v>
      </c>
      <c r="L44" s="0" t="n">
        <v>0.00538430007054416</v>
      </c>
      <c r="M44" s="0" t="n">
        <v>0.0271632430819111</v>
      </c>
    </row>
    <row r="45" customFormat="false" ht="12.75" hidden="false" customHeight="true" outlineLevel="0" collapsed="false">
      <c r="A45" s="5" t="n">
        <v>1953</v>
      </c>
      <c r="B45" s="0" t="n">
        <v>0.0106942231289652</v>
      </c>
      <c r="C45" s="0" t="n">
        <v>0.0435793369854225</v>
      </c>
      <c r="D45" s="0" t="n">
        <v>0.146798237441163</v>
      </c>
      <c r="E45" s="0" t="n">
        <v>0.261120655321317</v>
      </c>
      <c r="F45" s="0" t="n">
        <v>0.0821692939750011</v>
      </c>
      <c r="G45" s="0" t="n">
        <v>0.166306559042109</v>
      </c>
      <c r="H45" s="0" t="n">
        <v>0.00613964513199748</v>
      </c>
      <c r="I45" s="0" t="n">
        <v>0.00252061277848359</v>
      </c>
      <c r="J45" s="0" t="n">
        <v>0.0380730834633778</v>
      </c>
      <c r="K45" s="0" t="n">
        <v>0.00206188225429462</v>
      </c>
      <c r="L45" s="0" t="n">
        <v>0.0547535973872438</v>
      </c>
      <c r="M45" s="0" t="n">
        <v>0.0137772660873225</v>
      </c>
    </row>
    <row r="46" customFormat="false" ht="12.75" hidden="false" customHeight="true" outlineLevel="0" collapsed="false">
      <c r="A46" s="5" t="n">
        <v>1954</v>
      </c>
      <c r="B46" s="0" t="n">
        <v>0.0721666693869382</v>
      </c>
      <c r="C46" s="0" t="n">
        <v>0.238927677838089</v>
      </c>
      <c r="D46" s="0" t="n">
        <v>0.954930537244957</v>
      </c>
      <c r="E46" s="0" t="n">
        <v>0.998885264171389</v>
      </c>
      <c r="F46" s="0" t="n">
        <v>0.6792464403696</v>
      </c>
      <c r="G46" s="0" t="n">
        <v>0.0914086814880435</v>
      </c>
      <c r="H46" s="0" t="n">
        <v>0.0100214930288843</v>
      </c>
      <c r="I46" s="0" t="n">
        <v>0.00661889863717007</v>
      </c>
      <c r="J46" s="0" t="n">
        <v>0.0107450305749917</v>
      </c>
      <c r="K46" s="0" t="n">
        <v>0.00523442176325136</v>
      </c>
      <c r="L46" s="0" t="n">
        <v>0.0129621642051134</v>
      </c>
      <c r="M46" s="0" t="n">
        <v>0.0127739549400847</v>
      </c>
    </row>
    <row r="47" customFormat="false" ht="12.75" hidden="false" customHeight="true" outlineLevel="0" collapsed="false">
      <c r="A47" s="5" t="n">
        <v>1955</v>
      </c>
      <c r="B47" s="0" t="n">
        <v>0.100070441992017</v>
      </c>
      <c r="C47" s="0" t="n">
        <v>0.758296006100746</v>
      </c>
      <c r="D47" s="0" t="n">
        <v>5.36915102343066</v>
      </c>
      <c r="E47" s="0" t="n">
        <v>8.83489105700853</v>
      </c>
      <c r="F47" s="0" t="n">
        <v>0.832526268129016</v>
      </c>
      <c r="G47" s="0" t="n">
        <v>0.0465899009503788</v>
      </c>
      <c r="H47" s="0" t="n">
        <v>0.0303503429594192</v>
      </c>
      <c r="I47" s="0" t="n">
        <v>0.0267824707843755</v>
      </c>
      <c r="J47" s="0" t="n">
        <v>0.0183400600357624</v>
      </c>
      <c r="K47" s="0" t="n">
        <v>0.0406102674844443</v>
      </c>
      <c r="L47" s="0" t="n">
        <v>0.0230190952335019</v>
      </c>
      <c r="M47" s="0" t="n">
        <v>0.0359606344638057</v>
      </c>
    </row>
    <row r="48" customFormat="false" ht="12.75" hidden="false" customHeight="true" outlineLevel="0" collapsed="false">
      <c r="A48" s="5" t="n">
        <v>1956</v>
      </c>
      <c r="B48" s="0" t="n">
        <v>0.01825360872184</v>
      </c>
      <c r="C48" s="0" t="n">
        <v>3.57829680293793</v>
      </c>
      <c r="D48" s="0" t="n">
        <v>9.28823197499374</v>
      </c>
      <c r="E48" s="0" t="n">
        <v>8.99448043103957</v>
      </c>
      <c r="F48" s="0" t="n">
        <v>1.73095721167098</v>
      </c>
      <c r="G48" s="0" t="n">
        <v>0.31070306537644</v>
      </c>
      <c r="H48" s="0" t="n">
        <v>0.0784630266368466</v>
      </c>
      <c r="I48" s="0" t="n">
        <v>0.0458963281041172</v>
      </c>
      <c r="J48" s="0" t="n">
        <v>0.026101468822129</v>
      </c>
      <c r="K48" s="0" t="n">
        <v>0.110686510920492</v>
      </c>
      <c r="L48" s="0" t="n">
        <v>0.029264364703541</v>
      </c>
      <c r="M48" s="0" t="n">
        <v>0.0588053324113041</v>
      </c>
    </row>
    <row r="49" customFormat="false" ht="12.75" hidden="false" customHeight="true" outlineLevel="0" collapsed="false">
      <c r="A49" s="5" t="n">
        <v>1957</v>
      </c>
      <c r="B49" s="0" t="n">
        <v>0.124912308631774</v>
      </c>
      <c r="C49" s="0" t="n">
        <v>0.190881024918818</v>
      </c>
      <c r="D49" s="0" t="n">
        <v>3.34280828944723</v>
      </c>
      <c r="E49" s="0" t="n">
        <v>9.88126972071632</v>
      </c>
      <c r="F49" s="0" t="n">
        <v>0.277266657795837</v>
      </c>
      <c r="G49" s="0" t="n">
        <v>0.121814179144208</v>
      </c>
      <c r="H49" s="0" t="n">
        <v>0.0288035980253493</v>
      </c>
      <c r="I49" s="0" t="n">
        <v>0.0215825232361975</v>
      </c>
      <c r="J49" s="0" t="n">
        <v>0.0190653008261331</v>
      </c>
      <c r="K49" s="0" t="n">
        <v>0.0167911962876624</v>
      </c>
      <c r="L49" s="0" t="n">
        <v>0.0157348842201527</v>
      </c>
      <c r="M49" s="0" t="n">
        <v>0.0429814248500693</v>
      </c>
    </row>
    <row r="50" customFormat="false" ht="12.75" hidden="false" customHeight="true" outlineLevel="0" collapsed="false">
      <c r="A50" s="5" t="n">
        <v>1958</v>
      </c>
      <c r="B50" s="0" t="n">
        <v>0.0427284833285946</v>
      </c>
      <c r="C50" s="0" t="n">
        <v>0.0867342191778374</v>
      </c>
      <c r="D50" s="0" t="n">
        <v>0.578158906375934</v>
      </c>
      <c r="E50" s="0" t="n">
        <v>0.160719267055367</v>
      </c>
      <c r="F50" s="0" t="n">
        <v>0.276636624756193</v>
      </c>
      <c r="G50" s="0" t="n">
        <v>0.00975951950582853</v>
      </c>
      <c r="H50" s="0" t="n">
        <v>0.0425209942892559</v>
      </c>
      <c r="I50" s="0" t="n">
        <v>0.00562862136145187</v>
      </c>
      <c r="J50" s="0" t="n">
        <v>0.00494271139348698</v>
      </c>
      <c r="K50" s="0" t="n">
        <v>0.00354427373244108</v>
      </c>
      <c r="L50" s="0" t="n">
        <v>0.00299490173252227</v>
      </c>
      <c r="M50" s="0" t="n">
        <v>0.00635487438480934</v>
      </c>
    </row>
    <row r="51" customFormat="false" ht="12.75" hidden="false" customHeight="true" outlineLevel="0" collapsed="false">
      <c r="A51" s="5" t="n">
        <v>1959</v>
      </c>
      <c r="B51" s="0" t="n">
        <v>0.205034371438787</v>
      </c>
      <c r="C51" s="0" t="n">
        <v>1.27657496135909</v>
      </c>
      <c r="D51" s="0" t="n">
        <v>2.29439217338697</v>
      </c>
      <c r="E51" s="0" t="n">
        <v>1.85620211391542</v>
      </c>
      <c r="F51" s="0" t="n">
        <v>0.816107363651894</v>
      </c>
      <c r="G51" s="0" t="n">
        <v>0.826601123912112</v>
      </c>
      <c r="H51" s="0" t="n">
        <v>0.0216954026817497</v>
      </c>
      <c r="I51" s="0" t="n">
        <v>0.0514914260143993</v>
      </c>
      <c r="J51" s="0" t="n">
        <v>0.0191149521824883</v>
      </c>
      <c r="K51" s="0" t="n">
        <v>0.011237851962117</v>
      </c>
      <c r="L51" s="0" t="n">
        <v>0.0289073933933072</v>
      </c>
      <c r="M51" s="0" t="n">
        <v>0.00735881462217718</v>
      </c>
    </row>
    <row r="52" customFormat="false" ht="12.75" hidden="false" customHeight="true" outlineLevel="0" collapsed="false">
      <c r="A52" s="5" t="n">
        <v>1960</v>
      </c>
      <c r="B52" s="0" t="n">
        <v>0.0216150724964372</v>
      </c>
      <c r="C52" s="0" t="n">
        <v>0.0184541900413772</v>
      </c>
      <c r="D52" s="0" t="n">
        <v>0.578564085235382</v>
      </c>
      <c r="E52" s="0" t="n">
        <v>0.327271024680241</v>
      </c>
      <c r="F52" s="0" t="n">
        <v>0.139784058204797</v>
      </c>
      <c r="G52" s="0" t="n">
        <v>0.0281260553138905</v>
      </c>
      <c r="H52" s="0" t="n">
        <v>0.00800464530601224</v>
      </c>
      <c r="I52" s="0" t="n">
        <v>0.00460389993329478</v>
      </c>
      <c r="J52" s="0" t="n">
        <v>0.00340154455766901</v>
      </c>
      <c r="K52" s="0" t="n">
        <v>0.00406675755189699</v>
      </c>
      <c r="L52" s="0" t="n">
        <v>0.00327969519238245</v>
      </c>
      <c r="M52" s="0" t="n">
        <v>0.00655244817909266</v>
      </c>
    </row>
    <row r="53" customFormat="false" ht="12.75" hidden="false" customHeight="true" outlineLevel="0" collapsed="false">
      <c r="A53" s="5" t="n">
        <v>1961</v>
      </c>
      <c r="B53" s="0" t="n">
        <v>0.0737256976655271</v>
      </c>
      <c r="C53" s="0" t="n">
        <v>1.04028344808333</v>
      </c>
      <c r="D53" s="0" t="n">
        <v>10.498904762898</v>
      </c>
      <c r="E53" s="0" t="n">
        <v>3.70240792989566</v>
      </c>
      <c r="F53" s="0" t="n">
        <v>1.40696062582363</v>
      </c>
      <c r="G53" s="0" t="n">
        <v>0.17827337756538</v>
      </c>
      <c r="H53" s="0" t="n">
        <v>0.414636924847962</v>
      </c>
      <c r="I53" s="0" t="n">
        <v>0.0226667370739733</v>
      </c>
      <c r="J53" s="0" t="n">
        <v>0.0199568549570046</v>
      </c>
      <c r="K53" s="0" t="n">
        <v>0.0218671906305562</v>
      </c>
      <c r="L53" s="0" t="n">
        <v>0.0169693528103541</v>
      </c>
      <c r="M53" s="0" t="n">
        <v>0.039745250952399</v>
      </c>
    </row>
    <row r="54" customFormat="false" ht="12.75" hidden="false" customHeight="true" outlineLevel="0" collapsed="false">
      <c r="A54" s="5" t="n">
        <v>1962</v>
      </c>
      <c r="B54" s="0" t="n">
        <v>0.0759907071575685</v>
      </c>
      <c r="C54" s="0" t="n">
        <v>0.97479932440659</v>
      </c>
      <c r="D54" s="0" t="n">
        <v>3.78036617916515</v>
      </c>
      <c r="E54" s="0" t="n">
        <v>3.31272594798624</v>
      </c>
      <c r="F54" s="0" t="n">
        <v>3.2532926629578</v>
      </c>
      <c r="G54" s="0" t="n">
        <v>1.23614328187395</v>
      </c>
      <c r="H54" s="0" t="n">
        <v>0.201946443332083</v>
      </c>
      <c r="I54" s="0" t="n">
        <v>0.0259213980723997</v>
      </c>
      <c r="J54" s="0" t="n">
        <v>0.0194756937759332</v>
      </c>
      <c r="K54" s="0" t="n">
        <v>0.061071745234401</v>
      </c>
      <c r="L54" s="0" t="n">
        <v>0.116656889094644</v>
      </c>
      <c r="M54" s="0" t="n">
        <v>0.218290273392358</v>
      </c>
    </row>
    <row r="55" customFormat="false" ht="12.75" hidden="false" customHeight="true" outlineLevel="0" collapsed="false">
      <c r="A55" s="5" t="n">
        <v>1963</v>
      </c>
      <c r="B55" s="0" t="n">
        <v>0.50278323515606</v>
      </c>
      <c r="C55" s="0" t="n">
        <v>6.66460548221488</v>
      </c>
      <c r="D55" s="0" t="n">
        <v>11.2766855093182</v>
      </c>
      <c r="E55" s="0" t="n">
        <v>3.33159174018846</v>
      </c>
      <c r="F55" s="0" t="n">
        <v>0.368986991219507</v>
      </c>
      <c r="G55" s="0" t="n">
        <v>0.174905994906133</v>
      </c>
      <c r="H55" s="0" t="n">
        <v>0.0664330866238242</v>
      </c>
      <c r="I55" s="0" t="n">
        <v>0.0273499241456745</v>
      </c>
      <c r="J55" s="0" t="n">
        <v>0.0252401026977308</v>
      </c>
      <c r="K55" s="0" t="n">
        <v>0.0401519400167534</v>
      </c>
      <c r="L55" s="0" t="n">
        <v>0.101521820696123</v>
      </c>
      <c r="M55" s="0" t="n">
        <v>0.667705291875699</v>
      </c>
    </row>
    <row r="56" customFormat="false" ht="12.75" hidden="false" customHeight="true" outlineLevel="0" collapsed="false">
      <c r="A56" s="5" t="n">
        <v>1964</v>
      </c>
      <c r="B56" s="0" t="n">
        <v>2.57598870269386</v>
      </c>
      <c r="C56" s="0" t="n">
        <v>9.98411851300167</v>
      </c>
      <c r="D56" s="0" t="n">
        <v>24.1006819097882</v>
      </c>
      <c r="E56" s="0" t="n">
        <v>41.0144849185038</v>
      </c>
      <c r="F56" s="0" t="n">
        <v>8.94580206864562</v>
      </c>
      <c r="G56" s="0" t="n">
        <v>2.8646938722626</v>
      </c>
      <c r="H56" s="0" t="n">
        <v>1.07270660116883</v>
      </c>
      <c r="I56" s="0" t="n">
        <v>0.687038270916873</v>
      </c>
      <c r="J56" s="0" t="n">
        <v>0.223671967138586</v>
      </c>
      <c r="K56" s="0" t="n">
        <v>0.110230683418045</v>
      </c>
      <c r="L56" s="0" t="n">
        <v>0.0830529693873782</v>
      </c>
      <c r="M56" s="0" t="n">
        <v>0.0618689403657698</v>
      </c>
    </row>
    <row r="57" customFormat="false" ht="12.75" hidden="false" customHeight="true" outlineLevel="0" collapsed="false">
      <c r="A57" s="5" t="n">
        <v>1965</v>
      </c>
      <c r="B57" s="0" t="n">
        <v>0.434063534972169</v>
      </c>
      <c r="C57" s="0" t="n">
        <v>0.317769402495893</v>
      </c>
      <c r="D57" s="0" t="n">
        <v>1.77625658779618</v>
      </c>
      <c r="E57" s="0" t="n">
        <v>15.1768526211987</v>
      </c>
      <c r="F57" s="0" t="n">
        <v>2.7968409771498</v>
      </c>
      <c r="G57" s="0" t="n">
        <v>2.23888921260994</v>
      </c>
      <c r="H57" s="0" t="n">
        <v>0.136806157152561</v>
      </c>
      <c r="I57" s="0" t="n">
        <v>0.0826423065225628</v>
      </c>
      <c r="J57" s="0" t="n">
        <v>0.0411256569606688</v>
      </c>
      <c r="K57" s="0" t="n">
        <v>0.142328053799849</v>
      </c>
      <c r="L57" s="0" t="n">
        <v>0.0239106228182308</v>
      </c>
      <c r="M57" s="0" t="n">
        <v>0.0323489567254027</v>
      </c>
    </row>
    <row r="58" customFormat="false" ht="12.75" hidden="false" customHeight="true" outlineLevel="0" collapsed="false">
      <c r="A58" s="5" t="n">
        <v>1966</v>
      </c>
      <c r="B58" s="0" t="n">
        <v>0.0966553750699712</v>
      </c>
      <c r="C58" s="0" t="n">
        <v>0.954077165796391</v>
      </c>
      <c r="D58" s="0" t="n">
        <v>1.10630644795817</v>
      </c>
      <c r="E58" s="0" t="n">
        <v>1.07833309659618</v>
      </c>
      <c r="F58" s="0" t="n">
        <v>0.532331244839221</v>
      </c>
      <c r="G58" s="0" t="n">
        <v>0.421676812052495</v>
      </c>
      <c r="H58" s="0" t="n">
        <v>0.115143652399721</v>
      </c>
      <c r="I58" s="0" t="n">
        <v>0.013888751779091</v>
      </c>
      <c r="J58" s="0" t="n">
        <v>0.0340504910385502</v>
      </c>
      <c r="K58" s="0" t="n">
        <v>0.0143034537016268</v>
      </c>
      <c r="L58" s="0" t="n">
        <v>0.0203301907513825</v>
      </c>
      <c r="M58" s="0" t="n">
        <v>0.062060396264301</v>
      </c>
    </row>
    <row r="59" customFormat="false" ht="12.75" hidden="false" customHeight="true" outlineLevel="0" collapsed="false">
      <c r="A59" s="5" t="n">
        <v>1967</v>
      </c>
      <c r="B59" s="0" t="n">
        <v>0.341306361997018</v>
      </c>
      <c r="C59" s="0" t="n">
        <v>3.14596020911558</v>
      </c>
      <c r="D59" s="0" t="n">
        <v>12.1073041149848</v>
      </c>
      <c r="E59" s="0" t="n">
        <v>17.4558838597568</v>
      </c>
      <c r="F59" s="0" t="n">
        <v>7.95127096326843</v>
      </c>
      <c r="G59" s="0" t="n">
        <v>0.66078160064268</v>
      </c>
      <c r="H59" s="0" t="n">
        <v>0.165820318966473</v>
      </c>
      <c r="I59" s="0" t="n">
        <v>0.0694320525289675</v>
      </c>
      <c r="J59" s="0" t="n">
        <v>0.0522810103157947</v>
      </c>
      <c r="K59" s="0" t="n">
        <v>0.0466998674156977</v>
      </c>
      <c r="L59" s="0" t="n">
        <v>0.0348445924782926</v>
      </c>
      <c r="M59" s="0" t="n">
        <v>0.0975602951985419</v>
      </c>
    </row>
    <row r="60" customFormat="false" ht="12.75" hidden="false" customHeight="true" outlineLevel="0" collapsed="false">
      <c r="A60" s="5" t="n">
        <v>1968</v>
      </c>
      <c r="B60" s="0" t="n">
        <v>0.554014903478325</v>
      </c>
      <c r="C60" s="0" t="n">
        <v>0.862621787714679</v>
      </c>
      <c r="D60" s="0" t="n">
        <v>12.9041672167888</v>
      </c>
      <c r="E60" s="0" t="n">
        <v>3.3710193924128</v>
      </c>
      <c r="F60" s="0" t="n">
        <v>2.35256460678878</v>
      </c>
      <c r="G60" s="0" t="n">
        <v>0.188414812960803</v>
      </c>
      <c r="H60" s="0" t="n">
        <v>0.0800608996399204</v>
      </c>
      <c r="I60" s="0" t="n">
        <v>0.0331594185978416</v>
      </c>
      <c r="J60" s="0" t="n">
        <v>0.0304537614808125</v>
      </c>
      <c r="K60" s="0" t="n">
        <v>0.0303807420970628</v>
      </c>
      <c r="L60" s="0" t="n">
        <v>0.0763552209710158</v>
      </c>
      <c r="M60" s="0" t="n">
        <v>0.0811245481176067</v>
      </c>
    </row>
    <row r="61" customFormat="false" ht="12.75" hidden="false" customHeight="true" outlineLevel="0" collapsed="false">
      <c r="A61" s="5" t="n">
        <v>1969</v>
      </c>
      <c r="B61" s="0" t="n">
        <v>0.464940643904894</v>
      </c>
      <c r="C61" s="0" t="n">
        <v>0.871001883819899</v>
      </c>
      <c r="D61" s="0" t="n">
        <v>2.98331234865177</v>
      </c>
      <c r="E61" s="0" t="n">
        <v>3.90817289635585</v>
      </c>
      <c r="F61" s="0" t="n">
        <v>2.41878017903936</v>
      </c>
      <c r="G61" s="0" t="n">
        <v>0.855792799473659</v>
      </c>
      <c r="H61" s="0" t="n">
        <v>0.470541495968729</v>
      </c>
      <c r="I61" s="0" t="n">
        <v>0.0395933354857658</v>
      </c>
      <c r="J61" s="0" t="n">
        <v>0.0632304564721626</v>
      </c>
      <c r="K61" s="0" t="n">
        <v>0.0328958564863687</v>
      </c>
      <c r="L61" s="0" t="n">
        <v>0.0204069319733222</v>
      </c>
      <c r="M61" s="0" t="n">
        <v>0.0414701189134104</v>
      </c>
    </row>
    <row r="62" customFormat="false" ht="12.75" hidden="false" customHeight="true" outlineLevel="0" collapsed="false">
      <c r="A62" s="5" t="n">
        <v>1970</v>
      </c>
      <c r="B62" s="0" t="n">
        <v>0.253362385278114</v>
      </c>
      <c r="C62" s="0" t="n">
        <v>0.315615846237763</v>
      </c>
      <c r="D62" s="0" t="n">
        <v>1.6285441540554</v>
      </c>
      <c r="E62" s="0" t="n">
        <v>1.43121035922546</v>
      </c>
      <c r="F62" s="0" t="n">
        <v>0.0586435744126325</v>
      </c>
      <c r="G62" s="0" t="n">
        <v>0.0374864467101366</v>
      </c>
      <c r="H62" s="0" t="n">
        <v>0.0145038244990592</v>
      </c>
      <c r="I62" s="0" t="n">
        <v>0.0146098489140968</v>
      </c>
      <c r="J62" s="0" t="n">
        <v>0.0100490276751734</v>
      </c>
      <c r="K62" s="0" t="n">
        <v>0.0262615429637714</v>
      </c>
      <c r="L62" s="0" t="n">
        <v>0.0145106927194852</v>
      </c>
      <c r="M62" s="0" t="n">
        <v>0.011433084393121</v>
      </c>
    </row>
    <row r="63" customFormat="false" ht="12.75" hidden="false" customHeight="true" outlineLevel="0" collapsed="false">
      <c r="A63" s="5" t="n">
        <v>1971</v>
      </c>
      <c r="B63" s="0" t="n">
        <v>0.177798657968021</v>
      </c>
      <c r="C63" s="0" t="n">
        <v>1.13490969747923</v>
      </c>
      <c r="D63" s="0" t="n">
        <v>2.44531558791218</v>
      </c>
      <c r="E63" s="0" t="n">
        <v>5.87883150252433</v>
      </c>
      <c r="F63" s="0" t="n">
        <v>2.79957608325975</v>
      </c>
      <c r="G63" s="0" t="n">
        <v>0.774735932299428</v>
      </c>
      <c r="H63" s="0" t="n">
        <v>0.363925948575803</v>
      </c>
      <c r="I63" s="0" t="n">
        <v>0.0325920684793827</v>
      </c>
      <c r="J63" s="0" t="n">
        <v>0.133802971993351</v>
      </c>
      <c r="K63" s="0" t="n">
        <v>0.120183739034607</v>
      </c>
      <c r="L63" s="0" t="n">
        <v>0.0410125499728982</v>
      </c>
      <c r="M63" s="0" t="n">
        <v>0.0569735455734875</v>
      </c>
    </row>
    <row r="64" customFormat="false" ht="12.75" hidden="false" customHeight="true" outlineLevel="0" collapsed="false">
      <c r="A64" s="5" t="n">
        <v>1972</v>
      </c>
      <c r="B64" s="0" t="n">
        <v>0.455287884894359</v>
      </c>
      <c r="C64" s="0" t="n">
        <v>0.516324078122939</v>
      </c>
      <c r="D64" s="0" t="n">
        <v>1.01313716835714</v>
      </c>
      <c r="E64" s="0" t="n">
        <v>0.754193271893691</v>
      </c>
      <c r="F64" s="0" t="n">
        <v>0.885767248944925</v>
      </c>
      <c r="G64" s="0" t="n">
        <v>0.267973939110656</v>
      </c>
      <c r="H64" s="0" t="n">
        <v>0.0216172036351542</v>
      </c>
      <c r="I64" s="0" t="n">
        <v>0.130075029822874</v>
      </c>
      <c r="J64" s="0" t="n">
        <v>0.00923594769841097</v>
      </c>
      <c r="K64" s="0" t="n">
        <v>0.0116025014506562</v>
      </c>
      <c r="L64" s="0" t="n">
        <v>0.00686539748772181</v>
      </c>
      <c r="M64" s="0" t="n">
        <v>0.0783195372887475</v>
      </c>
    </row>
    <row r="65" customFormat="false" ht="12.75" hidden="false" customHeight="true" outlineLevel="0" collapsed="false">
      <c r="A65" s="5" t="n">
        <v>1973</v>
      </c>
      <c r="B65" s="0" t="n">
        <v>0.164301242183312</v>
      </c>
      <c r="C65" s="0" t="n">
        <v>0.212921330715116</v>
      </c>
      <c r="D65" s="0" t="n">
        <v>0.84954056869503</v>
      </c>
      <c r="E65" s="0" t="n">
        <v>6.63539670567017</v>
      </c>
      <c r="F65" s="0" t="n">
        <v>2.77995639267891</v>
      </c>
      <c r="G65" s="0" t="n">
        <v>1.45144596182027</v>
      </c>
      <c r="H65" s="0" t="n">
        <v>0.887321201544509</v>
      </c>
      <c r="I65" s="0" t="n">
        <v>0.297198201571155</v>
      </c>
      <c r="J65" s="0" t="n">
        <v>0.150303823530652</v>
      </c>
      <c r="K65" s="0" t="n">
        <v>0.142727052225111</v>
      </c>
      <c r="L65" s="0" t="n">
        <v>0.0213117048643386</v>
      </c>
      <c r="M65" s="0" t="n">
        <v>0.0961410677303201</v>
      </c>
    </row>
    <row r="66" customFormat="false" ht="12.75" hidden="false" customHeight="true" outlineLevel="0" collapsed="false">
      <c r="A66" s="5" t="n">
        <v>1974</v>
      </c>
      <c r="B66" s="0" t="n">
        <v>0.765733730898614</v>
      </c>
      <c r="C66" s="0" t="n">
        <v>4.82110296307914</v>
      </c>
      <c r="D66" s="0" t="n">
        <v>17.1911612455391</v>
      </c>
      <c r="E66" s="0" t="n">
        <v>37.3875957486776</v>
      </c>
      <c r="F66" s="0" t="n">
        <v>4.54243152126272</v>
      </c>
      <c r="G66" s="0" t="n">
        <v>0.607763799722828</v>
      </c>
      <c r="H66" s="0" t="n">
        <v>0.149258859406489</v>
      </c>
      <c r="I66" s="0" t="n">
        <v>0.0602731512423304</v>
      </c>
      <c r="J66" s="0" t="n">
        <v>0.138999254548613</v>
      </c>
      <c r="K66" s="0" t="n">
        <v>0.106764249052594</v>
      </c>
      <c r="L66" s="0" t="n">
        <v>0.073116776625467</v>
      </c>
      <c r="M66" s="0" t="n">
        <v>0.106680922854511</v>
      </c>
    </row>
    <row r="67" customFormat="false" ht="12.75" hidden="false" customHeight="true" outlineLevel="0" collapsed="false">
      <c r="A67" s="5" t="n">
        <v>1975</v>
      </c>
      <c r="B67" s="0" t="n">
        <v>0.311280727234189</v>
      </c>
      <c r="C67" s="0" t="n">
        <v>0.57530260568976</v>
      </c>
      <c r="D67" s="0" t="n">
        <v>3.68994381344432</v>
      </c>
      <c r="E67" s="0" t="n">
        <v>7.16250051373382</v>
      </c>
      <c r="F67" s="0" t="n">
        <v>4.25373823625241</v>
      </c>
      <c r="G67" s="0" t="n">
        <v>1.9878345829661</v>
      </c>
      <c r="H67" s="0" t="n">
        <v>1.02383478689646</v>
      </c>
      <c r="I67" s="0" t="n">
        <v>0.0818170097134978</v>
      </c>
      <c r="J67" s="0" t="n">
        <v>0.11303490080991</v>
      </c>
      <c r="K67" s="0" t="n">
        <v>0.0342130115015885</v>
      </c>
      <c r="L67" s="0" t="n">
        <v>0.0376059836155338</v>
      </c>
      <c r="M67" s="0" t="n">
        <v>0.142918277271655</v>
      </c>
    </row>
    <row r="68" customFormat="false" ht="12.75" hidden="false" customHeight="true" outlineLevel="0" collapsed="false">
      <c r="A68" s="5" t="n">
        <v>1976</v>
      </c>
      <c r="B68" s="0" t="n">
        <v>0.11238986564101</v>
      </c>
      <c r="C68" s="0" t="n">
        <v>0.926391770901658</v>
      </c>
      <c r="D68" s="0" t="n">
        <v>2.51614174029196</v>
      </c>
      <c r="E68" s="0" t="n">
        <v>1.49292423776541</v>
      </c>
      <c r="F68" s="0" t="n">
        <v>0.252449241072623</v>
      </c>
      <c r="G68" s="0" t="n">
        <v>0.070267650063127</v>
      </c>
      <c r="H68" s="0" t="n">
        <v>0.0167373503462428</v>
      </c>
      <c r="I68" s="0" t="n">
        <v>0.0155961514493362</v>
      </c>
      <c r="J68" s="0" t="n">
        <v>0.0744543481449114</v>
      </c>
      <c r="K68" s="0" t="n">
        <v>0.153153398973307</v>
      </c>
      <c r="L68" s="0" t="n">
        <v>0.229676475034812</v>
      </c>
      <c r="M68" s="0" t="n">
        <v>0.163703629799403</v>
      </c>
    </row>
    <row r="69" customFormat="false" ht="12.75" hidden="false" customHeight="true" outlineLevel="0" collapsed="false">
      <c r="A69" s="5" t="n">
        <v>1977</v>
      </c>
      <c r="B69" s="0" t="n">
        <v>0.36240561099186</v>
      </c>
      <c r="C69" s="0" t="n">
        <v>1.7678703264956</v>
      </c>
      <c r="D69" s="0" t="n">
        <v>6.74981330316733</v>
      </c>
      <c r="E69" s="0" t="n">
        <v>15.2727747413141</v>
      </c>
      <c r="F69" s="0" t="n">
        <v>7.10927236618372</v>
      </c>
      <c r="G69" s="0" t="n">
        <v>2.2627753787556</v>
      </c>
      <c r="H69" s="0" t="n">
        <v>0.829054906474392</v>
      </c>
      <c r="I69" s="0" t="n">
        <v>0.0439971668240874</v>
      </c>
      <c r="J69" s="0" t="n">
        <v>0.0427052174012131</v>
      </c>
      <c r="K69" s="0" t="n">
        <v>0.0688001850410936</v>
      </c>
      <c r="L69" s="0" t="n">
        <v>0.0325699326150423</v>
      </c>
      <c r="M69" s="0" t="n">
        <v>0.227403674585577</v>
      </c>
    </row>
    <row r="70" customFormat="false" ht="12.75" hidden="false" customHeight="true" outlineLevel="0" collapsed="false">
      <c r="A70" s="5" t="n">
        <v>1978</v>
      </c>
      <c r="B70" s="0" t="n">
        <v>0.674409697325149</v>
      </c>
      <c r="C70" s="0" t="n">
        <v>3.02524462166621</v>
      </c>
      <c r="D70" s="0" t="n">
        <v>3.9399644995539</v>
      </c>
      <c r="E70" s="0" t="n">
        <v>6.88505460443368</v>
      </c>
      <c r="F70" s="0" t="n">
        <v>4.80188452244375</v>
      </c>
      <c r="G70" s="0" t="n">
        <v>0.783461539408168</v>
      </c>
      <c r="H70" s="0" t="n">
        <v>0.816381951562935</v>
      </c>
      <c r="I70" s="0" t="n">
        <v>0.0429923223154978</v>
      </c>
      <c r="J70" s="0" t="n">
        <v>0.0751333614710467</v>
      </c>
      <c r="K70" s="0" t="n">
        <v>0.0404987970101139</v>
      </c>
      <c r="L70" s="0" t="n">
        <v>0.0682641358186298</v>
      </c>
      <c r="M70" s="0" t="n">
        <v>0.0498997248916717</v>
      </c>
    </row>
    <row r="71" customFormat="false" ht="12.75" hidden="false" customHeight="true" outlineLevel="0" collapsed="false">
      <c r="A71" s="5" t="n">
        <v>1979</v>
      </c>
      <c r="B71" s="0" t="n">
        <v>0.284465980497421</v>
      </c>
      <c r="C71" s="0" t="n">
        <v>0.529505172720686</v>
      </c>
      <c r="D71" s="0" t="n">
        <v>1.21151613208087</v>
      </c>
      <c r="E71" s="0" t="n">
        <v>1.1760858972248</v>
      </c>
      <c r="F71" s="0" t="n">
        <v>0.969685662635824</v>
      </c>
      <c r="G71" s="0" t="n">
        <v>0.118623359299846</v>
      </c>
      <c r="H71" s="0" t="n">
        <v>0.0387881070985087</v>
      </c>
      <c r="I71" s="0" t="n">
        <v>0.0199948537749653</v>
      </c>
      <c r="J71" s="0" t="n">
        <v>0.0782200497679642</v>
      </c>
      <c r="K71" s="0" t="n">
        <v>0.0203019232474446</v>
      </c>
      <c r="L71" s="0" t="n">
        <v>0.0475256593175252</v>
      </c>
      <c r="M71" s="0" t="n">
        <v>0.0122794798633877</v>
      </c>
    </row>
    <row r="72" customFormat="false" ht="12.75" hidden="false" customHeight="true" outlineLevel="0" collapsed="false">
      <c r="A72" s="5" t="n">
        <v>1980</v>
      </c>
      <c r="B72" s="0" t="n">
        <v>0.2865903888185</v>
      </c>
      <c r="C72" s="0" t="n">
        <v>2.96416932735546</v>
      </c>
      <c r="D72" s="0" t="n">
        <v>3.14854249733133</v>
      </c>
      <c r="E72" s="0" t="n">
        <v>0.534657156156005</v>
      </c>
      <c r="F72" s="0" t="n">
        <v>0.26872915584143</v>
      </c>
      <c r="G72" s="0" t="n">
        <v>0.144029888856219</v>
      </c>
      <c r="H72" s="0" t="n">
        <v>0.0418046749818956</v>
      </c>
      <c r="I72" s="0" t="n">
        <v>0.0146115326619228</v>
      </c>
      <c r="J72" s="0" t="n">
        <v>0.0159407776262671</v>
      </c>
      <c r="K72" s="0" t="n">
        <v>0.0286633290154923</v>
      </c>
      <c r="L72" s="0" t="n">
        <v>0.104684952543569</v>
      </c>
      <c r="M72" s="0" t="n">
        <v>0.091433089027976</v>
      </c>
    </row>
    <row r="73" customFormat="false" ht="12.75" hidden="false" customHeight="true" outlineLevel="0" collapsed="false">
      <c r="A73" s="5" t="n">
        <v>1981</v>
      </c>
      <c r="B73" s="0" t="n">
        <v>0.170360813605517</v>
      </c>
      <c r="C73" s="0" t="n">
        <v>0.152165266728411</v>
      </c>
      <c r="D73" s="0" t="n">
        <v>4.49977324197058</v>
      </c>
      <c r="E73" s="0" t="n">
        <v>2.57232575600919</v>
      </c>
      <c r="F73" s="0" t="n">
        <v>0.112589381924453</v>
      </c>
      <c r="G73" s="0" t="n">
        <v>0.12588030989671</v>
      </c>
      <c r="H73" s="0" t="n">
        <v>0.052517258349942</v>
      </c>
      <c r="I73" s="0" t="n">
        <v>0.0160164352831738</v>
      </c>
      <c r="J73" s="0" t="n">
        <v>0.0116800362197659</v>
      </c>
      <c r="K73" s="0" t="n">
        <v>0.010726115714989</v>
      </c>
      <c r="L73" s="0" t="n">
        <v>0.00938384255470067</v>
      </c>
      <c r="M73" s="0" t="n">
        <v>0.0611548382042448</v>
      </c>
    </row>
    <row r="74" customFormat="false" ht="12.75" hidden="false" customHeight="true" outlineLevel="0" collapsed="false">
      <c r="A74" s="5" t="n">
        <v>1982</v>
      </c>
      <c r="B74" s="0" t="n">
        <v>0.22850052531573</v>
      </c>
      <c r="C74" s="0" t="n">
        <v>0.570484412595482</v>
      </c>
      <c r="D74" s="0" t="n">
        <v>0.690581977378158</v>
      </c>
      <c r="E74" s="0" t="n">
        <v>1.76665721703491</v>
      </c>
      <c r="F74" s="0" t="n">
        <v>0.349606728122765</v>
      </c>
      <c r="G74" s="0" t="n">
        <v>0.0361427558347861</v>
      </c>
      <c r="H74" s="0" t="n">
        <v>0.0252103649831719</v>
      </c>
      <c r="I74" s="0" t="n">
        <v>0.0129880503860985</v>
      </c>
      <c r="J74" s="0" t="n">
        <v>0.01099930485017</v>
      </c>
      <c r="K74" s="0" t="n">
        <v>0.00930656796212666</v>
      </c>
      <c r="L74" s="0" t="n">
        <v>0.0118326366063638</v>
      </c>
      <c r="M74" s="0" t="n">
        <v>0.0236277000625228</v>
      </c>
    </row>
    <row r="75" customFormat="false" ht="12.75" hidden="false" customHeight="true" outlineLevel="0" collapsed="false">
      <c r="A75" s="5" t="n">
        <v>1983</v>
      </c>
      <c r="B75" s="0" t="n">
        <v>0.0246981291332287</v>
      </c>
      <c r="C75" s="0" t="n">
        <v>0.271768921580196</v>
      </c>
      <c r="D75" s="0" t="n">
        <v>0.659073011013422</v>
      </c>
      <c r="E75" s="0" t="n">
        <v>0.376271551915998</v>
      </c>
      <c r="F75" s="0" t="n">
        <v>0.0357703969259827</v>
      </c>
      <c r="G75" s="0" t="n">
        <v>0.058618939383285</v>
      </c>
      <c r="H75" s="0" t="n">
        <v>0.0135240768439732</v>
      </c>
      <c r="I75" s="0" t="n">
        <v>0.00544005997267032</v>
      </c>
      <c r="J75" s="0" t="n">
        <v>0.00346710258480544</v>
      </c>
      <c r="K75" s="0" t="n">
        <v>0.00339323073152194</v>
      </c>
      <c r="L75" s="0" t="n">
        <v>0.00246491318885536</v>
      </c>
      <c r="M75" s="0" t="n">
        <v>0.00697964534104878</v>
      </c>
    </row>
    <row r="76" customFormat="false" ht="12.75" hidden="false" customHeight="true" outlineLevel="0" collapsed="false">
      <c r="A76" s="5" t="n">
        <v>1984</v>
      </c>
      <c r="B76" s="0" t="n">
        <v>0.0210959487766607</v>
      </c>
      <c r="C76" s="0" t="n">
        <v>0.0421271646212628</v>
      </c>
      <c r="D76" s="0" t="n">
        <v>0.48646217377324</v>
      </c>
      <c r="E76" s="0" t="n">
        <v>4.58365583091293</v>
      </c>
      <c r="F76" s="0" t="n">
        <v>1.68422329000283</v>
      </c>
      <c r="G76" s="0" t="n">
        <v>0.246184772467756</v>
      </c>
      <c r="H76" s="0" t="n">
        <v>0.0673498868519198</v>
      </c>
      <c r="I76" s="0" t="n">
        <v>0.0250292033389103</v>
      </c>
      <c r="J76" s="0" t="n">
        <v>0.0189585622130676</v>
      </c>
      <c r="K76" s="0" t="n">
        <v>0.13627817783301</v>
      </c>
      <c r="L76" s="0" t="n">
        <v>0.0311044184751694</v>
      </c>
      <c r="M76" s="0" t="n">
        <v>0.0676722749628629</v>
      </c>
    </row>
    <row r="77" customFormat="false" ht="12.75" hidden="false" customHeight="true" outlineLevel="0" collapsed="false">
      <c r="A77" s="5" t="n">
        <v>1985</v>
      </c>
      <c r="B77" s="0" t="n">
        <v>1.3125026688882</v>
      </c>
      <c r="C77" s="0" t="n">
        <v>10.7728653465094</v>
      </c>
      <c r="D77" s="0" t="n">
        <v>16.5143650509687</v>
      </c>
      <c r="E77" s="0" t="n">
        <v>38.3276266127908</v>
      </c>
      <c r="F77" s="0" t="n">
        <v>8.01301782745416</v>
      </c>
      <c r="G77" s="0" t="n">
        <v>3.29232635162704</v>
      </c>
      <c r="H77" s="0" t="n">
        <v>1.634725334528</v>
      </c>
      <c r="I77" s="0" t="n">
        <v>0.199420430520387</v>
      </c>
      <c r="J77" s="0" t="n">
        <v>0.0953622250388002</v>
      </c>
      <c r="K77" s="0" t="n">
        <v>0.0483580667349641</v>
      </c>
      <c r="L77" s="0" t="n">
        <v>0.102626933969321</v>
      </c>
      <c r="M77" s="0" t="n">
        <v>0.656554549715168</v>
      </c>
    </row>
    <row r="78" customFormat="false" ht="12.75" hidden="false" customHeight="true" outlineLevel="0" collapsed="false">
      <c r="A78" s="5" t="n">
        <v>1986</v>
      </c>
      <c r="B78" s="0" t="n">
        <v>0.435359274621229</v>
      </c>
      <c r="C78" s="0" t="n">
        <v>1.46994038784925</v>
      </c>
      <c r="D78" s="0" t="n">
        <v>9.49003900089599</v>
      </c>
      <c r="E78" s="0" t="n">
        <v>13.7680233977435</v>
      </c>
      <c r="F78" s="0" t="n">
        <v>3.26785282642373</v>
      </c>
      <c r="G78" s="0" t="n">
        <v>2.34494676003845</v>
      </c>
      <c r="H78" s="0" t="n">
        <v>0.584743695644623</v>
      </c>
      <c r="I78" s="0" t="n">
        <v>0.263954381398766</v>
      </c>
      <c r="J78" s="0" t="n">
        <v>0.109957000398111</v>
      </c>
      <c r="K78" s="0" t="n">
        <v>0.176280815129828</v>
      </c>
      <c r="L78" s="0" t="n">
        <v>0.330582172365891</v>
      </c>
      <c r="M78" s="0" t="n">
        <v>0.112786579023807</v>
      </c>
    </row>
    <row r="79" customFormat="false" ht="12.75" hidden="false" customHeight="true" outlineLevel="0" collapsed="false">
      <c r="A79" s="5" t="n">
        <v>1987</v>
      </c>
      <c r="B79" s="0" t="n">
        <v>0.238307400978317</v>
      </c>
      <c r="C79" s="0" t="n">
        <v>0.586423377600571</v>
      </c>
      <c r="D79" s="0" t="n">
        <v>4.73659523829351</v>
      </c>
      <c r="E79" s="0" t="n">
        <v>3.38668405263779</v>
      </c>
      <c r="F79" s="0" t="n">
        <v>1.14911684080735</v>
      </c>
      <c r="G79" s="0" t="n">
        <v>1.41680381804132</v>
      </c>
      <c r="H79" s="0" t="n">
        <v>0.150474399300252</v>
      </c>
      <c r="I79" s="0" t="n">
        <v>0.0581025816385702</v>
      </c>
      <c r="J79" s="0" t="n">
        <v>0.0371152476378473</v>
      </c>
      <c r="K79" s="0" t="n">
        <v>0.0447972144026794</v>
      </c>
      <c r="L79" s="0" t="n">
        <v>0.0234843932147733</v>
      </c>
      <c r="M79" s="0" t="n">
        <v>0.0127989294595714</v>
      </c>
    </row>
    <row r="80" customFormat="false" ht="12.75" hidden="false" customHeight="true" outlineLevel="0" collapsed="false">
      <c r="A80" s="5" t="n">
        <v>1988</v>
      </c>
      <c r="B80" s="0" t="n">
        <v>0.118093586395042</v>
      </c>
      <c r="C80" s="0" t="n">
        <v>0.333161979839527</v>
      </c>
      <c r="D80" s="0" t="n">
        <v>1.7690110701147</v>
      </c>
      <c r="E80" s="0" t="n">
        <v>7.78656709202643</v>
      </c>
      <c r="F80" s="0" t="n">
        <v>2.10233133906318</v>
      </c>
      <c r="G80" s="0" t="n">
        <v>0.334429772184204</v>
      </c>
      <c r="H80" s="0" t="n">
        <v>0.0847265042877857</v>
      </c>
      <c r="I80" s="0" t="n">
        <v>0.0253376910526778</v>
      </c>
      <c r="J80" s="0" t="n">
        <v>0.0369589459354287</v>
      </c>
      <c r="K80" s="0" t="n">
        <v>0.0477046040234448</v>
      </c>
      <c r="L80" s="0" t="n">
        <v>0.0253571636004474</v>
      </c>
      <c r="M80" s="0" t="n">
        <v>0.301181612670105</v>
      </c>
    </row>
    <row r="81" customFormat="false" ht="12.75" hidden="false" customHeight="true" outlineLevel="0" collapsed="false">
      <c r="A81" s="5" t="n">
        <v>1989</v>
      </c>
      <c r="B81" s="0" t="n">
        <v>0.672589842270859</v>
      </c>
      <c r="C81" s="0" t="n">
        <v>0.279484493101653</v>
      </c>
      <c r="D81" s="0" t="n">
        <v>2.68783909755789</v>
      </c>
      <c r="E81" s="0" t="n">
        <v>16.0520152804628</v>
      </c>
      <c r="F81" s="0" t="n">
        <v>6.7782416037316</v>
      </c>
      <c r="G81" s="0" t="n">
        <v>0.636071208229275</v>
      </c>
      <c r="H81" s="0" t="n">
        <v>0.536295746153831</v>
      </c>
      <c r="I81" s="0" t="n">
        <v>0.092719101105306</v>
      </c>
      <c r="J81" s="0" t="n">
        <v>0.160004609329414</v>
      </c>
      <c r="K81" s="0" t="n">
        <v>0.128357965029797</v>
      </c>
      <c r="L81" s="0" t="n">
        <v>0.0736793540250449</v>
      </c>
      <c r="M81" s="0" t="n">
        <v>1.13300839282955</v>
      </c>
    </row>
    <row r="82" customFormat="false" ht="12.75" hidden="false" customHeight="true" outlineLevel="0" collapsed="false">
      <c r="A82" s="5" t="n">
        <v>1990</v>
      </c>
      <c r="B82" s="0" t="n">
        <v>0.418038221973283</v>
      </c>
      <c r="C82" s="0" t="n">
        <v>0.906597394923104</v>
      </c>
      <c r="D82" s="0" t="n">
        <v>1.50022164928369</v>
      </c>
      <c r="E82" s="0" t="n">
        <v>4.04609541308399</v>
      </c>
      <c r="F82" s="0" t="n">
        <v>1.29939449600737</v>
      </c>
      <c r="G82" s="0" t="n">
        <v>0.185739277949769</v>
      </c>
      <c r="H82" s="0" t="n">
        <v>0.150138938242043</v>
      </c>
      <c r="I82" s="0" t="n">
        <v>0.208209164482231</v>
      </c>
      <c r="J82" s="0" t="n">
        <v>0.104134755388293</v>
      </c>
      <c r="K82" s="0" t="n">
        <v>0.0846973654151167</v>
      </c>
      <c r="L82" s="0" t="n">
        <v>0.129432300727149</v>
      </c>
      <c r="M82" s="0" t="n">
        <v>0.046501032861028</v>
      </c>
    </row>
    <row r="83" customFormat="false" ht="12.75" hidden="false" customHeight="true" outlineLevel="0" collapsed="false">
      <c r="A83" s="5" t="n">
        <v>1991</v>
      </c>
      <c r="B83" s="0" t="n">
        <v>0.259672817531273</v>
      </c>
      <c r="C83" s="0" t="n">
        <v>0.442281789016691</v>
      </c>
      <c r="D83" s="0" t="n">
        <v>2.08834447779682</v>
      </c>
      <c r="E83" s="0" t="n">
        <v>2.69469106449606</v>
      </c>
      <c r="F83" s="0" t="n">
        <v>1.29029467337706</v>
      </c>
      <c r="G83" s="0" t="n">
        <v>0.177962862502117</v>
      </c>
      <c r="H83" s="0" t="n">
        <v>0.0213693191911263</v>
      </c>
      <c r="I83" s="0" t="n">
        <v>0.020398113772782</v>
      </c>
      <c r="J83" s="0" t="n">
        <v>0.0124042900273453</v>
      </c>
      <c r="K83" s="0" t="n">
        <v>0.0159343442838118</v>
      </c>
      <c r="L83" s="0" t="n">
        <v>0.0226091399661015</v>
      </c>
      <c r="M83" s="0" t="n">
        <v>0.00783019655782737</v>
      </c>
    </row>
    <row r="84" customFormat="false" ht="12.75" hidden="false" customHeight="true" outlineLevel="0" collapsed="false">
      <c r="A84" s="5" t="n">
        <v>1992</v>
      </c>
      <c r="B84" s="0" t="n">
        <v>0.133990860131504</v>
      </c>
      <c r="C84" s="0" t="n">
        <v>1.24063867809133</v>
      </c>
      <c r="D84" s="0" t="n">
        <v>2.95042322438801</v>
      </c>
      <c r="E84" s="0" t="n">
        <v>3.40705155733679</v>
      </c>
      <c r="F84" s="0" t="n">
        <v>0.0717454955825069</v>
      </c>
      <c r="G84" s="0" t="n">
        <v>0.194622587463597</v>
      </c>
      <c r="H84" s="0" t="n">
        <v>0.143239558944158</v>
      </c>
      <c r="I84" s="0" t="n">
        <v>0.0140105439159085</v>
      </c>
      <c r="J84" s="0" t="n">
        <v>0.0863092470178043</v>
      </c>
      <c r="K84" s="0" t="n">
        <v>0.0106916390350905</v>
      </c>
      <c r="L84" s="0" t="n">
        <v>0.0175748915822919</v>
      </c>
      <c r="M84" s="0" t="n">
        <v>0.00931798780844433</v>
      </c>
    </row>
    <row r="85" customFormat="false" ht="12.75" hidden="false" customHeight="true" outlineLevel="0" collapsed="false">
      <c r="A85" s="5" t="n">
        <v>1993</v>
      </c>
      <c r="B85" s="0" t="n">
        <v>0.0220899158545918</v>
      </c>
      <c r="C85" s="0" t="n">
        <v>0.0947803199411408</v>
      </c>
      <c r="D85" s="0" t="n">
        <v>0.443354616154186</v>
      </c>
      <c r="E85" s="0" t="n">
        <v>0.480858431305518</v>
      </c>
      <c r="F85" s="0" t="n">
        <v>0.339636506367034</v>
      </c>
      <c r="G85" s="0" t="n">
        <v>0.0113353681765518</v>
      </c>
      <c r="H85" s="0" t="n">
        <v>0.0950114188751778</v>
      </c>
      <c r="I85" s="0" t="n">
        <v>0.00823552699991332</v>
      </c>
      <c r="J85" s="0" t="n">
        <v>0.0124121414112203</v>
      </c>
      <c r="K85" s="0" t="n">
        <v>0.00724570316587662</v>
      </c>
      <c r="L85" s="0" t="n">
        <v>0.0242282683013681</v>
      </c>
      <c r="M85" s="0" t="n">
        <v>0.0181137021444917</v>
      </c>
    </row>
    <row r="86" customFormat="false" ht="12.75" hidden="false" customHeight="true" outlineLevel="0" collapsed="false">
      <c r="A86" s="5" t="n">
        <v>1994</v>
      </c>
      <c r="B86" s="0" t="n">
        <v>0.195503810427538</v>
      </c>
      <c r="C86" s="0" t="n">
        <v>0.507870292317706</v>
      </c>
      <c r="D86" s="0" t="n">
        <v>1.00920827244647</v>
      </c>
      <c r="E86" s="0" t="n">
        <v>2.52026518090393</v>
      </c>
      <c r="F86" s="0" t="n">
        <v>1.8807304896074</v>
      </c>
      <c r="G86" s="0" t="n">
        <v>2.37903670568567</v>
      </c>
      <c r="H86" s="0" t="n">
        <v>0.207743828846288</v>
      </c>
      <c r="I86" s="0" t="n">
        <v>0.0156941913702805</v>
      </c>
      <c r="J86" s="0" t="n">
        <v>0.0429539983238536</v>
      </c>
      <c r="K86" s="0" t="n">
        <v>0.0419793160302544</v>
      </c>
      <c r="L86" s="0" t="n">
        <v>0.0270363811992298</v>
      </c>
      <c r="M86" s="0" t="n">
        <v>0.154032244539937</v>
      </c>
    </row>
    <row r="87" customFormat="false" ht="12.75" hidden="false" customHeight="true" outlineLevel="0" collapsed="false">
      <c r="A87" s="5" t="n">
        <v>1995</v>
      </c>
      <c r="B87" s="0" t="n">
        <v>0.222874254336754</v>
      </c>
      <c r="C87" s="0" t="n">
        <v>0.853102738335112</v>
      </c>
      <c r="D87" s="0" t="n">
        <v>4.18381319904119</v>
      </c>
      <c r="E87" s="0" t="n">
        <v>7.99433486053347</v>
      </c>
      <c r="F87" s="0" t="n">
        <v>5.93361658840977</v>
      </c>
      <c r="G87" s="0" t="n">
        <v>0.630771010319987</v>
      </c>
      <c r="H87" s="0" t="n">
        <v>0.449780678020486</v>
      </c>
      <c r="I87" s="0" t="n">
        <v>0.032898795023944</v>
      </c>
      <c r="J87" s="0" t="n">
        <v>0.0257403619852455</v>
      </c>
      <c r="K87" s="0" t="n">
        <v>0.0967581434428969</v>
      </c>
      <c r="L87" s="0" t="n">
        <v>0.102643395249788</v>
      </c>
      <c r="M87" s="0" t="n">
        <v>0.0459437169702232</v>
      </c>
    </row>
    <row r="88" customFormat="false" ht="12.75" hidden="false" customHeight="true" outlineLevel="0" collapsed="false">
      <c r="A88" s="5" t="n">
        <v>1996</v>
      </c>
      <c r="B88" s="0" t="n">
        <v>0.525260973995204</v>
      </c>
      <c r="C88" s="0" t="n">
        <v>2.14946436620153</v>
      </c>
      <c r="D88" s="0" t="n">
        <v>4.57589730541445</v>
      </c>
      <c r="E88" s="0" t="n">
        <v>9.20314323592648</v>
      </c>
      <c r="F88" s="0" t="n">
        <v>4.26944880461898</v>
      </c>
      <c r="G88" s="0" t="n">
        <v>0.459472661195099</v>
      </c>
      <c r="H88" s="0" t="n">
        <v>0.0758548597686112</v>
      </c>
      <c r="I88" s="0" t="n">
        <v>0.111150275535071</v>
      </c>
      <c r="J88" s="0" t="n">
        <v>0.101639398383088</v>
      </c>
      <c r="K88" s="0" t="n">
        <v>0.10355971678233</v>
      </c>
      <c r="L88" s="0" t="n">
        <v>0.219772833431546</v>
      </c>
      <c r="M88" s="0" t="n">
        <v>0.0806260254391355</v>
      </c>
    </row>
    <row r="89" customFormat="false" ht="12.75" hidden="false" customHeight="true" outlineLevel="0" collapsed="false">
      <c r="A89" s="5" t="n">
        <v>1997</v>
      </c>
      <c r="B89" s="0" t="n">
        <v>0.430858581719134</v>
      </c>
      <c r="C89" s="0" t="n">
        <v>0.65730788203445</v>
      </c>
      <c r="D89" s="0" t="n">
        <v>2.32112005988971</v>
      </c>
      <c r="E89" s="0" t="n">
        <v>2.05256376218979</v>
      </c>
      <c r="F89" s="0" t="n">
        <v>1.6586047499057</v>
      </c>
      <c r="G89" s="0" t="n">
        <v>0.0951053719509614</v>
      </c>
      <c r="H89" s="0" t="n">
        <v>0.140135066520427</v>
      </c>
      <c r="I89" s="0" t="n">
        <v>0.033033828579467</v>
      </c>
      <c r="J89" s="0" t="n">
        <v>0.0137144956644782</v>
      </c>
      <c r="K89" s="0" t="n">
        <v>0.0281693925035483</v>
      </c>
      <c r="L89" s="0" t="n">
        <v>0.0295896717718447</v>
      </c>
      <c r="M89" s="0" t="n">
        <v>0.107383841819095</v>
      </c>
    </row>
    <row r="90" customFormat="false" ht="12.75" hidden="false" customHeight="true" outlineLevel="0" collapsed="false">
      <c r="A90" s="5" t="n">
        <v>1998</v>
      </c>
      <c r="B90" s="0" t="n">
        <v>0.380520842918159</v>
      </c>
      <c r="C90" s="0" t="n">
        <v>0.296038042278683</v>
      </c>
      <c r="D90" s="0" t="n">
        <v>0.874010634219592</v>
      </c>
      <c r="E90" s="0" t="n">
        <v>1.00105510195323</v>
      </c>
      <c r="F90" s="0" t="n">
        <v>0.0556095101960122</v>
      </c>
      <c r="G90" s="0" t="n">
        <v>0.0240398950119762</v>
      </c>
      <c r="H90" s="0" t="n">
        <v>0.0172440356366153</v>
      </c>
      <c r="I90" s="0" t="n">
        <v>0.0097470626586226</v>
      </c>
      <c r="J90" s="0" t="n">
        <v>0.00600907886090096</v>
      </c>
      <c r="K90" s="0" t="n">
        <v>0.00535443951245778</v>
      </c>
      <c r="L90" s="0" t="n">
        <v>0.00466372506060905</v>
      </c>
      <c r="M90" s="0" t="n">
        <v>0.0206321625333206</v>
      </c>
    </row>
    <row r="91" customFormat="false" ht="12.75" hidden="false" customHeight="true" outlineLevel="0" collapsed="false">
      <c r="A91" s="5" t="n">
        <v>1999</v>
      </c>
      <c r="B91" s="0" t="n">
        <v>0.18939505640822</v>
      </c>
      <c r="C91" s="0" t="n">
        <v>0.320902379948572</v>
      </c>
      <c r="D91" s="0" t="n">
        <v>2.67619658659194</v>
      </c>
      <c r="E91" s="0" t="n">
        <v>1.74580573346734</v>
      </c>
      <c r="F91" s="0" t="n">
        <v>3.36197704654713</v>
      </c>
      <c r="G91" s="0" t="n">
        <v>0.100595454521555</v>
      </c>
      <c r="H91" s="0" t="n">
        <v>0.0235334862291255</v>
      </c>
      <c r="I91" s="0" t="n">
        <v>0.0144419333822738</v>
      </c>
      <c r="J91" s="0" t="n">
        <v>0.0153630588829241</v>
      </c>
      <c r="K91" s="0" t="n">
        <v>0.0207381399615483</v>
      </c>
      <c r="L91" s="0" t="n">
        <v>0.0311493925847693</v>
      </c>
      <c r="M91" s="0" t="n">
        <v>0.12543075986423</v>
      </c>
    </row>
    <row r="92" customFormat="false" ht="12.75" hidden="false" customHeight="true" outlineLevel="0" collapsed="false">
      <c r="A92" s="5" t="n">
        <v>2000</v>
      </c>
      <c r="B92" s="0" t="n">
        <v>0.711775161048459</v>
      </c>
      <c r="C92" s="0" t="n">
        <v>2.14070841268879</v>
      </c>
      <c r="D92" s="0" t="n">
        <v>3.18101245345059</v>
      </c>
      <c r="E92" s="0" t="n">
        <v>6.79288454717333</v>
      </c>
      <c r="F92" s="0" t="n">
        <v>0.856787715914693</v>
      </c>
      <c r="G92" s="0" t="n">
        <v>0.412568730630429</v>
      </c>
      <c r="H92" s="0" t="n">
        <v>0.126454052606643</v>
      </c>
      <c r="I92" s="0" t="n">
        <v>0.123176200469872</v>
      </c>
      <c r="J92" s="0" t="n">
        <v>0.138586044721743</v>
      </c>
      <c r="K92" s="0" t="n">
        <v>0.0189767651060961</v>
      </c>
      <c r="L92" s="0" t="n">
        <v>0.0169406063626999</v>
      </c>
      <c r="M92" s="0" t="n">
        <v>0.177494929629905</v>
      </c>
    </row>
    <row r="93" customFormat="false" ht="12.75" hidden="false" customHeight="true" outlineLevel="0" collapsed="false">
      <c r="A93" s="5" t="n">
        <v>2001</v>
      </c>
      <c r="B93" s="0" t="n">
        <v>0.176566488163526</v>
      </c>
      <c r="C93" s="0" t="n">
        <v>0.333017670469483</v>
      </c>
      <c r="D93" s="0" t="n">
        <v>1.27765096376854</v>
      </c>
      <c r="E93" s="0" t="n">
        <v>0.668490693734074</v>
      </c>
      <c r="F93" s="0" t="n">
        <v>0.309228111974754</v>
      </c>
      <c r="G93" s="0" t="n">
        <v>0.184440124873856</v>
      </c>
      <c r="H93" s="0" t="n">
        <v>0.0263960692204148</v>
      </c>
      <c r="I93" s="0" t="n">
        <v>0.0111773646376357</v>
      </c>
      <c r="J93" s="0" t="n">
        <v>0.0126921032402527</v>
      </c>
      <c r="K93" s="0" t="n">
        <v>0.0236988100040741</v>
      </c>
      <c r="L93" s="0" t="n">
        <v>0.00941890576114832</v>
      </c>
      <c r="M93" s="0" t="n">
        <v>0.161136005302104</v>
      </c>
    </row>
    <row r="94" customFormat="false" ht="12.75" hidden="false" customHeight="true" outlineLevel="0" collapsed="false">
      <c r="A94" s="5" t="n">
        <v>2002</v>
      </c>
      <c r="B94" s="0" t="n">
        <v>2.00775609757299</v>
      </c>
      <c r="C94" s="0" t="n">
        <v>2.12492282620982</v>
      </c>
      <c r="D94" s="0" t="n">
        <v>5.43529493184022</v>
      </c>
      <c r="E94" s="0" t="n">
        <v>1.89738585365253</v>
      </c>
      <c r="F94" s="0" t="n">
        <v>0.988613605982859</v>
      </c>
      <c r="G94" s="0" t="n">
        <v>0.161645786162167</v>
      </c>
      <c r="H94" s="0" t="n">
        <v>0.373879084700238</v>
      </c>
      <c r="I94" s="0" t="n">
        <v>0.0190441129365147</v>
      </c>
      <c r="J94" s="0" t="n">
        <v>0.0243242151737503</v>
      </c>
      <c r="K94" s="0" t="n">
        <v>0.0188776711248699</v>
      </c>
      <c r="L94" s="0" t="n">
        <v>0.0334186444757806</v>
      </c>
      <c r="M94" s="0" t="n">
        <v>0.0247977993260557</v>
      </c>
    </row>
    <row r="95" customFormat="false" ht="12.75" hidden="false" customHeight="true" outlineLevel="0" collapsed="false">
      <c r="A95" s="5" t="n">
        <v>2003</v>
      </c>
      <c r="B95" s="0" t="n">
        <v>0.355610806959576</v>
      </c>
      <c r="C95" s="0" t="n">
        <v>0.874291630499912</v>
      </c>
      <c r="D95" s="0" t="n">
        <v>3.36299272977183</v>
      </c>
      <c r="E95" s="0" t="n">
        <v>1.91018431304261</v>
      </c>
      <c r="F95" s="0" t="n">
        <v>0.64604667428396</v>
      </c>
      <c r="G95" s="0" t="n">
        <v>0.180041360290746</v>
      </c>
      <c r="H95" s="0" t="n">
        <v>0.0223173364855402</v>
      </c>
      <c r="I95" s="0" t="n">
        <v>0.0244258516314414</v>
      </c>
      <c r="J95" s="0" t="n">
        <v>0.011870472566451</v>
      </c>
      <c r="K95" s="0" t="n">
        <v>0.0151290063902093</v>
      </c>
      <c r="L95" s="0" t="n">
        <v>0.0134321563105531</v>
      </c>
      <c r="M95" s="0" t="n">
        <v>0.0263220258453329</v>
      </c>
    </row>
    <row r="96" customFormat="false" ht="12.75" hidden="false" customHeight="true" outlineLevel="0" collapsed="false">
      <c r="A96" s="5" t="n">
        <v>2004</v>
      </c>
      <c r="B96" s="0" t="n">
        <v>2.41725337359798</v>
      </c>
      <c r="C96" s="0" t="n">
        <v>21.465286774716</v>
      </c>
      <c r="D96" s="0" t="n">
        <v>10.5767844748965</v>
      </c>
      <c r="E96" s="0" t="n">
        <v>5.13279686146363</v>
      </c>
      <c r="F96" s="0" t="n">
        <v>3.7834902138894</v>
      </c>
      <c r="G96" s="0" t="n">
        <v>0.835259950148077</v>
      </c>
      <c r="H96" s="0" t="n">
        <v>0.191275621991121</v>
      </c>
      <c r="I96" s="0" t="n">
        <v>0.0524680359907227</v>
      </c>
      <c r="J96" s="0" t="n">
        <v>0.0369022091828727</v>
      </c>
      <c r="K96" s="0" t="n">
        <v>0.0319469122766265</v>
      </c>
      <c r="L96" s="0" t="n">
        <v>0.0343315528207323</v>
      </c>
      <c r="M96" s="0" t="n">
        <v>0.0268410831024643</v>
      </c>
    </row>
    <row r="97" customFormat="false" ht="12.75" hidden="false" customHeight="true" outlineLevel="0" collapsed="false">
      <c r="A97" s="5" t="n">
        <v>2005</v>
      </c>
      <c r="B97" s="0" t="n">
        <v>0.10100803435134</v>
      </c>
      <c r="C97" s="0" t="n">
        <v>0.0676867342729991</v>
      </c>
      <c r="D97" s="0" t="n">
        <v>1.00579184721796</v>
      </c>
      <c r="E97" s="0" t="n">
        <v>0.648473620948158</v>
      </c>
      <c r="F97" s="0" t="n">
        <v>0.507404880646571</v>
      </c>
      <c r="G97" s="0" t="n">
        <v>0.122480704433332</v>
      </c>
      <c r="H97" s="0" t="n">
        <v>0.0229642280830957</v>
      </c>
      <c r="I97" s="0" t="n">
        <v>0.010874572164394</v>
      </c>
      <c r="J97" s="0" t="n">
        <v>0.00816876029687384</v>
      </c>
      <c r="K97" s="0" t="n">
        <v>0.00685649004971427</v>
      </c>
      <c r="L97" s="0" t="n">
        <v>0.00592278567745281</v>
      </c>
      <c r="M97" s="0" t="n">
        <v>0.0343074260451408</v>
      </c>
    </row>
    <row r="98" customFormat="false" ht="12.75" hidden="false" customHeight="true" outlineLevel="0" collapsed="false">
      <c r="A98" s="5" t="n">
        <v>2006</v>
      </c>
      <c r="B98" s="0" t="n">
        <v>0.023447841373608</v>
      </c>
      <c r="C98" s="0" t="n">
        <v>0.335458085166953</v>
      </c>
      <c r="D98" s="0" t="n">
        <v>1.52832263374292</v>
      </c>
      <c r="E98" s="0" t="n">
        <v>5.53407732362455</v>
      </c>
      <c r="F98" s="0" t="n">
        <v>2.359688799158</v>
      </c>
      <c r="G98" s="0" t="n">
        <v>0.285659444561491</v>
      </c>
      <c r="H98" s="0" t="n">
        <v>0.0808643282777845</v>
      </c>
      <c r="I98" s="0" t="n">
        <v>0.020743120069516</v>
      </c>
      <c r="J98" s="0" t="n">
        <v>0.0162473271103575</v>
      </c>
      <c r="K98" s="0" t="n">
        <v>0.0226422575456408</v>
      </c>
      <c r="L98" s="0" t="n">
        <v>0.0192945653697008</v>
      </c>
      <c r="M98" s="0" t="n">
        <v>0.120006612357916</v>
      </c>
    </row>
    <row r="99" customFormat="false" ht="12.75" hidden="false" customHeight="true" outlineLevel="0" collapsed="false">
      <c r="A99" s="5" t="n">
        <v>2007</v>
      </c>
      <c r="B99" s="0" t="n">
        <v>0.136072095920944</v>
      </c>
      <c r="C99" s="0" t="n">
        <v>1.47944986199245</v>
      </c>
      <c r="D99" s="0" t="n">
        <v>1.47008292269852</v>
      </c>
      <c r="E99" s="0" t="n">
        <v>2.29011064394712</v>
      </c>
      <c r="F99" s="0" t="n">
        <v>0.779520801962861</v>
      </c>
      <c r="G99" s="0" t="n">
        <v>0.351763352420303</v>
      </c>
      <c r="H99" s="0" t="n">
        <v>0.0180289255147142</v>
      </c>
      <c r="I99" s="0" t="n">
        <v>0.014982570846351</v>
      </c>
      <c r="J99" s="0" t="n">
        <v>0.0217964991779687</v>
      </c>
      <c r="K99" s="0" t="n">
        <v>0.0260564197839014</v>
      </c>
      <c r="L99" s="0" t="n">
        <v>0.0236399036950307</v>
      </c>
      <c r="M99" s="0" t="n">
        <v>0.0928146177902847</v>
      </c>
    </row>
    <row r="100" customFormat="false" ht="12.75" hidden="false" customHeight="true" outlineLevel="0" collapsed="false">
      <c r="A100" s="5" t="n">
        <v>2008</v>
      </c>
      <c r="B100" s="0" t="n">
        <v>0.623453354647308</v>
      </c>
      <c r="C100" s="0" t="n">
        <v>1.86430815308359</v>
      </c>
      <c r="D100" s="0" t="n">
        <v>19.6982918397945</v>
      </c>
      <c r="E100" s="0" t="n">
        <v>14.9283253528831</v>
      </c>
      <c r="F100" s="0" t="n">
        <v>3.71217665357255</v>
      </c>
      <c r="G100" s="0" t="n">
        <v>0.190023186900836</v>
      </c>
      <c r="H100" s="0" t="n">
        <v>0.238506166050554</v>
      </c>
      <c r="I100" s="0" t="n">
        <v>0.0888599914239131</v>
      </c>
      <c r="J100" s="0" t="n">
        <v>0.0337248062720542</v>
      </c>
      <c r="K100" s="0" t="n">
        <v>0.0310695373183925</v>
      </c>
      <c r="L100" s="0" t="n">
        <v>0.0242562345593917</v>
      </c>
      <c r="M100" s="0" t="n">
        <v>0.11958483912296</v>
      </c>
    </row>
    <row r="101" customFormat="false" ht="12.75" hidden="false" customHeight="true" outlineLevel="0" collapsed="false">
      <c r="A101" s="5" t="n">
        <v>2009</v>
      </c>
      <c r="B101" s="0" t="n">
        <v>0.148828425739833</v>
      </c>
      <c r="C101" s="0" t="n">
        <v>0.504470112150503</v>
      </c>
      <c r="D101" s="0" t="n">
        <v>1.13884494311201</v>
      </c>
      <c r="E101" s="0" t="n">
        <v>9.92354432108789</v>
      </c>
      <c r="F101" s="0" t="n">
        <v>11.041989214393</v>
      </c>
      <c r="G101" s="0" t="n">
        <v>0.384255950406144</v>
      </c>
      <c r="H101" s="0" t="n">
        <v>0.402485274718288</v>
      </c>
      <c r="I101" s="0" t="n">
        <v>0.113734653439752</v>
      </c>
      <c r="J101" s="0" t="n">
        <v>0.03116610142203</v>
      </c>
      <c r="K101" s="0" t="n">
        <v>0.0340302790429709</v>
      </c>
      <c r="L101" s="0" t="n">
        <v>0.0252126997031712</v>
      </c>
      <c r="M101" s="0" t="n">
        <v>0.042492226336648</v>
      </c>
    </row>
    <row r="102" customFormat="false" ht="12.75" hidden="false" customHeight="true" outlineLevel="0" collapsed="false">
      <c r="A102" s="5" t="n">
        <v>2010</v>
      </c>
      <c r="B102" s="0" t="n">
        <v>0.212194008528139</v>
      </c>
      <c r="C102" s="0" t="n">
        <v>0.179237264597327</v>
      </c>
      <c r="D102" s="0" t="n">
        <v>0.43480160043521</v>
      </c>
      <c r="E102" s="0" t="n">
        <v>1.07345911977235</v>
      </c>
      <c r="F102" s="0" t="n">
        <v>0.314188891262112</v>
      </c>
      <c r="G102" s="0" t="n">
        <v>0.185467468977136</v>
      </c>
      <c r="H102" s="0" t="n">
        <v>0.0243133475035946</v>
      </c>
      <c r="I102" s="0" t="n">
        <v>0.00863883007042477</v>
      </c>
      <c r="J102" s="0" t="n">
        <v>0.00737119290457016</v>
      </c>
      <c r="K102" s="0" t="n">
        <v>0.113303069349816</v>
      </c>
      <c r="L102" s="0" t="n">
        <v>0.00690440145589009</v>
      </c>
      <c r="M102" s="0" t="n">
        <v>0.142738647762467</v>
      </c>
    </row>
    <row r="103" customFormat="false" ht="12.75" hidden="false" customHeight="true" outlineLevel="0" collapsed="false">
      <c r="A103" s="5" t="n">
        <v>2011</v>
      </c>
      <c r="B103" s="0" t="n">
        <v>1.16530317070325</v>
      </c>
      <c r="C103" s="0" t="n">
        <v>7.47635995384758</v>
      </c>
      <c r="D103" s="0" t="n">
        <v>5.8339139869964</v>
      </c>
      <c r="E103" s="0" t="n">
        <v>5.90656745807283</v>
      </c>
      <c r="F103" s="0" t="n">
        <v>6.39080933427318</v>
      </c>
      <c r="G103" s="0" t="n">
        <v>0.240222890466636</v>
      </c>
      <c r="H103" s="0" t="n">
        <v>0.551274302976398</v>
      </c>
      <c r="I103" s="0" t="n">
        <v>0.0759521551733035</v>
      </c>
      <c r="J103" s="0" t="n">
        <v>0.0282327425663551</v>
      </c>
      <c r="K103" s="0" t="n">
        <v>0.537084960956929</v>
      </c>
      <c r="L103" s="0" t="n">
        <v>0.430430436723567</v>
      </c>
      <c r="M103" s="0" t="n">
        <v>0.098416593343502</v>
      </c>
    </row>
    <row r="104" customFormat="false" ht="12.75" hidden="false" customHeight="true" outlineLevel="0" collapsed="false">
      <c r="A104" s="5" t="n">
        <v>2012</v>
      </c>
      <c r="B104" s="0" t="n">
        <v>0.297035808897738</v>
      </c>
      <c r="C104" s="0" t="n">
        <v>1.09828636142596</v>
      </c>
      <c r="D104" s="0" t="n">
        <v>2.41562309976214</v>
      </c>
      <c r="E104" s="0" t="n">
        <v>0.579537668013951</v>
      </c>
      <c r="F104" s="0" t="n">
        <v>0.172419075507298</v>
      </c>
      <c r="G104" s="0" t="n">
        <v>0.184220013402863</v>
      </c>
      <c r="H104" s="0" t="n">
        <v>0.0144526018968296</v>
      </c>
      <c r="I104" s="0" t="n">
        <v>0.0121146145973476</v>
      </c>
      <c r="J104" s="0" t="n">
        <v>0.0106366127290428</v>
      </c>
      <c r="K104" s="0" t="n">
        <v>0.00917180305088665</v>
      </c>
      <c r="L104" s="0" t="n">
        <v>0.00877221361013442</v>
      </c>
      <c r="M104" s="0" t="n">
        <v>0.0118727074443508</v>
      </c>
    </row>
    <row r="105" customFormat="false" ht="12.75" hidden="false" customHeight="true" outlineLevel="0" collapsed="false">
      <c r="A105" s="5" t="n">
        <v>2013</v>
      </c>
      <c r="B105" s="0" t="n">
        <v>0.0607191679801474</v>
      </c>
      <c r="C105" s="0" t="n">
        <v>0.0622556934956462</v>
      </c>
      <c r="D105" s="0" t="n">
        <v>0.322977884854232</v>
      </c>
      <c r="E105" s="0" t="n">
        <v>0.327419223625325</v>
      </c>
      <c r="F105" s="0" t="n">
        <v>0.373562033729232</v>
      </c>
      <c r="G105" s="0" t="n">
        <v>0.295058417691478</v>
      </c>
      <c r="H105" s="0" t="n">
        <v>0.072438498023039</v>
      </c>
      <c r="I105" s="0" t="n">
        <v>0.00759231248612887</v>
      </c>
      <c r="J105" s="0" t="n">
        <v>0.00390022914628005</v>
      </c>
      <c r="K105" s="0" t="n">
        <v>0.0214993797138616</v>
      </c>
      <c r="L105" s="0" t="n">
        <v>0.0124176184333055</v>
      </c>
      <c r="M105" s="0" t="n">
        <v>0.0449777606351125</v>
      </c>
    </row>
    <row r="106" customFormat="false" ht="12.75" hidden="false" customHeight="true" outlineLevel="0" collapsed="false">
      <c r="A106" s="5" t="n">
        <v>2014</v>
      </c>
      <c r="B106" s="0" t="n">
        <v>0.0471472032943601</v>
      </c>
      <c r="C106" s="0" t="n">
        <v>0.519881609431579</v>
      </c>
      <c r="D106" s="0" t="n">
        <v>2.53458813826065</v>
      </c>
      <c r="E106" s="0" t="n">
        <v>2.33850212738488</v>
      </c>
      <c r="F106" s="0" t="n">
        <v>0.948012470133173</v>
      </c>
      <c r="G106" s="0" t="n">
        <v>0.158850431310241</v>
      </c>
      <c r="H106" s="0" t="n">
        <v>0.0436315541322458</v>
      </c>
      <c r="I106" s="0" t="n">
        <v>0.0114291359939062</v>
      </c>
      <c r="J106" s="0" t="n">
        <v>0.0153488867953195</v>
      </c>
      <c r="K106" s="0" t="n">
        <v>0.0242023739638785</v>
      </c>
      <c r="L106" s="0" t="n">
        <v>0.0560799285561189</v>
      </c>
      <c r="M106" s="0" t="n">
        <v>0.0222143792735056</v>
      </c>
    </row>
    <row r="107" customFormat="false" ht="12.75" hidden="false" customHeight="true" outlineLevel="0" collapsed="false">
      <c r="A107" s="5" t="n">
        <v>2015</v>
      </c>
      <c r="B107" s="0" t="n">
        <v>0.0315548222304948</v>
      </c>
      <c r="C107" s="0" t="n">
        <v>0.0567740298541734</v>
      </c>
      <c r="D107" s="0" t="n">
        <v>0.439943971670349</v>
      </c>
      <c r="E107" s="0" t="n">
        <v>0.309189451850972</v>
      </c>
      <c r="F107" s="0" t="n">
        <v>0.48227613073919</v>
      </c>
      <c r="G107" s="0" t="n">
        <v>0.180653193418001</v>
      </c>
      <c r="H107" s="0" t="n">
        <v>0.176531092974032</v>
      </c>
      <c r="I107" s="0" t="n">
        <v>0.00515094808205599</v>
      </c>
      <c r="J107" s="0" t="n">
        <v>0.00549294658378443</v>
      </c>
      <c r="K107" s="0" t="n">
        <v>0.0039291461747389</v>
      </c>
      <c r="L107" s="0" t="n">
        <v>0.00315446161603591</v>
      </c>
      <c r="M107" s="0" t="n">
        <v>0.00464936326231371</v>
      </c>
    </row>
    <row r="108" customFormat="false" ht="12.75" hidden="false" customHeight="true" outlineLevel="0" collapsed="false">
      <c r="A108" s="5" t="n">
        <v>2016</v>
      </c>
      <c r="B108" s="0" t="n">
        <v>0.189775217507829</v>
      </c>
      <c r="C108" s="0" t="n">
        <v>0.0773447940524018</v>
      </c>
      <c r="D108" s="0" t="n">
        <v>1.45022096235805</v>
      </c>
      <c r="E108" s="0" t="n">
        <v>0.297253207805044</v>
      </c>
      <c r="F108" s="0" t="n">
        <v>0.443170623789358</v>
      </c>
      <c r="G108" s="0" t="n">
        <v>0.07750257471033</v>
      </c>
      <c r="H108" s="0" t="n">
        <v>0.00558428649190532</v>
      </c>
      <c r="I108" s="0" t="n">
        <v>0.00517897870701581</v>
      </c>
      <c r="J108" s="0" t="n">
        <v>0.00982779875948989</v>
      </c>
      <c r="K108" s="0" t="n">
        <v>0.00454333756177662</v>
      </c>
      <c r="L108" s="0" t="n">
        <v>0.0037322546272628</v>
      </c>
      <c r="M108" s="0" t="n">
        <v>0.0205976847260904</v>
      </c>
    </row>
    <row r="109" customFormat="false" ht="12.75" hidden="false" customHeight="true" outlineLevel="0" collapsed="false">
      <c r="A109" s="5" t="n">
        <v>2017</v>
      </c>
      <c r="B109" s="0" t="n">
        <v>0.129879574762959</v>
      </c>
      <c r="C109" s="0" t="n">
        <v>0.332395476481064</v>
      </c>
      <c r="D109" s="0" t="n">
        <v>1.19415473580965</v>
      </c>
      <c r="E109" s="0" t="n">
        <v>1.28413153761077</v>
      </c>
      <c r="F109" s="0" t="n">
        <v>0.575440137913363</v>
      </c>
      <c r="G109" s="0" t="n">
        <v>0.285798427058581</v>
      </c>
      <c r="H109" s="0" t="n">
        <v>0.0486554577813635</v>
      </c>
      <c r="I109" s="0" t="n">
        <v>0.00752864576056739</v>
      </c>
      <c r="J109" s="0" t="n">
        <v>0.00681342122028033</v>
      </c>
      <c r="K109" s="0" t="n">
        <v>0.00672920672229406</v>
      </c>
      <c r="L109" s="0" t="n">
        <v>0.0130730035879224</v>
      </c>
      <c r="M109" s="0" t="n">
        <v>0.00977993531626096</v>
      </c>
    </row>
    <row r="110" customFormat="false" ht="12.75" hidden="false" customHeight="true" outlineLevel="0" collapsed="false">
      <c r="A110" s="5" t="n">
        <v>2018</v>
      </c>
      <c r="B110" s="0" t="n">
        <v>0.07743687388961</v>
      </c>
      <c r="C110" s="0" t="n">
        <v>1.31467152831964</v>
      </c>
      <c r="D110" s="0" t="n">
        <v>1.33266589348022</v>
      </c>
      <c r="E110" s="0" t="n">
        <v>5.25616627723726</v>
      </c>
      <c r="F110" s="0" t="n">
        <v>0.798127301580004</v>
      </c>
      <c r="G110" s="0" t="n">
        <v>0.166488695343585</v>
      </c>
      <c r="H110" s="0" t="n">
        <v>0.0350084377215966</v>
      </c>
      <c r="I110" s="0" t="n">
        <v>0.018799863476283</v>
      </c>
      <c r="J110" s="0" t="n">
        <v>0.0143959641589929</v>
      </c>
      <c r="K110" s="0" t="n">
        <v>0.0128537469301053</v>
      </c>
      <c r="L110" s="0" t="n">
        <v>0.0708575967394245</v>
      </c>
      <c r="M110" s="0" t="n">
        <v>0.177401051574076</v>
      </c>
    </row>
    <row r="111" customFormat="false" ht="12.75" hidden="false" customHeight="true" outlineLevel="0" collapsed="false">
      <c r="A111" s="5" t="n">
        <v>2019</v>
      </c>
      <c r="B111" s="0" t="n">
        <v>0.18172946292689</v>
      </c>
      <c r="C111" s="0" t="n">
        <v>0.304962304139327</v>
      </c>
      <c r="D111" s="0" t="n">
        <v>1.712718512482</v>
      </c>
      <c r="E111" s="0" t="n">
        <v>2.31624037906308</v>
      </c>
      <c r="F111" s="0" t="n">
        <v>0.566922936030997</v>
      </c>
      <c r="G111" s="0" t="n">
        <v>0.561051848538385</v>
      </c>
      <c r="H111" s="0" t="n">
        <v>0.049297015665398</v>
      </c>
      <c r="I111" s="0" t="n">
        <v>0.0128828745607527</v>
      </c>
      <c r="J111" s="0" t="n">
        <v>0.0122990152835494</v>
      </c>
      <c r="K111" s="0" t="n">
        <v>0.0118828445149518</v>
      </c>
      <c r="L111" s="0" t="n">
        <v>0.0125256110038052</v>
      </c>
      <c r="M111" s="0" t="n">
        <v>0.0148588589903215</v>
      </c>
    </row>
    <row r="112" customFormat="false" ht="12.75" hidden="false" customHeight="true" outlineLevel="0" collapsed="false">
      <c r="A112" s="5" t="n">
        <v>2020</v>
      </c>
      <c r="B112" s="0" t="n">
        <v>0.180819917971554</v>
      </c>
      <c r="C112" s="0" t="n">
        <v>1.01172228006379</v>
      </c>
      <c r="D112" s="0" t="n">
        <v>6.49484989332549</v>
      </c>
      <c r="E112" s="0" t="n">
        <v>8.21904579946501</v>
      </c>
      <c r="F112" s="0" t="n">
        <v>3.11677117580967</v>
      </c>
      <c r="G112" s="0" t="n">
        <v>0.671861589163507</v>
      </c>
      <c r="H112" s="0" t="n">
        <v>0.0694434446964408</v>
      </c>
      <c r="I112" s="0" t="n">
        <v>0.0249728839714463</v>
      </c>
      <c r="J112" s="0" t="n">
        <v>0.0310761533712063</v>
      </c>
      <c r="K112" s="0" t="n">
        <v>0.0284823454630692</v>
      </c>
      <c r="L112" s="0" t="n">
        <v>0.0636400651472302</v>
      </c>
      <c r="M112" s="0" t="n">
        <v>0.0577304522930692</v>
      </c>
    </row>
    <row r="113" customFormat="false" ht="12.75" hidden="false" customHeight="true" outlineLevel="0" collapsed="false">
      <c r="A113" s="5" t="n">
        <v>2021</v>
      </c>
      <c r="B113" s="0" t="n">
        <v>0.120915223296385</v>
      </c>
      <c r="C113" s="0" t="n">
        <v>0.568335799473766</v>
      </c>
      <c r="D113" s="0" t="n">
        <v>2.26977146389058</v>
      </c>
      <c r="E113" s="0" t="n">
        <v>3.06709374294557</v>
      </c>
      <c r="F113" s="0" t="n">
        <v>0.555139327191731</v>
      </c>
      <c r="G113" s="0" t="n">
        <v>0.0721509391221843</v>
      </c>
      <c r="H113" s="0" t="n">
        <v>0.393158654328529</v>
      </c>
      <c r="I113" s="0" t="n">
        <v>0.0162106106758647</v>
      </c>
      <c r="J113" s="0" t="n">
        <v>0.0251481094358523</v>
      </c>
      <c r="K113" s="0" t="n">
        <v>0.0143842988729088</v>
      </c>
      <c r="L113" s="0" t="n">
        <v>0.0903149360743202</v>
      </c>
      <c r="M113" s="0" t="n">
        <v>0.226241618289478</v>
      </c>
    </row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O1:R1"/>
    <mergeCell ref="O2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13" min="3" style="0" width="14"/>
    <col collapsed="false" customWidth="true" hidden="false" outlineLevel="0" max="14" min="14" style="0" width="9"/>
    <col collapsed="false" customWidth="true" hidden="false" outlineLevel="0" max="21" min="15" style="0" width="14"/>
    <col collapsed="false" customWidth="true" hidden="false" outlineLevel="0" max="26" min="22" style="0" width="8.63"/>
  </cols>
  <sheetData>
    <row r="1" customFormat="false" ht="12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4.25" hidden="false" customHeight="true" outlineLevel="0" collapsed="false">
      <c r="A3" s="2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2.75" hidden="false" customHeight="true" outlineLevel="0" collapsed="false"/>
    <row r="5" customFormat="false" ht="27.75" hidden="false" customHeight="true" outlineLevel="0" collapsed="false">
      <c r="A5" s="5" t="s">
        <v>82</v>
      </c>
      <c r="B5" s="6" t="n">
        <v>1910</v>
      </c>
      <c r="D5" s="2" t="s">
        <v>83</v>
      </c>
      <c r="E5" s="2"/>
      <c r="F5" s="2"/>
      <c r="G5" s="2"/>
      <c r="H5" s="2"/>
      <c r="I5" s="2"/>
      <c r="J5" s="2"/>
      <c r="K5" s="2"/>
    </row>
    <row r="6" customFormat="false" ht="12.75" hidden="false" customHeight="true" outlineLevel="0" collapsed="false"/>
    <row r="7" customFormat="false" ht="12.75" hidden="false" customHeight="true" outlineLevel="0" collapsed="false">
      <c r="A7" s="13" t="s">
        <v>84</v>
      </c>
      <c r="B7" s="13" t="s">
        <v>39</v>
      </c>
      <c r="C7" s="13" t="s">
        <v>85</v>
      </c>
      <c r="D7" s="13" t="s">
        <v>43</v>
      </c>
      <c r="E7" s="13" t="s">
        <v>86</v>
      </c>
      <c r="F7" s="13" t="s">
        <v>44</v>
      </c>
      <c r="G7" s="13" t="s">
        <v>52</v>
      </c>
      <c r="H7" s="13" t="s">
        <v>87</v>
      </c>
      <c r="I7" s="13" t="s">
        <v>88</v>
      </c>
      <c r="J7" s="13" t="s">
        <v>89</v>
      </c>
      <c r="K7" s="13" t="s">
        <v>57</v>
      </c>
      <c r="L7" s="13" t="s">
        <v>58</v>
      </c>
      <c r="M7" s="13" t="s">
        <v>90</v>
      </c>
      <c r="N7" s="13" t="s">
        <v>60</v>
      </c>
      <c r="O7" s="13" t="s">
        <v>61</v>
      </c>
      <c r="P7" s="13" t="s">
        <v>91</v>
      </c>
      <c r="Q7" s="13" t="s">
        <v>92</v>
      </c>
      <c r="R7" s="13" t="s">
        <v>93</v>
      </c>
      <c r="S7" s="13" t="s">
        <v>94</v>
      </c>
      <c r="T7" s="13" t="s">
        <v>95</v>
      </c>
      <c r="U7" s="13" t="s">
        <v>96</v>
      </c>
    </row>
    <row r="8" customFormat="false" ht="12.75" hidden="false" customHeight="true" outlineLevel="0" collapsed="false">
      <c r="A8" s="5" t="s">
        <v>66</v>
      </c>
      <c r="B8" s="14" t="n">
        <f aca="false">DATE($B$5,1,1)</f>
        <v>3654</v>
      </c>
      <c r="C8" s="16" t="str">
        <f aca="false" t="array" ref="C8:C8">IFERROR(INDEX(Verificacao!$D$24:$D$1367,MATCH($B8,Verificacao!$A$24:$A$1367,0)),"")</f>
        <v/>
      </c>
      <c r="D8" s="16" t="str">
        <f aca="false" t="array" ref="D8:D8">IFERROR(INDEX(Verificacao!$E$24:$E$1367,MATCH($B8,Verificacao!$A$24:$A$1367,0)),"")</f>
        <v/>
      </c>
      <c r="E8" s="16" t="str">
        <f aca="false" t="array" ref="E8:E8">IFERROR(INDEX(Verificacao!$H$24:$H$1367,MATCH($B8,Verificacao!$A$24:$A$1367,0)),"")</f>
        <v/>
      </c>
      <c r="F8" s="16" t="str">
        <f aca="false" t="array" ref="F8:F8">IFERROR(INDEX(Verificacao!$F$24:$F$1367,MATCH($B8,Verificacao!$A$24:$A$1367,0)),"")</f>
        <v/>
      </c>
      <c r="G8" s="16" t="str">
        <f aca="false" t="array" ref="G8:G8">IFERROR(INDEX(Verificacao!$N$24:$N$1367,MATCH($B8,Verificacao!$A$24:$A$1367,0)),"")</f>
        <v/>
      </c>
      <c r="H8" s="16" t="str">
        <f aca="false" t="array" ref="H8:H8">IFERROR(INDEX(Verificacao!$O$24:$O$1367,MATCH($B8,Verificacao!$A$24:$A$1367,0)),"")</f>
        <v/>
      </c>
      <c r="I8" s="16" t="str">
        <f aca="false" t="array" ref="I8:I8">IFERROR(INDEX(Verificacao!$J$24:$J$1367,MATCH($B8,Verificacao!$A$24:$A$1367,0)),"")</f>
        <v/>
      </c>
      <c r="J8" s="16" t="str">
        <f aca="false" t="array" ref="J8:J8">IFERROR(INDEX(Verificacao!$R$24:$R$1367,MATCH($B8,Verificacao!$A$24:$A$1367,0)),"")</f>
        <v/>
      </c>
      <c r="K8" s="16" t="str">
        <f aca="false" t="array" ref="K8:K8">IFERROR(INDEX(Verificacao!$S$24:$S$1367,MATCH($B8,Verificacao!$A$24:$A$1367,0)),"")</f>
        <v/>
      </c>
      <c r="L8" s="16" t="str">
        <f aca="false" t="array" ref="L8:L8">IFERROR(INDEX(Verificacao!$T$24:$T$1367,MATCH($B8,Verificacao!$A$24:$A$1367,0)),"")</f>
        <v/>
      </c>
      <c r="M8" s="16" t="str">
        <f aca="false" t="array" ref="M8:M8">IFERROR(INDEX(Verificacao!$U$24:$U$1367,MATCH($B8,Verificacao!$A$24:$A$1367,0)),"")</f>
        <v/>
      </c>
      <c r="N8" s="16" t="str">
        <f aca="false" t="array" ref="N8:N8">IFERROR(INDEX(Verificacao!$V$24:$V$1367,MATCH($B8,Verificacao!$A$24:$A$1367,0)),"")</f>
        <v/>
      </c>
      <c r="O8" s="16" t="str">
        <f aca="false" t="array" ref="O8:O8">IFERROR(INDEX(Verificacao!$W$24:$W$1367,MATCH($B8,Verificacao!$A$24:$A$1367,0)),"")</f>
        <v/>
      </c>
      <c r="P8" s="11"/>
      <c r="Q8" s="16" t="str">
        <f aca="false">IF(OR(P8="",M8=""),"",P8-M8)</f>
        <v/>
      </c>
      <c r="R8" s="11"/>
      <c r="S8" s="16" t="str">
        <f aca="false">IF(OR(R8="",H8=""),"",R8-H8)</f>
        <v/>
      </c>
      <c r="T8" s="11"/>
      <c r="U8" s="16" t="str">
        <f aca="false">IF(OR(T8="",L8=""),"",T8-L8)</f>
        <v/>
      </c>
    </row>
    <row r="9" customFormat="false" ht="12.75" hidden="false" customHeight="true" outlineLevel="0" collapsed="false">
      <c r="A9" s="5" t="s">
        <v>67</v>
      </c>
      <c r="B9" s="14" t="n">
        <f aca="false">DATE($B$5,2,1)</f>
        <v>3685</v>
      </c>
      <c r="C9" s="16" t="str">
        <f aca="false" t="array" ref="C9:C9">IFERROR(INDEX(Verificacao!$D$24:$D$1367,MATCH($B9,Verificacao!$A$24:$A$1367,0)),"")</f>
        <v/>
      </c>
      <c r="D9" s="16" t="str">
        <f aca="false" t="array" ref="D9:D9">IFERROR(INDEX(Verificacao!$E$24:$E$1367,MATCH($B9,Verificacao!$A$24:$A$1367,0)),"")</f>
        <v/>
      </c>
      <c r="E9" s="16" t="str">
        <f aca="false" t="array" ref="E9:E9">IFERROR(INDEX(Verificacao!$H$24:$H$1367,MATCH($B9,Verificacao!$A$24:$A$1367,0)),"")</f>
        <v/>
      </c>
      <c r="F9" s="16" t="str">
        <f aca="false" t="array" ref="F9:F9">IFERROR(INDEX(Verificacao!$F$24:$F$1367,MATCH($B9,Verificacao!$A$24:$A$1367,0)),"")</f>
        <v/>
      </c>
      <c r="G9" s="16" t="str">
        <f aca="false" t="array" ref="G9:G9">IFERROR(INDEX(Verificacao!$N$24:$N$1367,MATCH($B9,Verificacao!$A$24:$A$1367,0)),"")</f>
        <v/>
      </c>
      <c r="H9" s="16" t="str">
        <f aca="false" t="array" ref="H9:H9">IFERROR(INDEX(Verificacao!$O$24:$O$1367,MATCH($B9,Verificacao!$A$24:$A$1367,0)),"")</f>
        <v/>
      </c>
      <c r="I9" s="16" t="str">
        <f aca="false" t="array" ref="I9:I9">IFERROR(INDEX(Verificacao!$J$24:$J$1367,MATCH($B9,Verificacao!$A$24:$A$1367,0)),"")</f>
        <v/>
      </c>
      <c r="J9" s="16" t="str">
        <f aca="false" t="array" ref="J9:J9">IFERROR(INDEX(Verificacao!$R$24:$R$1367,MATCH($B9,Verificacao!$A$24:$A$1367,0)),"")</f>
        <v/>
      </c>
      <c r="K9" s="16" t="str">
        <f aca="false" t="array" ref="K9:K9">IFERROR(INDEX(Verificacao!$S$24:$S$1367,MATCH($B9,Verificacao!$A$24:$A$1367,0)),"")</f>
        <v/>
      </c>
      <c r="L9" s="16" t="str">
        <f aca="false" t="array" ref="L9:L9">IFERROR(INDEX(Verificacao!$T$24:$T$1367,MATCH($B9,Verificacao!$A$24:$A$1367,0)),"")</f>
        <v/>
      </c>
      <c r="M9" s="16" t="str">
        <f aca="false" t="array" ref="M9:M9">IFERROR(INDEX(Verificacao!$U$24:$U$1367,MATCH($B9,Verificacao!$A$24:$A$1367,0)),"")</f>
        <v/>
      </c>
      <c r="N9" s="16" t="str">
        <f aca="false" t="array" ref="N9:N9">IFERROR(INDEX(Verificacao!$V$24:$V$1367,MATCH($B9,Verificacao!$A$24:$A$1367,0)),"")</f>
        <v/>
      </c>
      <c r="O9" s="16" t="str">
        <f aca="false" t="array" ref="O9:O9">IFERROR(INDEX(Verificacao!$W$24:$W$1367,MATCH($B9,Verificacao!$A$24:$A$1367,0)),"")</f>
        <v/>
      </c>
      <c r="P9" s="11"/>
      <c r="Q9" s="16" t="str">
        <f aca="false">IF(OR(P9="",M9=""),"",P9-M9)</f>
        <v/>
      </c>
      <c r="R9" s="11"/>
      <c r="S9" s="16" t="str">
        <f aca="false">IF(OR(R9="",H9=""),"",R9-H9)</f>
        <v/>
      </c>
      <c r="T9" s="11"/>
      <c r="U9" s="16" t="str">
        <f aca="false">IF(OR(T9="",L9=""),"",T9-L9)</f>
        <v/>
      </c>
    </row>
    <row r="10" customFormat="false" ht="12.75" hidden="false" customHeight="true" outlineLevel="0" collapsed="false">
      <c r="A10" s="5" t="s">
        <v>68</v>
      </c>
      <c r="B10" s="14" t="n">
        <f aca="false">DATE($B$5,3,1)</f>
        <v>3713</v>
      </c>
      <c r="C10" s="16" t="str">
        <f aca="false" t="array" ref="C10:C10">IFERROR(INDEX(Verificacao!$D$24:$D$1367,MATCH($B10,Verificacao!$A$24:$A$1367,0)),"")</f>
        <v/>
      </c>
      <c r="D10" s="16" t="str">
        <f aca="false" t="array" ref="D10:D10">IFERROR(INDEX(Verificacao!$E$24:$E$1367,MATCH($B10,Verificacao!$A$24:$A$1367,0)),"")</f>
        <v/>
      </c>
      <c r="E10" s="16" t="str">
        <f aca="false" t="array" ref="E10:E10">IFERROR(INDEX(Verificacao!$H$24:$H$1367,MATCH($B10,Verificacao!$A$24:$A$1367,0)),"")</f>
        <v/>
      </c>
      <c r="F10" s="16" t="str">
        <f aca="false" t="array" ref="F10:F10">IFERROR(INDEX(Verificacao!$F$24:$F$1367,MATCH($B10,Verificacao!$A$24:$A$1367,0)),"")</f>
        <v/>
      </c>
      <c r="G10" s="16" t="str">
        <f aca="false" t="array" ref="G10:G10">IFERROR(INDEX(Verificacao!$N$24:$N$1367,MATCH($B10,Verificacao!$A$24:$A$1367,0)),"")</f>
        <v/>
      </c>
      <c r="H10" s="16" t="str">
        <f aca="false" t="array" ref="H10:H10">IFERROR(INDEX(Verificacao!$O$24:$O$1367,MATCH($B10,Verificacao!$A$24:$A$1367,0)),"")</f>
        <v/>
      </c>
      <c r="I10" s="16" t="str">
        <f aca="false" t="array" ref="I10:I10">IFERROR(INDEX(Verificacao!$J$24:$J$1367,MATCH($B10,Verificacao!$A$24:$A$1367,0)),"")</f>
        <v/>
      </c>
      <c r="J10" s="16" t="str">
        <f aca="false" t="array" ref="J10:J10">IFERROR(INDEX(Verificacao!$R$24:$R$1367,MATCH($B10,Verificacao!$A$24:$A$1367,0)),"")</f>
        <v/>
      </c>
      <c r="K10" s="16" t="str">
        <f aca="false" t="array" ref="K10:K10">IFERROR(INDEX(Verificacao!$S$24:$S$1367,MATCH($B10,Verificacao!$A$24:$A$1367,0)),"")</f>
        <v/>
      </c>
      <c r="L10" s="16" t="str">
        <f aca="false" t="array" ref="L10:L10">IFERROR(INDEX(Verificacao!$T$24:$T$1367,MATCH($B10,Verificacao!$A$24:$A$1367,0)),"")</f>
        <v/>
      </c>
      <c r="M10" s="16" t="str">
        <f aca="false" t="array" ref="M10:M10">IFERROR(INDEX(Verificacao!$U$24:$U$1367,MATCH($B10,Verificacao!$A$24:$A$1367,0)),"")</f>
        <v/>
      </c>
      <c r="N10" s="16" t="str">
        <f aca="false" t="array" ref="N10:N10">IFERROR(INDEX(Verificacao!$V$24:$V$1367,MATCH($B10,Verificacao!$A$24:$A$1367,0)),"")</f>
        <v/>
      </c>
      <c r="O10" s="16" t="str">
        <f aca="false" t="array" ref="O10:O10">IFERROR(INDEX(Verificacao!$W$24:$W$1367,MATCH($B10,Verificacao!$A$24:$A$1367,0)),"")</f>
        <v/>
      </c>
      <c r="P10" s="11"/>
      <c r="Q10" s="16" t="str">
        <f aca="false">IF(OR(P10="",M10=""),"",P10-M10)</f>
        <v/>
      </c>
      <c r="R10" s="11"/>
      <c r="S10" s="16" t="str">
        <f aca="false">IF(OR(R10="",H10=""),"",R10-H10)</f>
        <v/>
      </c>
      <c r="T10" s="11"/>
      <c r="U10" s="16" t="str">
        <f aca="false">IF(OR(T10="",L10=""),"",T10-L10)</f>
        <v/>
      </c>
    </row>
    <row r="11" customFormat="false" ht="12.75" hidden="false" customHeight="true" outlineLevel="0" collapsed="false">
      <c r="A11" s="5" t="s">
        <v>69</v>
      </c>
      <c r="B11" s="14" t="n">
        <f aca="false">DATE($B$5,4,1)</f>
        <v>3744</v>
      </c>
      <c r="C11" s="16" t="str">
        <f aca="false" t="array" ref="C11:C11">IFERROR(INDEX(Verificacao!$D$24:$D$1367,MATCH($B11,Verificacao!$A$24:$A$1367,0)),"")</f>
        <v/>
      </c>
      <c r="D11" s="16" t="str">
        <f aca="false" t="array" ref="D11:D11">IFERROR(INDEX(Verificacao!$E$24:$E$1367,MATCH($B11,Verificacao!$A$24:$A$1367,0)),"")</f>
        <v/>
      </c>
      <c r="E11" s="16" t="str">
        <f aca="false" t="array" ref="E11:E11">IFERROR(INDEX(Verificacao!$H$24:$H$1367,MATCH($B11,Verificacao!$A$24:$A$1367,0)),"")</f>
        <v/>
      </c>
      <c r="F11" s="16" t="str">
        <f aca="false" t="array" ref="F11:F11">IFERROR(INDEX(Verificacao!$F$24:$F$1367,MATCH($B11,Verificacao!$A$24:$A$1367,0)),"")</f>
        <v/>
      </c>
      <c r="G11" s="16" t="str">
        <f aca="false" t="array" ref="G11:G11">IFERROR(INDEX(Verificacao!$N$24:$N$1367,MATCH($B11,Verificacao!$A$24:$A$1367,0)),"")</f>
        <v/>
      </c>
      <c r="H11" s="16" t="str">
        <f aca="false" t="array" ref="H11:H11">IFERROR(INDEX(Verificacao!$O$24:$O$1367,MATCH($B11,Verificacao!$A$24:$A$1367,0)),"")</f>
        <v/>
      </c>
      <c r="I11" s="16" t="str">
        <f aca="false" t="array" ref="I11:I11">IFERROR(INDEX(Verificacao!$J$24:$J$1367,MATCH($B11,Verificacao!$A$24:$A$1367,0)),"")</f>
        <v/>
      </c>
      <c r="J11" s="16" t="str">
        <f aca="false" t="array" ref="J11:J11">IFERROR(INDEX(Verificacao!$R$24:$R$1367,MATCH($B11,Verificacao!$A$24:$A$1367,0)),"")</f>
        <v/>
      </c>
      <c r="K11" s="16" t="str">
        <f aca="false" t="array" ref="K11:K11">IFERROR(INDEX(Verificacao!$S$24:$S$1367,MATCH($B11,Verificacao!$A$24:$A$1367,0)),"")</f>
        <v/>
      </c>
      <c r="L11" s="16" t="str">
        <f aca="false" t="array" ref="L11:L11">IFERROR(INDEX(Verificacao!$T$24:$T$1367,MATCH($B11,Verificacao!$A$24:$A$1367,0)),"")</f>
        <v/>
      </c>
      <c r="M11" s="16" t="str">
        <f aca="false" t="array" ref="M11:M11">IFERROR(INDEX(Verificacao!$U$24:$U$1367,MATCH($B11,Verificacao!$A$24:$A$1367,0)),"")</f>
        <v/>
      </c>
      <c r="N11" s="16" t="str">
        <f aca="false" t="array" ref="N11:N11">IFERROR(INDEX(Verificacao!$V$24:$V$1367,MATCH($B11,Verificacao!$A$24:$A$1367,0)),"")</f>
        <v/>
      </c>
      <c r="O11" s="16" t="str">
        <f aca="false" t="array" ref="O11:O11">IFERROR(INDEX(Verificacao!$W$24:$W$1367,MATCH($B11,Verificacao!$A$24:$A$1367,0)),"")</f>
        <v/>
      </c>
      <c r="P11" s="11"/>
      <c r="Q11" s="16" t="str">
        <f aca="false">IF(OR(P11="",M11=""),"",P11-M11)</f>
        <v/>
      </c>
      <c r="R11" s="11"/>
      <c r="S11" s="16" t="str">
        <f aca="false">IF(OR(R11="",H11=""),"",R11-H11)</f>
        <v/>
      </c>
      <c r="T11" s="11"/>
      <c r="U11" s="16" t="str">
        <f aca="false">IF(OR(T11="",L11=""),"",T11-L11)</f>
        <v/>
      </c>
    </row>
    <row r="12" customFormat="false" ht="12.75" hidden="false" customHeight="true" outlineLevel="0" collapsed="false">
      <c r="A12" s="5" t="s">
        <v>70</v>
      </c>
      <c r="B12" s="14" t="n">
        <f aca="false">DATE($B$5,5,1)</f>
        <v>3774</v>
      </c>
      <c r="C12" s="16" t="str">
        <f aca="false" t="array" ref="C12:C12">IFERROR(INDEX(Verificacao!$D$24:$D$1367,MATCH($B12,Verificacao!$A$24:$A$1367,0)),"")</f>
        <v/>
      </c>
      <c r="D12" s="16" t="str">
        <f aca="false" t="array" ref="D12:D12">IFERROR(INDEX(Verificacao!$E$24:$E$1367,MATCH($B12,Verificacao!$A$24:$A$1367,0)),"")</f>
        <v/>
      </c>
      <c r="E12" s="16" t="str">
        <f aca="false" t="array" ref="E12:E12">IFERROR(INDEX(Verificacao!$H$24:$H$1367,MATCH($B12,Verificacao!$A$24:$A$1367,0)),"")</f>
        <v/>
      </c>
      <c r="F12" s="16" t="str">
        <f aca="false" t="array" ref="F12:F12">IFERROR(INDEX(Verificacao!$F$24:$F$1367,MATCH($B12,Verificacao!$A$24:$A$1367,0)),"")</f>
        <v/>
      </c>
      <c r="G12" s="16" t="str">
        <f aca="false" t="array" ref="G12:G12">IFERROR(INDEX(Verificacao!$N$24:$N$1367,MATCH($B12,Verificacao!$A$24:$A$1367,0)),"")</f>
        <v/>
      </c>
      <c r="H12" s="16" t="str">
        <f aca="false" t="array" ref="H12:H12">IFERROR(INDEX(Verificacao!$O$24:$O$1367,MATCH($B12,Verificacao!$A$24:$A$1367,0)),"")</f>
        <v/>
      </c>
      <c r="I12" s="16" t="str">
        <f aca="false" t="array" ref="I12:I12">IFERROR(INDEX(Verificacao!$J$24:$J$1367,MATCH($B12,Verificacao!$A$24:$A$1367,0)),"")</f>
        <v/>
      </c>
      <c r="J12" s="16" t="str">
        <f aca="false" t="array" ref="J12:J12">IFERROR(INDEX(Verificacao!$R$24:$R$1367,MATCH($B12,Verificacao!$A$24:$A$1367,0)),"")</f>
        <v/>
      </c>
      <c r="K12" s="16" t="str">
        <f aca="false" t="array" ref="K12:K12">IFERROR(INDEX(Verificacao!$S$24:$S$1367,MATCH($B12,Verificacao!$A$24:$A$1367,0)),"")</f>
        <v/>
      </c>
      <c r="L12" s="16" t="str">
        <f aca="false" t="array" ref="L12:L12">IFERROR(INDEX(Verificacao!$T$24:$T$1367,MATCH($B12,Verificacao!$A$24:$A$1367,0)),"")</f>
        <v/>
      </c>
      <c r="M12" s="16" t="str">
        <f aca="false" t="array" ref="M12:M12">IFERROR(INDEX(Verificacao!$U$24:$U$1367,MATCH($B12,Verificacao!$A$24:$A$1367,0)),"")</f>
        <v/>
      </c>
      <c r="N12" s="16" t="str">
        <f aca="false" t="array" ref="N12:N12">IFERROR(INDEX(Verificacao!$V$24:$V$1367,MATCH($B12,Verificacao!$A$24:$A$1367,0)),"")</f>
        <v/>
      </c>
      <c r="O12" s="16" t="str">
        <f aca="false" t="array" ref="O12:O12">IFERROR(INDEX(Verificacao!$W$24:$W$1367,MATCH($B12,Verificacao!$A$24:$A$1367,0)),"")</f>
        <v/>
      </c>
      <c r="P12" s="11"/>
      <c r="Q12" s="16" t="str">
        <f aca="false">IF(OR(P12="",M12=""),"",P12-M12)</f>
        <v/>
      </c>
      <c r="R12" s="11"/>
      <c r="S12" s="16" t="str">
        <f aca="false">IF(OR(R12="",H12=""),"",R12-H12)</f>
        <v/>
      </c>
      <c r="T12" s="11"/>
      <c r="U12" s="16" t="str">
        <f aca="false">IF(OR(T12="",L12=""),"",T12-L12)</f>
        <v/>
      </c>
    </row>
    <row r="13" customFormat="false" ht="12.75" hidden="false" customHeight="true" outlineLevel="0" collapsed="false">
      <c r="A13" s="5" t="s">
        <v>71</v>
      </c>
      <c r="B13" s="14" t="n">
        <f aca="false">DATE($B$5,6,1)</f>
        <v>3805</v>
      </c>
      <c r="C13" s="16" t="str">
        <f aca="false" t="array" ref="C13:C13">IFERROR(INDEX(Verificacao!$D$24:$D$1367,MATCH($B13,Verificacao!$A$24:$A$1367,0)),"")</f>
        <v/>
      </c>
      <c r="D13" s="16" t="str">
        <f aca="false" t="array" ref="D13:D13">IFERROR(INDEX(Verificacao!$E$24:$E$1367,MATCH($B13,Verificacao!$A$24:$A$1367,0)),"")</f>
        <v/>
      </c>
      <c r="E13" s="16" t="str">
        <f aca="false" t="array" ref="E13:E13">IFERROR(INDEX(Verificacao!$H$24:$H$1367,MATCH($B13,Verificacao!$A$24:$A$1367,0)),"")</f>
        <v/>
      </c>
      <c r="F13" s="16" t="str">
        <f aca="false" t="array" ref="F13:F13">IFERROR(INDEX(Verificacao!$F$24:$F$1367,MATCH($B13,Verificacao!$A$24:$A$1367,0)),"")</f>
        <v/>
      </c>
      <c r="G13" s="16" t="str">
        <f aca="false" t="array" ref="G13:G13">IFERROR(INDEX(Verificacao!$N$24:$N$1367,MATCH($B13,Verificacao!$A$24:$A$1367,0)),"")</f>
        <v/>
      </c>
      <c r="H13" s="16" t="str">
        <f aca="false" t="array" ref="H13:H13">IFERROR(INDEX(Verificacao!$O$24:$O$1367,MATCH($B13,Verificacao!$A$24:$A$1367,0)),"")</f>
        <v/>
      </c>
      <c r="I13" s="16" t="str">
        <f aca="false" t="array" ref="I13:I13">IFERROR(INDEX(Verificacao!$J$24:$J$1367,MATCH($B13,Verificacao!$A$24:$A$1367,0)),"")</f>
        <v/>
      </c>
      <c r="J13" s="16" t="str">
        <f aca="false" t="array" ref="J13:J13">IFERROR(INDEX(Verificacao!$R$24:$R$1367,MATCH($B13,Verificacao!$A$24:$A$1367,0)),"")</f>
        <v/>
      </c>
      <c r="K13" s="16" t="str">
        <f aca="false" t="array" ref="K13:K13">IFERROR(INDEX(Verificacao!$S$24:$S$1367,MATCH($B13,Verificacao!$A$24:$A$1367,0)),"")</f>
        <v/>
      </c>
      <c r="L13" s="16" t="str">
        <f aca="false" t="array" ref="L13:L13">IFERROR(INDEX(Verificacao!$T$24:$T$1367,MATCH($B13,Verificacao!$A$24:$A$1367,0)),"")</f>
        <v/>
      </c>
      <c r="M13" s="16" t="str">
        <f aca="false" t="array" ref="M13:M13">IFERROR(INDEX(Verificacao!$U$24:$U$1367,MATCH($B13,Verificacao!$A$24:$A$1367,0)),"")</f>
        <v/>
      </c>
      <c r="N13" s="16" t="str">
        <f aca="false" t="array" ref="N13:N13">IFERROR(INDEX(Verificacao!$V$24:$V$1367,MATCH($B13,Verificacao!$A$24:$A$1367,0)),"")</f>
        <v/>
      </c>
      <c r="O13" s="16" t="str">
        <f aca="false" t="array" ref="O13:O13">IFERROR(INDEX(Verificacao!$W$24:$W$1367,MATCH($B13,Verificacao!$A$24:$A$1367,0)),"")</f>
        <v/>
      </c>
      <c r="P13" s="11"/>
      <c r="Q13" s="16" t="str">
        <f aca="false">IF(OR(P13="",M13=""),"",P13-M13)</f>
        <v/>
      </c>
      <c r="R13" s="11"/>
      <c r="S13" s="16" t="str">
        <f aca="false">IF(OR(R13="",H13=""),"",R13-H13)</f>
        <v/>
      </c>
      <c r="T13" s="11"/>
      <c r="U13" s="16" t="str">
        <f aca="false">IF(OR(T13="",L13=""),"",T13-L13)</f>
        <v/>
      </c>
    </row>
    <row r="14" customFormat="false" ht="12.75" hidden="false" customHeight="true" outlineLevel="0" collapsed="false">
      <c r="A14" s="5" t="s">
        <v>72</v>
      </c>
      <c r="B14" s="14" t="n">
        <f aca="false">DATE($B$5,7,1)</f>
        <v>3835</v>
      </c>
      <c r="C14" s="16" t="str">
        <f aca="false" t="array" ref="C14:C14">IFERROR(INDEX(Verificacao!$D$24:$D$1367,MATCH($B14,Verificacao!$A$24:$A$1367,0)),"")</f>
        <v/>
      </c>
      <c r="D14" s="16" t="str">
        <f aca="false" t="array" ref="D14:D14">IFERROR(INDEX(Verificacao!$E$24:$E$1367,MATCH($B14,Verificacao!$A$24:$A$1367,0)),"")</f>
        <v/>
      </c>
      <c r="E14" s="16" t="str">
        <f aca="false" t="array" ref="E14:E14">IFERROR(INDEX(Verificacao!$H$24:$H$1367,MATCH($B14,Verificacao!$A$24:$A$1367,0)),"")</f>
        <v/>
      </c>
      <c r="F14" s="16" t="str">
        <f aca="false" t="array" ref="F14:F14">IFERROR(INDEX(Verificacao!$F$24:$F$1367,MATCH($B14,Verificacao!$A$24:$A$1367,0)),"")</f>
        <v/>
      </c>
      <c r="G14" s="16" t="str">
        <f aca="false" t="array" ref="G14:G14">IFERROR(INDEX(Verificacao!$N$24:$N$1367,MATCH($B14,Verificacao!$A$24:$A$1367,0)),"")</f>
        <v/>
      </c>
      <c r="H14" s="16" t="str">
        <f aca="false" t="array" ref="H14:H14">IFERROR(INDEX(Verificacao!$O$24:$O$1367,MATCH($B14,Verificacao!$A$24:$A$1367,0)),"")</f>
        <v/>
      </c>
      <c r="I14" s="16" t="str">
        <f aca="false" t="array" ref="I14:I14">IFERROR(INDEX(Verificacao!$J$24:$J$1367,MATCH($B14,Verificacao!$A$24:$A$1367,0)),"")</f>
        <v/>
      </c>
      <c r="J14" s="16" t="str">
        <f aca="false" t="array" ref="J14:J14">IFERROR(INDEX(Verificacao!$R$24:$R$1367,MATCH($B14,Verificacao!$A$24:$A$1367,0)),"")</f>
        <v/>
      </c>
      <c r="K14" s="16" t="str">
        <f aca="false" t="array" ref="K14:K14">IFERROR(INDEX(Verificacao!$S$24:$S$1367,MATCH($B14,Verificacao!$A$24:$A$1367,0)),"")</f>
        <v/>
      </c>
      <c r="L14" s="16" t="str">
        <f aca="false" t="array" ref="L14:L14">IFERROR(INDEX(Verificacao!$T$24:$T$1367,MATCH($B14,Verificacao!$A$24:$A$1367,0)),"")</f>
        <v/>
      </c>
      <c r="M14" s="16" t="str">
        <f aca="false" t="array" ref="M14:M14">IFERROR(INDEX(Verificacao!$U$24:$U$1367,MATCH($B14,Verificacao!$A$24:$A$1367,0)),"")</f>
        <v/>
      </c>
      <c r="N14" s="16" t="str">
        <f aca="false" t="array" ref="N14:N14">IFERROR(INDEX(Verificacao!$V$24:$V$1367,MATCH($B14,Verificacao!$A$24:$A$1367,0)),"")</f>
        <v/>
      </c>
      <c r="O14" s="16" t="str">
        <f aca="false" t="array" ref="O14:O14">IFERROR(INDEX(Verificacao!$W$24:$W$1367,MATCH($B14,Verificacao!$A$24:$A$1367,0)),"")</f>
        <v/>
      </c>
      <c r="P14" s="11"/>
      <c r="Q14" s="16" t="str">
        <f aca="false">IF(OR(P14="",M14=""),"",P14-M14)</f>
        <v/>
      </c>
      <c r="R14" s="11"/>
      <c r="S14" s="16" t="str">
        <f aca="false">IF(OR(R14="",H14=""),"",R14-H14)</f>
        <v/>
      </c>
      <c r="T14" s="11"/>
      <c r="U14" s="16" t="str">
        <f aca="false">IF(OR(T14="",L14=""),"",T14-L14)</f>
        <v/>
      </c>
    </row>
    <row r="15" customFormat="false" ht="12.75" hidden="false" customHeight="true" outlineLevel="0" collapsed="false">
      <c r="A15" s="5" t="s">
        <v>73</v>
      </c>
      <c r="B15" s="14" t="n">
        <f aca="false">DATE($B$5,8,1)</f>
        <v>3866</v>
      </c>
      <c r="C15" s="16" t="str">
        <f aca="false" t="array" ref="C15:C15">IFERROR(INDEX(Verificacao!$D$24:$D$1367,MATCH($B15,Verificacao!$A$24:$A$1367,0)),"")</f>
        <v/>
      </c>
      <c r="D15" s="16" t="str">
        <f aca="false" t="array" ref="D15:D15">IFERROR(INDEX(Verificacao!$E$24:$E$1367,MATCH($B15,Verificacao!$A$24:$A$1367,0)),"")</f>
        <v/>
      </c>
      <c r="E15" s="16" t="str">
        <f aca="false" t="array" ref="E15:E15">IFERROR(INDEX(Verificacao!$H$24:$H$1367,MATCH($B15,Verificacao!$A$24:$A$1367,0)),"")</f>
        <v/>
      </c>
      <c r="F15" s="16" t="str">
        <f aca="false" t="array" ref="F15:F15">IFERROR(INDEX(Verificacao!$F$24:$F$1367,MATCH($B15,Verificacao!$A$24:$A$1367,0)),"")</f>
        <v/>
      </c>
      <c r="G15" s="16" t="str">
        <f aca="false" t="array" ref="G15:G15">IFERROR(INDEX(Verificacao!$N$24:$N$1367,MATCH($B15,Verificacao!$A$24:$A$1367,0)),"")</f>
        <v/>
      </c>
      <c r="H15" s="16" t="str">
        <f aca="false" t="array" ref="H15:H15">IFERROR(INDEX(Verificacao!$O$24:$O$1367,MATCH($B15,Verificacao!$A$24:$A$1367,0)),"")</f>
        <v/>
      </c>
      <c r="I15" s="16" t="str">
        <f aca="false" t="array" ref="I15:I15">IFERROR(INDEX(Verificacao!$J$24:$J$1367,MATCH($B15,Verificacao!$A$24:$A$1367,0)),"")</f>
        <v/>
      </c>
      <c r="J15" s="16" t="str">
        <f aca="false" t="array" ref="J15:J15">IFERROR(INDEX(Verificacao!$R$24:$R$1367,MATCH($B15,Verificacao!$A$24:$A$1367,0)),"")</f>
        <v/>
      </c>
      <c r="K15" s="16" t="str">
        <f aca="false" t="array" ref="K15:K15">IFERROR(INDEX(Verificacao!$S$24:$S$1367,MATCH($B15,Verificacao!$A$24:$A$1367,0)),"")</f>
        <v/>
      </c>
      <c r="L15" s="16" t="str">
        <f aca="false" t="array" ref="L15:L15">IFERROR(INDEX(Verificacao!$T$24:$T$1367,MATCH($B15,Verificacao!$A$24:$A$1367,0)),"")</f>
        <v/>
      </c>
      <c r="M15" s="16" t="str">
        <f aca="false" t="array" ref="M15:M15">IFERROR(INDEX(Verificacao!$U$24:$U$1367,MATCH($B15,Verificacao!$A$24:$A$1367,0)),"")</f>
        <v/>
      </c>
      <c r="N15" s="16" t="str">
        <f aca="false" t="array" ref="N15:N15">IFERROR(INDEX(Verificacao!$V$24:$V$1367,MATCH($B15,Verificacao!$A$24:$A$1367,0)),"")</f>
        <v/>
      </c>
      <c r="O15" s="16" t="str">
        <f aca="false" t="array" ref="O15:O15">IFERROR(INDEX(Verificacao!$W$24:$W$1367,MATCH($B15,Verificacao!$A$24:$A$1367,0)),"")</f>
        <v/>
      </c>
      <c r="P15" s="11"/>
      <c r="Q15" s="16" t="str">
        <f aca="false">IF(OR(P15="",M15=""),"",P15-M15)</f>
        <v/>
      </c>
      <c r="R15" s="11"/>
      <c r="S15" s="16" t="str">
        <f aca="false">IF(OR(R15="",H15=""),"",R15-H15)</f>
        <v/>
      </c>
      <c r="T15" s="11"/>
      <c r="U15" s="16" t="str">
        <f aca="false">IF(OR(T15="",L15=""),"",T15-L15)</f>
        <v/>
      </c>
    </row>
    <row r="16" customFormat="false" ht="12.75" hidden="false" customHeight="true" outlineLevel="0" collapsed="false">
      <c r="A16" s="5" t="s">
        <v>74</v>
      </c>
      <c r="B16" s="14" t="n">
        <f aca="false">DATE($B$5,9,1)</f>
        <v>3897</v>
      </c>
      <c r="C16" s="16" t="str">
        <f aca="false" t="array" ref="C16:C16">IFERROR(INDEX(Verificacao!$D$24:$D$1367,MATCH($B16,Verificacao!$A$24:$A$1367,0)),"")</f>
        <v/>
      </c>
      <c r="D16" s="16" t="str">
        <f aca="false" t="array" ref="D16:D16">IFERROR(INDEX(Verificacao!$E$24:$E$1367,MATCH($B16,Verificacao!$A$24:$A$1367,0)),"")</f>
        <v/>
      </c>
      <c r="E16" s="16" t="str">
        <f aca="false" t="array" ref="E16:E16">IFERROR(INDEX(Verificacao!$H$24:$H$1367,MATCH($B16,Verificacao!$A$24:$A$1367,0)),"")</f>
        <v/>
      </c>
      <c r="F16" s="16" t="str">
        <f aca="false" t="array" ref="F16:F16">IFERROR(INDEX(Verificacao!$F$24:$F$1367,MATCH($B16,Verificacao!$A$24:$A$1367,0)),"")</f>
        <v/>
      </c>
      <c r="G16" s="16" t="str">
        <f aca="false" t="array" ref="G16:G16">IFERROR(INDEX(Verificacao!$N$24:$N$1367,MATCH($B16,Verificacao!$A$24:$A$1367,0)),"")</f>
        <v/>
      </c>
      <c r="H16" s="16" t="str">
        <f aca="false" t="array" ref="H16:H16">IFERROR(INDEX(Verificacao!$O$24:$O$1367,MATCH($B16,Verificacao!$A$24:$A$1367,0)),"")</f>
        <v/>
      </c>
      <c r="I16" s="16" t="str">
        <f aca="false" t="array" ref="I16:I16">IFERROR(INDEX(Verificacao!$J$24:$J$1367,MATCH($B16,Verificacao!$A$24:$A$1367,0)),"")</f>
        <v/>
      </c>
      <c r="J16" s="16" t="str">
        <f aca="false" t="array" ref="J16:J16">IFERROR(INDEX(Verificacao!$R$24:$R$1367,MATCH($B16,Verificacao!$A$24:$A$1367,0)),"")</f>
        <v/>
      </c>
      <c r="K16" s="16" t="str">
        <f aca="false" t="array" ref="K16:K16">IFERROR(INDEX(Verificacao!$S$24:$S$1367,MATCH($B16,Verificacao!$A$24:$A$1367,0)),"")</f>
        <v/>
      </c>
      <c r="L16" s="16" t="str">
        <f aca="false" t="array" ref="L16:L16">IFERROR(INDEX(Verificacao!$T$24:$T$1367,MATCH($B16,Verificacao!$A$24:$A$1367,0)),"")</f>
        <v/>
      </c>
      <c r="M16" s="16" t="str">
        <f aca="false" t="array" ref="M16:M16">IFERROR(INDEX(Verificacao!$U$24:$U$1367,MATCH($B16,Verificacao!$A$24:$A$1367,0)),"")</f>
        <v/>
      </c>
      <c r="N16" s="16" t="str">
        <f aca="false" t="array" ref="N16:N16">IFERROR(INDEX(Verificacao!$V$24:$V$1367,MATCH($B16,Verificacao!$A$24:$A$1367,0)),"")</f>
        <v/>
      </c>
      <c r="O16" s="16" t="str">
        <f aca="false" t="array" ref="O16:O16">IFERROR(INDEX(Verificacao!$W$24:$W$1367,MATCH($B16,Verificacao!$A$24:$A$1367,0)),"")</f>
        <v/>
      </c>
      <c r="P16" s="11"/>
      <c r="Q16" s="16" t="str">
        <f aca="false">IF(OR(P16="",M16=""),"",P16-M16)</f>
        <v/>
      </c>
      <c r="R16" s="11"/>
      <c r="S16" s="16" t="str">
        <f aca="false">IF(OR(R16="",H16=""),"",R16-H16)</f>
        <v/>
      </c>
      <c r="T16" s="11"/>
      <c r="U16" s="16" t="str">
        <f aca="false">IF(OR(T16="",L16=""),"",T16-L16)</f>
        <v/>
      </c>
    </row>
    <row r="17" customFormat="false" ht="12.75" hidden="false" customHeight="true" outlineLevel="0" collapsed="false">
      <c r="A17" s="5" t="s">
        <v>75</v>
      </c>
      <c r="B17" s="14" t="n">
        <f aca="false">DATE($B$5,10,1)</f>
        <v>3927</v>
      </c>
      <c r="C17" s="16" t="str">
        <f aca="false" t="array" ref="C17:C17">IFERROR(INDEX(Verificacao!$D$24:$D$1367,MATCH($B17,Verificacao!$A$24:$A$1367,0)),"")</f>
        <v/>
      </c>
      <c r="D17" s="16" t="str">
        <f aca="false" t="array" ref="D17:D17">IFERROR(INDEX(Verificacao!$E$24:$E$1367,MATCH($B17,Verificacao!$A$24:$A$1367,0)),"")</f>
        <v/>
      </c>
      <c r="E17" s="16" t="str">
        <f aca="false" t="array" ref="E17:E17">IFERROR(INDEX(Verificacao!$H$24:$H$1367,MATCH($B17,Verificacao!$A$24:$A$1367,0)),"")</f>
        <v/>
      </c>
      <c r="F17" s="16" t="str">
        <f aca="false" t="array" ref="F17:F17">IFERROR(INDEX(Verificacao!$F$24:$F$1367,MATCH($B17,Verificacao!$A$24:$A$1367,0)),"")</f>
        <v/>
      </c>
      <c r="G17" s="16" t="str">
        <f aca="false" t="array" ref="G17:G17">IFERROR(INDEX(Verificacao!$N$24:$N$1367,MATCH($B17,Verificacao!$A$24:$A$1367,0)),"")</f>
        <v/>
      </c>
      <c r="H17" s="16" t="str">
        <f aca="false" t="array" ref="H17:H17">IFERROR(INDEX(Verificacao!$O$24:$O$1367,MATCH($B17,Verificacao!$A$24:$A$1367,0)),"")</f>
        <v/>
      </c>
      <c r="I17" s="16" t="str">
        <f aca="false" t="array" ref="I17:I17">IFERROR(INDEX(Verificacao!$J$24:$J$1367,MATCH($B17,Verificacao!$A$24:$A$1367,0)),"")</f>
        <v/>
      </c>
      <c r="J17" s="16" t="str">
        <f aca="false" t="array" ref="J17:J17">IFERROR(INDEX(Verificacao!$R$24:$R$1367,MATCH($B17,Verificacao!$A$24:$A$1367,0)),"")</f>
        <v/>
      </c>
      <c r="K17" s="16" t="str">
        <f aca="false" t="array" ref="K17:K17">IFERROR(INDEX(Verificacao!$S$24:$S$1367,MATCH($B17,Verificacao!$A$24:$A$1367,0)),"")</f>
        <v/>
      </c>
      <c r="L17" s="16" t="str">
        <f aca="false" t="array" ref="L17:L17">IFERROR(INDEX(Verificacao!$T$24:$T$1367,MATCH($B17,Verificacao!$A$24:$A$1367,0)),"")</f>
        <v/>
      </c>
      <c r="M17" s="16" t="str">
        <f aca="false" t="array" ref="M17:M17">IFERROR(INDEX(Verificacao!$U$24:$U$1367,MATCH($B17,Verificacao!$A$24:$A$1367,0)),"")</f>
        <v/>
      </c>
      <c r="N17" s="16" t="str">
        <f aca="false" t="array" ref="N17:N17">IFERROR(INDEX(Verificacao!$V$24:$V$1367,MATCH($B17,Verificacao!$A$24:$A$1367,0)),"")</f>
        <v/>
      </c>
      <c r="O17" s="16" t="str">
        <f aca="false" t="array" ref="O17:O17">IFERROR(INDEX(Verificacao!$W$24:$W$1367,MATCH($B17,Verificacao!$A$24:$A$1367,0)),"")</f>
        <v/>
      </c>
      <c r="P17" s="11"/>
      <c r="Q17" s="16" t="str">
        <f aca="false">IF(OR(P17="",M17=""),"",P17-M17)</f>
        <v/>
      </c>
      <c r="R17" s="11"/>
      <c r="S17" s="16" t="str">
        <f aca="false">IF(OR(R17="",H17=""),"",R17-H17)</f>
        <v/>
      </c>
      <c r="T17" s="11"/>
      <c r="U17" s="16" t="str">
        <f aca="false">IF(OR(T17="",L17=""),"",T17-L17)</f>
        <v/>
      </c>
    </row>
    <row r="18" customFormat="false" ht="12.75" hidden="false" customHeight="true" outlineLevel="0" collapsed="false">
      <c r="A18" s="5" t="s">
        <v>76</v>
      </c>
      <c r="B18" s="14" t="n">
        <f aca="false">DATE($B$5,11,1)</f>
        <v>3958</v>
      </c>
      <c r="C18" s="16" t="str">
        <f aca="false" t="array" ref="C18:C18">IFERROR(INDEX(Verificacao!$D$24:$D$1367,MATCH($B18,Verificacao!$A$24:$A$1367,0)),"")</f>
        <v/>
      </c>
      <c r="D18" s="16" t="str">
        <f aca="false" t="array" ref="D18:D18">IFERROR(INDEX(Verificacao!$E$24:$E$1367,MATCH($B18,Verificacao!$A$24:$A$1367,0)),"")</f>
        <v/>
      </c>
      <c r="E18" s="16" t="str">
        <f aca="false" t="array" ref="E18:E18">IFERROR(INDEX(Verificacao!$H$24:$H$1367,MATCH($B18,Verificacao!$A$24:$A$1367,0)),"")</f>
        <v/>
      </c>
      <c r="F18" s="16" t="str">
        <f aca="false" t="array" ref="F18:F18">IFERROR(INDEX(Verificacao!$F$24:$F$1367,MATCH($B18,Verificacao!$A$24:$A$1367,0)),"")</f>
        <v/>
      </c>
      <c r="G18" s="16" t="str">
        <f aca="false" t="array" ref="G18:G18">IFERROR(INDEX(Verificacao!$N$24:$N$1367,MATCH($B18,Verificacao!$A$24:$A$1367,0)),"")</f>
        <v/>
      </c>
      <c r="H18" s="16" t="str">
        <f aca="false" t="array" ref="H18:H18">IFERROR(INDEX(Verificacao!$O$24:$O$1367,MATCH($B18,Verificacao!$A$24:$A$1367,0)),"")</f>
        <v/>
      </c>
      <c r="I18" s="16" t="str">
        <f aca="false" t="array" ref="I18:I18">IFERROR(INDEX(Verificacao!$J$24:$J$1367,MATCH($B18,Verificacao!$A$24:$A$1367,0)),"")</f>
        <v/>
      </c>
      <c r="J18" s="16" t="str">
        <f aca="false" t="array" ref="J18:J18">IFERROR(INDEX(Verificacao!$R$24:$R$1367,MATCH($B18,Verificacao!$A$24:$A$1367,0)),"")</f>
        <v/>
      </c>
      <c r="K18" s="16" t="str">
        <f aca="false" t="array" ref="K18:K18">IFERROR(INDEX(Verificacao!$S$24:$S$1367,MATCH($B18,Verificacao!$A$24:$A$1367,0)),"")</f>
        <v/>
      </c>
      <c r="L18" s="16" t="str">
        <f aca="false" t="array" ref="L18:L18">IFERROR(INDEX(Verificacao!$T$24:$T$1367,MATCH($B18,Verificacao!$A$24:$A$1367,0)),"")</f>
        <v/>
      </c>
      <c r="M18" s="16" t="str">
        <f aca="false" t="array" ref="M18:M18">IFERROR(INDEX(Verificacao!$U$24:$U$1367,MATCH($B18,Verificacao!$A$24:$A$1367,0)),"")</f>
        <v/>
      </c>
      <c r="N18" s="16" t="str">
        <f aca="false" t="array" ref="N18:N18">IFERROR(INDEX(Verificacao!$V$24:$V$1367,MATCH($B18,Verificacao!$A$24:$A$1367,0)),"")</f>
        <v/>
      </c>
      <c r="O18" s="16" t="str">
        <f aca="false" t="array" ref="O18:O18">IFERROR(INDEX(Verificacao!$W$24:$W$1367,MATCH($B18,Verificacao!$A$24:$A$1367,0)),"")</f>
        <v/>
      </c>
      <c r="P18" s="11"/>
      <c r="Q18" s="16" t="str">
        <f aca="false">IF(OR(P18="",M18=""),"",P18-M18)</f>
        <v/>
      </c>
      <c r="R18" s="11"/>
      <c r="S18" s="16" t="str">
        <f aca="false">IF(OR(R18="",H18=""),"",R18-H18)</f>
        <v/>
      </c>
      <c r="T18" s="11"/>
      <c r="U18" s="16" t="str">
        <f aca="false">IF(OR(T18="",L18=""),"",T18-L18)</f>
        <v/>
      </c>
    </row>
    <row r="19" customFormat="false" ht="12.75" hidden="false" customHeight="true" outlineLevel="0" collapsed="false">
      <c r="A19" s="5" t="s">
        <v>77</v>
      </c>
      <c r="B19" s="14" t="n">
        <f aca="false">DATE($B$5,12,1)</f>
        <v>3988</v>
      </c>
      <c r="C19" s="16" t="str">
        <f aca="false" t="array" ref="C19:C19">IFERROR(INDEX(Verificacao!$D$24:$D$1367,MATCH($B19,Verificacao!$A$24:$A$1367,0)),"")</f>
        <v/>
      </c>
      <c r="D19" s="16" t="str">
        <f aca="false" t="array" ref="D19:D19">IFERROR(INDEX(Verificacao!$E$24:$E$1367,MATCH($B19,Verificacao!$A$24:$A$1367,0)),"")</f>
        <v/>
      </c>
      <c r="E19" s="16" t="str">
        <f aca="false" t="array" ref="E19:E19">IFERROR(INDEX(Verificacao!$H$24:$H$1367,MATCH($B19,Verificacao!$A$24:$A$1367,0)),"")</f>
        <v/>
      </c>
      <c r="F19" s="16" t="str">
        <f aca="false" t="array" ref="F19:F19">IFERROR(INDEX(Verificacao!$F$24:$F$1367,MATCH($B19,Verificacao!$A$24:$A$1367,0)),"")</f>
        <v/>
      </c>
      <c r="G19" s="16" t="str">
        <f aca="false" t="array" ref="G19:G19">IFERROR(INDEX(Verificacao!$N$24:$N$1367,MATCH($B19,Verificacao!$A$24:$A$1367,0)),"")</f>
        <v/>
      </c>
      <c r="H19" s="16" t="str">
        <f aca="false" t="array" ref="H19:H19">IFERROR(INDEX(Verificacao!$O$24:$O$1367,MATCH($B19,Verificacao!$A$24:$A$1367,0)),"")</f>
        <v/>
      </c>
      <c r="I19" s="16" t="str">
        <f aca="false" t="array" ref="I19:I19">IFERROR(INDEX(Verificacao!$J$24:$J$1367,MATCH($B19,Verificacao!$A$24:$A$1367,0)),"")</f>
        <v/>
      </c>
      <c r="J19" s="16" t="str">
        <f aca="false" t="array" ref="J19:J19">IFERROR(INDEX(Verificacao!$R$24:$R$1367,MATCH($B19,Verificacao!$A$24:$A$1367,0)),"")</f>
        <v/>
      </c>
      <c r="K19" s="16" t="str">
        <f aca="false" t="array" ref="K19:K19">IFERROR(INDEX(Verificacao!$S$24:$S$1367,MATCH($B19,Verificacao!$A$24:$A$1367,0)),"")</f>
        <v/>
      </c>
      <c r="L19" s="16" t="str">
        <f aca="false" t="array" ref="L19:L19">IFERROR(INDEX(Verificacao!$T$24:$T$1367,MATCH($B19,Verificacao!$A$24:$A$1367,0)),"")</f>
        <v/>
      </c>
      <c r="M19" s="16" t="str">
        <f aca="false" t="array" ref="M19:M19">IFERROR(INDEX(Verificacao!$U$24:$U$1367,MATCH($B19,Verificacao!$A$24:$A$1367,0)),"")</f>
        <v/>
      </c>
      <c r="N19" s="16" t="str">
        <f aca="false" t="array" ref="N19:N19">IFERROR(INDEX(Verificacao!$V$24:$V$1367,MATCH($B19,Verificacao!$A$24:$A$1367,0)),"")</f>
        <v/>
      </c>
      <c r="O19" s="16" t="str">
        <f aca="false" t="array" ref="O19:O19">IFERROR(INDEX(Verificacao!$W$24:$W$1367,MATCH($B19,Verificacao!$A$24:$A$1367,0)),"")</f>
        <v/>
      </c>
      <c r="P19" s="11"/>
      <c r="Q19" s="16" t="str">
        <f aca="false">IF(OR(P19="",M19=""),"",P19-M19)</f>
        <v/>
      </c>
      <c r="R19" s="11"/>
      <c r="S19" s="16" t="str">
        <f aca="false">IF(OR(R19="",H19=""),"",R19-H19)</f>
        <v/>
      </c>
      <c r="T19" s="11"/>
      <c r="U19" s="16" t="str">
        <f aca="false">IF(OR(T19="",L19=""),"",T19-L19)</f>
        <v/>
      </c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U2"/>
    <mergeCell ref="A3:U3"/>
    <mergeCell ref="D5:K5"/>
  </mergeCells>
  <dataValidations count="1">
    <dataValidation allowBlank="true" errorStyle="stop" operator="between" showDropDown="false" showErrorMessage="false" showInputMessage="false" sqref="B5" type="list">
      <formula1>Vazoes_COLAR!$A$2:$A$300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12" min="5" style="0" width="14"/>
    <col collapsed="false" customWidth="true" hidden="false" outlineLevel="0" max="26" min="13" style="0" width="8.63"/>
  </cols>
  <sheetData>
    <row r="1" customFormat="false" ht="12.75" hidden="false" customHeight="true" outlineLevel="0" collapsed="false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</row>
    <row r="2" customFormat="false" ht="12.75" hidden="false" customHeight="true" outlineLevel="0" collapsed="false">
      <c r="A2" s="5" t="s">
        <v>109</v>
      </c>
      <c r="B2" s="5" t="n">
        <v>78</v>
      </c>
      <c r="C2" s="5" t="n">
        <v>29600000</v>
      </c>
      <c r="D2" s="5" t="s">
        <v>110</v>
      </c>
      <c r="E2" s="5" t="n">
        <v>10</v>
      </c>
      <c r="F2" s="5" t="n">
        <v>6</v>
      </c>
      <c r="G2" s="5" t="n">
        <v>130.02</v>
      </c>
      <c r="H2" s="5" t="n">
        <v>105.5</v>
      </c>
      <c r="I2" s="5" t="n">
        <v>53</v>
      </c>
      <c r="J2" s="5" t="n">
        <v>1.71</v>
      </c>
      <c r="K2" s="5" t="n">
        <v>1491</v>
      </c>
      <c r="L2" s="5" t="n">
        <v>32</v>
      </c>
    </row>
    <row r="3" customFormat="false" ht="12.75" hidden="false" customHeight="true" outlineLevel="0" collapsed="false">
      <c r="A3" s="5" t="s">
        <v>111</v>
      </c>
      <c r="B3" s="5" t="n">
        <v>1</v>
      </c>
      <c r="C3" s="5" t="n">
        <v>36715658</v>
      </c>
      <c r="D3" s="5" t="s">
        <v>112</v>
      </c>
      <c r="E3" s="5" t="n">
        <v>6</v>
      </c>
      <c r="F3" s="5" t="n">
        <v>11</v>
      </c>
      <c r="G3" s="5" t="n">
        <v>115</v>
      </c>
      <c r="H3" s="5" t="n">
        <v>106.5</v>
      </c>
      <c r="I3" s="5" t="n">
        <v>60</v>
      </c>
      <c r="J3" s="5" t="n">
        <v>1.6</v>
      </c>
      <c r="K3" s="5" t="n">
        <v>2</v>
      </c>
      <c r="L3" s="5" t="n">
        <v>17</v>
      </c>
    </row>
    <row r="4" customFormat="false" ht="12.75" hidden="false" customHeight="true" outlineLevel="0" collapsed="false">
      <c r="A4" s="5" t="s">
        <v>113</v>
      </c>
      <c r="B4" s="5" t="n">
        <v>32</v>
      </c>
      <c r="C4" s="5" t="n">
        <v>4790000</v>
      </c>
      <c r="D4" s="5" t="s">
        <v>114</v>
      </c>
      <c r="E4" s="5" t="n">
        <v>4</v>
      </c>
      <c r="F4" s="5" t="n">
        <v>1</v>
      </c>
      <c r="G4" s="5" t="n">
        <v>100</v>
      </c>
      <c r="I4" s="5" t="n">
        <v>24</v>
      </c>
      <c r="J4" s="5" t="n">
        <v>1.6</v>
      </c>
      <c r="K4" s="5" t="n">
        <v>668</v>
      </c>
      <c r="L4" s="5" t="n">
        <v>13</v>
      </c>
    </row>
    <row r="5" customFormat="false" ht="12.75" hidden="false" customHeight="true" outlineLevel="0" collapsed="false">
      <c r="A5" s="5" t="s">
        <v>115</v>
      </c>
      <c r="B5" s="5" t="n">
        <v>45</v>
      </c>
      <c r="C5" s="5" t="n">
        <v>11010000</v>
      </c>
      <c r="D5" s="5" t="s">
        <v>116</v>
      </c>
      <c r="E5" s="5" t="n">
        <v>10</v>
      </c>
      <c r="F5" s="5" t="n">
        <v>13</v>
      </c>
      <c r="G5" s="5" t="n">
        <v>96</v>
      </c>
      <c r="I5" s="5" t="n">
        <v>19</v>
      </c>
      <c r="J5" s="5" t="n">
        <v>1.71</v>
      </c>
      <c r="K5" s="5" t="n">
        <v>858</v>
      </c>
      <c r="L5" s="5" t="n">
        <v>17</v>
      </c>
    </row>
    <row r="6" customFormat="false" ht="12.75" hidden="false" customHeight="true" outlineLevel="0" collapsed="false">
      <c r="A6" s="5" t="s">
        <v>117</v>
      </c>
      <c r="B6" s="5" t="n">
        <v>112</v>
      </c>
      <c r="C6" s="5" t="n">
        <v>56050000</v>
      </c>
      <c r="D6" s="5" t="s">
        <v>118</v>
      </c>
      <c r="E6" s="5" t="n">
        <v>7</v>
      </c>
      <c r="F6" s="5" t="n">
        <v>11</v>
      </c>
      <c r="G6" s="5" t="n">
        <v>105.5</v>
      </c>
      <c r="H6" s="5" t="n">
        <v>97.17</v>
      </c>
      <c r="I6" s="5" t="n">
        <v>100</v>
      </c>
      <c r="J6" s="5" t="n">
        <v>2</v>
      </c>
      <c r="K6" s="5" t="n">
        <v>1940</v>
      </c>
      <c r="L6" s="5" t="n">
        <v>22</v>
      </c>
    </row>
    <row r="7" customFormat="false" ht="12.75" hidden="false" customHeight="true" outlineLevel="0" collapsed="false">
      <c r="A7" s="5" t="s">
        <v>119</v>
      </c>
      <c r="B7" s="5" t="n">
        <v>234</v>
      </c>
      <c r="C7" s="5" t="n">
        <v>162000000</v>
      </c>
      <c r="D7" s="5" t="s">
        <v>119</v>
      </c>
      <c r="E7" s="5" t="n">
        <v>10</v>
      </c>
      <c r="F7" s="5" t="n">
        <v>10</v>
      </c>
      <c r="G7" s="5" t="n">
        <v>95</v>
      </c>
      <c r="H7" s="5" t="n">
        <v>75</v>
      </c>
      <c r="I7" s="5" t="n">
        <v>32</v>
      </c>
      <c r="J7" s="5" t="n">
        <v>1.6</v>
      </c>
      <c r="K7" s="5" t="n">
        <v>3430</v>
      </c>
      <c r="L7" s="5" t="n">
        <v>24</v>
      </c>
    </row>
    <row r="8" customFormat="false" ht="12.75" hidden="false" customHeight="true" outlineLevel="0" collapsed="false">
      <c r="A8" s="5" t="s">
        <v>120</v>
      </c>
      <c r="B8" s="5" t="n">
        <v>31</v>
      </c>
      <c r="C8" s="5" t="n">
        <v>859533000</v>
      </c>
      <c r="D8" s="5" t="s">
        <v>121</v>
      </c>
      <c r="E8" s="5" t="n">
        <v>6</v>
      </c>
      <c r="F8" s="5" t="n">
        <v>11</v>
      </c>
      <c r="G8" s="5" t="n">
        <v>153</v>
      </c>
      <c r="H8" s="5" t="n">
        <v>129.5</v>
      </c>
      <c r="I8" s="5" t="n">
        <v>265</v>
      </c>
      <c r="J8" s="5" t="n">
        <v>2</v>
      </c>
      <c r="K8" s="5" t="n">
        <v>630</v>
      </c>
      <c r="L8" s="5" t="n">
        <v>38</v>
      </c>
    </row>
    <row r="9" customFormat="false" ht="12.75" hidden="false" customHeight="true" outlineLevel="0" collapsed="false">
      <c r="A9" s="5" t="s">
        <v>122</v>
      </c>
      <c r="B9" s="5" t="n">
        <v>240</v>
      </c>
      <c r="C9" s="5" t="n">
        <v>187700000</v>
      </c>
      <c r="D9" s="5" t="s">
        <v>123</v>
      </c>
      <c r="E9" s="5" t="n">
        <v>1</v>
      </c>
      <c r="F9" s="5" t="n">
        <v>12</v>
      </c>
      <c r="G9" s="5" t="n">
        <v>368</v>
      </c>
      <c r="H9" s="5" t="n">
        <v>345</v>
      </c>
      <c r="I9" s="5" t="n">
        <v>300</v>
      </c>
      <c r="J9" s="5" t="n">
        <v>1.6</v>
      </c>
      <c r="K9" s="5" t="n">
        <v>3528</v>
      </c>
      <c r="L9" s="5" t="n">
        <v>22</v>
      </c>
    </row>
    <row r="10" customFormat="false" ht="12.75" hidden="false" customHeight="true" outlineLevel="0" collapsed="false">
      <c r="A10" s="5" t="s">
        <v>124</v>
      </c>
      <c r="B10" s="5" t="n">
        <v>83</v>
      </c>
      <c r="C10" s="5" t="n">
        <v>18530000</v>
      </c>
      <c r="D10" s="5" t="s">
        <v>125</v>
      </c>
      <c r="E10" s="5" t="n">
        <v>6</v>
      </c>
      <c r="F10" s="5" t="n">
        <v>11</v>
      </c>
      <c r="G10" s="5" t="n">
        <v>112</v>
      </c>
      <c r="H10" s="5" t="n">
        <v>102</v>
      </c>
      <c r="I10" s="5" t="n">
        <v>70</v>
      </c>
      <c r="J10" s="5" t="n">
        <v>1.6</v>
      </c>
      <c r="K10" s="5" t="n">
        <v>1599</v>
      </c>
      <c r="L10" s="5" t="n">
        <v>21</v>
      </c>
    </row>
    <row r="11" customFormat="false" ht="12.75" hidden="false" customHeight="true" outlineLevel="0" collapsed="false">
      <c r="A11" s="5" t="s">
        <v>126</v>
      </c>
      <c r="B11" s="5" t="n">
        <v>47</v>
      </c>
      <c r="C11" s="5" t="n">
        <v>72552000</v>
      </c>
      <c r="D11" s="5" t="s">
        <v>127</v>
      </c>
      <c r="E11" s="5" t="n">
        <v>2</v>
      </c>
      <c r="F11" s="5" t="n">
        <v>2</v>
      </c>
      <c r="G11" s="5" t="n">
        <v>425</v>
      </c>
      <c r="H11" s="5" t="n">
        <v>400</v>
      </c>
      <c r="I11" s="5" t="n">
        <v>90</v>
      </c>
      <c r="J11" s="5" t="n">
        <v>2</v>
      </c>
      <c r="K11" s="5" t="n">
        <v>890</v>
      </c>
      <c r="L11" s="5" t="n">
        <v>39</v>
      </c>
    </row>
    <row r="12" customFormat="false" ht="12.75" hidden="false" customHeight="true" outlineLevel="0" collapsed="false">
      <c r="A12" s="5" t="s">
        <v>128</v>
      </c>
      <c r="B12" s="5" t="n">
        <v>49</v>
      </c>
      <c r="C12" s="5" t="n">
        <v>96800000</v>
      </c>
      <c r="D12" s="5" t="s">
        <v>129</v>
      </c>
      <c r="E12" s="5" t="n">
        <v>6</v>
      </c>
      <c r="F12" s="5" t="n">
        <v>11</v>
      </c>
      <c r="G12" s="5" t="n">
        <v>95</v>
      </c>
      <c r="H12" s="5" t="n">
        <v>82</v>
      </c>
      <c r="I12" s="5" t="n">
        <v>106.05</v>
      </c>
      <c r="J12" s="5" t="n">
        <v>2</v>
      </c>
      <c r="K12" s="5" t="n">
        <v>941</v>
      </c>
      <c r="L12" s="5" t="n">
        <v>54</v>
      </c>
    </row>
    <row r="13" customFormat="false" ht="12.75" hidden="false" customHeight="true" outlineLevel="0" collapsed="false">
      <c r="A13" s="5" t="s">
        <v>130</v>
      </c>
      <c r="B13" s="5" t="n">
        <v>2</v>
      </c>
      <c r="C13" s="5" t="n">
        <v>1601000000</v>
      </c>
      <c r="D13" s="5" t="s">
        <v>130</v>
      </c>
      <c r="E13" s="5" t="n">
        <v>3</v>
      </c>
      <c r="F13" s="5" t="n">
        <v>10</v>
      </c>
      <c r="G13" s="5" t="n">
        <v>142.5</v>
      </c>
      <c r="H13" s="5" t="n">
        <v>94.12</v>
      </c>
      <c r="I13" s="5" t="n">
        <v>100</v>
      </c>
      <c r="J13" s="5" t="n">
        <v>2</v>
      </c>
      <c r="K13" s="5" t="n">
        <v>19</v>
      </c>
      <c r="L13" s="5" t="n">
        <v>30</v>
      </c>
    </row>
    <row r="14" customFormat="false" ht="12.75" hidden="false" customHeight="true" outlineLevel="0" collapsed="false">
      <c r="A14" s="5" t="s">
        <v>131</v>
      </c>
      <c r="B14" s="5" t="n">
        <v>163</v>
      </c>
      <c r="C14" s="5" t="n">
        <v>99560000</v>
      </c>
      <c r="D14" s="5" t="s">
        <v>132</v>
      </c>
      <c r="E14" s="5" t="n">
        <v>9</v>
      </c>
      <c r="F14" s="5" t="n">
        <v>4</v>
      </c>
      <c r="G14" s="5" t="n">
        <v>333.6</v>
      </c>
      <c r="H14" s="5" t="n">
        <v>324.5</v>
      </c>
      <c r="I14" s="5" t="n">
        <v>310</v>
      </c>
      <c r="J14" s="5" t="n">
        <v>1.6</v>
      </c>
      <c r="K14" s="5" t="n">
        <v>2496</v>
      </c>
      <c r="L14" s="5" t="n">
        <v>19</v>
      </c>
    </row>
    <row r="15" customFormat="false" ht="12.75" hidden="false" customHeight="true" outlineLevel="0" collapsed="false">
      <c r="A15" s="5" t="s">
        <v>133</v>
      </c>
      <c r="B15" s="5" t="n">
        <v>202</v>
      </c>
      <c r="C15" s="5" t="n">
        <v>1638800</v>
      </c>
      <c r="D15" s="5" t="s">
        <v>134</v>
      </c>
      <c r="E15" s="5" t="n">
        <v>9</v>
      </c>
      <c r="F15" s="5" t="n">
        <v>4</v>
      </c>
      <c r="G15" s="5" t="n">
        <v>99.85</v>
      </c>
      <c r="H15" s="5" t="n">
        <v>97.7</v>
      </c>
      <c r="I15" s="5" t="n">
        <v>600</v>
      </c>
      <c r="K15" s="5" t="n">
        <v>3121</v>
      </c>
      <c r="L15" s="5" t="n">
        <v>15</v>
      </c>
    </row>
    <row r="16" customFormat="false" ht="12.75" hidden="false" customHeight="true" outlineLevel="0" collapsed="false">
      <c r="A16" s="5" t="s">
        <v>135</v>
      </c>
      <c r="B16" s="5" t="n">
        <v>173</v>
      </c>
      <c r="C16" s="5" t="n">
        <v>37000000</v>
      </c>
      <c r="D16" s="5" t="s">
        <v>136</v>
      </c>
      <c r="E16" s="5" t="n">
        <v>10</v>
      </c>
      <c r="F16" s="5" t="n">
        <v>9</v>
      </c>
      <c r="G16" s="5" t="n">
        <v>71.86</v>
      </c>
      <c r="I16" s="5" t="n">
        <v>180</v>
      </c>
      <c r="K16" s="5" t="n">
        <v>2669</v>
      </c>
      <c r="L16" s="5" t="n">
        <v>18</v>
      </c>
    </row>
    <row r="17" customFormat="false" ht="12.75" hidden="false" customHeight="true" outlineLevel="0" collapsed="false">
      <c r="A17" s="5" t="s">
        <v>137</v>
      </c>
      <c r="B17" s="5" t="n">
        <v>177</v>
      </c>
      <c r="C17" s="5" t="n">
        <v>18425000</v>
      </c>
      <c r="D17" s="5" t="s">
        <v>138</v>
      </c>
      <c r="E17" s="5" t="n">
        <v>1</v>
      </c>
      <c r="F17" s="5" t="n">
        <v>3</v>
      </c>
      <c r="G17" s="5" t="n">
        <v>448.54</v>
      </c>
      <c r="H17" s="5" t="n">
        <v>438</v>
      </c>
      <c r="I17" s="5" t="n">
        <v>150</v>
      </c>
      <c r="J17" s="5" t="n">
        <v>2</v>
      </c>
      <c r="K17" s="5" t="n">
        <v>2717</v>
      </c>
      <c r="L17" s="5" t="n">
        <v>28</v>
      </c>
    </row>
    <row r="18" customFormat="false" ht="12.75" hidden="false" customHeight="true" outlineLevel="0" collapsed="false">
      <c r="A18" s="5" t="s">
        <v>139</v>
      </c>
      <c r="B18" s="5" t="n">
        <v>64</v>
      </c>
      <c r="C18" s="5" t="n">
        <v>6000000</v>
      </c>
      <c r="D18" s="5" t="s">
        <v>140</v>
      </c>
      <c r="E18" s="5" t="n">
        <v>6</v>
      </c>
      <c r="F18" s="5" t="n">
        <v>4</v>
      </c>
      <c r="G18" s="5" t="n">
        <v>104.5</v>
      </c>
      <c r="H18" s="5" t="n">
        <v>99</v>
      </c>
      <c r="J18" s="5" t="n">
        <v>1.6</v>
      </c>
      <c r="K18" s="5" t="n">
        <v>1224</v>
      </c>
      <c r="L18" s="5" t="n">
        <v>14</v>
      </c>
    </row>
    <row r="19" customFormat="false" ht="12.75" hidden="false" customHeight="true" outlineLevel="0" collapsed="false">
      <c r="A19" s="5" t="s">
        <v>141</v>
      </c>
      <c r="B19" s="5" t="n">
        <v>125</v>
      </c>
      <c r="C19" s="5" t="n">
        <v>8442000</v>
      </c>
      <c r="D19" s="5" t="s">
        <v>142</v>
      </c>
      <c r="E19" s="5" t="n">
        <v>1</v>
      </c>
      <c r="F19" s="5" t="n">
        <v>12</v>
      </c>
      <c r="G19" s="5" t="n">
        <v>100</v>
      </c>
      <c r="H19" s="5" t="n">
        <v>96</v>
      </c>
      <c r="K19" s="5" t="n">
        <v>2101</v>
      </c>
      <c r="L19" s="5" t="n">
        <v>16</v>
      </c>
    </row>
    <row r="20" customFormat="false" ht="12.75" hidden="false" customHeight="true" outlineLevel="0" collapsed="false">
      <c r="A20" s="5" t="s">
        <v>143</v>
      </c>
      <c r="B20" s="5" t="n">
        <v>170</v>
      </c>
      <c r="C20" s="5" t="n">
        <v>34330000</v>
      </c>
      <c r="D20" s="5" t="s">
        <v>144</v>
      </c>
      <c r="E20" s="5" t="n">
        <v>2</v>
      </c>
      <c r="F20" s="5" t="n">
        <v>2</v>
      </c>
      <c r="G20" s="5" t="n">
        <v>305</v>
      </c>
      <c r="H20" s="5" t="n">
        <v>289</v>
      </c>
      <c r="I20" s="5" t="n">
        <v>76</v>
      </c>
      <c r="J20" s="5" t="n">
        <v>2</v>
      </c>
      <c r="K20" s="5" t="n">
        <v>2611</v>
      </c>
      <c r="L20" s="5" t="n">
        <v>20</v>
      </c>
    </row>
    <row r="21" customFormat="false" ht="12.75" hidden="false" customHeight="true" outlineLevel="0" collapsed="false">
      <c r="A21" s="5" t="s">
        <v>145</v>
      </c>
      <c r="B21" s="5" t="n">
        <v>217</v>
      </c>
      <c r="C21" s="5" t="n">
        <v>1130000</v>
      </c>
      <c r="D21" s="5" t="s">
        <v>146</v>
      </c>
      <c r="E21" s="5" t="n">
        <v>1</v>
      </c>
      <c r="F21" s="5" t="n">
        <v>12</v>
      </c>
      <c r="G21" s="5" t="n">
        <v>100</v>
      </c>
      <c r="I21" s="5" t="n">
        <v>257.8</v>
      </c>
      <c r="J21" s="5" t="n">
        <v>1.2</v>
      </c>
      <c r="K21" s="5" t="n">
        <v>3360</v>
      </c>
      <c r="L21" s="5" t="n">
        <v>13</v>
      </c>
    </row>
    <row r="22" customFormat="false" ht="12.75" hidden="false" customHeight="true" outlineLevel="0" collapsed="false">
      <c r="A22" s="5" t="s">
        <v>147</v>
      </c>
      <c r="B22" s="5" t="n">
        <v>74</v>
      </c>
      <c r="C22" s="5" t="n">
        <v>13110000</v>
      </c>
      <c r="D22" s="5" t="s">
        <v>148</v>
      </c>
      <c r="E22" s="5" t="n">
        <v>4</v>
      </c>
      <c r="F22" s="5" t="n">
        <v>1</v>
      </c>
      <c r="G22" s="5" t="n">
        <v>101</v>
      </c>
      <c r="H22" s="5" t="n">
        <v>94.5</v>
      </c>
      <c r="I22" s="5" t="n">
        <v>60</v>
      </c>
      <c r="J22" s="5" t="n">
        <v>1.6</v>
      </c>
      <c r="K22" s="5" t="n">
        <v>1431</v>
      </c>
      <c r="L22" s="5" t="n">
        <v>14</v>
      </c>
    </row>
    <row r="23" customFormat="false" ht="12.75" hidden="false" customHeight="true" outlineLevel="0" collapsed="false">
      <c r="A23" s="5" t="s">
        <v>149</v>
      </c>
      <c r="B23" s="5" t="n">
        <v>127</v>
      </c>
      <c r="C23" s="5" t="n">
        <v>69250000</v>
      </c>
      <c r="D23" s="5" t="s">
        <v>150</v>
      </c>
      <c r="E23" s="5" t="n">
        <v>1</v>
      </c>
      <c r="F23" s="5" t="n">
        <v>3</v>
      </c>
      <c r="G23" s="5" t="n">
        <v>393</v>
      </c>
      <c r="H23" s="5" t="n">
        <v>354</v>
      </c>
      <c r="I23" s="5" t="n">
        <v>50</v>
      </c>
      <c r="J23" s="5" t="n">
        <v>2</v>
      </c>
      <c r="K23" s="5" t="n">
        <v>2133</v>
      </c>
      <c r="L23" s="5" t="n">
        <v>42</v>
      </c>
    </row>
    <row r="24" customFormat="false" ht="12.75" hidden="false" customHeight="true" outlineLevel="0" collapsed="false">
      <c r="A24" s="5" t="s">
        <v>151</v>
      </c>
      <c r="B24" s="5" t="n">
        <v>33</v>
      </c>
      <c r="C24" s="5" t="n">
        <v>6000000</v>
      </c>
      <c r="D24" s="5" t="s">
        <v>152</v>
      </c>
      <c r="E24" s="5" t="n">
        <v>3</v>
      </c>
      <c r="F24" s="5" t="n">
        <v>12</v>
      </c>
      <c r="G24" s="5" t="n">
        <v>97.3</v>
      </c>
      <c r="H24" s="5" t="n">
        <v>90</v>
      </c>
      <c r="I24" s="5" t="n">
        <v>90</v>
      </c>
      <c r="J24" s="5" t="n">
        <v>1.6</v>
      </c>
      <c r="K24" s="5" t="n">
        <v>681</v>
      </c>
      <c r="L24" s="5" t="n">
        <v>24</v>
      </c>
    </row>
    <row r="25" customFormat="false" ht="12.75" hidden="false" customHeight="true" outlineLevel="0" collapsed="false">
      <c r="A25" s="5" t="s">
        <v>153</v>
      </c>
      <c r="B25" s="5" t="n">
        <v>65</v>
      </c>
      <c r="C25" s="5" t="n">
        <v>26230000</v>
      </c>
      <c r="D25" s="5" t="s">
        <v>154</v>
      </c>
      <c r="E25" s="5" t="n">
        <v>6</v>
      </c>
      <c r="F25" s="5" t="n">
        <v>4</v>
      </c>
      <c r="G25" s="5" t="n">
        <v>96</v>
      </c>
      <c r="H25" s="5" t="n">
        <v>86.5</v>
      </c>
      <c r="I25" s="5" t="n">
        <v>192.9</v>
      </c>
      <c r="J25" s="5" t="n">
        <v>1.6</v>
      </c>
      <c r="K25" s="5" t="n">
        <v>1238</v>
      </c>
      <c r="L25" s="5" t="n">
        <v>16</v>
      </c>
    </row>
    <row r="26" customFormat="false" ht="12.75" hidden="false" customHeight="true" outlineLevel="0" collapsed="false">
      <c r="A26" s="5" t="s">
        <v>155</v>
      </c>
      <c r="B26" s="5" t="n">
        <v>236</v>
      </c>
      <c r="C26" s="5" t="n">
        <v>13480000</v>
      </c>
      <c r="D26" s="5" t="s">
        <v>156</v>
      </c>
      <c r="E26" s="5" t="n">
        <v>6</v>
      </c>
      <c r="F26" s="5" t="n">
        <v>4</v>
      </c>
      <c r="G26" s="5" t="n">
        <v>280</v>
      </c>
      <c r="H26" s="5" t="n">
        <v>267</v>
      </c>
      <c r="I26" s="5" t="n">
        <v>65</v>
      </c>
      <c r="J26" s="5" t="n">
        <v>1.6</v>
      </c>
      <c r="K26" s="5" t="n">
        <v>3473</v>
      </c>
      <c r="L26" s="5" t="n">
        <v>21</v>
      </c>
    </row>
    <row r="27" customFormat="false" ht="12.75" hidden="false" customHeight="true" outlineLevel="0" collapsed="false">
      <c r="A27" s="5" t="s">
        <v>157</v>
      </c>
      <c r="B27" s="5" t="n">
        <v>53</v>
      </c>
      <c r="C27" s="5" t="n">
        <v>46621000</v>
      </c>
      <c r="D27" s="5" t="s">
        <v>134</v>
      </c>
      <c r="E27" s="5" t="n">
        <v>9</v>
      </c>
      <c r="F27" s="5" t="n">
        <v>4</v>
      </c>
      <c r="G27" s="5" t="n">
        <v>300</v>
      </c>
      <c r="H27" s="5" t="n">
        <v>290</v>
      </c>
      <c r="I27" s="5" t="n">
        <v>200</v>
      </c>
      <c r="J27" s="5" t="n">
        <v>2</v>
      </c>
      <c r="K27" s="5" t="n">
        <v>1055</v>
      </c>
      <c r="L27" s="5" t="n">
        <v>18</v>
      </c>
    </row>
    <row r="28" customFormat="false" ht="12.75" hidden="false" customHeight="true" outlineLevel="0" collapsed="false">
      <c r="A28" s="5" t="s">
        <v>158</v>
      </c>
      <c r="B28" s="5" t="n">
        <v>194</v>
      </c>
      <c r="C28" s="5" t="n">
        <v>6700000000</v>
      </c>
      <c r="D28" s="5" t="s">
        <v>159</v>
      </c>
      <c r="E28" s="5" t="n">
        <v>4</v>
      </c>
      <c r="F28" s="5" t="n">
        <v>9</v>
      </c>
      <c r="G28" s="5" t="n">
        <v>106</v>
      </c>
      <c r="H28" s="5" t="n">
        <v>57</v>
      </c>
      <c r="I28" s="5" t="n">
        <v>153</v>
      </c>
      <c r="J28" s="5" t="n">
        <v>2</v>
      </c>
      <c r="K28" s="5" t="n">
        <v>2962</v>
      </c>
      <c r="L28" s="5" t="n">
        <v>103</v>
      </c>
    </row>
    <row r="29" customFormat="false" ht="12.75" hidden="false" customHeight="true" outlineLevel="0" collapsed="false">
      <c r="A29" s="5" t="s">
        <v>160</v>
      </c>
      <c r="B29" s="5" t="n">
        <v>97</v>
      </c>
      <c r="C29" s="5" t="n">
        <v>62310000</v>
      </c>
      <c r="D29" s="5" t="s">
        <v>161</v>
      </c>
      <c r="E29" s="5" t="n">
        <v>10</v>
      </c>
      <c r="F29" s="5" t="n">
        <v>10</v>
      </c>
      <c r="G29" s="5" t="n">
        <v>151.5</v>
      </c>
      <c r="H29" s="5" t="n">
        <v>137</v>
      </c>
      <c r="I29" s="5" t="n">
        <v>80</v>
      </c>
      <c r="J29" s="5" t="n">
        <v>2</v>
      </c>
      <c r="K29" s="5" t="n">
        <v>1846</v>
      </c>
      <c r="L29" s="5" t="n">
        <v>16</v>
      </c>
    </row>
    <row r="30" customFormat="false" ht="12.75" hidden="false" customHeight="true" outlineLevel="0" collapsed="false">
      <c r="A30" s="5" t="s">
        <v>162</v>
      </c>
      <c r="B30" s="5" t="n">
        <v>223</v>
      </c>
      <c r="C30" s="5" t="n">
        <v>24900000</v>
      </c>
      <c r="D30" s="5" t="s">
        <v>163</v>
      </c>
      <c r="E30" s="5" t="n">
        <v>10</v>
      </c>
      <c r="F30" s="5" t="n">
        <v>5</v>
      </c>
      <c r="G30" s="5" t="n">
        <v>45</v>
      </c>
      <c r="H30" s="5" t="n">
        <v>38.13</v>
      </c>
      <c r="I30" s="5" t="n">
        <v>50</v>
      </c>
      <c r="J30" s="5" t="n">
        <v>2</v>
      </c>
      <c r="K30" s="5" t="n">
        <v>3399</v>
      </c>
      <c r="L30" s="5" t="n">
        <v>18</v>
      </c>
    </row>
    <row r="31" customFormat="false" ht="12.75" hidden="false" customHeight="true" outlineLevel="0" collapsed="false">
      <c r="A31" s="5" t="s">
        <v>164</v>
      </c>
      <c r="B31" s="5" t="n">
        <v>158</v>
      </c>
      <c r="C31" s="5" t="n">
        <v>12000000</v>
      </c>
      <c r="D31" s="5" t="s">
        <v>165</v>
      </c>
      <c r="E31" s="5" t="n">
        <v>10</v>
      </c>
      <c r="F31" s="5" t="n">
        <v>13</v>
      </c>
      <c r="G31" s="5" t="n">
        <v>36.89</v>
      </c>
      <c r="H31" s="5" t="n">
        <v>31.5</v>
      </c>
      <c r="I31" s="5" t="n">
        <v>120</v>
      </c>
      <c r="J31" s="5" t="n">
        <v>2</v>
      </c>
      <c r="K31" s="5" t="n">
        <v>2417</v>
      </c>
      <c r="L31" s="5" t="n">
        <v>13</v>
      </c>
    </row>
    <row r="32" customFormat="false" ht="12.75" hidden="false" customHeight="true" outlineLevel="0" collapsed="false">
      <c r="A32" s="5" t="s">
        <v>166</v>
      </c>
      <c r="B32" s="5" t="n">
        <v>3</v>
      </c>
      <c r="C32" s="5" t="n">
        <v>202000000</v>
      </c>
      <c r="D32" s="5" t="s">
        <v>167</v>
      </c>
      <c r="E32" s="5" t="n">
        <v>8</v>
      </c>
      <c r="F32" s="5" t="n">
        <v>13</v>
      </c>
      <c r="G32" s="5" t="n">
        <v>73</v>
      </c>
      <c r="H32" s="5" t="n">
        <v>55</v>
      </c>
      <c r="I32" s="5" t="n">
        <v>63.6</v>
      </c>
      <c r="J32" s="5" t="n">
        <v>1.6</v>
      </c>
      <c r="K32" s="5" t="n">
        <v>49</v>
      </c>
      <c r="L32" s="5" t="n">
        <v>33</v>
      </c>
    </row>
    <row r="33" customFormat="false" ht="12.75" hidden="false" customHeight="true" outlineLevel="0" collapsed="false">
      <c r="A33" s="5" t="s">
        <v>168</v>
      </c>
      <c r="B33" s="5" t="n">
        <v>4</v>
      </c>
      <c r="C33" s="5" t="n">
        <v>126000000</v>
      </c>
      <c r="D33" s="5" t="s">
        <v>169</v>
      </c>
      <c r="E33" s="5" t="n">
        <v>3</v>
      </c>
      <c r="F33" s="5" t="n">
        <v>10</v>
      </c>
      <c r="G33" s="5" t="n">
        <v>114.5</v>
      </c>
      <c r="H33" s="5" t="n">
        <v>100.5</v>
      </c>
      <c r="I33" s="5" t="n">
        <v>75.27</v>
      </c>
      <c r="J33" s="5" t="n">
        <v>2</v>
      </c>
      <c r="K33" s="5" t="n">
        <v>82</v>
      </c>
      <c r="L33" s="5" t="n">
        <v>27</v>
      </c>
    </row>
    <row r="34" customFormat="false" ht="12.75" hidden="false" customHeight="true" outlineLevel="0" collapsed="false">
      <c r="A34" s="5" t="s">
        <v>170</v>
      </c>
      <c r="B34" s="5" t="n">
        <v>84</v>
      </c>
      <c r="C34" s="5" t="n">
        <v>86090000</v>
      </c>
      <c r="D34" s="5" t="s">
        <v>171</v>
      </c>
      <c r="E34" s="5" t="n">
        <v>3</v>
      </c>
      <c r="F34" s="5" t="n">
        <v>9</v>
      </c>
      <c r="G34" s="5" t="n">
        <v>103</v>
      </c>
      <c r="H34" s="5" t="n">
        <v>92.15</v>
      </c>
      <c r="I34" s="5" t="n">
        <v>150</v>
      </c>
      <c r="J34" s="5" t="n">
        <v>1.6</v>
      </c>
      <c r="K34" s="5" t="n">
        <v>1620</v>
      </c>
      <c r="L34" s="5" t="n">
        <v>20</v>
      </c>
    </row>
    <row r="35" customFormat="false" ht="12.75" hidden="false" customHeight="true" outlineLevel="0" collapsed="false">
      <c r="A35" s="5" t="s">
        <v>172</v>
      </c>
      <c r="B35" s="5" t="n">
        <v>220</v>
      </c>
      <c r="C35" s="5" t="n">
        <v>5095672</v>
      </c>
      <c r="D35" s="5" t="s">
        <v>173</v>
      </c>
      <c r="E35" s="5" t="n">
        <v>10</v>
      </c>
      <c r="F35" s="5" t="n">
        <v>5</v>
      </c>
      <c r="G35" s="5" t="n">
        <v>14.9</v>
      </c>
      <c r="H35" s="5" t="n">
        <v>9</v>
      </c>
      <c r="I35" s="5" t="n">
        <v>261.24</v>
      </c>
      <c r="J35" s="5" t="n">
        <v>2</v>
      </c>
      <c r="K35" s="5" t="n">
        <v>3386</v>
      </c>
      <c r="L35" s="5" t="n">
        <v>13</v>
      </c>
    </row>
    <row r="36" customFormat="false" ht="12.75" hidden="false" customHeight="true" outlineLevel="0" collapsed="false">
      <c r="A36" s="5" t="s">
        <v>174</v>
      </c>
      <c r="B36" s="5" t="n">
        <v>133</v>
      </c>
      <c r="C36" s="5" t="n">
        <v>4297203</v>
      </c>
      <c r="D36" s="5" t="s">
        <v>175</v>
      </c>
      <c r="E36" s="5" t="n">
        <v>9</v>
      </c>
      <c r="F36" s="5" t="n">
        <v>12</v>
      </c>
      <c r="G36" s="5" t="n">
        <v>98</v>
      </c>
      <c r="H36" s="5" t="n">
        <v>94</v>
      </c>
      <c r="I36" s="5" t="n">
        <v>73</v>
      </c>
      <c r="J36" s="5" t="n">
        <v>1.6</v>
      </c>
      <c r="K36" s="5" t="n">
        <v>2266</v>
      </c>
      <c r="L36" s="5" t="n">
        <v>13</v>
      </c>
    </row>
    <row r="37" customFormat="false" ht="12.75" hidden="false" customHeight="true" outlineLevel="0" collapsed="false">
      <c r="A37" s="5" t="s">
        <v>176</v>
      </c>
      <c r="B37" s="5" t="n">
        <v>34</v>
      </c>
      <c r="C37" s="5" t="n">
        <v>4604394</v>
      </c>
      <c r="D37" s="5" t="s">
        <v>132</v>
      </c>
      <c r="E37" s="5" t="n">
        <v>9</v>
      </c>
      <c r="F37" s="5" t="n">
        <v>4</v>
      </c>
      <c r="G37" s="5" t="n">
        <v>98</v>
      </c>
      <c r="I37" s="5" t="n">
        <v>102</v>
      </c>
      <c r="J37" s="5" t="n">
        <v>1.6</v>
      </c>
      <c r="K37" s="5" t="n">
        <v>705</v>
      </c>
      <c r="L37" s="5" t="n">
        <v>13</v>
      </c>
    </row>
    <row r="38" customFormat="false" ht="12.75" hidden="false" customHeight="true" outlineLevel="0" collapsed="false">
      <c r="A38" s="5" t="s">
        <v>177</v>
      </c>
      <c r="B38" s="5" t="n">
        <v>197</v>
      </c>
      <c r="C38" s="5" t="n">
        <v>12170000</v>
      </c>
      <c r="D38" s="5" t="s">
        <v>171</v>
      </c>
      <c r="E38" s="5" t="n">
        <v>3</v>
      </c>
      <c r="F38" s="5" t="n">
        <v>9</v>
      </c>
      <c r="G38" s="5" t="n">
        <v>84.6</v>
      </c>
      <c r="K38" s="5" t="n">
        <v>3065</v>
      </c>
      <c r="L38" s="5" t="n">
        <v>15</v>
      </c>
    </row>
    <row r="39" customFormat="false" ht="12.75" hidden="false" customHeight="true" outlineLevel="0" collapsed="false">
      <c r="A39" s="5" t="s">
        <v>178</v>
      </c>
      <c r="B39" s="5" t="n">
        <v>178</v>
      </c>
      <c r="C39" s="5" t="n">
        <v>5600000</v>
      </c>
      <c r="D39" s="5" t="s">
        <v>179</v>
      </c>
      <c r="E39" s="5" t="n">
        <v>8</v>
      </c>
      <c r="F39" s="5" t="n">
        <v>13</v>
      </c>
      <c r="G39" s="5" t="n">
        <v>999.1</v>
      </c>
      <c r="I39" s="5" t="n">
        <v>80</v>
      </c>
      <c r="J39" s="5" t="n">
        <v>1.6</v>
      </c>
      <c r="K39" s="5" t="n">
        <v>2745</v>
      </c>
      <c r="L39" s="5" t="n">
        <v>14</v>
      </c>
    </row>
    <row r="40" customFormat="false" ht="12.75" hidden="false" customHeight="true" outlineLevel="0" collapsed="false">
      <c r="A40" s="5" t="s">
        <v>180</v>
      </c>
      <c r="B40" s="5" t="n">
        <v>60</v>
      </c>
      <c r="C40" s="5" t="n">
        <v>13200000</v>
      </c>
      <c r="D40" s="5" t="s">
        <v>118</v>
      </c>
      <c r="E40" s="5" t="n">
        <v>7</v>
      </c>
      <c r="F40" s="5" t="n">
        <v>11</v>
      </c>
      <c r="G40" s="5" t="n">
        <v>98</v>
      </c>
      <c r="I40" s="5" t="n">
        <v>100</v>
      </c>
      <c r="J40" s="5" t="n">
        <v>1.6</v>
      </c>
      <c r="K40" s="5" t="n">
        <v>1163</v>
      </c>
      <c r="L40" s="5" t="n">
        <v>14</v>
      </c>
    </row>
    <row r="41" customFormat="false" ht="12.75" hidden="false" customHeight="true" outlineLevel="0" collapsed="false">
      <c r="A41" s="5" t="s">
        <v>181</v>
      </c>
      <c r="B41" s="5" t="n">
        <v>215</v>
      </c>
      <c r="C41" s="5" t="n">
        <v>18040000</v>
      </c>
      <c r="D41" s="5" t="s">
        <v>182</v>
      </c>
      <c r="E41" s="5" t="n">
        <v>7</v>
      </c>
      <c r="F41" s="5" t="n">
        <v>11</v>
      </c>
      <c r="G41" s="5" t="n">
        <v>57</v>
      </c>
      <c r="H41" s="5" t="n">
        <v>50.5</v>
      </c>
      <c r="I41" s="5" t="n">
        <v>100</v>
      </c>
      <c r="J41" s="5" t="n">
        <v>1.2</v>
      </c>
      <c r="K41" s="5" t="n">
        <v>3323</v>
      </c>
      <c r="L41" s="5" t="n">
        <v>11</v>
      </c>
    </row>
    <row r="42" customFormat="false" ht="12.75" hidden="false" customHeight="true" outlineLevel="0" collapsed="false">
      <c r="A42" s="5" t="s">
        <v>183</v>
      </c>
      <c r="B42" s="5" t="n">
        <v>134</v>
      </c>
      <c r="C42" s="5" t="n">
        <v>1770000</v>
      </c>
      <c r="D42" s="5" t="s">
        <v>184</v>
      </c>
      <c r="E42" s="5" t="n">
        <v>1</v>
      </c>
      <c r="F42" s="5" t="n">
        <v>3</v>
      </c>
      <c r="G42" s="5" t="n">
        <v>334</v>
      </c>
      <c r="H42" s="5" t="n">
        <v>323</v>
      </c>
      <c r="I42" s="5" t="n">
        <v>25.7</v>
      </c>
      <c r="J42" s="5" t="n">
        <v>1.6</v>
      </c>
      <c r="K42" s="5" t="n">
        <v>2279</v>
      </c>
      <c r="L42" s="5" t="n">
        <v>16</v>
      </c>
    </row>
    <row r="43" customFormat="false" ht="12.75" hidden="false" customHeight="true" outlineLevel="0" collapsed="false">
      <c r="A43" s="5" t="s">
        <v>185</v>
      </c>
      <c r="B43" s="5" t="n">
        <v>5</v>
      </c>
      <c r="C43" s="5" t="n">
        <v>254000000</v>
      </c>
      <c r="D43" s="5" t="s">
        <v>186</v>
      </c>
      <c r="E43" s="5" t="n">
        <v>6</v>
      </c>
      <c r="F43" s="5" t="n">
        <v>11</v>
      </c>
      <c r="G43" s="5" t="n">
        <v>201</v>
      </c>
      <c r="H43" s="5" t="n">
        <v>178.02</v>
      </c>
      <c r="I43" s="5" t="n">
        <v>250.75</v>
      </c>
      <c r="J43" s="5" t="n">
        <v>2</v>
      </c>
      <c r="K43" s="5" t="n">
        <v>109</v>
      </c>
      <c r="L43" s="5" t="n">
        <v>8</v>
      </c>
    </row>
    <row r="44" customFormat="false" ht="12.75" hidden="false" customHeight="true" outlineLevel="0" collapsed="false">
      <c r="A44" s="5" t="s">
        <v>187</v>
      </c>
      <c r="B44" s="5" t="n">
        <v>30</v>
      </c>
      <c r="C44" s="5" t="n">
        <v>10390000</v>
      </c>
      <c r="D44" s="5" t="s">
        <v>148</v>
      </c>
      <c r="E44" s="5" t="n">
        <v>4</v>
      </c>
      <c r="F44" s="5" t="n">
        <v>1</v>
      </c>
      <c r="G44" s="5" t="n">
        <v>23.5</v>
      </c>
      <c r="H44" s="5" t="n">
        <v>16</v>
      </c>
      <c r="I44" s="5" t="n">
        <v>70</v>
      </c>
      <c r="J44" s="5" t="n">
        <v>1.6</v>
      </c>
      <c r="K44" s="5" t="n">
        <v>613</v>
      </c>
      <c r="L44" s="5" t="n">
        <v>17</v>
      </c>
    </row>
    <row r="45" customFormat="false" ht="12.75" hidden="false" customHeight="true" outlineLevel="0" collapsed="false">
      <c r="A45" s="5" t="s">
        <v>188</v>
      </c>
      <c r="B45" s="5" t="n">
        <v>44</v>
      </c>
      <c r="C45" s="5" t="n">
        <v>2720000</v>
      </c>
      <c r="D45" s="5" t="s">
        <v>189</v>
      </c>
      <c r="E45" s="5" t="n">
        <v>8</v>
      </c>
      <c r="F45" s="5" t="n">
        <v>10</v>
      </c>
      <c r="G45" s="5" t="n">
        <v>108.5</v>
      </c>
      <c r="H45" s="5" t="n">
        <v>98.38</v>
      </c>
      <c r="I45" s="5" t="n">
        <v>60</v>
      </c>
      <c r="J45" s="5" t="n">
        <v>1.6</v>
      </c>
      <c r="K45" s="5" t="n">
        <v>835</v>
      </c>
      <c r="L45" s="5" t="n">
        <v>23</v>
      </c>
    </row>
    <row r="46" customFormat="false" ht="12.75" hidden="false" customHeight="true" outlineLevel="0" collapsed="false">
      <c r="A46" s="5" t="s">
        <v>190</v>
      </c>
      <c r="B46" s="5" t="n">
        <v>208</v>
      </c>
      <c r="C46" s="5" t="n">
        <v>1750000</v>
      </c>
      <c r="D46" s="5" t="s">
        <v>191</v>
      </c>
      <c r="E46" s="5" t="n">
        <v>1</v>
      </c>
      <c r="F46" s="5" t="n">
        <v>12</v>
      </c>
      <c r="G46" s="5" t="n">
        <v>100</v>
      </c>
      <c r="I46" s="5" t="n">
        <v>40</v>
      </c>
      <c r="J46" s="5" t="n">
        <v>1.2</v>
      </c>
      <c r="K46" s="5" t="n">
        <v>3190</v>
      </c>
      <c r="L46" s="5" t="n">
        <v>15</v>
      </c>
    </row>
    <row r="47" customFormat="false" ht="12.75" hidden="false" customHeight="true" outlineLevel="0" collapsed="false">
      <c r="A47" s="5" t="s">
        <v>192</v>
      </c>
      <c r="B47" s="5" t="n">
        <v>239</v>
      </c>
      <c r="C47" s="5" t="n">
        <v>19200000</v>
      </c>
      <c r="D47" s="5" t="s">
        <v>193</v>
      </c>
      <c r="E47" s="5" t="n">
        <v>1</v>
      </c>
      <c r="F47" s="5" t="n">
        <v>7</v>
      </c>
      <c r="G47" s="5" t="n">
        <v>241.17</v>
      </c>
      <c r="H47" s="5" t="n">
        <v>232</v>
      </c>
      <c r="I47" s="5" t="n">
        <v>78</v>
      </c>
      <c r="J47" s="5" t="n">
        <v>1.6</v>
      </c>
      <c r="K47" s="5" t="n">
        <v>3501</v>
      </c>
      <c r="L47" s="5" t="n">
        <v>27</v>
      </c>
    </row>
    <row r="48" customFormat="false" ht="12.75" hidden="false" customHeight="true" outlineLevel="0" collapsed="false">
      <c r="A48" s="5" t="s">
        <v>194</v>
      </c>
      <c r="B48" s="5" t="n">
        <v>59</v>
      </c>
      <c r="C48" s="5" t="n">
        <v>12230000</v>
      </c>
      <c r="D48" s="5" t="s">
        <v>195</v>
      </c>
      <c r="E48" s="5" t="n">
        <v>6</v>
      </c>
      <c r="F48" s="5" t="n">
        <v>4</v>
      </c>
      <c r="G48" s="5" t="n">
        <v>98</v>
      </c>
      <c r="H48" s="5" t="n">
        <v>89.5</v>
      </c>
      <c r="I48" s="5" t="n">
        <v>80</v>
      </c>
      <c r="J48" s="5" t="n">
        <v>1.6</v>
      </c>
      <c r="K48" s="5" t="n">
        <v>1147</v>
      </c>
      <c r="L48" s="5" t="n">
        <v>16</v>
      </c>
    </row>
    <row r="49" customFormat="false" ht="12.75" hidden="false" customHeight="true" outlineLevel="0" collapsed="false">
      <c r="A49" s="5" t="s">
        <v>196</v>
      </c>
      <c r="B49" s="5" t="n">
        <v>6</v>
      </c>
      <c r="C49" s="5" t="n">
        <v>30100000</v>
      </c>
      <c r="D49" s="5" t="s">
        <v>142</v>
      </c>
      <c r="E49" s="5" t="n">
        <v>1</v>
      </c>
      <c r="F49" s="5" t="n">
        <v>12</v>
      </c>
      <c r="G49" s="5" t="n">
        <v>436</v>
      </c>
      <c r="H49" s="5" t="n">
        <v>428</v>
      </c>
      <c r="I49" s="5" t="n">
        <v>200</v>
      </c>
      <c r="J49" s="5" t="n">
        <v>1.6</v>
      </c>
      <c r="K49" s="5" t="n">
        <v>117</v>
      </c>
      <c r="L49" s="5" t="n">
        <v>13</v>
      </c>
    </row>
    <row r="50" customFormat="false" ht="12.75" hidden="false" customHeight="true" outlineLevel="0" collapsed="false">
      <c r="A50" s="5" t="s">
        <v>197</v>
      </c>
      <c r="B50" s="5" t="n">
        <v>212</v>
      </c>
      <c r="C50" s="5" t="n">
        <v>509693000</v>
      </c>
      <c r="D50" s="5" t="s">
        <v>159</v>
      </c>
      <c r="E50" s="5" t="n">
        <v>4</v>
      </c>
      <c r="F50" s="5" t="n">
        <v>9</v>
      </c>
      <c r="G50" s="5" t="n">
        <v>99</v>
      </c>
      <c r="H50" s="5" t="n">
        <v>75</v>
      </c>
      <c r="I50" s="5" t="n">
        <v>250</v>
      </c>
      <c r="K50" s="5" t="n">
        <v>3247</v>
      </c>
      <c r="L50" s="5" t="n">
        <v>45</v>
      </c>
    </row>
    <row r="51" customFormat="false" ht="12.75" hidden="false" customHeight="true" outlineLevel="0" collapsed="false">
      <c r="A51" s="5" t="s">
        <v>198</v>
      </c>
      <c r="B51" s="5" t="n">
        <v>172</v>
      </c>
      <c r="C51" s="5" t="n">
        <v>105000000</v>
      </c>
      <c r="D51" s="5" t="s">
        <v>199</v>
      </c>
      <c r="E51" s="5" t="n">
        <v>9</v>
      </c>
      <c r="F51" s="5" t="n">
        <v>4</v>
      </c>
      <c r="G51" s="5" t="n">
        <v>351</v>
      </c>
      <c r="H51" s="5" t="n">
        <v>340.5</v>
      </c>
      <c r="I51" s="5" t="n">
        <v>80</v>
      </c>
      <c r="J51" s="5" t="n">
        <v>2</v>
      </c>
      <c r="K51" s="5" t="n">
        <v>2645</v>
      </c>
      <c r="L51" s="5" t="n">
        <v>24</v>
      </c>
    </row>
    <row r="52" customFormat="false" ht="12.75" hidden="false" customHeight="true" outlineLevel="0" collapsed="false">
      <c r="A52" s="5" t="s">
        <v>200</v>
      </c>
      <c r="B52" s="5" t="n">
        <v>119</v>
      </c>
      <c r="C52" s="5" t="n">
        <v>118000000</v>
      </c>
      <c r="D52" s="5" t="s">
        <v>201</v>
      </c>
      <c r="E52" s="5" t="n">
        <v>3</v>
      </c>
      <c r="F52" s="5" t="n">
        <v>10</v>
      </c>
      <c r="G52" s="5" t="n">
        <v>236.2</v>
      </c>
      <c r="H52" s="5" t="n">
        <v>215.03</v>
      </c>
      <c r="I52" s="5" t="n">
        <v>160.12</v>
      </c>
      <c r="J52" s="5" t="n">
        <v>1.6</v>
      </c>
      <c r="K52" s="5" t="n">
        <v>2024</v>
      </c>
      <c r="L52" s="5" t="n">
        <v>22</v>
      </c>
    </row>
    <row r="53" customFormat="false" ht="12.75" hidden="false" customHeight="true" outlineLevel="0" collapsed="false">
      <c r="A53" s="5" t="s">
        <v>125</v>
      </c>
      <c r="B53" s="5" t="n">
        <v>51</v>
      </c>
      <c r="C53" s="5" t="n">
        <v>50130000</v>
      </c>
      <c r="D53" s="5" t="s">
        <v>125</v>
      </c>
      <c r="E53" s="5" t="n">
        <v>6</v>
      </c>
      <c r="F53" s="5" t="n">
        <v>11</v>
      </c>
      <c r="G53" s="5" t="n">
        <v>112</v>
      </c>
      <c r="H53" s="5" t="n">
        <v>105.6</v>
      </c>
      <c r="I53" s="5" t="n">
        <v>50</v>
      </c>
      <c r="J53" s="5" t="n">
        <v>1.6</v>
      </c>
      <c r="K53" s="5" t="n">
        <v>1012</v>
      </c>
      <c r="L53" s="5" t="n">
        <v>23</v>
      </c>
    </row>
    <row r="54" customFormat="false" ht="12.75" hidden="false" customHeight="true" outlineLevel="0" collapsed="false">
      <c r="A54" s="5" t="s">
        <v>202</v>
      </c>
      <c r="B54" s="5" t="n">
        <v>72</v>
      </c>
      <c r="C54" s="5" t="n">
        <v>3400000</v>
      </c>
      <c r="D54" s="5" t="s">
        <v>142</v>
      </c>
      <c r="E54" s="5" t="n">
        <v>1</v>
      </c>
      <c r="F54" s="5" t="n">
        <v>12</v>
      </c>
      <c r="G54" s="5" t="n">
        <v>98</v>
      </c>
      <c r="H54" s="5" t="n">
        <v>91.5</v>
      </c>
      <c r="I54" s="5" t="n">
        <v>40</v>
      </c>
      <c r="J54" s="5" t="n">
        <v>1.6</v>
      </c>
      <c r="K54" s="5" t="n">
        <v>1400</v>
      </c>
      <c r="L54" s="5" t="n">
        <v>13</v>
      </c>
    </row>
    <row r="55" customFormat="false" ht="12.75" hidden="false" customHeight="true" outlineLevel="0" collapsed="false">
      <c r="A55" s="5" t="s">
        <v>203</v>
      </c>
      <c r="B55" s="5" t="n">
        <v>77</v>
      </c>
      <c r="C55" s="5" t="n">
        <v>33020000</v>
      </c>
      <c r="D55" s="5" t="s">
        <v>167</v>
      </c>
      <c r="E55" s="5" t="n">
        <v>8</v>
      </c>
      <c r="F55" s="5" t="n">
        <v>13</v>
      </c>
      <c r="G55" s="5" t="n">
        <v>50</v>
      </c>
      <c r="H55" s="5" t="n">
        <v>39</v>
      </c>
      <c r="I55" s="5" t="n">
        <v>100</v>
      </c>
      <c r="J55" s="5" t="n">
        <v>2</v>
      </c>
      <c r="K55" s="5" t="n">
        <v>1469</v>
      </c>
      <c r="L55" s="5" t="n">
        <v>22</v>
      </c>
    </row>
    <row r="56" customFormat="false" ht="12.75" hidden="false" customHeight="true" outlineLevel="0" collapsed="false">
      <c r="A56" s="5" t="s">
        <v>204</v>
      </c>
      <c r="B56" s="5" t="n">
        <v>210</v>
      </c>
      <c r="C56" s="5" t="n">
        <v>52642392</v>
      </c>
      <c r="D56" s="5" t="s">
        <v>205</v>
      </c>
      <c r="E56" s="5" t="n">
        <v>11</v>
      </c>
      <c r="F56" s="5" t="n">
        <v>13</v>
      </c>
      <c r="G56" s="5" t="n">
        <v>37</v>
      </c>
      <c r="H56" s="5" t="n">
        <v>25.15</v>
      </c>
      <c r="I56" s="5" t="n">
        <v>80</v>
      </c>
      <c r="J56" s="5" t="n">
        <v>2</v>
      </c>
      <c r="K56" s="5" t="n">
        <v>3205</v>
      </c>
      <c r="L56" s="5" t="n">
        <v>19</v>
      </c>
    </row>
    <row r="57" customFormat="false" ht="12.75" hidden="false" customHeight="true" outlineLevel="0" collapsed="false">
      <c r="A57" s="5" t="s">
        <v>206</v>
      </c>
      <c r="B57" s="5" t="n">
        <v>169</v>
      </c>
      <c r="C57" s="5" t="n">
        <v>54400000</v>
      </c>
      <c r="D57" s="5" t="s">
        <v>207</v>
      </c>
      <c r="E57" s="5" t="n">
        <v>7</v>
      </c>
      <c r="F57" s="5" t="n">
        <v>11</v>
      </c>
      <c r="G57" s="5" t="n">
        <v>38</v>
      </c>
      <c r="H57" s="5" t="n">
        <v>29.7</v>
      </c>
      <c r="I57" s="5" t="n">
        <v>40</v>
      </c>
      <c r="J57" s="5" t="n">
        <v>1.6</v>
      </c>
      <c r="K57" s="5" t="n">
        <v>2590</v>
      </c>
      <c r="L57" s="5" t="n">
        <v>21</v>
      </c>
    </row>
    <row r="58" customFormat="false" ht="12.75" hidden="false" customHeight="true" outlineLevel="0" collapsed="false">
      <c r="A58" s="5" t="s">
        <v>208</v>
      </c>
      <c r="B58" s="5" t="n">
        <v>95</v>
      </c>
      <c r="C58" s="5" t="n">
        <v>33300000</v>
      </c>
      <c r="D58" s="5" t="s">
        <v>209</v>
      </c>
      <c r="E58" s="5" t="n">
        <v>10</v>
      </c>
      <c r="F58" s="5" t="n">
        <v>5</v>
      </c>
      <c r="G58" s="5" t="n">
        <v>36</v>
      </c>
      <c r="H58" s="5" t="n">
        <v>34</v>
      </c>
      <c r="I58" s="5" t="n">
        <v>20</v>
      </c>
      <c r="J58" s="5" t="n">
        <v>2</v>
      </c>
      <c r="K58" s="5" t="n">
        <v>1808</v>
      </c>
      <c r="L58" s="5" t="n">
        <v>18</v>
      </c>
    </row>
    <row r="59" customFormat="false" ht="12.75" hidden="false" customHeight="true" outlineLevel="0" collapsed="false">
      <c r="A59" s="5" t="s">
        <v>210</v>
      </c>
      <c r="B59" s="5" t="n">
        <v>7</v>
      </c>
      <c r="C59" s="5" t="n">
        <v>322200000</v>
      </c>
      <c r="D59" s="5" t="s">
        <v>210</v>
      </c>
      <c r="E59" s="5" t="n">
        <v>8</v>
      </c>
      <c r="F59" s="5" t="n">
        <v>13</v>
      </c>
      <c r="G59" s="5" t="n">
        <v>124.5</v>
      </c>
      <c r="H59" s="5" t="n">
        <v>102.07</v>
      </c>
      <c r="I59" s="5" t="n">
        <v>150</v>
      </c>
      <c r="J59" s="5" t="n">
        <v>2</v>
      </c>
      <c r="K59" s="5" t="n">
        <v>130</v>
      </c>
      <c r="L59" s="5" t="n">
        <v>23</v>
      </c>
    </row>
    <row r="60" customFormat="false" ht="12.75" hidden="false" customHeight="true" outlineLevel="0" collapsed="false">
      <c r="A60" s="5" t="s">
        <v>211</v>
      </c>
      <c r="B60" s="5" t="n">
        <v>1123</v>
      </c>
      <c r="C60" s="5" t="n">
        <v>4000000</v>
      </c>
      <c r="D60" s="5" t="s">
        <v>129</v>
      </c>
      <c r="E60" s="5" t="n">
        <v>11</v>
      </c>
      <c r="F60" s="5" t="n">
        <v>11</v>
      </c>
      <c r="G60" s="5" t="n">
        <v>100</v>
      </c>
      <c r="K60" s="5" t="n">
        <v>3624</v>
      </c>
      <c r="L60" s="5" t="n">
        <v>14</v>
      </c>
    </row>
    <row r="61" customFormat="false" ht="12.75" hidden="false" customHeight="true" outlineLevel="0" collapsed="false">
      <c r="A61" s="5" t="s">
        <v>212</v>
      </c>
      <c r="B61" s="5" t="n">
        <v>205</v>
      </c>
      <c r="C61" s="5" t="n">
        <v>2107201</v>
      </c>
      <c r="D61" s="5" t="s">
        <v>213</v>
      </c>
      <c r="E61" s="5" t="n">
        <v>10</v>
      </c>
      <c r="F61" s="5" t="n">
        <v>6</v>
      </c>
      <c r="G61" s="5" t="n">
        <v>354</v>
      </c>
      <c r="H61" s="5" t="n">
        <v>335</v>
      </c>
      <c r="I61" s="5" t="n">
        <v>50</v>
      </c>
      <c r="K61" s="5" t="n">
        <v>3149</v>
      </c>
      <c r="L61" s="5" t="n">
        <v>27</v>
      </c>
    </row>
    <row r="62" customFormat="false" ht="12.75" hidden="false" customHeight="true" outlineLevel="0" collapsed="false">
      <c r="A62" s="5" t="s">
        <v>214</v>
      </c>
      <c r="B62" s="5" t="n">
        <v>36</v>
      </c>
      <c r="C62" s="5" t="n">
        <v>2390000</v>
      </c>
      <c r="D62" s="5" t="s">
        <v>215</v>
      </c>
      <c r="E62" s="5" t="n">
        <v>2</v>
      </c>
      <c r="F62" s="5" t="n">
        <v>2</v>
      </c>
      <c r="G62" s="5" t="n">
        <v>425</v>
      </c>
      <c r="H62" s="5" t="n">
        <v>412.5</v>
      </c>
      <c r="I62" s="5" t="n">
        <v>25.5</v>
      </c>
      <c r="J62" s="5" t="n">
        <v>1.6</v>
      </c>
      <c r="K62" s="5" t="n">
        <v>730</v>
      </c>
      <c r="L62" s="5" t="n">
        <v>8</v>
      </c>
    </row>
    <row r="63" customFormat="false" ht="12.75" hidden="false" customHeight="true" outlineLevel="0" collapsed="false">
      <c r="A63" s="5" t="s">
        <v>216</v>
      </c>
      <c r="B63" s="5" t="n">
        <v>211</v>
      </c>
      <c r="C63" s="5" t="n">
        <v>4240000</v>
      </c>
      <c r="D63" s="5" t="s">
        <v>216</v>
      </c>
      <c r="E63" s="5" t="n">
        <v>8</v>
      </c>
      <c r="F63" s="5" t="n">
        <v>13</v>
      </c>
      <c r="G63" s="5" t="n">
        <v>278</v>
      </c>
      <c r="H63" s="5" t="n">
        <v>264.83</v>
      </c>
      <c r="I63" s="5" t="n">
        <v>30</v>
      </c>
      <c r="J63" s="5" t="n">
        <v>2</v>
      </c>
      <c r="K63" s="5" t="n">
        <v>3224</v>
      </c>
      <c r="L63" s="5" t="n">
        <v>23</v>
      </c>
    </row>
    <row r="64" customFormat="false" ht="12.75" hidden="false" customHeight="true" outlineLevel="0" collapsed="false">
      <c r="A64" s="5" t="s">
        <v>217</v>
      </c>
      <c r="B64" s="5" t="n">
        <v>244</v>
      </c>
      <c r="C64" s="5" t="n">
        <v>6000000</v>
      </c>
      <c r="D64" s="5" t="s">
        <v>116</v>
      </c>
      <c r="E64" s="5" t="n">
        <v>10</v>
      </c>
      <c r="F64" s="5" t="n">
        <v>13</v>
      </c>
      <c r="G64" s="5" t="n">
        <v>116</v>
      </c>
      <c r="H64" s="5" t="n">
        <v>110.1</v>
      </c>
      <c r="I64" s="5" t="n">
        <v>90</v>
      </c>
      <c r="J64" s="5" t="n">
        <v>1.71</v>
      </c>
      <c r="K64" s="5" t="n">
        <v>3550</v>
      </c>
      <c r="L64" s="5" t="n">
        <v>15</v>
      </c>
    </row>
    <row r="65" customFormat="false" ht="12.75" hidden="false" customHeight="true" outlineLevel="0" collapsed="false">
      <c r="A65" s="5" t="s">
        <v>218</v>
      </c>
      <c r="B65" s="5" t="n">
        <v>180</v>
      </c>
      <c r="C65" s="5" t="n">
        <v>72396177</v>
      </c>
      <c r="D65" s="5" t="s">
        <v>207</v>
      </c>
      <c r="E65" s="5" t="n">
        <v>7</v>
      </c>
      <c r="F65" s="5" t="n">
        <v>11</v>
      </c>
      <c r="G65" s="5" t="n">
        <v>32.5</v>
      </c>
      <c r="H65" s="5" t="n">
        <v>25.8</v>
      </c>
      <c r="I65" s="5" t="n">
        <v>60</v>
      </c>
      <c r="J65" s="5" t="n">
        <v>2</v>
      </c>
      <c r="K65" s="5" t="n">
        <v>2774</v>
      </c>
      <c r="L65" s="5" t="n">
        <v>21</v>
      </c>
    </row>
    <row r="66" customFormat="false" ht="12.75" hidden="false" customHeight="true" outlineLevel="0" collapsed="false">
      <c r="A66" s="5" t="s">
        <v>219</v>
      </c>
      <c r="B66" s="5" t="n">
        <v>69</v>
      </c>
      <c r="C66" s="5" t="n">
        <v>141000000</v>
      </c>
      <c r="D66" s="5" t="s">
        <v>220</v>
      </c>
      <c r="E66" s="5" t="n">
        <v>12</v>
      </c>
      <c r="F66" s="5" t="n">
        <v>14</v>
      </c>
      <c r="G66" s="5" t="n">
        <v>716.38</v>
      </c>
      <c r="H66" s="5" t="n">
        <v>694.05</v>
      </c>
      <c r="I66" s="5" t="n">
        <v>25.5</v>
      </c>
      <c r="J66" s="5" t="n">
        <v>2</v>
      </c>
      <c r="K66" s="5" t="n">
        <v>1313</v>
      </c>
      <c r="L66" s="5" t="n">
        <v>47</v>
      </c>
    </row>
    <row r="67" customFormat="false" ht="12.75" hidden="false" customHeight="true" outlineLevel="0" collapsed="false">
      <c r="A67" s="5" t="s">
        <v>221</v>
      </c>
      <c r="B67" s="5" t="n">
        <v>52</v>
      </c>
      <c r="C67" s="5" t="n">
        <v>101641000</v>
      </c>
      <c r="D67" s="5" t="s">
        <v>132</v>
      </c>
      <c r="E67" s="5" t="n">
        <v>9</v>
      </c>
      <c r="F67" s="5" t="n">
        <v>4</v>
      </c>
      <c r="G67" s="5" t="n">
        <v>102.08</v>
      </c>
      <c r="H67" s="5" t="n">
        <v>94.2</v>
      </c>
      <c r="I67" s="5" t="n">
        <v>126.35</v>
      </c>
      <c r="J67" s="5" t="n">
        <v>1.6</v>
      </c>
      <c r="K67" s="5" t="n">
        <v>1035</v>
      </c>
      <c r="L67" s="5" t="n">
        <v>20</v>
      </c>
    </row>
    <row r="68" customFormat="false" ht="12.75" hidden="false" customHeight="true" outlineLevel="0" collapsed="false">
      <c r="A68" s="5" t="s">
        <v>222</v>
      </c>
      <c r="B68" s="5" t="n">
        <v>135</v>
      </c>
      <c r="C68" s="5" t="n">
        <v>1070000</v>
      </c>
      <c r="D68" s="5" t="s">
        <v>223</v>
      </c>
      <c r="E68" s="5" t="n">
        <v>3</v>
      </c>
      <c r="F68" s="5" t="n">
        <v>10</v>
      </c>
      <c r="G68" s="5" t="n">
        <v>214</v>
      </c>
      <c r="H68" s="5" t="n">
        <v>209.3</v>
      </c>
      <c r="I68" s="5" t="n">
        <v>32</v>
      </c>
      <c r="J68" s="5" t="n">
        <v>1.6</v>
      </c>
      <c r="K68" s="5" t="n">
        <v>2295</v>
      </c>
      <c r="L68" s="5" t="n">
        <v>13</v>
      </c>
    </row>
    <row r="69" customFormat="false" ht="12.75" hidden="false" customHeight="true" outlineLevel="0" collapsed="false">
      <c r="A69" s="5" t="s">
        <v>224</v>
      </c>
      <c r="B69" s="5" t="n">
        <v>216</v>
      </c>
      <c r="C69" s="5" t="n">
        <v>6240000</v>
      </c>
      <c r="D69" s="5" t="s">
        <v>225</v>
      </c>
      <c r="E69" s="5" t="n">
        <v>6</v>
      </c>
      <c r="F69" s="5" t="n">
        <v>11</v>
      </c>
      <c r="G69" s="5" t="n">
        <v>266</v>
      </c>
      <c r="I69" s="5" t="n">
        <v>30</v>
      </c>
      <c r="J69" s="5" t="n">
        <v>2</v>
      </c>
      <c r="K69" s="5" t="n">
        <v>3334</v>
      </c>
      <c r="L69" s="5" t="n">
        <v>26</v>
      </c>
    </row>
    <row r="70" customFormat="false" ht="12.75" hidden="false" customHeight="true" outlineLevel="0" collapsed="false">
      <c r="A70" s="5" t="s">
        <v>226</v>
      </c>
      <c r="B70" s="5" t="n">
        <v>171</v>
      </c>
      <c r="C70" s="5" t="n">
        <v>14586823</v>
      </c>
      <c r="D70" s="5" t="s">
        <v>227</v>
      </c>
      <c r="E70" s="5" t="n">
        <v>4</v>
      </c>
      <c r="F70" s="5" t="n">
        <v>7</v>
      </c>
      <c r="G70" s="5" t="n">
        <v>98.5</v>
      </c>
      <c r="H70" s="5" t="n">
        <v>90</v>
      </c>
      <c r="I70" s="5" t="n">
        <v>60</v>
      </c>
      <c r="J70" s="5" t="n">
        <v>2</v>
      </c>
      <c r="K70" s="5" t="n">
        <v>2631</v>
      </c>
      <c r="L70" s="5" t="n">
        <v>14</v>
      </c>
    </row>
    <row r="71" customFormat="false" ht="12.75" hidden="false" customHeight="true" outlineLevel="0" collapsed="false">
      <c r="A71" s="5" t="s">
        <v>228</v>
      </c>
      <c r="B71" s="5" t="n">
        <v>1120</v>
      </c>
      <c r="C71" s="5" t="n">
        <v>41400000</v>
      </c>
      <c r="D71" s="5" t="s">
        <v>229</v>
      </c>
      <c r="E71" s="5" t="n">
        <v>2</v>
      </c>
      <c r="F71" s="5" t="n">
        <v>7</v>
      </c>
      <c r="G71" s="5" t="n">
        <v>260</v>
      </c>
      <c r="H71" s="5" t="n">
        <v>251.5</v>
      </c>
      <c r="I71" s="5" t="n">
        <v>75</v>
      </c>
      <c r="K71" s="5" t="n">
        <v>3604</v>
      </c>
      <c r="L71" s="5" t="n">
        <v>20</v>
      </c>
    </row>
    <row r="72" customFormat="false" ht="12.75" hidden="false" customHeight="true" outlineLevel="0" collapsed="false">
      <c r="A72" s="5" t="s">
        <v>230</v>
      </c>
      <c r="B72" s="5" t="n">
        <v>213</v>
      </c>
      <c r="C72" s="5" t="n">
        <v>4939000</v>
      </c>
      <c r="D72" s="5" t="s">
        <v>231</v>
      </c>
      <c r="E72" s="5" t="n">
        <v>6</v>
      </c>
      <c r="F72" s="5" t="n">
        <v>6</v>
      </c>
      <c r="G72" s="5" t="n">
        <v>100</v>
      </c>
      <c r="K72" s="5" t="n">
        <v>3292</v>
      </c>
      <c r="L72" s="5" t="n">
        <v>31</v>
      </c>
    </row>
    <row r="73" customFormat="false" ht="12.75" hidden="false" customHeight="true" outlineLevel="0" collapsed="false">
      <c r="A73" s="5" t="s">
        <v>232</v>
      </c>
      <c r="B73" s="5" t="n">
        <v>121</v>
      </c>
      <c r="C73" s="5" t="n">
        <v>20500000</v>
      </c>
      <c r="D73" s="5" t="s">
        <v>233</v>
      </c>
      <c r="E73" s="5" t="n">
        <v>8</v>
      </c>
      <c r="F73" s="5" t="n">
        <v>13</v>
      </c>
      <c r="G73" s="5" t="n">
        <v>147</v>
      </c>
      <c r="H73" s="5" t="n">
        <v>132.5</v>
      </c>
      <c r="I73" s="5" t="n">
        <v>80</v>
      </c>
      <c r="J73" s="5" t="n">
        <v>1.6</v>
      </c>
      <c r="K73" s="5" t="n">
        <v>2046</v>
      </c>
      <c r="L73" s="5" t="n">
        <v>24</v>
      </c>
    </row>
    <row r="74" customFormat="false" ht="12.75" hidden="false" customHeight="true" outlineLevel="0" collapsed="false">
      <c r="A74" s="5" t="s">
        <v>234</v>
      </c>
      <c r="B74" s="5" t="n">
        <v>147</v>
      </c>
      <c r="C74" s="5" t="n">
        <v>4300000</v>
      </c>
      <c r="D74" s="5" t="s">
        <v>235</v>
      </c>
      <c r="E74" s="5" t="n">
        <v>1</v>
      </c>
      <c r="F74" s="5" t="n">
        <v>8</v>
      </c>
      <c r="G74" s="5" t="n">
        <v>100</v>
      </c>
      <c r="I74" s="5" t="n">
        <v>28</v>
      </c>
      <c r="J74" s="5" t="n">
        <v>1.2</v>
      </c>
      <c r="K74" s="5" t="n">
        <v>2346</v>
      </c>
      <c r="L74" s="5" t="n">
        <v>21</v>
      </c>
    </row>
    <row r="75" customFormat="false" ht="12.75" hidden="false" customHeight="true" outlineLevel="0" collapsed="false">
      <c r="A75" s="5" t="s">
        <v>236</v>
      </c>
      <c r="B75" s="5" t="n">
        <v>28</v>
      </c>
      <c r="C75" s="5" t="n">
        <v>26772800</v>
      </c>
      <c r="D75" s="5" t="s">
        <v>237</v>
      </c>
      <c r="E75" s="5" t="n">
        <v>4</v>
      </c>
      <c r="F75" s="5" t="n">
        <v>7</v>
      </c>
      <c r="G75" s="5" t="n">
        <v>114.45</v>
      </c>
      <c r="H75" s="5" t="n">
        <v>106</v>
      </c>
      <c r="I75" s="5" t="n">
        <v>20</v>
      </c>
      <c r="J75" s="5" t="n">
        <v>1.6</v>
      </c>
      <c r="K75" s="5" t="n">
        <v>596</v>
      </c>
      <c r="L75" s="5" t="n">
        <v>10</v>
      </c>
    </row>
    <row r="76" customFormat="false" ht="12.75" hidden="false" customHeight="true" outlineLevel="0" collapsed="false">
      <c r="A76" s="5" t="s">
        <v>238</v>
      </c>
      <c r="B76" s="5" t="n">
        <v>189</v>
      </c>
      <c r="C76" s="5" t="n">
        <v>2030000</v>
      </c>
      <c r="D76" s="5" t="s">
        <v>239</v>
      </c>
      <c r="E76" s="5" t="n">
        <v>2</v>
      </c>
      <c r="F76" s="5" t="n">
        <v>2</v>
      </c>
      <c r="G76" s="5" t="n">
        <v>292.92</v>
      </c>
      <c r="K76" s="5" t="n">
        <v>2854</v>
      </c>
      <c r="L76" s="5" t="n">
        <v>20</v>
      </c>
    </row>
    <row r="77" customFormat="false" ht="12.75" hidden="false" customHeight="true" outlineLevel="0" collapsed="false">
      <c r="A77" s="5" t="s">
        <v>240</v>
      </c>
      <c r="B77" s="5" t="n">
        <v>63</v>
      </c>
      <c r="C77" s="5" t="n">
        <v>66380000</v>
      </c>
      <c r="D77" s="5" t="s">
        <v>241</v>
      </c>
      <c r="E77" s="5" t="n">
        <v>2</v>
      </c>
      <c r="F77" s="5" t="n">
        <v>7</v>
      </c>
      <c r="G77" s="5" t="n">
        <v>175.5</v>
      </c>
      <c r="H77" s="5" t="n">
        <v>165.8</v>
      </c>
      <c r="I77" s="5" t="n">
        <v>51.07</v>
      </c>
      <c r="J77" s="5" t="n">
        <v>1.6</v>
      </c>
      <c r="K77" s="5" t="n">
        <v>1203</v>
      </c>
      <c r="L77" s="5" t="n">
        <v>21</v>
      </c>
    </row>
    <row r="78" customFormat="false" ht="12.75" hidden="false" customHeight="true" outlineLevel="0" collapsed="false">
      <c r="A78" s="5" t="s">
        <v>242</v>
      </c>
      <c r="B78" s="5" t="n">
        <v>199</v>
      </c>
      <c r="C78" s="5" t="n">
        <v>10320000</v>
      </c>
      <c r="D78" s="5" t="s">
        <v>243</v>
      </c>
      <c r="E78" s="5" t="n">
        <v>10</v>
      </c>
      <c r="F78" s="5" t="n">
        <v>10</v>
      </c>
      <c r="G78" s="5" t="n">
        <v>120</v>
      </c>
      <c r="H78" s="5" t="n">
        <v>110.4</v>
      </c>
      <c r="I78" s="5" t="n">
        <v>80</v>
      </c>
      <c r="J78" s="5" t="n">
        <v>1.71</v>
      </c>
      <c r="K78" s="5" t="n">
        <v>3080</v>
      </c>
      <c r="L78" s="5" t="n">
        <v>18</v>
      </c>
    </row>
    <row r="79" customFormat="false" ht="12.75" hidden="false" customHeight="true" outlineLevel="0" collapsed="false">
      <c r="A79" s="5" t="s">
        <v>244</v>
      </c>
      <c r="B79" s="5" t="n">
        <v>164</v>
      </c>
      <c r="C79" s="5" t="n">
        <v>2810000</v>
      </c>
      <c r="D79" s="5" t="s">
        <v>114</v>
      </c>
      <c r="E79" s="5" t="n">
        <v>4</v>
      </c>
      <c r="F79" s="5" t="n">
        <v>1</v>
      </c>
      <c r="G79" s="5" t="n">
        <v>93</v>
      </c>
      <c r="I79" s="5" t="n">
        <v>50</v>
      </c>
      <c r="J79" s="5" t="n">
        <v>1.6</v>
      </c>
      <c r="K79" s="5" t="n">
        <v>2515</v>
      </c>
      <c r="L79" s="5" t="n">
        <v>13</v>
      </c>
    </row>
    <row r="80" customFormat="false" ht="12.75" hidden="false" customHeight="true" outlineLevel="0" collapsed="false">
      <c r="A80" s="5" t="s">
        <v>245</v>
      </c>
      <c r="B80" s="5" t="n">
        <v>235</v>
      </c>
      <c r="C80" s="5" t="n">
        <v>36500000</v>
      </c>
      <c r="D80" s="5" t="s">
        <v>246</v>
      </c>
      <c r="E80" s="5" t="n">
        <v>10</v>
      </c>
      <c r="F80" s="5" t="n">
        <v>5</v>
      </c>
      <c r="G80" s="5" t="n">
        <v>24</v>
      </c>
      <c r="H80" s="5" t="n">
        <v>16.21</v>
      </c>
      <c r="I80" s="5" t="n">
        <v>60</v>
      </c>
      <c r="J80" s="5" t="n">
        <v>2</v>
      </c>
      <c r="K80" s="5" t="n">
        <v>3454</v>
      </c>
      <c r="L80" s="5" t="n">
        <v>19</v>
      </c>
    </row>
    <row r="81" customFormat="false" ht="12.75" hidden="false" customHeight="true" outlineLevel="0" collapsed="false">
      <c r="A81" s="5" t="s">
        <v>247</v>
      </c>
      <c r="B81" s="5" t="n">
        <v>201</v>
      </c>
      <c r="C81" s="5" t="n">
        <v>20490000</v>
      </c>
      <c r="D81" s="5" t="s">
        <v>184</v>
      </c>
      <c r="E81" s="5" t="n">
        <v>1</v>
      </c>
      <c r="F81" s="5" t="n">
        <v>3</v>
      </c>
      <c r="G81" s="5" t="n">
        <v>355</v>
      </c>
      <c r="H81" s="5" t="n">
        <v>346.55</v>
      </c>
      <c r="I81" s="5" t="n">
        <v>80</v>
      </c>
      <c r="J81" s="5" t="n">
        <v>2</v>
      </c>
      <c r="K81" s="5" t="n">
        <v>3098</v>
      </c>
      <c r="L81" s="5" t="n">
        <v>23</v>
      </c>
    </row>
    <row r="82" customFormat="false" ht="12.75" hidden="false" customHeight="true" outlineLevel="0" collapsed="false">
      <c r="A82" s="5" t="s">
        <v>248</v>
      </c>
      <c r="B82" s="5" t="n">
        <v>8</v>
      </c>
      <c r="C82" s="5" t="n">
        <v>37180000</v>
      </c>
      <c r="D82" s="5" t="s">
        <v>249</v>
      </c>
      <c r="E82" s="5" t="n">
        <v>2</v>
      </c>
      <c r="F82" s="5" t="n">
        <v>2</v>
      </c>
      <c r="G82" s="5" t="n">
        <v>427</v>
      </c>
      <c r="H82" s="5" t="n">
        <v>401</v>
      </c>
      <c r="I82" s="5" t="n">
        <v>119</v>
      </c>
      <c r="J82" s="5" t="n">
        <v>1.6</v>
      </c>
      <c r="K82" s="5" t="n">
        <v>153</v>
      </c>
      <c r="L82" s="5" t="n">
        <v>38</v>
      </c>
    </row>
    <row r="83" customFormat="false" ht="12.75" hidden="false" customHeight="true" outlineLevel="0" collapsed="false">
      <c r="A83" s="5" t="s">
        <v>250</v>
      </c>
      <c r="B83" s="5" t="n">
        <v>1124</v>
      </c>
      <c r="C83" s="5" t="n">
        <v>9350000</v>
      </c>
      <c r="D83" s="5" t="s">
        <v>116</v>
      </c>
      <c r="E83" s="5" t="n">
        <v>10</v>
      </c>
      <c r="F83" s="5" t="n">
        <v>5</v>
      </c>
      <c r="G83" s="5" t="n">
        <v>51.5</v>
      </c>
      <c r="H83" s="5" t="n">
        <v>47.2</v>
      </c>
      <c r="I83" s="5" t="n">
        <v>160</v>
      </c>
      <c r="J83" s="5" t="n">
        <v>1.6</v>
      </c>
      <c r="K83" s="5" t="n">
        <v>3638</v>
      </c>
      <c r="L83" s="5" t="n">
        <v>15</v>
      </c>
    </row>
    <row r="84" customFormat="false" ht="12.75" hidden="false" customHeight="true" outlineLevel="0" collapsed="false">
      <c r="A84" s="5" t="s">
        <v>251</v>
      </c>
      <c r="B84" s="5" t="n">
        <v>126</v>
      </c>
      <c r="C84" s="5" t="n">
        <v>24830000</v>
      </c>
      <c r="D84" s="5" t="s">
        <v>251</v>
      </c>
      <c r="E84" s="5" t="n">
        <v>7</v>
      </c>
      <c r="F84" s="5" t="n">
        <v>11</v>
      </c>
      <c r="G84" s="5" t="n">
        <v>99</v>
      </c>
      <c r="H84" s="5" t="n">
        <v>93.48</v>
      </c>
      <c r="I84" s="5" t="n">
        <v>100</v>
      </c>
      <c r="J84" s="5" t="n">
        <v>1.6</v>
      </c>
      <c r="K84" s="5" t="n">
        <v>2117</v>
      </c>
      <c r="L84" s="5" t="n">
        <v>16</v>
      </c>
    </row>
    <row r="85" customFormat="false" ht="12.75" hidden="false" customHeight="true" outlineLevel="0" collapsed="false">
      <c r="A85" s="5" t="s">
        <v>252</v>
      </c>
      <c r="B85" s="5" t="n">
        <v>1119</v>
      </c>
      <c r="C85" s="5" t="n">
        <v>54369090</v>
      </c>
      <c r="D85" s="5" t="s">
        <v>253</v>
      </c>
      <c r="E85" s="5" t="n">
        <v>11</v>
      </c>
      <c r="F85" s="5" t="n">
        <v>11</v>
      </c>
      <c r="G85" s="5" t="n">
        <v>54.7</v>
      </c>
      <c r="H85" s="5" t="n">
        <v>43.75</v>
      </c>
      <c r="I85" s="5" t="n">
        <v>150</v>
      </c>
      <c r="K85" s="5" t="n">
        <v>3584</v>
      </c>
      <c r="L85" s="5" t="n">
        <v>20</v>
      </c>
    </row>
    <row r="86" customFormat="false" ht="12.75" hidden="false" customHeight="true" outlineLevel="0" collapsed="false">
      <c r="A86" s="5" t="s">
        <v>254</v>
      </c>
      <c r="B86" s="5" t="n">
        <v>161</v>
      </c>
      <c r="C86" s="5" t="n">
        <v>11700000</v>
      </c>
      <c r="D86" s="5" t="s">
        <v>254</v>
      </c>
      <c r="E86" s="5" t="n">
        <v>3</v>
      </c>
      <c r="F86" s="5" t="n">
        <v>10</v>
      </c>
      <c r="G86" s="5" t="n">
        <v>655</v>
      </c>
      <c r="H86" s="5" t="n">
        <v>643.65</v>
      </c>
      <c r="I86" s="5" t="n">
        <v>50</v>
      </c>
      <c r="J86" s="5" t="n">
        <v>1.6</v>
      </c>
      <c r="K86" s="5" t="n">
        <v>2476</v>
      </c>
      <c r="L86" s="5" t="n">
        <v>13</v>
      </c>
    </row>
    <row r="87" customFormat="false" ht="12.75" hidden="false" customHeight="true" outlineLevel="0" collapsed="false">
      <c r="A87" s="5" t="s">
        <v>255</v>
      </c>
      <c r="B87" s="5" t="n">
        <v>206</v>
      </c>
      <c r="C87" s="5" t="n">
        <v>3964000</v>
      </c>
      <c r="D87" s="5" t="s">
        <v>235</v>
      </c>
      <c r="E87" s="5" t="n">
        <v>1</v>
      </c>
      <c r="F87" s="5" t="n">
        <v>3</v>
      </c>
      <c r="G87" s="5" t="n">
        <v>100</v>
      </c>
      <c r="I87" s="5" t="n">
        <v>25</v>
      </c>
      <c r="J87" s="5" t="n">
        <v>1.2</v>
      </c>
      <c r="K87" s="5" t="n">
        <v>3176</v>
      </c>
      <c r="L87" s="5" t="n">
        <v>14</v>
      </c>
    </row>
    <row r="88" customFormat="false" ht="12.75" hidden="false" customHeight="true" outlineLevel="0" collapsed="false">
      <c r="A88" s="5" t="s">
        <v>256</v>
      </c>
      <c r="B88" s="5" t="n">
        <v>61</v>
      </c>
      <c r="C88" s="5" t="n">
        <v>21300000</v>
      </c>
      <c r="D88" s="5" t="s">
        <v>257</v>
      </c>
      <c r="E88" s="5" t="n">
        <v>11</v>
      </c>
      <c r="F88" s="5" t="n">
        <v>13</v>
      </c>
      <c r="G88" s="5" t="n">
        <v>166.38</v>
      </c>
      <c r="H88" s="5" t="n">
        <v>138</v>
      </c>
      <c r="I88" s="5" t="n">
        <v>46</v>
      </c>
      <c r="J88" s="5" t="n">
        <v>1.6</v>
      </c>
      <c r="K88" s="5" t="n">
        <v>1177</v>
      </c>
      <c r="L88" s="5" t="n">
        <v>12</v>
      </c>
    </row>
    <row r="89" customFormat="false" ht="12.75" hidden="false" customHeight="true" outlineLevel="0" collapsed="false">
      <c r="A89" s="5" t="s">
        <v>258</v>
      </c>
      <c r="B89" s="5" t="n">
        <v>168</v>
      </c>
      <c r="C89" s="5" t="n">
        <v>46550000</v>
      </c>
      <c r="D89" s="5" t="s">
        <v>259</v>
      </c>
      <c r="E89" s="5" t="n">
        <v>1</v>
      </c>
      <c r="F89" s="5" t="n">
        <v>7</v>
      </c>
      <c r="G89" s="5" t="n">
        <v>267</v>
      </c>
      <c r="H89" s="5" t="n">
        <v>252.8</v>
      </c>
      <c r="I89" s="5" t="n">
        <v>110</v>
      </c>
      <c r="J89" s="5" t="n">
        <v>2</v>
      </c>
      <c r="K89" s="5" t="n">
        <v>2557</v>
      </c>
      <c r="L89" s="5" t="n">
        <v>33</v>
      </c>
    </row>
    <row r="90" customFormat="false" ht="12.75" hidden="false" customHeight="true" outlineLevel="0" collapsed="false">
      <c r="A90" s="5" t="s">
        <v>260</v>
      </c>
      <c r="B90" s="5" t="n">
        <v>26</v>
      </c>
      <c r="C90" s="5" t="n">
        <v>5194457</v>
      </c>
      <c r="D90" s="5" t="s">
        <v>237</v>
      </c>
      <c r="E90" s="5" t="n">
        <v>4</v>
      </c>
      <c r="F90" s="5" t="n">
        <v>7</v>
      </c>
      <c r="G90" s="5" t="n">
        <v>111</v>
      </c>
      <c r="H90" s="5" t="n">
        <v>104</v>
      </c>
      <c r="I90" s="5" t="n">
        <v>80.35</v>
      </c>
      <c r="J90" s="5" t="n">
        <v>1.6</v>
      </c>
      <c r="K90" s="5" t="n">
        <v>552</v>
      </c>
      <c r="L90" s="5" t="n">
        <v>19</v>
      </c>
    </row>
    <row r="91" customFormat="false" ht="12.75" hidden="false" customHeight="true" outlineLevel="0" collapsed="false">
      <c r="A91" s="5" t="s">
        <v>261</v>
      </c>
      <c r="B91" s="5" t="n">
        <v>155</v>
      </c>
      <c r="C91" s="5" t="n">
        <v>19000000</v>
      </c>
      <c r="D91" s="5" t="s">
        <v>262</v>
      </c>
      <c r="E91" s="5" t="n">
        <v>2</v>
      </c>
      <c r="F91" s="5" t="n">
        <v>2</v>
      </c>
      <c r="G91" s="5" t="n">
        <v>350</v>
      </c>
      <c r="H91" s="5" t="n">
        <v>336.5</v>
      </c>
      <c r="I91" s="5" t="n">
        <v>50</v>
      </c>
      <c r="J91" s="5" t="n">
        <v>1.6</v>
      </c>
      <c r="K91" s="5" t="n">
        <v>2384</v>
      </c>
      <c r="L91" s="5" t="n">
        <v>26</v>
      </c>
    </row>
    <row r="92" customFormat="false" ht="12.75" hidden="false" customHeight="true" outlineLevel="0" collapsed="false">
      <c r="A92" s="5" t="s">
        <v>263</v>
      </c>
      <c r="B92" s="5" t="n">
        <v>9</v>
      </c>
      <c r="C92" s="5" t="n">
        <v>1940000000</v>
      </c>
      <c r="D92" s="5" t="s">
        <v>263</v>
      </c>
      <c r="E92" s="5" t="n">
        <v>1</v>
      </c>
      <c r="F92" s="5" t="n">
        <v>7</v>
      </c>
      <c r="G92" s="5" t="n">
        <v>199.5</v>
      </c>
      <c r="H92" s="5" t="n">
        <v>169</v>
      </c>
      <c r="I92" s="5" t="n">
        <v>150</v>
      </c>
      <c r="J92" s="5" t="n">
        <v>2</v>
      </c>
      <c r="K92" s="5" t="n">
        <v>191</v>
      </c>
      <c r="L92" s="5" t="n">
        <v>44</v>
      </c>
    </row>
    <row r="93" customFormat="false" ht="12.75" hidden="false" customHeight="true" outlineLevel="0" collapsed="false">
      <c r="A93" s="5" t="s">
        <v>264</v>
      </c>
      <c r="B93" s="5" t="n">
        <v>80</v>
      </c>
      <c r="C93" s="5" t="n">
        <v>232000000</v>
      </c>
      <c r="D93" s="5" t="s">
        <v>264</v>
      </c>
      <c r="E93" s="5" t="n">
        <v>10</v>
      </c>
      <c r="F93" s="5" t="n">
        <v>5</v>
      </c>
      <c r="G93" s="5" t="n">
        <v>38</v>
      </c>
      <c r="H93" s="5" t="n">
        <v>25</v>
      </c>
      <c r="I93" s="5" t="n">
        <v>867</v>
      </c>
      <c r="J93" s="5" t="n">
        <v>1.6</v>
      </c>
      <c r="K93" s="5" t="n">
        <v>1544</v>
      </c>
      <c r="L93" s="5" t="n">
        <v>19</v>
      </c>
    </row>
    <row r="94" customFormat="false" ht="12.75" hidden="false" customHeight="true" outlineLevel="0" collapsed="false">
      <c r="A94" s="5" t="s">
        <v>265</v>
      </c>
      <c r="B94" s="5" t="n">
        <v>88</v>
      </c>
      <c r="C94" s="5" t="n">
        <v>380000000</v>
      </c>
      <c r="D94" s="5" t="s">
        <v>266</v>
      </c>
      <c r="E94" s="5" t="n">
        <v>10</v>
      </c>
      <c r="F94" s="5" t="n">
        <v>5</v>
      </c>
      <c r="G94" s="5" t="n">
        <v>45</v>
      </c>
      <c r="H94" s="5" t="n">
        <v>31</v>
      </c>
      <c r="I94" s="5" t="n">
        <v>790</v>
      </c>
      <c r="J94" s="5" t="n">
        <v>1.6</v>
      </c>
      <c r="K94" s="5" t="n">
        <v>1679</v>
      </c>
      <c r="L94" s="5" t="n">
        <v>28</v>
      </c>
    </row>
    <row r="95" customFormat="false" ht="12.75" hidden="false" customHeight="true" outlineLevel="0" collapsed="false">
      <c r="A95" s="5" t="s">
        <v>191</v>
      </c>
      <c r="B95" s="5" t="n">
        <v>89</v>
      </c>
      <c r="C95" s="5" t="n">
        <v>8600000</v>
      </c>
      <c r="D95" s="5" t="s">
        <v>191</v>
      </c>
      <c r="E95" s="5" t="n">
        <v>1</v>
      </c>
      <c r="F95" s="5" t="n">
        <v>12</v>
      </c>
      <c r="G95" s="5" t="n">
        <v>484.5</v>
      </c>
      <c r="H95" s="5" t="n">
        <v>476</v>
      </c>
      <c r="I95" s="5" t="n">
        <v>66</v>
      </c>
      <c r="J95" s="5" t="n">
        <v>1.6</v>
      </c>
      <c r="K95" s="5" t="n">
        <v>1707</v>
      </c>
      <c r="L95" s="5" t="n">
        <v>27</v>
      </c>
    </row>
    <row r="96" customFormat="false" ht="12.75" hidden="false" customHeight="true" outlineLevel="0" collapsed="false">
      <c r="A96" s="5" t="s">
        <v>267</v>
      </c>
      <c r="B96" s="5" t="n">
        <v>56</v>
      </c>
      <c r="C96" s="5" t="n">
        <v>7550000</v>
      </c>
      <c r="D96" s="5" t="s">
        <v>129</v>
      </c>
      <c r="E96" s="5" t="n">
        <v>11</v>
      </c>
      <c r="F96" s="5" t="n">
        <v>11</v>
      </c>
      <c r="G96" s="5" t="n">
        <v>106</v>
      </c>
      <c r="H96" s="5" t="n">
        <v>100.6</v>
      </c>
      <c r="I96" s="5" t="n">
        <v>102.41</v>
      </c>
      <c r="J96" s="5" t="n">
        <v>1.6</v>
      </c>
      <c r="K96" s="5" t="n">
        <v>1104</v>
      </c>
      <c r="L96" s="5" t="n">
        <v>14</v>
      </c>
    </row>
    <row r="97" customFormat="false" ht="12.75" hidden="false" customHeight="true" outlineLevel="0" collapsed="false">
      <c r="A97" s="5" t="s">
        <v>268</v>
      </c>
      <c r="B97" s="5" t="n">
        <v>10</v>
      </c>
      <c r="C97" s="5" t="n">
        <v>65103000</v>
      </c>
      <c r="D97" s="5" t="s">
        <v>269</v>
      </c>
      <c r="E97" s="5" t="n">
        <v>3</v>
      </c>
      <c r="F97" s="5" t="n">
        <v>10</v>
      </c>
      <c r="G97" s="5" t="n">
        <v>130</v>
      </c>
      <c r="H97" s="5" t="n">
        <v>112.09</v>
      </c>
      <c r="I97" s="5" t="n">
        <v>90</v>
      </c>
      <c r="J97" s="5" t="n">
        <v>1.6</v>
      </c>
      <c r="K97" s="5" t="n">
        <v>235</v>
      </c>
      <c r="L97" s="5" t="n">
        <v>33</v>
      </c>
    </row>
    <row r="98" customFormat="false" ht="12.75" hidden="false" customHeight="true" outlineLevel="0" collapsed="false">
      <c r="A98" s="5" t="s">
        <v>270</v>
      </c>
      <c r="B98" s="5" t="n">
        <v>148</v>
      </c>
      <c r="C98" s="5" t="n">
        <v>1900000</v>
      </c>
      <c r="D98" s="5" t="s">
        <v>271</v>
      </c>
      <c r="E98" s="5" t="n">
        <v>1</v>
      </c>
      <c r="F98" s="5" t="n">
        <v>3</v>
      </c>
      <c r="G98" s="5" t="n">
        <v>998.09</v>
      </c>
      <c r="I98" s="5" t="n">
        <v>90.16</v>
      </c>
      <c r="J98" s="5" t="n">
        <v>1.6</v>
      </c>
      <c r="K98" s="5" t="n">
        <v>2367</v>
      </c>
      <c r="L98" s="5" t="n">
        <v>17</v>
      </c>
    </row>
    <row r="99" customFormat="false" ht="12.75" hidden="false" customHeight="true" outlineLevel="0" collapsed="false">
      <c r="A99" s="5" t="s">
        <v>272</v>
      </c>
      <c r="B99" s="5" t="n">
        <v>11</v>
      </c>
      <c r="C99" s="5" t="n">
        <v>456000000</v>
      </c>
      <c r="D99" s="5" t="s">
        <v>169</v>
      </c>
      <c r="E99" s="5" t="n">
        <v>3</v>
      </c>
      <c r="F99" s="5" t="n">
        <v>10</v>
      </c>
      <c r="G99" s="5" t="n">
        <v>127</v>
      </c>
      <c r="H99" s="5" t="n">
        <v>105</v>
      </c>
      <c r="I99" s="5" t="n">
        <v>105</v>
      </c>
      <c r="J99" s="5" t="n">
        <v>2</v>
      </c>
      <c r="K99" s="5" t="n">
        <v>268</v>
      </c>
      <c r="L99" s="5" t="n">
        <v>29</v>
      </c>
    </row>
    <row r="100" customFormat="false" ht="12.75" hidden="false" customHeight="true" outlineLevel="0" collapsed="false">
      <c r="A100" s="5" t="s">
        <v>273</v>
      </c>
      <c r="B100" s="5" t="n">
        <v>179</v>
      </c>
      <c r="C100" s="5" t="n">
        <v>2179000</v>
      </c>
      <c r="D100" s="5" t="s">
        <v>116</v>
      </c>
      <c r="E100" s="5" t="n">
        <v>10</v>
      </c>
      <c r="F100" s="5" t="n">
        <v>5</v>
      </c>
      <c r="G100" s="5" t="n">
        <v>998</v>
      </c>
      <c r="H100" s="5" t="n">
        <v>994.55</v>
      </c>
      <c r="I100" s="5" t="n">
        <v>30</v>
      </c>
      <c r="J100" s="5" t="n">
        <v>1.71</v>
      </c>
      <c r="K100" s="5" t="n">
        <v>2759</v>
      </c>
      <c r="L100" s="5" t="n">
        <v>15</v>
      </c>
    </row>
    <row r="101" customFormat="false" ht="12.75" hidden="false" customHeight="true" outlineLevel="0" collapsed="false">
      <c r="A101" s="5" t="s">
        <v>274</v>
      </c>
      <c r="B101" s="5" t="n">
        <v>12</v>
      </c>
      <c r="C101" s="5" t="n">
        <v>360000000</v>
      </c>
      <c r="D101" s="5" t="s">
        <v>274</v>
      </c>
      <c r="E101" s="5" t="n">
        <v>8</v>
      </c>
      <c r="F101" s="5" t="n">
        <v>13</v>
      </c>
      <c r="G101" s="5" t="n">
        <v>58</v>
      </c>
      <c r="H101" s="5" t="n">
        <v>44.2</v>
      </c>
      <c r="I101" s="5" t="n">
        <v>348</v>
      </c>
      <c r="J101" s="5" t="n">
        <v>2</v>
      </c>
      <c r="K101" s="5" t="n">
        <v>297</v>
      </c>
      <c r="L101" s="5" t="n">
        <v>46</v>
      </c>
    </row>
    <row r="102" customFormat="false" ht="12.75" hidden="false" customHeight="true" outlineLevel="0" collapsed="false">
      <c r="A102" s="5" t="s">
        <v>275</v>
      </c>
      <c r="B102" s="5" t="n">
        <v>192</v>
      </c>
      <c r="C102" s="5" t="n">
        <v>9031000</v>
      </c>
      <c r="D102" s="5" t="s">
        <v>276</v>
      </c>
      <c r="E102" s="5" t="n">
        <v>10</v>
      </c>
      <c r="F102" s="5" t="n">
        <v>10</v>
      </c>
      <c r="G102" s="5" t="n">
        <v>196.5</v>
      </c>
      <c r="H102" s="5" t="n">
        <v>184</v>
      </c>
      <c r="I102" s="5" t="n">
        <v>40</v>
      </c>
      <c r="J102" s="5" t="n">
        <v>1.71</v>
      </c>
      <c r="K102" s="5" t="n">
        <v>2937</v>
      </c>
      <c r="L102" s="5" t="n">
        <v>25</v>
      </c>
    </row>
    <row r="103" customFormat="false" ht="12.75" hidden="false" customHeight="true" outlineLevel="0" collapsed="false">
      <c r="A103" s="5" t="s">
        <v>277</v>
      </c>
      <c r="B103" s="5" t="n">
        <v>167</v>
      </c>
      <c r="C103" s="5" t="n">
        <v>74000000</v>
      </c>
      <c r="D103" s="5" t="s">
        <v>201</v>
      </c>
      <c r="E103" s="5" t="n">
        <v>3</v>
      </c>
      <c r="F103" s="5" t="n">
        <v>10</v>
      </c>
      <c r="G103" s="5" t="n">
        <v>246</v>
      </c>
      <c r="H103" s="5" t="n">
        <v>237.15</v>
      </c>
      <c r="I103" s="5" t="n">
        <v>180</v>
      </c>
      <c r="J103" s="5" t="n">
        <v>2</v>
      </c>
      <c r="K103" s="5" t="n">
        <v>2541</v>
      </c>
      <c r="L103" s="5" t="n">
        <v>16</v>
      </c>
    </row>
    <row r="104" customFormat="false" ht="12.75" hidden="false" customHeight="true" outlineLevel="0" collapsed="false">
      <c r="A104" s="5" t="s">
        <v>278</v>
      </c>
      <c r="B104" s="5" t="n">
        <v>27</v>
      </c>
      <c r="C104" s="5" t="n">
        <v>52000000</v>
      </c>
      <c r="D104" s="5" t="s">
        <v>279</v>
      </c>
      <c r="E104" s="5" t="n">
        <v>1</v>
      </c>
      <c r="F104" s="5" t="n">
        <v>3</v>
      </c>
      <c r="G104" s="5" t="n">
        <v>542</v>
      </c>
      <c r="H104" s="5" t="n">
        <v>530</v>
      </c>
      <c r="I104" s="5" t="n">
        <v>65</v>
      </c>
      <c r="J104" s="5" t="n">
        <v>1.6</v>
      </c>
      <c r="K104" s="5" t="n">
        <v>571</v>
      </c>
      <c r="L104" s="5" t="n">
        <v>25</v>
      </c>
    </row>
    <row r="105" customFormat="false" ht="12.75" hidden="false" customHeight="true" outlineLevel="0" collapsed="false">
      <c r="A105" s="5" t="s">
        <v>280</v>
      </c>
      <c r="B105" s="5" t="n">
        <v>67</v>
      </c>
      <c r="C105" s="5" t="n">
        <v>52000000</v>
      </c>
      <c r="D105" s="5" t="s">
        <v>171</v>
      </c>
      <c r="E105" s="5" t="n">
        <v>3</v>
      </c>
      <c r="F105" s="5" t="n">
        <v>9</v>
      </c>
      <c r="G105" s="5" t="n">
        <v>120</v>
      </c>
      <c r="H105" s="5" t="n">
        <v>107.56</v>
      </c>
      <c r="I105" s="5" t="n">
        <v>200</v>
      </c>
      <c r="J105" s="5" t="n">
        <v>1.6</v>
      </c>
      <c r="K105" s="5" t="n">
        <v>1268</v>
      </c>
      <c r="L105" s="5" t="n">
        <v>19</v>
      </c>
    </row>
    <row r="106" customFormat="false" ht="12.75" hidden="false" customHeight="true" outlineLevel="0" collapsed="false">
      <c r="A106" s="5" t="s">
        <v>281</v>
      </c>
      <c r="B106" s="5" t="n">
        <v>90</v>
      </c>
      <c r="C106" s="5" t="n">
        <v>12430000</v>
      </c>
      <c r="D106" s="5" t="s">
        <v>205</v>
      </c>
      <c r="E106" s="5" t="n">
        <v>11</v>
      </c>
      <c r="F106" s="5" t="n">
        <v>13</v>
      </c>
      <c r="G106" s="5" t="n">
        <v>68</v>
      </c>
      <c r="I106" s="5" t="n">
        <v>81</v>
      </c>
      <c r="J106" s="5" t="n">
        <v>1.6</v>
      </c>
      <c r="K106" s="5" t="n">
        <v>1734</v>
      </c>
      <c r="L106" s="5" t="n">
        <v>12</v>
      </c>
    </row>
    <row r="107" customFormat="false" ht="12.75" hidden="false" customHeight="true" outlineLevel="0" collapsed="false">
      <c r="A107" s="5" t="s">
        <v>282</v>
      </c>
      <c r="B107" s="5" t="n">
        <v>13</v>
      </c>
      <c r="C107" s="5" t="n">
        <v>143000000</v>
      </c>
      <c r="D107" s="5" t="s">
        <v>283</v>
      </c>
      <c r="E107" s="5" t="n">
        <v>10</v>
      </c>
      <c r="F107" s="5" t="n">
        <v>10</v>
      </c>
      <c r="G107" s="5" t="n">
        <v>218.5</v>
      </c>
      <c r="H107" s="5" t="n">
        <v>207.2</v>
      </c>
      <c r="I107" s="5" t="n">
        <v>50</v>
      </c>
      <c r="J107" s="5" t="n">
        <v>1.71</v>
      </c>
      <c r="K107" s="5" t="n">
        <v>343</v>
      </c>
      <c r="L107" s="5" t="n">
        <v>15</v>
      </c>
    </row>
    <row r="108" customFormat="false" ht="12.75" hidden="false" customHeight="true" outlineLevel="0" collapsed="false">
      <c r="A108" s="5" t="s">
        <v>284</v>
      </c>
      <c r="B108" s="5" t="n">
        <v>82</v>
      </c>
      <c r="C108" s="5" t="n">
        <v>6380000</v>
      </c>
      <c r="D108" s="5" t="s">
        <v>284</v>
      </c>
      <c r="E108" s="5" t="n">
        <v>4</v>
      </c>
      <c r="F108" s="5" t="n">
        <v>1</v>
      </c>
      <c r="G108" s="5" t="n">
        <v>99</v>
      </c>
      <c r="H108" s="5" t="n">
        <v>94.7</v>
      </c>
      <c r="I108" s="5" t="n">
        <v>52.64</v>
      </c>
      <c r="J108" s="5" t="n">
        <v>1.6</v>
      </c>
      <c r="K108" s="5" t="n">
        <v>1581</v>
      </c>
      <c r="L108" s="5" t="n">
        <v>18</v>
      </c>
    </row>
    <row r="109" customFormat="false" ht="12.75" hidden="false" customHeight="true" outlineLevel="0" collapsed="false">
      <c r="A109" s="5" t="s">
        <v>285</v>
      </c>
      <c r="B109" s="5" t="n">
        <v>14</v>
      </c>
      <c r="C109" s="5" t="n">
        <v>32500000</v>
      </c>
      <c r="D109" s="5" t="s">
        <v>286</v>
      </c>
      <c r="E109" s="5" t="n">
        <v>2</v>
      </c>
      <c r="F109" s="5" t="n">
        <v>2</v>
      </c>
      <c r="G109" s="5" t="n">
        <v>98</v>
      </c>
      <c r="H109" s="5" t="n">
        <v>72</v>
      </c>
      <c r="I109" s="5" t="n">
        <v>80</v>
      </c>
      <c r="J109" s="5" t="n">
        <v>2</v>
      </c>
      <c r="K109" s="5" t="n">
        <v>358</v>
      </c>
      <c r="L109" s="5" t="n">
        <v>12</v>
      </c>
    </row>
    <row r="110" customFormat="false" ht="12.75" hidden="false" customHeight="true" outlineLevel="0" collapsed="false">
      <c r="A110" s="5" t="s">
        <v>287</v>
      </c>
      <c r="B110" s="5" t="n">
        <v>62</v>
      </c>
      <c r="C110" s="5" t="n">
        <v>5200000</v>
      </c>
      <c r="D110" s="5" t="s">
        <v>288</v>
      </c>
      <c r="E110" s="5" t="n">
        <v>7</v>
      </c>
      <c r="F110" s="5" t="n">
        <v>11</v>
      </c>
      <c r="G110" s="5" t="n">
        <v>88</v>
      </c>
      <c r="H110" s="5" t="n">
        <v>82</v>
      </c>
      <c r="I110" s="5" t="n">
        <v>33</v>
      </c>
      <c r="J110" s="5" t="n">
        <v>1.6</v>
      </c>
      <c r="K110" s="5" t="n">
        <v>1189</v>
      </c>
      <c r="L110" s="5" t="n">
        <v>14</v>
      </c>
    </row>
    <row r="111" customFormat="false" ht="12.75" hidden="false" customHeight="true" outlineLevel="0" collapsed="false">
      <c r="A111" s="5" t="s">
        <v>289</v>
      </c>
      <c r="B111" s="5" t="n">
        <v>79</v>
      </c>
      <c r="C111" s="5" t="n">
        <v>3370000</v>
      </c>
      <c r="D111" s="5" t="s">
        <v>205</v>
      </c>
      <c r="E111" s="5" t="n">
        <v>11</v>
      </c>
      <c r="F111" s="5" t="n">
        <v>13</v>
      </c>
      <c r="G111" s="5" t="n">
        <v>98.5</v>
      </c>
      <c r="H111" s="5" t="n">
        <v>85</v>
      </c>
      <c r="I111" s="5" t="n">
        <v>42</v>
      </c>
      <c r="J111" s="5" t="n">
        <v>1.6</v>
      </c>
      <c r="K111" s="5" t="n">
        <v>1523</v>
      </c>
      <c r="L111" s="5" t="n">
        <v>21</v>
      </c>
    </row>
    <row r="112" customFormat="false" ht="12.75" hidden="false" customHeight="true" outlineLevel="0" collapsed="false">
      <c r="A112" s="5" t="s">
        <v>290</v>
      </c>
      <c r="B112" s="5" t="n">
        <v>68</v>
      </c>
      <c r="C112" s="5" t="n">
        <v>4330000</v>
      </c>
      <c r="D112" s="5" t="s">
        <v>291</v>
      </c>
      <c r="E112" s="5" t="n">
        <v>1</v>
      </c>
      <c r="F112" s="5" t="n">
        <v>7</v>
      </c>
      <c r="G112" s="5" t="n">
        <v>95</v>
      </c>
      <c r="H112" s="5" t="n">
        <v>86.5</v>
      </c>
      <c r="I112" s="5" t="n">
        <v>90.67</v>
      </c>
      <c r="J112" s="5" t="n">
        <v>2</v>
      </c>
      <c r="K112" s="5" t="n">
        <v>1287</v>
      </c>
      <c r="L112" s="5" t="n">
        <v>26</v>
      </c>
    </row>
    <row r="113" customFormat="false" ht="12.75" hidden="false" customHeight="true" outlineLevel="0" collapsed="false">
      <c r="A113" s="5" t="s">
        <v>292</v>
      </c>
      <c r="B113" s="5" t="n">
        <v>15</v>
      </c>
      <c r="C113" s="5" t="n">
        <v>31780000</v>
      </c>
      <c r="D113" s="5" t="s">
        <v>215</v>
      </c>
      <c r="E113" s="5" t="n">
        <v>2</v>
      </c>
      <c r="F113" s="5" t="n">
        <v>2</v>
      </c>
      <c r="G113" s="5" t="n">
        <v>418</v>
      </c>
      <c r="H113" s="5" t="n">
        <v>393</v>
      </c>
      <c r="I113" s="5" t="n">
        <v>55</v>
      </c>
      <c r="J113" s="5" t="n">
        <v>1.6</v>
      </c>
      <c r="K113" s="5" t="n">
        <v>370</v>
      </c>
      <c r="L113" s="5" t="n">
        <v>11</v>
      </c>
    </row>
    <row r="114" customFormat="false" ht="12.75" hidden="false" customHeight="true" outlineLevel="0" collapsed="false">
      <c r="A114" s="5" t="s">
        <v>201</v>
      </c>
      <c r="B114" s="5" t="n">
        <v>16</v>
      </c>
      <c r="C114" s="5" t="n">
        <v>7880000</v>
      </c>
      <c r="D114" s="5" t="s">
        <v>201</v>
      </c>
      <c r="E114" s="5" t="n">
        <v>3</v>
      </c>
      <c r="F114" s="5" t="n">
        <v>10</v>
      </c>
      <c r="G114" s="5" t="n">
        <v>102</v>
      </c>
      <c r="H114" s="5" t="n">
        <v>92.05</v>
      </c>
      <c r="I114" s="5" t="n">
        <v>153</v>
      </c>
      <c r="J114" s="5" t="n">
        <v>2</v>
      </c>
      <c r="K114" s="5" t="n">
        <v>381</v>
      </c>
      <c r="L114" s="5" t="n">
        <v>20</v>
      </c>
    </row>
    <row r="115" customFormat="false" ht="12.75" hidden="false" customHeight="true" outlineLevel="0" collapsed="false">
      <c r="A115" s="5" t="s">
        <v>293</v>
      </c>
      <c r="B115" s="5" t="n">
        <v>54</v>
      </c>
      <c r="C115" s="5" t="n">
        <v>31550000</v>
      </c>
      <c r="D115" s="5" t="s">
        <v>134</v>
      </c>
      <c r="E115" s="5" t="n">
        <v>9</v>
      </c>
      <c r="F115" s="5" t="n">
        <v>4</v>
      </c>
      <c r="G115" s="5" t="n">
        <v>327</v>
      </c>
      <c r="H115" s="5" t="n">
        <v>314.4</v>
      </c>
      <c r="I115" s="5" t="n">
        <v>70</v>
      </c>
      <c r="J115" s="5" t="n">
        <v>1.6</v>
      </c>
      <c r="K115" s="5" t="n">
        <v>1073</v>
      </c>
      <c r="L115" s="5" t="n">
        <v>20</v>
      </c>
    </row>
    <row r="116" customFormat="false" ht="12.75" hidden="false" customHeight="true" outlineLevel="0" collapsed="false">
      <c r="A116" s="5" t="s">
        <v>294</v>
      </c>
      <c r="B116" s="5" t="n">
        <v>117</v>
      </c>
      <c r="C116" s="5" t="n">
        <v>47916512</v>
      </c>
      <c r="D116" s="5" t="s">
        <v>295</v>
      </c>
      <c r="E116" s="5" t="n">
        <v>10</v>
      </c>
      <c r="F116" s="5" t="n">
        <v>5</v>
      </c>
      <c r="G116" s="5" t="n">
        <v>45</v>
      </c>
      <c r="H116" s="5" t="n">
        <v>31</v>
      </c>
      <c r="I116" s="5" t="n">
        <v>0</v>
      </c>
      <c r="J116" s="5" t="n">
        <v>1.6</v>
      </c>
      <c r="K116" s="5" t="n">
        <v>1969</v>
      </c>
      <c r="L116" s="5" t="n">
        <v>38</v>
      </c>
    </row>
    <row r="117" customFormat="false" ht="12.75" hidden="false" customHeight="true" outlineLevel="0" collapsed="false">
      <c r="A117" s="5" t="s">
        <v>296</v>
      </c>
      <c r="B117" s="5" t="n">
        <v>186</v>
      </c>
      <c r="C117" s="5" t="n">
        <v>23247502</v>
      </c>
      <c r="D117" s="5" t="s">
        <v>159</v>
      </c>
      <c r="E117" s="5" t="n">
        <v>4</v>
      </c>
      <c r="F117" s="5" t="n">
        <v>9</v>
      </c>
      <c r="G117" s="5" t="n">
        <v>88</v>
      </c>
      <c r="K117" s="5" t="n">
        <v>2835</v>
      </c>
      <c r="L117" s="5" t="n">
        <v>19</v>
      </c>
    </row>
    <row r="118" customFormat="false" ht="12.75" hidden="false" customHeight="true" outlineLevel="0" collapsed="false">
      <c r="A118" s="5" t="s">
        <v>297</v>
      </c>
      <c r="B118" s="5" t="n">
        <v>17</v>
      </c>
      <c r="C118" s="5" t="n">
        <v>58434157</v>
      </c>
      <c r="D118" s="5" t="s">
        <v>298</v>
      </c>
      <c r="E118" s="5" t="n">
        <v>4</v>
      </c>
      <c r="F118" s="5" t="n">
        <v>10</v>
      </c>
      <c r="G118" s="5" t="n">
        <v>118</v>
      </c>
      <c r="H118" s="5" t="n">
        <v>108</v>
      </c>
      <c r="I118" s="5" t="n">
        <v>113.49</v>
      </c>
      <c r="J118" s="5" t="n">
        <v>1.6</v>
      </c>
      <c r="K118" s="5" t="n">
        <v>401</v>
      </c>
      <c r="L118" s="5" t="n">
        <v>17</v>
      </c>
    </row>
    <row r="119" customFormat="false" ht="12.75" hidden="false" customHeight="true" outlineLevel="0" collapsed="false">
      <c r="A119" s="5" t="s">
        <v>299</v>
      </c>
      <c r="B119" s="5" t="n">
        <v>174</v>
      </c>
      <c r="C119" s="5" t="n">
        <v>20100000</v>
      </c>
      <c r="D119" s="5" t="s">
        <v>300</v>
      </c>
      <c r="E119" s="5" t="n">
        <v>1</v>
      </c>
      <c r="F119" s="5" t="n">
        <v>12</v>
      </c>
      <c r="G119" s="5" t="n">
        <v>997.5</v>
      </c>
      <c r="I119" s="5" t="n">
        <v>100</v>
      </c>
      <c r="J119" s="5" t="n">
        <v>2</v>
      </c>
      <c r="K119" s="5" t="n">
        <v>2687</v>
      </c>
      <c r="L119" s="5" t="n">
        <v>21</v>
      </c>
    </row>
    <row r="120" customFormat="false" ht="12.75" hidden="false" customHeight="true" outlineLevel="0" collapsed="false">
      <c r="A120" s="5" t="s">
        <v>8</v>
      </c>
      <c r="B120" s="5" t="n">
        <v>181</v>
      </c>
      <c r="C120" s="5" t="n">
        <v>47220000</v>
      </c>
      <c r="D120" s="5" t="s">
        <v>301</v>
      </c>
      <c r="E120" s="5" t="n">
        <v>2</v>
      </c>
      <c r="F120" s="5" t="n">
        <v>2</v>
      </c>
      <c r="G120" s="5" t="n">
        <v>288</v>
      </c>
      <c r="H120" s="5" t="n">
        <v>278</v>
      </c>
      <c r="I120" s="5" t="n">
        <v>80</v>
      </c>
      <c r="J120" s="5" t="n">
        <v>1.6</v>
      </c>
      <c r="K120" s="5" t="n">
        <v>2795</v>
      </c>
      <c r="L120" s="5" t="n">
        <v>18</v>
      </c>
    </row>
    <row r="121" customFormat="false" ht="12.75" hidden="false" customHeight="true" outlineLevel="0" collapsed="false">
      <c r="A121" s="5" t="s">
        <v>302</v>
      </c>
      <c r="B121" s="5" t="n">
        <v>21</v>
      </c>
      <c r="C121" s="5" t="n">
        <v>15768679</v>
      </c>
      <c r="D121" s="5" t="s">
        <v>253</v>
      </c>
      <c r="E121" s="5" t="n">
        <v>11</v>
      </c>
      <c r="F121" s="5" t="n">
        <v>11</v>
      </c>
      <c r="G121" s="5" t="n">
        <v>99</v>
      </c>
      <c r="I121" s="5" t="n">
        <v>211</v>
      </c>
      <c r="J121" s="5" t="n">
        <v>1.6</v>
      </c>
      <c r="K121" s="5" t="n">
        <v>461</v>
      </c>
      <c r="L121" s="5" t="n">
        <v>22</v>
      </c>
    </row>
    <row r="122" customFormat="false" ht="12.75" hidden="false" customHeight="true" outlineLevel="0" collapsed="false">
      <c r="A122" s="5" t="s">
        <v>303</v>
      </c>
      <c r="B122" s="5" t="n">
        <v>18</v>
      </c>
      <c r="C122" s="5" t="n">
        <v>6040000</v>
      </c>
      <c r="D122" s="5" t="s">
        <v>189</v>
      </c>
      <c r="E122" s="5" t="n">
        <v>8</v>
      </c>
      <c r="F122" s="5" t="n">
        <v>13</v>
      </c>
      <c r="G122" s="5" t="n">
        <v>95</v>
      </c>
      <c r="H122" s="5" t="n">
        <v>87</v>
      </c>
      <c r="I122" s="5" t="n">
        <v>73.33</v>
      </c>
      <c r="J122" s="5" t="n">
        <v>1.6</v>
      </c>
      <c r="K122" s="5" t="n">
        <v>418</v>
      </c>
      <c r="L122" s="5" t="n">
        <v>12</v>
      </c>
    </row>
    <row r="123" customFormat="false" ht="12.75" hidden="false" customHeight="true" outlineLevel="0" collapsed="false">
      <c r="A123" s="5" t="s">
        <v>304</v>
      </c>
      <c r="B123" s="5" t="n">
        <v>166</v>
      </c>
      <c r="C123" s="5" t="n">
        <v>6720000</v>
      </c>
      <c r="D123" s="5" t="s">
        <v>305</v>
      </c>
      <c r="E123" s="5" t="n">
        <v>4</v>
      </c>
      <c r="F123" s="5" t="n">
        <v>1</v>
      </c>
      <c r="G123" s="5" t="n">
        <v>99</v>
      </c>
      <c r="I123" s="5" t="n">
        <v>100</v>
      </c>
      <c r="J123" s="5" t="n">
        <v>1.6</v>
      </c>
      <c r="K123" s="5" t="n">
        <v>2528</v>
      </c>
      <c r="L123" s="5" t="n">
        <v>13</v>
      </c>
    </row>
    <row r="124" customFormat="false" ht="12.75" hidden="false" customHeight="true" outlineLevel="0" collapsed="false">
      <c r="A124" s="5" t="s">
        <v>306</v>
      </c>
      <c r="B124" s="5" t="n">
        <v>55</v>
      </c>
      <c r="C124" s="5" t="n">
        <v>8200000</v>
      </c>
      <c r="D124" s="5" t="s">
        <v>129</v>
      </c>
      <c r="E124" s="5" t="n">
        <v>11</v>
      </c>
      <c r="F124" s="5" t="n">
        <v>11</v>
      </c>
      <c r="G124" s="5" t="n">
        <v>98</v>
      </c>
      <c r="H124" s="5" t="n">
        <v>94</v>
      </c>
      <c r="I124" s="5" t="n">
        <v>86</v>
      </c>
      <c r="J124" s="5" t="n">
        <v>1.6</v>
      </c>
      <c r="K124" s="5" t="n">
        <v>1093</v>
      </c>
      <c r="L124" s="5" t="n">
        <v>11</v>
      </c>
    </row>
    <row r="125" customFormat="false" ht="12.75" hidden="false" customHeight="true" outlineLevel="0" collapsed="false">
      <c r="A125" s="5" t="s">
        <v>307</v>
      </c>
      <c r="B125" s="5" t="n">
        <v>233</v>
      </c>
      <c r="C125" s="5" t="n">
        <v>833000</v>
      </c>
      <c r="D125" s="5" t="s">
        <v>148</v>
      </c>
      <c r="E125" s="5" t="n">
        <v>4</v>
      </c>
      <c r="F125" s="5" t="n">
        <v>1</v>
      </c>
      <c r="G125" s="5" t="n">
        <v>54.5</v>
      </c>
      <c r="I125" s="5" t="n">
        <v>18.83</v>
      </c>
      <c r="J125" s="5" t="n">
        <v>1.6</v>
      </c>
      <c r="K125" s="5" t="n">
        <v>3417</v>
      </c>
      <c r="L125" s="5" t="n">
        <v>13</v>
      </c>
    </row>
    <row r="126" customFormat="false" ht="12.75" hidden="false" customHeight="true" outlineLevel="0" collapsed="false">
      <c r="A126" s="5" t="s">
        <v>308</v>
      </c>
      <c r="B126" s="5" t="n">
        <v>50</v>
      </c>
      <c r="C126" s="5" t="n">
        <v>24340000</v>
      </c>
      <c r="D126" s="5" t="s">
        <v>129</v>
      </c>
      <c r="E126" s="5" t="n">
        <v>11</v>
      </c>
      <c r="F126" s="5" t="n">
        <v>11</v>
      </c>
      <c r="G126" s="5" t="n">
        <v>93</v>
      </c>
      <c r="H126" s="5" t="n">
        <v>84</v>
      </c>
      <c r="I126" s="5" t="n">
        <v>180</v>
      </c>
      <c r="J126" s="5" t="n">
        <v>1.6</v>
      </c>
      <c r="K126" s="5" t="n">
        <v>995</v>
      </c>
      <c r="L126" s="5" t="n">
        <v>17</v>
      </c>
    </row>
    <row r="127" customFormat="false" ht="12.75" hidden="false" customHeight="true" outlineLevel="0" collapsed="false">
      <c r="A127" s="5" t="s">
        <v>309</v>
      </c>
      <c r="B127" s="5" t="n">
        <v>19</v>
      </c>
      <c r="C127" s="5" t="n">
        <v>24000000</v>
      </c>
      <c r="D127" s="5" t="s">
        <v>310</v>
      </c>
      <c r="E127" s="5" t="n">
        <v>5</v>
      </c>
      <c r="F127" s="5" t="n">
        <v>9</v>
      </c>
      <c r="G127" s="5" t="n">
        <v>109.28</v>
      </c>
      <c r="H127" s="5" t="n">
        <v>104.5</v>
      </c>
      <c r="I127" s="5" t="n">
        <v>55.15</v>
      </c>
      <c r="J127" s="5" t="n">
        <v>1.6</v>
      </c>
      <c r="K127" s="5" t="n">
        <v>430</v>
      </c>
      <c r="L127" s="5" t="n">
        <v>13</v>
      </c>
    </row>
    <row r="128" customFormat="false" ht="12.75" hidden="false" customHeight="true" outlineLevel="0" collapsed="false">
      <c r="A128" s="5" t="s">
        <v>311</v>
      </c>
      <c r="B128" s="5" t="n">
        <v>141</v>
      </c>
      <c r="C128" s="5" t="n">
        <v>3200000</v>
      </c>
      <c r="D128" s="5" t="s">
        <v>179</v>
      </c>
      <c r="E128" s="5" t="n">
        <v>8</v>
      </c>
      <c r="F128" s="5" t="n">
        <v>13</v>
      </c>
      <c r="G128" s="5" t="n">
        <v>98.5</v>
      </c>
      <c r="H128" s="5" t="n">
        <v>92.15</v>
      </c>
      <c r="I128" s="5" t="n">
        <v>116</v>
      </c>
      <c r="J128" s="5" t="n">
        <v>2</v>
      </c>
      <c r="K128" s="5" t="n">
        <v>2308</v>
      </c>
      <c r="L128" s="5" t="n">
        <v>17</v>
      </c>
    </row>
    <row r="129" customFormat="false" ht="12.75" hidden="false" customHeight="true" outlineLevel="0" collapsed="false">
      <c r="A129" s="5" t="s">
        <v>312</v>
      </c>
      <c r="B129" s="5" t="n">
        <v>190</v>
      </c>
      <c r="C129" s="5" t="n">
        <v>2250000</v>
      </c>
      <c r="D129" s="5" t="s">
        <v>313</v>
      </c>
      <c r="E129" s="5" t="n">
        <v>2</v>
      </c>
      <c r="F129" s="5" t="n">
        <v>2</v>
      </c>
      <c r="G129" s="5" t="n">
        <v>602.26</v>
      </c>
      <c r="K129" s="5" t="n">
        <v>2874</v>
      </c>
      <c r="L129" s="5" t="n">
        <v>39</v>
      </c>
    </row>
    <row r="130" customFormat="false" ht="12.75" hidden="false" customHeight="true" outlineLevel="0" collapsed="false">
      <c r="A130" s="5" t="s">
        <v>314</v>
      </c>
      <c r="B130" s="5" t="n">
        <v>39</v>
      </c>
      <c r="C130" s="5" t="n">
        <v>7670000</v>
      </c>
      <c r="D130" s="5" t="s">
        <v>315</v>
      </c>
      <c r="E130" s="5" t="n">
        <v>3</v>
      </c>
      <c r="F130" s="5" t="n">
        <v>10</v>
      </c>
      <c r="G130" s="5" t="n">
        <v>100</v>
      </c>
      <c r="H130" s="5" t="n">
        <v>96.88</v>
      </c>
      <c r="I130" s="5" t="n">
        <v>120</v>
      </c>
      <c r="J130" s="5" t="n">
        <v>1.6</v>
      </c>
      <c r="K130" s="5" t="n">
        <v>770</v>
      </c>
      <c r="L130" s="5" t="n">
        <v>13</v>
      </c>
    </row>
    <row r="131" customFormat="false" ht="12.75" hidden="false" customHeight="true" outlineLevel="0" collapsed="false">
      <c r="A131" s="5" t="s">
        <v>316</v>
      </c>
      <c r="B131" s="5" t="n">
        <v>85</v>
      </c>
      <c r="C131" s="5" t="n">
        <v>21000000</v>
      </c>
      <c r="D131" s="5" t="s">
        <v>317</v>
      </c>
      <c r="E131" s="5" t="n">
        <v>3</v>
      </c>
      <c r="F131" s="5" t="n">
        <v>7</v>
      </c>
      <c r="G131" s="5" t="n">
        <v>250</v>
      </c>
      <c r="H131" s="5" t="n">
        <v>243.27</v>
      </c>
      <c r="I131" s="5" t="n">
        <v>60</v>
      </c>
      <c r="J131" s="5" t="n">
        <v>1.6</v>
      </c>
      <c r="K131" s="5" t="n">
        <v>1640</v>
      </c>
      <c r="L131" s="5" t="n">
        <v>14</v>
      </c>
    </row>
    <row r="132" customFormat="false" ht="12.75" hidden="false" customHeight="true" outlineLevel="0" collapsed="false">
      <c r="A132" s="5" t="s">
        <v>318</v>
      </c>
      <c r="B132" s="5" t="n">
        <v>185</v>
      </c>
      <c r="C132" s="5" t="n">
        <v>7960000</v>
      </c>
      <c r="D132" s="5" t="s">
        <v>319</v>
      </c>
      <c r="E132" s="5" t="n">
        <v>9</v>
      </c>
      <c r="F132" s="5" t="n">
        <v>4</v>
      </c>
      <c r="G132" s="5" t="n">
        <v>100</v>
      </c>
      <c r="K132" s="5" t="n">
        <v>2813</v>
      </c>
      <c r="L132" s="5" t="n">
        <v>22</v>
      </c>
    </row>
    <row r="133" customFormat="false" ht="12.75" hidden="false" customHeight="true" outlineLevel="0" collapsed="false">
      <c r="A133" s="5" t="s">
        <v>320</v>
      </c>
      <c r="B133" s="5" t="n">
        <v>20</v>
      </c>
      <c r="C133" s="5" t="n">
        <v>10330000</v>
      </c>
      <c r="D133" s="5" t="s">
        <v>189</v>
      </c>
      <c r="E133" s="5" t="n">
        <v>8</v>
      </c>
      <c r="F133" s="5" t="n">
        <v>13</v>
      </c>
      <c r="G133" s="5" t="n">
        <v>191</v>
      </c>
      <c r="H133" s="5" t="n">
        <v>182</v>
      </c>
      <c r="I133" s="5" t="n">
        <v>200</v>
      </c>
      <c r="J133" s="5" t="n">
        <v>1.6</v>
      </c>
      <c r="K133" s="5" t="n">
        <v>443</v>
      </c>
      <c r="L133" s="5" t="n">
        <v>18</v>
      </c>
    </row>
    <row r="134" customFormat="false" ht="12.75" hidden="false" customHeight="true" outlineLevel="0" collapsed="false">
      <c r="A134" s="5" t="s">
        <v>321</v>
      </c>
      <c r="B134" s="5" t="n">
        <v>81</v>
      </c>
      <c r="C134" s="5" t="n">
        <v>9840000</v>
      </c>
      <c r="D134" s="5" t="s">
        <v>322</v>
      </c>
      <c r="E134" s="5" t="n">
        <v>6</v>
      </c>
      <c r="F134" s="5" t="n">
        <v>11</v>
      </c>
      <c r="G134" s="5" t="n">
        <v>102</v>
      </c>
      <c r="H134" s="5" t="n">
        <v>91.5</v>
      </c>
      <c r="I134" s="5" t="n">
        <v>53</v>
      </c>
      <c r="J134" s="5" t="n">
        <v>1.6</v>
      </c>
      <c r="K134" s="5" t="n">
        <v>1563</v>
      </c>
      <c r="L134" s="5" t="n">
        <v>18</v>
      </c>
    </row>
    <row r="135" customFormat="false" ht="12.75" hidden="false" customHeight="true" outlineLevel="0" collapsed="false">
      <c r="A135" s="5" t="s">
        <v>323</v>
      </c>
      <c r="B135" s="5" t="n">
        <v>99</v>
      </c>
      <c r="C135" s="5" t="n">
        <v>40936943</v>
      </c>
      <c r="D135" s="5" t="s">
        <v>324</v>
      </c>
      <c r="E135" s="5" t="n">
        <v>3</v>
      </c>
      <c r="F135" s="5" t="n">
        <v>10</v>
      </c>
      <c r="G135" s="5" t="n">
        <v>254.5</v>
      </c>
      <c r="H135" s="5" t="n">
        <v>241.3</v>
      </c>
      <c r="I135" s="5" t="n">
        <v>147.45</v>
      </c>
      <c r="J135" s="5" t="n">
        <v>2</v>
      </c>
      <c r="K135" s="5" t="n">
        <v>1862</v>
      </c>
      <c r="L135" s="5" t="n">
        <v>16</v>
      </c>
    </row>
    <row r="136" customFormat="false" ht="12.75" hidden="false" customHeight="true" outlineLevel="0" collapsed="false">
      <c r="A136" s="5" t="s">
        <v>325</v>
      </c>
      <c r="B136" s="5" t="n">
        <v>159</v>
      </c>
      <c r="C136" s="5" t="n">
        <v>126000000</v>
      </c>
      <c r="D136" s="5" t="s">
        <v>165</v>
      </c>
      <c r="E136" s="5" t="n">
        <v>10</v>
      </c>
      <c r="F136" s="5" t="n">
        <v>5</v>
      </c>
      <c r="G136" s="5" t="n">
        <v>45.15</v>
      </c>
      <c r="H136" s="5" t="n">
        <v>36.68</v>
      </c>
      <c r="I136" s="5" t="n">
        <v>70</v>
      </c>
      <c r="J136" s="5" t="n">
        <v>1.71</v>
      </c>
      <c r="K136" s="5" t="n">
        <v>2430</v>
      </c>
      <c r="L136" s="5" t="n">
        <v>26</v>
      </c>
    </row>
    <row r="137" customFormat="false" ht="12.75" hidden="false" customHeight="true" outlineLevel="0" collapsed="false">
      <c r="A137" s="5" t="s">
        <v>129</v>
      </c>
      <c r="B137" s="5" t="n">
        <v>22</v>
      </c>
      <c r="C137" s="5" t="n">
        <v>4272502</v>
      </c>
      <c r="D137" s="5" t="s">
        <v>129</v>
      </c>
      <c r="E137" s="5" t="n">
        <v>6</v>
      </c>
      <c r="F137" s="5" t="n">
        <v>11</v>
      </c>
      <c r="G137" s="5" t="n">
        <v>99</v>
      </c>
      <c r="H137" s="5" t="n">
        <v>91.76</v>
      </c>
      <c r="I137" s="5" t="n">
        <v>73.4</v>
      </c>
      <c r="J137" s="5" t="n">
        <v>1.6</v>
      </c>
      <c r="K137" s="5" t="n">
        <v>483</v>
      </c>
      <c r="L137" s="5" t="n">
        <v>18</v>
      </c>
    </row>
    <row r="138" customFormat="false" ht="12.75" hidden="false" customHeight="true" outlineLevel="0" collapsed="false">
      <c r="A138" s="5" t="s">
        <v>326</v>
      </c>
      <c r="B138" s="5" t="n">
        <v>160</v>
      </c>
      <c r="C138" s="5" t="n">
        <v>30840000</v>
      </c>
      <c r="D138" s="5" t="s">
        <v>189</v>
      </c>
      <c r="E138" s="5" t="n">
        <v>8</v>
      </c>
      <c r="F138" s="5" t="n">
        <v>13</v>
      </c>
      <c r="G138" s="5" t="n">
        <v>162.5</v>
      </c>
      <c r="H138" s="5" t="n">
        <v>153.75</v>
      </c>
      <c r="I138" s="5" t="n">
        <v>100</v>
      </c>
      <c r="J138" s="5" t="n">
        <v>2</v>
      </c>
      <c r="K138" s="5" t="n">
        <v>2456</v>
      </c>
      <c r="L138" s="5" t="n">
        <v>20</v>
      </c>
    </row>
    <row r="139" customFormat="false" ht="12.75" hidden="false" customHeight="true" outlineLevel="0" collapsed="false">
      <c r="A139" s="5" t="s">
        <v>327</v>
      </c>
      <c r="B139" s="5" t="n">
        <v>66</v>
      </c>
      <c r="C139" s="5" t="n">
        <v>6600000</v>
      </c>
      <c r="D139" s="5" t="s">
        <v>154</v>
      </c>
      <c r="E139" s="5" t="n">
        <v>9</v>
      </c>
      <c r="F139" s="5" t="n">
        <v>4</v>
      </c>
      <c r="G139" s="5" t="n">
        <v>100</v>
      </c>
      <c r="I139" s="5" t="n">
        <v>194.5</v>
      </c>
      <c r="J139" s="5" t="n">
        <v>1.6</v>
      </c>
      <c r="K139" s="5" t="n">
        <v>1254</v>
      </c>
      <c r="L139" s="5" t="n">
        <v>14</v>
      </c>
    </row>
    <row r="140" customFormat="false" ht="12.75" hidden="false" customHeight="true" outlineLevel="0" collapsed="false">
      <c r="A140" s="5" t="s">
        <v>328</v>
      </c>
      <c r="B140" s="5" t="n">
        <v>254</v>
      </c>
      <c r="C140" s="5" t="n">
        <v>320000000</v>
      </c>
      <c r="D140" s="5" t="s">
        <v>329</v>
      </c>
      <c r="E140" s="5" t="n">
        <v>6</v>
      </c>
      <c r="F140" s="5" t="n">
        <v>11</v>
      </c>
      <c r="G140" s="5" t="n">
        <v>133</v>
      </c>
      <c r="H140" s="5" t="n">
        <v>116.7</v>
      </c>
      <c r="K140" s="5" t="n">
        <v>3565</v>
      </c>
      <c r="L140" s="5" t="n">
        <v>19</v>
      </c>
    </row>
    <row r="141" customFormat="false" ht="12.75" hidden="false" customHeight="true" outlineLevel="0" collapsed="false">
      <c r="A141" s="5" t="s">
        <v>330</v>
      </c>
      <c r="B141" s="5" t="n">
        <v>75</v>
      </c>
      <c r="C141" s="5" t="n">
        <v>2720000</v>
      </c>
      <c r="D141" s="5" t="s">
        <v>241</v>
      </c>
      <c r="E141" s="5" t="n">
        <v>2</v>
      </c>
      <c r="F141" s="5" t="n">
        <v>7</v>
      </c>
      <c r="G141" s="5" t="n">
        <v>220.5</v>
      </c>
      <c r="H141" s="5" t="n">
        <v>210.18</v>
      </c>
      <c r="I141" s="5" t="n">
        <v>64.25</v>
      </c>
      <c r="J141" s="5" t="n">
        <v>2</v>
      </c>
      <c r="K141" s="5" t="n">
        <v>1445</v>
      </c>
      <c r="L141" s="5" t="n">
        <v>18</v>
      </c>
    </row>
    <row r="142" customFormat="false" ht="12.75" hidden="false" customHeight="true" outlineLevel="0" collapsed="false">
      <c r="A142" s="5" t="s">
        <v>331</v>
      </c>
      <c r="B142" s="5" t="n">
        <v>92</v>
      </c>
      <c r="C142" s="5" t="n">
        <v>28110000</v>
      </c>
      <c r="D142" s="5" t="s">
        <v>331</v>
      </c>
      <c r="E142" s="5" t="n">
        <v>8</v>
      </c>
      <c r="F142" s="5" t="n">
        <v>13</v>
      </c>
      <c r="G142" s="5" t="n">
        <v>116.61</v>
      </c>
      <c r="H142" s="5" t="n">
        <v>103.53</v>
      </c>
      <c r="I142" s="5" t="n">
        <v>60</v>
      </c>
      <c r="J142" s="5" t="n">
        <v>2</v>
      </c>
      <c r="K142" s="5" t="n">
        <v>1756</v>
      </c>
      <c r="L142" s="5" t="n">
        <v>28</v>
      </c>
    </row>
    <row r="143" customFormat="false" ht="12.75" hidden="false" customHeight="true" outlineLevel="0" collapsed="false">
      <c r="A143" s="5" t="s">
        <v>332</v>
      </c>
      <c r="B143" s="5" t="n">
        <v>23</v>
      </c>
      <c r="C143" s="5" t="n">
        <v>28780000</v>
      </c>
      <c r="D143" s="5" t="s">
        <v>333</v>
      </c>
      <c r="E143" s="5" t="n">
        <v>2</v>
      </c>
      <c r="F143" s="5" t="n">
        <v>2</v>
      </c>
      <c r="G143" s="5" t="n">
        <v>441</v>
      </c>
      <c r="H143" s="5" t="n">
        <v>422</v>
      </c>
      <c r="I143" s="5" t="n">
        <v>39</v>
      </c>
      <c r="J143" s="5" t="n">
        <v>2</v>
      </c>
      <c r="K143" s="5" t="n">
        <v>501</v>
      </c>
      <c r="L143" s="5" t="n">
        <v>9</v>
      </c>
    </row>
    <row r="144" customFormat="false" ht="12.75" hidden="false" customHeight="true" outlineLevel="0" collapsed="false">
      <c r="A144" s="5" t="s">
        <v>334</v>
      </c>
      <c r="B144" s="5" t="n">
        <v>111</v>
      </c>
      <c r="C144" s="5" t="n">
        <v>3510000</v>
      </c>
      <c r="D144" s="5" t="s">
        <v>298</v>
      </c>
      <c r="E144" s="5" t="n">
        <v>4</v>
      </c>
      <c r="F144" s="5" t="n">
        <v>7</v>
      </c>
      <c r="G144" s="5" t="n">
        <v>100</v>
      </c>
      <c r="I144" s="5" t="n">
        <v>50</v>
      </c>
      <c r="K144" s="5" t="n">
        <v>1925</v>
      </c>
      <c r="L144" s="5" t="n">
        <v>15</v>
      </c>
    </row>
    <row r="145" customFormat="false" ht="12.75" hidden="false" customHeight="true" outlineLevel="0" collapsed="false">
      <c r="A145" s="5" t="s">
        <v>335</v>
      </c>
      <c r="B145" s="5" t="n">
        <v>132</v>
      </c>
      <c r="C145" s="5" t="n">
        <v>403871</v>
      </c>
      <c r="D145" s="5" t="s">
        <v>336</v>
      </c>
      <c r="E145" s="5" t="n">
        <v>10</v>
      </c>
      <c r="F145" s="5" t="n">
        <v>6</v>
      </c>
      <c r="G145" s="5" t="n">
        <v>363.17</v>
      </c>
      <c r="H145" s="5" t="n">
        <v>354.5</v>
      </c>
      <c r="I145" s="5" t="n">
        <v>45</v>
      </c>
      <c r="K145" s="5" t="n">
        <v>2247</v>
      </c>
      <c r="L145" s="5" t="n">
        <v>19</v>
      </c>
    </row>
    <row r="146" customFormat="false" ht="12.75" hidden="false" customHeight="true" outlineLevel="0" collapsed="false">
      <c r="A146" s="5" t="s">
        <v>337</v>
      </c>
      <c r="B146" s="5" t="n">
        <v>96</v>
      </c>
      <c r="C146" s="5" t="n">
        <v>18190000</v>
      </c>
      <c r="D146" s="5" t="s">
        <v>152</v>
      </c>
      <c r="E146" s="5" t="n">
        <v>3</v>
      </c>
      <c r="F146" s="5" t="n">
        <v>12</v>
      </c>
      <c r="G146" s="5" t="n">
        <v>510</v>
      </c>
      <c r="H146" s="5" t="n">
        <v>496.86</v>
      </c>
      <c r="I146" s="5" t="n">
        <v>50</v>
      </c>
      <c r="J146" s="5" t="n">
        <v>2</v>
      </c>
      <c r="K146" s="5" t="n">
        <v>1826</v>
      </c>
      <c r="L146" s="5" t="n">
        <v>20</v>
      </c>
    </row>
    <row r="147" customFormat="false" ht="12.75" hidden="false" customHeight="true" outlineLevel="0" collapsed="false">
      <c r="A147" s="5" t="s">
        <v>338</v>
      </c>
      <c r="B147" s="5" t="n">
        <v>129</v>
      </c>
      <c r="C147" s="5" t="n">
        <v>5510000</v>
      </c>
      <c r="D147" s="5" t="s">
        <v>118</v>
      </c>
      <c r="E147" s="5" t="n">
        <v>7</v>
      </c>
      <c r="F147" s="5" t="n">
        <v>11</v>
      </c>
      <c r="G147" s="5" t="n">
        <v>100</v>
      </c>
      <c r="H147" s="5" t="n">
        <v>92.1</v>
      </c>
      <c r="I147" s="5" t="n">
        <v>22</v>
      </c>
      <c r="J147" s="5" t="n">
        <v>2</v>
      </c>
      <c r="K147" s="5" t="n">
        <v>2192</v>
      </c>
      <c r="L147" s="5" t="n">
        <v>17</v>
      </c>
    </row>
    <row r="148" customFormat="false" ht="12.75" hidden="false" customHeight="true" outlineLevel="0" collapsed="false">
      <c r="A148" s="5" t="s">
        <v>339</v>
      </c>
      <c r="B148" s="5" t="n">
        <v>24</v>
      </c>
      <c r="C148" s="5" t="n">
        <v>13000000</v>
      </c>
      <c r="D148" s="5" t="s">
        <v>142</v>
      </c>
      <c r="E148" s="5" t="n">
        <v>1</v>
      </c>
      <c r="F148" s="5" t="n">
        <v>12</v>
      </c>
      <c r="G148" s="5" t="n">
        <v>433</v>
      </c>
      <c r="H148" s="5" t="n">
        <v>426.5</v>
      </c>
      <c r="I148" s="5" t="n">
        <v>166.67</v>
      </c>
      <c r="J148" s="5" t="n">
        <v>2</v>
      </c>
      <c r="K148" s="5" t="n">
        <v>510</v>
      </c>
      <c r="L148" s="5" t="n">
        <v>24</v>
      </c>
    </row>
    <row r="149" customFormat="false" ht="12.75" hidden="false" customHeight="true" outlineLevel="0" collapsed="false">
      <c r="A149" s="5" t="s">
        <v>340</v>
      </c>
      <c r="B149" s="5" t="n">
        <v>122</v>
      </c>
      <c r="C149" s="5" t="n">
        <v>268800000</v>
      </c>
      <c r="D149" s="5" t="s">
        <v>341</v>
      </c>
      <c r="E149" s="5" t="n">
        <v>1</v>
      </c>
      <c r="F149" s="5" t="n">
        <v>7</v>
      </c>
      <c r="G149" s="5" t="n">
        <v>254</v>
      </c>
      <c r="H149" s="5" t="n">
        <v>227</v>
      </c>
      <c r="I149" s="5" t="n">
        <v>360.42</v>
      </c>
      <c r="J149" s="5" t="n">
        <v>1.6</v>
      </c>
      <c r="K149" s="5" t="n">
        <v>2070</v>
      </c>
      <c r="L149" s="5" t="n">
        <v>31</v>
      </c>
    </row>
    <row r="150" customFormat="false" ht="12.75" hidden="false" customHeight="true" outlineLevel="0" collapsed="false">
      <c r="A150" s="5" t="s">
        <v>342</v>
      </c>
      <c r="B150" s="5" t="n">
        <v>58</v>
      </c>
      <c r="C150" s="5" t="n">
        <v>41430000</v>
      </c>
      <c r="D150" s="5" t="s">
        <v>343</v>
      </c>
      <c r="E150" s="5" t="n">
        <v>7</v>
      </c>
      <c r="F150" s="5" t="n">
        <v>11</v>
      </c>
      <c r="G150" s="5" t="n">
        <v>109</v>
      </c>
      <c r="H150" s="5" t="n">
        <v>100</v>
      </c>
      <c r="I150" s="5" t="n">
        <v>55</v>
      </c>
      <c r="J150" s="5" t="n">
        <v>1.6</v>
      </c>
      <c r="K150" s="5" t="n">
        <v>1133</v>
      </c>
      <c r="L150" s="5" t="n">
        <v>14</v>
      </c>
    </row>
    <row r="151" customFormat="false" ht="12.75" hidden="false" customHeight="true" outlineLevel="0" collapsed="false">
      <c r="A151" s="5" t="s">
        <v>344</v>
      </c>
      <c r="B151" s="5" t="n">
        <v>162</v>
      </c>
      <c r="C151" s="5" t="n">
        <v>31800000</v>
      </c>
      <c r="D151" s="5" t="s">
        <v>168</v>
      </c>
      <c r="E151" s="5" t="n">
        <v>2</v>
      </c>
      <c r="F151" s="5" t="n">
        <v>7</v>
      </c>
      <c r="G151" s="5" t="n">
        <v>295</v>
      </c>
      <c r="H151" s="5" t="n">
        <v>287.45</v>
      </c>
      <c r="I151" s="5" t="n">
        <v>57.2</v>
      </c>
      <c r="J151" s="5" t="n">
        <v>1.6</v>
      </c>
      <c r="K151" s="5" t="n">
        <v>2489</v>
      </c>
      <c r="L151" s="5" t="n">
        <v>7</v>
      </c>
    </row>
    <row r="152" customFormat="false" ht="12.75" hidden="false" customHeight="true" outlineLevel="0" collapsed="false">
      <c r="A152" s="5" t="s">
        <v>345</v>
      </c>
      <c r="B152" s="5" t="n">
        <v>191</v>
      </c>
      <c r="C152" s="5" t="n">
        <v>30000000</v>
      </c>
      <c r="D152" s="5" t="s">
        <v>346</v>
      </c>
      <c r="E152" s="5" t="n">
        <v>3</v>
      </c>
      <c r="F152" s="5" t="n">
        <v>10</v>
      </c>
      <c r="G152" s="5" t="n">
        <v>310</v>
      </c>
      <c r="H152" s="5" t="n">
        <v>301.75</v>
      </c>
      <c r="I152" s="5" t="n">
        <v>60</v>
      </c>
      <c r="K152" s="5" t="n">
        <v>2913</v>
      </c>
      <c r="L152" s="5" t="n">
        <v>24</v>
      </c>
    </row>
    <row r="153" customFormat="false" ht="12.75" hidden="false" customHeight="true" outlineLevel="0" collapsed="false">
      <c r="A153" s="5" t="s">
        <v>347</v>
      </c>
      <c r="B153" s="5" t="n">
        <v>110</v>
      </c>
      <c r="C153" s="5" t="n">
        <v>1860000</v>
      </c>
      <c r="D153" s="5" t="s">
        <v>348</v>
      </c>
      <c r="E153" s="5" t="n">
        <v>1</v>
      </c>
      <c r="F153" s="5" t="n">
        <v>3</v>
      </c>
      <c r="G153" s="5" t="n">
        <v>54</v>
      </c>
      <c r="H153" s="5" t="n">
        <v>40</v>
      </c>
      <c r="I153" s="5" t="n">
        <v>31</v>
      </c>
      <c r="J153" s="5" t="n">
        <v>2</v>
      </c>
      <c r="K153" s="5" t="n">
        <v>1906</v>
      </c>
      <c r="L153" s="5" t="n">
        <v>19</v>
      </c>
    </row>
    <row r="154" customFormat="false" ht="12.75" hidden="false" customHeight="true" outlineLevel="0" collapsed="false">
      <c r="A154" s="5" t="s">
        <v>349</v>
      </c>
      <c r="B154" s="5" t="n">
        <v>70</v>
      </c>
      <c r="C154" s="5" t="n">
        <v>12500000</v>
      </c>
      <c r="D154" s="5" t="s">
        <v>350</v>
      </c>
      <c r="E154" s="5" t="n">
        <v>7</v>
      </c>
      <c r="F154" s="5" t="n">
        <v>11</v>
      </c>
      <c r="G154" s="5" t="n">
        <v>108</v>
      </c>
      <c r="H154" s="5" t="n">
        <v>104</v>
      </c>
      <c r="I154" s="5" t="n">
        <v>42.77</v>
      </c>
      <c r="J154" s="5" t="n">
        <v>2</v>
      </c>
      <c r="K154" s="5" t="n">
        <v>1360</v>
      </c>
      <c r="L154" s="5" t="n">
        <v>12</v>
      </c>
    </row>
    <row r="155" customFormat="false" ht="12.75" hidden="false" customHeight="true" outlineLevel="0" collapsed="false">
      <c r="A155" s="5" t="s">
        <v>351</v>
      </c>
      <c r="B155" s="5" t="n">
        <v>25</v>
      </c>
      <c r="C155" s="5" t="n">
        <v>51910000</v>
      </c>
      <c r="D155" s="5" t="s">
        <v>142</v>
      </c>
      <c r="E155" s="5" t="n">
        <v>1</v>
      </c>
      <c r="F155" s="5" t="n">
        <v>12</v>
      </c>
      <c r="G155" s="5" t="n">
        <v>109</v>
      </c>
      <c r="H155" s="5" t="n">
        <v>103</v>
      </c>
      <c r="I155" s="5" t="n">
        <v>210</v>
      </c>
      <c r="J155" s="5" t="n">
        <v>1.6</v>
      </c>
      <c r="K155" s="5" t="n">
        <v>534</v>
      </c>
      <c r="L155" s="5" t="n">
        <v>18</v>
      </c>
    </row>
    <row r="156" customFormat="false" ht="12.75" hidden="false" customHeight="true" outlineLevel="0" collapsed="false">
      <c r="A156" s="5" t="s">
        <v>352</v>
      </c>
      <c r="B156" s="5" t="n">
        <v>130</v>
      </c>
      <c r="C156" s="5" t="n">
        <v>20700000</v>
      </c>
      <c r="D156" s="5" t="s">
        <v>315</v>
      </c>
      <c r="E156" s="5" t="n">
        <v>3</v>
      </c>
      <c r="F156" s="5" t="n">
        <v>10</v>
      </c>
      <c r="G156" s="5" t="n">
        <v>101.5</v>
      </c>
      <c r="H156" s="5" t="n">
        <v>91.73</v>
      </c>
      <c r="I156" s="5" t="n">
        <v>130</v>
      </c>
      <c r="J156" s="5" t="n">
        <v>1.6</v>
      </c>
      <c r="K156" s="5" t="n">
        <v>2209</v>
      </c>
      <c r="L156" s="5" t="n">
        <v>22</v>
      </c>
    </row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16" min="3" style="0" width="11"/>
    <col collapsed="false" customWidth="true" hidden="false" outlineLevel="0" max="26" min="17" style="0" width="8.63"/>
  </cols>
  <sheetData>
    <row r="1" customFormat="false" ht="12.75" hidden="false" customHeight="true" outlineLevel="0" collapsed="false">
      <c r="A1" s="13" t="s">
        <v>98</v>
      </c>
      <c r="B1" s="13" t="s">
        <v>100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353</v>
      </c>
      <c r="P1" s="13" t="s">
        <v>354</v>
      </c>
    </row>
    <row r="2" customFormat="false" ht="12.75" hidden="false" customHeight="true" outlineLevel="0" collapsed="false">
      <c r="A2" s="5" t="n">
        <v>2</v>
      </c>
      <c r="B2" s="5" t="s">
        <v>355</v>
      </c>
      <c r="C2" s="5" t="n">
        <v>160</v>
      </c>
      <c r="D2" s="5" t="n">
        <v>124.3</v>
      </c>
      <c r="E2" s="5" t="n">
        <v>107.7</v>
      </c>
      <c r="F2" s="5" t="n">
        <v>100.5</v>
      </c>
      <c r="G2" s="5" t="n">
        <v>145.8</v>
      </c>
      <c r="H2" s="5" t="n">
        <v>161.3</v>
      </c>
      <c r="I2" s="5" t="n">
        <v>224.8</v>
      </c>
      <c r="J2" s="5" t="n">
        <v>268.7</v>
      </c>
      <c r="K2" s="5" t="n">
        <v>292.8</v>
      </c>
      <c r="L2" s="5" t="n">
        <v>262.9</v>
      </c>
      <c r="M2" s="5" t="n">
        <v>223.7</v>
      </c>
      <c r="N2" s="5" t="n">
        <v>216.1</v>
      </c>
      <c r="O2" s="5" t="n">
        <v>2288.6</v>
      </c>
      <c r="P2" s="5" t="n">
        <v>6.27</v>
      </c>
    </row>
    <row r="3" customFormat="false" ht="12.75" hidden="false" customHeight="true" outlineLevel="0" collapsed="false">
      <c r="A3" s="5" t="n">
        <v>3</v>
      </c>
      <c r="B3" s="5" t="s">
        <v>279</v>
      </c>
      <c r="C3" s="5" t="n">
        <v>175.2</v>
      </c>
      <c r="D3" s="5" t="n">
        <v>119.2</v>
      </c>
      <c r="E3" s="5" t="n">
        <v>102</v>
      </c>
      <c r="F3" s="5" t="n">
        <v>102.9</v>
      </c>
      <c r="G3" s="5" t="n">
        <v>154.4</v>
      </c>
      <c r="H3" s="5" t="n">
        <v>183.4</v>
      </c>
      <c r="I3" s="5" t="n">
        <v>235.2</v>
      </c>
      <c r="J3" s="5" t="n">
        <v>302.2</v>
      </c>
      <c r="K3" s="5" t="n">
        <v>312.7</v>
      </c>
      <c r="L3" s="5" t="n">
        <v>281.9</v>
      </c>
      <c r="M3" s="5" t="n">
        <v>275.7</v>
      </c>
      <c r="N3" s="5" t="n">
        <v>248.8</v>
      </c>
      <c r="O3" s="5" t="n">
        <v>2493.6</v>
      </c>
      <c r="P3" s="5" t="n">
        <v>6.83</v>
      </c>
    </row>
    <row r="4" customFormat="false" ht="12.75" hidden="false" customHeight="true" outlineLevel="0" collapsed="false">
      <c r="A4" s="5" t="n">
        <v>4</v>
      </c>
      <c r="B4" s="5" t="s">
        <v>134</v>
      </c>
      <c r="C4" s="5" t="n">
        <v>213.3</v>
      </c>
      <c r="D4" s="5" t="n">
        <v>148.5</v>
      </c>
      <c r="E4" s="5" t="n">
        <v>115.2</v>
      </c>
      <c r="F4" s="5" t="n">
        <v>96.4</v>
      </c>
      <c r="G4" s="5" t="n">
        <v>125.5</v>
      </c>
      <c r="H4" s="5" t="n">
        <v>168.2</v>
      </c>
      <c r="I4" s="5" t="n">
        <v>268.3</v>
      </c>
      <c r="J4" s="5" t="n">
        <v>321.6</v>
      </c>
      <c r="K4" s="5" t="n">
        <v>342</v>
      </c>
      <c r="L4" s="5" t="n">
        <v>398.3</v>
      </c>
      <c r="M4" s="5" t="n">
        <v>380.3</v>
      </c>
      <c r="N4" s="5" t="n">
        <v>326.8</v>
      </c>
      <c r="O4" s="5" t="n">
        <v>2904.4</v>
      </c>
      <c r="P4" s="5" t="n">
        <v>7.96</v>
      </c>
    </row>
    <row r="5" customFormat="false" ht="12.75" hidden="false" customHeight="true" outlineLevel="0" collapsed="false">
      <c r="A5" s="5" t="n">
        <v>5</v>
      </c>
      <c r="B5" s="5" t="s">
        <v>173</v>
      </c>
      <c r="C5" s="5" t="n">
        <v>120.1</v>
      </c>
      <c r="D5" s="5" t="n">
        <v>95.5</v>
      </c>
      <c r="E5" s="5" t="n">
        <v>72.4</v>
      </c>
      <c r="F5" s="5" t="n">
        <v>68.1</v>
      </c>
      <c r="G5" s="5" t="n">
        <v>84.6</v>
      </c>
      <c r="H5" s="5" t="n">
        <v>94.7</v>
      </c>
      <c r="I5" s="5" t="n">
        <v>118.3</v>
      </c>
      <c r="J5" s="5" t="n">
        <v>151.8</v>
      </c>
      <c r="K5" s="5" t="n">
        <v>167.8</v>
      </c>
      <c r="L5" s="5" t="n">
        <v>173.5</v>
      </c>
      <c r="M5" s="5" t="n">
        <v>168.1</v>
      </c>
      <c r="N5" s="5" t="n">
        <v>154.3</v>
      </c>
      <c r="O5" s="5" t="n">
        <v>1469.2</v>
      </c>
      <c r="P5" s="5" t="n">
        <v>4.03</v>
      </c>
    </row>
    <row r="6" customFormat="false" ht="12.75" hidden="false" customHeight="true" outlineLevel="0" collapsed="false">
      <c r="A6" s="5" t="n">
        <v>6</v>
      </c>
      <c r="B6" s="5" t="s">
        <v>356</v>
      </c>
      <c r="C6" s="5" t="n">
        <v>58.8</v>
      </c>
      <c r="D6" s="5" t="n">
        <v>41</v>
      </c>
      <c r="E6" s="5" t="n">
        <v>29.3</v>
      </c>
      <c r="F6" s="5" t="n">
        <v>33.1</v>
      </c>
      <c r="G6" s="5" t="n">
        <v>30.7</v>
      </c>
      <c r="H6" s="5" t="n">
        <v>33.9</v>
      </c>
      <c r="I6" s="5" t="n">
        <v>42.8</v>
      </c>
      <c r="J6" s="5" t="n">
        <v>60.7</v>
      </c>
      <c r="K6" s="5" t="n">
        <v>73.6</v>
      </c>
      <c r="L6" s="5" t="n">
        <v>97.6</v>
      </c>
      <c r="M6" s="5" t="n">
        <v>78.2</v>
      </c>
      <c r="N6" s="5" t="n">
        <v>75</v>
      </c>
      <c r="O6" s="5" t="n">
        <v>654.7</v>
      </c>
      <c r="P6" s="5" t="n">
        <v>1.79</v>
      </c>
    </row>
    <row r="7" customFormat="false" ht="12.75" hidden="false" customHeight="true" outlineLevel="0" collapsed="false">
      <c r="A7" s="5" t="n">
        <v>7</v>
      </c>
      <c r="B7" s="5" t="s">
        <v>341</v>
      </c>
      <c r="C7" s="5" t="n">
        <v>161.4</v>
      </c>
      <c r="D7" s="5" t="n">
        <v>113.6</v>
      </c>
      <c r="E7" s="5" t="n">
        <v>89.5</v>
      </c>
      <c r="F7" s="5" t="n">
        <v>86.4</v>
      </c>
      <c r="G7" s="5" t="n">
        <v>100.9</v>
      </c>
      <c r="H7" s="5" t="n">
        <v>147.1</v>
      </c>
      <c r="I7" s="5" t="n">
        <v>188.1</v>
      </c>
      <c r="J7" s="5" t="n">
        <v>217.8</v>
      </c>
      <c r="K7" s="5" t="n">
        <v>218.9</v>
      </c>
      <c r="L7" s="5" t="n">
        <v>236.6</v>
      </c>
      <c r="M7" s="5" t="n">
        <v>214.9</v>
      </c>
      <c r="N7" s="5" t="n">
        <v>212.8</v>
      </c>
      <c r="O7" s="5" t="n">
        <v>1988</v>
      </c>
      <c r="P7" s="5" t="n">
        <v>5.45</v>
      </c>
    </row>
    <row r="8" customFormat="false" ht="12.75" hidden="false" customHeight="true" outlineLevel="0" collapsed="false">
      <c r="A8" s="5" t="n">
        <v>8</v>
      </c>
      <c r="B8" s="5" t="s">
        <v>357</v>
      </c>
      <c r="C8" s="5" t="n">
        <v>195.6</v>
      </c>
      <c r="D8" s="5" t="n">
        <v>142.5</v>
      </c>
      <c r="E8" s="5" t="n">
        <v>98</v>
      </c>
      <c r="F8" s="5" t="n">
        <v>91.7</v>
      </c>
      <c r="G8" s="5" t="n">
        <v>107</v>
      </c>
      <c r="H8" s="5" t="n">
        <v>121.5</v>
      </c>
      <c r="I8" s="5" t="n">
        <v>161.2</v>
      </c>
      <c r="J8" s="5" t="n">
        <v>195.1</v>
      </c>
      <c r="K8" s="5" t="n">
        <v>240.2</v>
      </c>
      <c r="L8" s="5" t="n">
        <v>230.4</v>
      </c>
      <c r="M8" s="5" t="n">
        <v>224.9</v>
      </c>
      <c r="N8" s="5" t="n">
        <v>196.5</v>
      </c>
      <c r="O8" s="5" t="n">
        <v>2004.6</v>
      </c>
      <c r="P8" s="5" t="n">
        <v>5.49</v>
      </c>
    </row>
    <row r="9" customFormat="false" ht="12.75" hidden="false" customHeight="true" outlineLevel="0" collapsed="false">
      <c r="A9" s="5" t="n">
        <v>9</v>
      </c>
      <c r="B9" s="5" t="s">
        <v>171</v>
      </c>
      <c r="C9" s="5" t="n">
        <v>207.7</v>
      </c>
      <c r="D9" s="5" t="n">
        <v>149.8</v>
      </c>
      <c r="E9" s="5" t="n">
        <v>87.7</v>
      </c>
      <c r="F9" s="5" t="n">
        <v>90.1</v>
      </c>
      <c r="G9" s="5" t="n">
        <v>112.4</v>
      </c>
      <c r="H9" s="5" t="n">
        <v>128.7</v>
      </c>
      <c r="I9" s="5" t="n">
        <v>179.6</v>
      </c>
      <c r="J9" s="5" t="n">
        <v>243.8</v>
      </c>
      <c r="K9" s="5" t="n">
        <v>246.7</v>
      </c>
      <c r="L9" s="5" t="n">
        <v>279.3</v>
      </c>
      <c r="M9" s="5" t="n">
        <v>259.9</v>
      </c>
      <c r="N9" s="5" t="n">
        <v>249.5</v>
      </c>
      <c r="O9" s="5" t="n">
        <v>2235.3</v>
      </c>
      <c r="P9" s="5" t="n">
        <v>6.12</v>
      </c>
    </row>
    <row r="10" customFormat="false" ht="12.75" hidden="false" customHeight="true" outlineLevel="0" collapsed="false">
      <c r="A10" s="5" t="n">
        <v>10</v>
      </c>
      <c r="B10" s="5" t="s">
        <v>201</v>
      </c>
      <c r="C10" s="5" t="n">
        <v>189</v>
      </c>
      <c r="D10" s="5" t="n">
        <v>136.9</v>
      </c>
      <c r="E10" s="5" t="n">
        <v>102.9</v>
      </c>
      <c r="F10" s="5" t="n">
        <v>81.8</v>
      </c>
      <c r="G10" s="5" t="n">
        <v>83.6</v>
      </c>
      <c r="H10" s="5" t="n">
        <v>108.2</v>
      </c>
      <c r="I10" s="5" t="n">
        <v>149</v>
      </c>
      <c r="J10" s="5" t="n">
        <v>206.8</v>
      </c>
      <c r="K10" s="5" t="n">
        <v>245.9</v>
      </c>
      <c r="L10" s="5" t="n">
        <v>282.3</v>
      </c>
      <c r="M10" s="5" t="n">
        <v>241.3</v>
      </c>
      <c r="N10" s="5" t="n">
        <v>241.8</v>
      </c>
      <c r="O10" s="5" t="n">
        <v>2069.5</v>
      </c>
      <c r="P10" s="5" t="n">
        <v>5.67</v>
      </c>
    </row>
    <row r="11" customFormat="false" ht="12.75" hidden="false" customHeight="true" outlineLevel="0" collapsed="false">
      <c r="A11" s="5" t="n">
        <v>11</v>
      </c>
      <c r="B11" s="5" t="s">
        <v>129</v>
      </c>
      <c r="C11" s="5" t="n">
        <v>156.6</v>
      </c>
      <c r="D11" s="5" t="n">
        <v>125.2</v>
      </c>
      <c r="E11" s="5" t="n">
        <v>94.6</v>
      </c>
      <c r="F11" s="5" t="n">
        <v>101.6</v>
      </c>
      <c r="G11" s="5" t="n">
        <v>99.7</v>
      </c>
      <c r="H11" s="5" t="n">
        <v>116.6</v>
      </c>
      <c r="I11" s="5" t="n">
        <v>157.9</v>
      </c>
      <c r="J11" s="5" t="n">
        <v>191.3</v>
      </c>
      <c r="K11" s="5" t="n">
        <v>221.3</v>
      </c>
      <c r="L11" s="5" t="n">
        <v>224.7</v>
      </c>
      <c r="M11" s="5" t="n">
        <v>220</v>
      </c>
      <c r="N11" s="5" t="n">
        <v>205.2</v>
      </c>
      <c r="O11" s="5" t="n">
        <v>1914.7</v>
      </c>
      <c r="P11" s="5" t="n">
        <v>5.25</v>
      </c>
    </row>
    <row r="12" customFormat="false" ht="12.75" hidden="false" customHeight="true" outlineLevel="0" collapsed="false">
      <c r="A12" s="5" t="n">
        <v>12</v>
      </c>
      <c r="B12" s="5" t="s">
        <v>142</v>
      </c>
      <c r="C12" s="5" t="n">
        <v>220.3</v>
      </c>
      <c r="D12" s="5" t="n">
        <v>160.9</v>
      </c>
      <c r="E12" s="5" t="n">
        <v>119.2</v>
      </c>
      <c r="F12" s="5" t="n">
        <v>129.2</v>
      </c>
      <c r="G12" s="5" t="n">
        <v>131.7</v>
      </c>
      <c r="H12" s="5" t="n">
        <v>166.2</v>
      </c>
      <c r="I12" s="5" t="n">
        <v>225.9</v>
      </c>
      <c r="J12" s="5" t="n">
        <v>247.9</v>
      </c>
      <c r="K12" s="5" t="n">
        <v>273.7</v>
      </c>
      <c r="L12" s="5" t="n">
        <v>307.8</v>
      </c>
      <c r="M12" s="5" t="n">
        <v>289.7</v>
      </c>
      <c r="N12" s="5" t="n">
        <v>275.5</v>
      </c>
      <c r="O12" s="5" t="n">
        <v>2548</v>
      </c>
      <c r="P12" s="5" t="n">
        <v>6.98</v>
      </c>
    </row>
    <row r="13" customFormat="false" ht="12.75" hidden="false" customHeight="true" outlineLevel="0" collapsed="false">
      <c r="A13" s="5" t="n">
        <v>1</v>
      </c>
      <c r="B13" s="5" t="s">
        <v>358</v>
      </c>
      <c r="C13" s="5" t="n">
        <v>219.2</v>
      </c>
      <c r="D13" s="5" t="n">
        <v>155.3</v>
      </c>
      <c r="E13" s="5" t="n">
        <v>117</v>
      </c>
      <c r="F13" s="5" t="n">
        <v>117</v>
      </c>
      <c r="G13" s="5" t="n">
        <v>102</v>
      </c>
      <c r="H13" s="5" t="n">
        <v>134.9</v>
      </c>
      <c r="I13" s="5" t="n">
        <v>163.5</v>
      </c>
      <c r="J13" s="5" t="n">
        <v>218</v>
      </c>
      <c r="K13" s="5" t="n">
        <v>253.5</v>
      </c>
      <c r="L13" s="5" t="n">
        <v>261.3</v>
      </c>
      <c r="M13" s="5" t="n">
        <v>150.9</v>
      </c>
      <c r="N13" s="5" t="n">
        <v>252.6</v>
      </c>
      <c r="O13" s="5" t="n">
        <v>2145.9</v>
      </c>
      <c r="P13" s="5" t="n">
        <v>5.88</v>
      </c>
    </row>
    <row r="14" customFormat="false" ht="12.75" hidden="false" customHeight="true" outlineLevel="0" collapsed="false">
      <c r="A14" s="5" t="n">
        <v>13</v>
      </c>
      <c r="B14" s="5" t="s">
        <v>274</v>
      </c>
      <c r="C14" s="5" t="n">
        <v>165.6</v>
      </c>
      <c r="D14" s="5" t="n">
        <v>124.9</v>
      </c>
      <c r="E14" s="5" t="n">
        <v>88.2</v>
      </c>
      <c r="F14" s="5" t="n">
        <v>88.2</v>
      </c>
      <c r="G14" s="5" t="n">
        <v>83.9</v>
      </c>
      <c r="H14" s="5" t="n">
        <v>104.7</v>
      </c>
      <c r="I14" s="5" t="n">
        <v>145.2</v>
      </c>
      <c r="J14" s="5" t="n">
        <v>180.9</v>
      </c>
      <c r="K14" s="5" t="n">
        <v>208.9</v>
      </c>
      <c r="L14" s="5" t="n">
        <v>235.9</v>
      </c>
      <c r="M14" s="5" t="n">
        <v>225.9</v>
      </c>
      <c r="N14" s="5" t="n">
        <v>206</v>
      </c>
      <c r="O14" s="5" t="n">
        <v>1855.5</v>
      </c>
      <c r="P14" s="5" t="n">
        <v>5.09</v>
      </c>
    </row>
    <row r="15" customFormat="false" ht="12.75" hidden="false" customHeight="true" outlineLevel="0" collapsed="false">
      <c r="A15" s="5" t="n">
        <v>14</v>
      </c>
      <c r="B15" s="5" t="s">
        <v>359</v>
      </c>
      <c r="C15" s="5" t="n">
        <v>120</v>
      </c>
      <c r="D15" s="5" t="n">
        <v>86</v>
      </c>
      <c r="E15" s="5" t="n">
        <v>70</v>
      </c>
      <c r="F15" s="5" t="n">
        <v>70</v>
      </c>
      <c r="G15" s="5" t="n">
        <v>74</v>
      </c>
      <c r="H15" s="5" t="n">
        <v>96</v>
      </c>
      <c r="I15" s="5" t="n">
        <v>140</v>
      </c>
      <c r="J15" s="5" t="n">
        <v>172</v>
      </c>
      <c r="K15" s="5" t="n">
        <v>187</v>
      </c>
      <c r="L15" s="5" t="n">
        <v>228</v>
      </c>
      <c r="M15" s="5" t="n">
        <v>219</v>
      </c>
      <c r="N15" s="5" t="n">
        <v>196</v>
      </c>
      <c r="O15" s="5" t="n">
        <v>1662</v>
      </c>
      <c r="P15" s="5" t="n">
        <v>4.54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6" min="6" style="0" width="8.63"/>
  </cols>
  <sheetData>
    <row r="1" customFormat="false" ht="12.75" hidden="false" customHeight="true" outlineLevel="0" collapsed="false">
      <c r="A1" s="13" t="s">
        <v>98</v>
      </c>
      <c r="B1" s="13" t="s">
        <v>360</v>
      </c>
      <c r="C1" s="21" t="s">
        <v>361</v>
      </c>
      <c r="D1" s="22" t="s">
        <v>362</v>
      </c>
      <c r="E1" s="22" t="s">
        <v>363</v>
      </c>
    </row>
    <row r="2" customFormat="false" ht="12.75" hidden="false" customHeight="true" outlineLevel="0" collapsed="false">
      <c r="A2" s="5" t="n">
        <v>1</v>
      </c>
      <c r="B2" s="5" t="n">
        <v>101.61</v>
      </c>
      <c r="C2" s="5" t="n">
        <v>0</v>
      </c>
      <c r="D2" s="5" t="n">
        <v>0</v>
      </c>
      <c r="E2" s="5" t="n">
        <v>0</v>
      </c>
    </row>
    <row r="3" customFormat="false" ht="12.75" hidden="false" customHeight="true" outlineLevel="0" collapsed="false">
      <c r="A3" s="5" t="n">
        <v>1</v>
      </c>
      <c r="B3" s="5" t="n">
        <v>102</v>
      </c>
      <c r="C3" s="5" t="n">
        <v>84</v>
      </c>
      <c r="D3" s="5" t="n">
        <v>0.0006</v>
      </c>
      <c r="E3" s="5" t="n">
        <v>8.4E-005</v>
      </c>
    </row>
    <row r="4" customFormat="false" ht="12.75" hidden="false" customHeight="true" outlineLevel="0" collapsed="false">
      <c r="A4" s="5" t="n">
        <v>1</v>
      </c>
      <c r="B4" s="5" t="n">
        <v>103</v>
      </c>
      <c r="C4" s="5" t="n">
        <v>8779</v>
      </c>
      <c r="D4" s="5" t="n">
        <v>0.0485</v>
      </c>
      <c r="E4" s="5" t="n">
        <v>0.008779</v>
      </c>
    </row>
    <row r="5" customFormat="false" ht="12.75" hidden="false" customHeight="true" outlineLevel="0" collapsed="false">
      <c r="A5" s="5" t="n">
        <v>1</v>
      </c>
      <c r="B5" s="5" t="n">
        <v>104</v>
      </c>
      <c r="C5" s="5" t="n">
        <v>241609</v>
      </c>
      <c r="D5" s="5" t="n">
        <v>0.4349</v>
      </c>
      <c r="E5" s="5" t="n">
        <v>0.241609</v>
      </c>
    </row>
    <row r="6" customFormat="false" ht="12.75" hidden="false" customHeight="true" outlineLevel="0" collapsed="false">
      <c r="A6" s="5" t="n">
        <v>1</v>
      </c>
      <c r="B6" s="5" t="n">
        <v>105</v>
      </c>
      <c r="C6" s="5" t="n">
        <v>860257</v>
      </c>
      <c r="D6" s="5" t="n">
        <v>0.8266</v>
      </c>
      <c r="E6" s="5" t="n">
        <v>0.860257</v>
      </c>
    </row>
    <row r="7" customFormat="false" ht="12.75" hidden="false" customHeight="true" outlineLevel="0" collapsed="false">
      <c r="A7" s="5" t="n">
        <v>1</v>
      </c>
      <c r="B7" s="5" t="n">
        <v>106</v>
      </c>
      <c r="C7" s="5" t="n">
        <v>1971518</v>
      </c>
      <c r="D7" s="5" t="n">
        <v>1.375</v>
      </c>
      <c r="E7" s="5" t="n">
        <v>1.971518</v>
      </c>
    </row>
    <row r="8" customFormat="false" ht="12.75" hidden="false" customHeight="true" outlineLevel="0" collapsed="false">
      <c r="A8" s="5" t="n">
        <v>1</v>
      </c>
      <c r="B8" s="5" t="n">
        <v>107</v>
      </c>
      <c r="C8" s="5" t="n">
        <v>3576164</v>
      </c>
      <c r="D8" s="5" t="n">
        <v>1.8113</v>
      </c>
      <c r="E8" s="5" t="n">
        <v>3.576164</v>
      </c>
    </row>
    <row r="9" customFormat="false" ht="12.75" hidden="false" customHeight="true" outlineLevel="0" collapsed="false">
      <c r="A9" s="5" t="n">
        <v>1</v>
      </c>
      <c r="B9" s="5" t="n">
        <v>108</v>
      </c>
      <c r="C9" s="5" t="n">
        <v>5602164</v>
      </c>
      <c r="D9" s="5" t="n">
        <v>2.2656</v>
      </c>
      <c r="E9" s="5" t="n">
        <v>5.602164</v>
      </c>
    </row>
    <row r="10" customFormat="false" ht="12.75" hidden="false" customHeight="true" outlineLevel="0" collapsed="false">
      <c r="A10" s="5" t="n">
        <v>1</v>
      </c>
      <c r="B10" s="5" t="n">
        <v>109</v>
      </c>
      <c r="C10" s="5" t="n">
        <v>8113876</v>
      </c>
      <c r="D10" s="5" t="n">
        <v>2.8016</v>
      </c>
      <c r="E10" s="5" t="n">
        <v>8.113876</v>
      </c>
    </row>
    <row r="11" customFormat="false" ht="12.75" hidden="false" customHeight="true" outlineLevel="0" collapsed="false">
      <c r="A11" s="5" t="n">
        <v>1</v>
      </c>
      <c r="B11" s="5" t="n">
        <v>110</v>
      </c>
      <c r="C11" s="5" t="n">
        <v>11290204</v>
      </c>
      <c r="D11" s="5" t="n">
        <v>3.5928</v>
      </c>
      <c r="E11" s="5" t="n">
        <v>11.290204</v>
      </c>
    </row>
    <row r="12" customFormat="false" ht="12.75" hidden="false" customHeight="true" outlineLevel="0" collapsed="false">
      <c r="A12" s="5" t="n">
        <v>1</v>
      </c>
      <c r="B12" s="5" t="n">
        <v>111</v>
      </c>
      <c r="C12" s="5" t="n">
        <v>15239666</v>
      </c>
      <c r="D12" s="5" t="n">
        <v>4.2511</v>
      </c>
      <c r="E12" s="5" t="n">
        <v>15.239666</v>
      </c>
    </row>
    <row r="13" customFormat="false" ht="12.75" hidden="false" customHeight="true" outlineLevel="0" collapsed="false">
      <c r="A13" s="5" t="n">
        <v>1</v>
      </c>
      <c r="B13" s="5" t="n">
        <v>112</v>
      </c>
      <c r="C13" s="5" t="n">
        <v>19787780</v>
      </c>
      <c r="D13" s="5" t="n">
        <v>4.8614</v>
      </c>
      <c r="E13" s="5" t="n">
        <v>19.78778</v>
      </c>
    </row>
    <row r="14" customFormat="false" ht="12.75" hidden="false" customHeight="true" outlineLevel="0" collapsed="false">
      <c r="A14" s="5" t="n">
        <v>1</v>
      </c>
      <c r="B14" s="5" t="n">
        <v>113</v>
      </c>
      <c r="C14" s="5" t="n">
        <v>24998972</v>
      </c>
      <c r="D14" s="5" t="n">
        <v>5.5399</v>
      </c>
      <c r="E14" s="5" t="n">
        <v>24.998972</v>
      </c>
    </row>
    <row r="15" customFormat="false" ht="12.75" hidden="false" customHeight="true" outlineLevel="0" collapsed="false">
      <c r="A15" s="5" t="n">
        <v>1</v>
      </c>
      <c r="B15" s="5" t="n">
        <v>114</v>
      </c>
      <c r="C15" s="5" t="n">
        <v>30753366</v>
      </c>
      <c r="D15" s="5" t="n">
        <v>5.8931</v>
      </c>
      <c r="E15" s="5" t="n">
        <v>30.753366</v>
      </c>
    </row>
    <row r="16" customFormat="false" ht="12.75" hidden="false" customHeight="true" outlineLevel="0" collapsed="false">
      <c r="A16" s="5" t="n">
        <v>1</v>
      </c>
      <c r="B16" s="5" t="n">
        <v>115</v>
      </c>
      <c r="C16" s="5" t="n">
        <v>36715658</v>
      </c>
      <c r="D16" s="5" t="n">
        <v>6.0293</v>
      </c>
      <c r="E16" s="5" t="n">
        <v>36.715658</v>
      </c>
    </row>
    <row r="17" customFormat="false" ht="12.75" hidden="false" customHeight="true" outlineLevel="0" collapsed="false">
      <c r="A17" s="5" t="n">
        <v>1</v>
      </c>
      <c r="B17" s="5" t="n">
        <v>116</v>
      </c>
      <c r="C17" s="5" t="n">
        <v>43715657</v>
      </c>
      <c r="D17" s="5" t="n">
        <v>6.5693</v>
      </c>
      <c r="E17" s="5" t="n">
        <v>43.715657</v>
      </c>
    </row>
    <row r="18" customFormat="false" ht="12.75" hidden="false" customHeight="true" outlineLevel="0" collapsed="false">
      <c r="A18" s="5" t="n">
        <v>1</v>
      </c>
      <c r="B18" s="5" t="n">
        <v>117</v>
      </c>
      <c r="C18" s="5" t="n">
        <v>50715657</v>
      </c>
      <c r="D18" s="5" t="n">
        <v>7.1093</v>
      </c>
      <c r="E18" s="5" t="n">
        <v>50.715657</v>
      </c>
    </row>
    <row r="19" customFormat="false" ht="12.75" hidden="false" customHeight="true" outlineLevel="0" collapsed="false">
      <c r="A19" s="5" t="n">
        <v>2</v>
      </c>
      <c r="B19" s="5" t="n">
        <v>87.5</v>
      </c>
      <c r="C19" s="5" t="n">
        <v>0</v>
      </c>
      <c r="D19" s="5" t="n">
        <v>0</v>
      </c>
      <c r="E19" s="5" t="n">
        <v>0</v>
      </c>
    </row>
    <row r="20" customFormat="false" ht="12.75" hidden="false" customHeight="true" outlineLevel="0" collapsed="false">
      <c r="A20" s="5" t="n">
        <v>2</v>
      </c>
      <c r="B20" s="5" t="n">
        <v>88</v>
      </c>
      <c r="C20" s="5" t="n">
        <v>0</v>
      </c>
      <c r="D20" s="5" t="n">
        <v>0</v>
      </c>
      <c r="E20" s="5" t="n">
        <v>0</v>
      </c>
    </row>
    <row r="21" customFormat="false" ht="12.75" hidden="false" customHeight="true" outlineLevel="0" collapsed="false">
      <c r="A21" s="5" t="n">
        <v>2</v>
      </c>
      <c r="B21" s="5" t="n">
        <v>89</v>
      </c>
      <c r="C21" s="5" t="n">
        <v>0</v>
      </c>
      <c r="D21" s="5" t="n">
        <v>0</v>
      </c>
      <c r="E21" s="5" t="n">
        <v>0</v>
      </c>
    </row>
    <row r="22" customFormat="false" ht="12.75" hidden="false" customHeight="true" outlineLevel="0" collapsed="false">
      <c r="A22" s="5" t="n">
        <v>2</v>
      </c>
      <c r="B22" s="5" t="n">
        <v>90</v>
      </c>
      <c r="C22" s="5" t="n">
        <v>3000</v>
      </c>
      <c r="D22" s="5" t="n">
        <v>0</v>
      </c>
      <c r="E22" s="5" t="n">
        <v>0.003</v>
      </c>
    </row>
    <row r="23" customFormat="false" ht="12.75" hidden="false" customHeight="true" outlineLevel="0" collapsed="false">
      <c r="A23" s="5" t="n">
        <v>2</v>
      </c>
      <c r="B23" s="5" t="n">
        <v>91</v>
      </c>
      <c r="C23" s="5" t="n">
        <v>9000</v>
      </c>
      <c r="D23" s="5" t="n">
        <v>0.01</v>
      </c>
      <c r="E23" s="5" t="n">
        <v>0.009</v>
      </c>
    </row>
    <row r="24" customFormat="false" ht="12.75" hidden="false" customHeight="true" outlineLevel="0" collapsed="false">
      <c r="A24" s="5" t="n">
        <v>2</v>
      </c>
      <c r="B24" s="5" t="n">
        <v>92</v>
      </c>
      <c r="C24" s="5" t="n">
        <v>21000</v>
      </c>
      <c r="D24" s="5" t="n">
        <v>0.02</v>
      </c>
      <c r="E24" s="5" t="n">
        <v>0.021</v>
      </c>
    </row>
    <row r="25" customFormat="false" ht="12.75" hidden="false" customHeight="true" outlineLevel="0" collapsed="false">
      <c r="A25" s="5" t="n">
        <v>2</v>
      </c>
      <c r="B25" s="5" t="n">
        <v>93</v>
      </c>
      <c r="C25" s="5" t="n">
        <v>59000</v>
      </c>
      <c r="D25" s="5" t="n">
        <v>0.06</v>
      </c>
      <c r="E25" s="5" t="n">
        <v>0.059</v>
      </c>
    </row>
    <row r="26" customFormat="false" ht="12.75" hidden="false" customHeight="true" outlineLevel="0" collapsed="false">
      <c r="A26" s="5" t="n">
        <v>2</v>
      </c>
      <c r="B26" s="5" t="n">
        <v>94</v>
      </c>
      <c r="C26" s="5" t="n">
        <v>162000</v>
      </c>
      <c r="D26" s="5" t="n">
        <v>0.15</v>
      </c>
      <c r="E26" s="5" t="n">
        <v>0.162</v>
      </c>
    </row>
    <row r="27" customFormat="false" ht="12.75" hidden="false" customHeight="true" outlineLevel="0" collapsed="false">
      <c r="A27" s="5" t="n">
        <v>2</v>
      </c>
      <c r="B27" s="5" t="n">
        <v>95</v>
      </c>
      <c r="C27" s="5" t="n">
        <v>359000</v>
      </c>
      <c r="D27" s="5" t="n">
        <v>0.25</v>
      </c>
      <c r="E27" s="5" t="n">
        <v>0.359</v>
      </c>
    </row>
    <row r="28" customFormat="false" ht="12.75" hidden="false" customHeight="true" outlineLevel="0" collapsed="false">
      <c r="A28" s="5" t="n">
        <v>2</v>
      </c>
      <c r="B28" s="5" t="n">
        <v>96</v>
      </c>
      <c r="C28" s="5" t="n">
        <v>673000</v>
      </c>
      <c r="D28" s="5" t="n">
        <v>0.4</v>
      </c>
      <c r="E28" s="5" t="n">
        <v>0.673</v>
      </c>
    </row>
    <row r="29" customFormat="false" ht="12.75" hidden="false" customHeight="true" outlineLevel="0" collapsed="false">
      <c r="A29" s="5" t="n">
        <v>2</v>
      </c>
      <c r="B29" s="5" t="n">
        <v>97</v>
      </c>
      <c r="C29" s="5" t="n">
        <v>1178000</v>
      </c>
      <c r="D29" s="5" t="n">
        <v>0.62</v>
      </c>
      <c r="E29" s="5" t="n">
        <v>1.178</v>
      </c>
    </row>
    <row r="30" customFormat="false" ht="12.75" hidden="false" customHeight="true" outlineLevel="0" collapsed="false">
      <c r="A30" s="5" t="n">
        <v>2</v>
      </c>
      <c r="B30" s="5" t="n">
        <v>98</v>
      </c>
      <c r="C30" s="5" t="n">
        <v>1931000</v>
      </c>
      <c r="D30" s="5" t="n">
        <v>0.88</v>
      </c>
      <c r="E30" s="5" t="n">
        <v>1.931</v>
      </c>
    </row>
    <row r="31" customFormat="false" ht="12.75" hidden="false" customHeight="true" outlineLevel="0" collapsed="false">
      <c r="A31" s="5" t="n">
        <v>2</v>
      </c>
      <c r="B31" s="5" t="n">
        <v>99</v>
      </c>
      <c r="C31" s="5" t="n">
        <v>2978000</v>
      </c>
      <c r="D31" s="5" t="n">
        <v>1.23</v>
      </c>
      <c r="E31" s="5" t="n">
        <v>2.978</v>
      </c>
    </row>
    <row r="32" customFormat="false" ht="12.75" hidden="false" customHeight="true" outlineLevel="0" collapsed="false">
      <c r="A32" s="5" t="n">
        <v>2</v>
      </c>
      <c r="B32" s="5" t="n">
        <v>100</v>
      </c>
      <c r="C32" s="5" t="n">
        <v>4444300</v>
      </c>
      <c r="D32" s="5" t="n">
        <v>1.73</v>
      </c>
      <c r="E32" s="5" t="n">
        <v>4.4443</v>
      </c>
    </row>
    <row r="33" customFormat="false" ht="12.75" hidden="false" customHeight="true" outlineLevel="0" collapsed="false">
      <c r="A33" s="5" t="n">
        <v>2</v>
      </c>
      <c r="B33" s="5" t="n">
        <v>101</v>
      </c>
      <c r="C33" s="5" t="n">
        <v>6475000</v>
      </c>
      <c r="D33" s="5" t="n">
        <v>2.33</v>
      </c>
      <c r="E33" s="5" t="n">
        <v>6.475</v>
      </c>
    </row>
    <row r="34" customFormat="false" ht="12.75" hidden="false" customHeight="true" outlineLevel="0" collapsed="false">
      <c r="A34" s="5" t="n">
        <v>2</v>
      </c>
      <c r="B34" s="5" t="n">
        <v>102</v>
      </c>
      <c r="C34" s="5" t="n">
        <v>9123000</v>
      </c>
      <c r="D34" s="5" t="n">
        <v>2.98</v>
      </c>
      <c r="E34" s="5" t="n">
        <v>9.123</v>
      </c>
    </row>
    <row r="35" customFormat="false" ht="12.75" hidden="false" customHeight="true" outlineLevel="0" collapsed="false">
      <c r="A35" s="5" t="n">
        <v>2</v>
      </c>
      <c r="B35" s="5" t="n">
        <v>103</v>
      </c>
      <c r="C35" s="5" t="n">
        <v>12465000</v>
      </c>
      <c r="D35" s="5" t="n">
        <v>3.71</v>
      </c>
      <c r="E35" s="5" t="n">
        <v>12.465</v>
      </c>
    </row>
    <row r="36" customFormat="false" ht="12.75" hidden="false" customHeight="true" outlineLevel="0" collapsed="false">
      <c r="A36" s="5" t="n">
        <v>2</v>
      </c>
      <c r="B36" s="5" t="n">
        <v>104</v>
      </c>
      <c r="C36" s="5" t="n">
        <v>16522000</v>
      </c>
      <c r="D36" s="5" t="n">
        <v>4.39</v>
      </c>
      <c r="E36" s="5" t="n">
        <v>16.522</v>
      </c>
    </row>
    <row r="37" customFormat="false" ht="12.75" hidden="false" customHeight="true" outlineLevel="0" collapsed="false">
      <c r="A37" s="5" t="n">
        <v>2</v>
      </c>
      <c r="B37" s="5" t="n">
        <v>105</v>
      </c>
      <c r="C37" s="5" t="n">
        <v>21212000</v>
      </c>
      <c r="D37" s="5" t="n">
        <v>4.97</v>
      </c>
      <c r="E37" s="5" t="n">
        <v>21.212</v>
      </c>
    </row>
    <row r="38" customFormat="false" ht="12.75" hidden="false" customHeight="true" outlineLevel="0" collapsed="false">
      <c r="A38" s="5" t="n">
        <v>2</v>
      </c>
      <c r="B38" s="5" t="n">
        <v>106</v>
      </c>
      <c r="C38" s="5" t="n">
        <v>26397000</v>
      </c>
      <c r="D38" s="5" t="n">
        <v>5.37</v>
      </c>
      <c r="E38" s="5" t="n">
        <v>26.397</v>
      </c>
    </row>
    <row r="39" customFormat="false" ht="12.75" hidden="false" customHeight="true" outlineLevel="0" collapsed="false">
      <c r="A39" s="5" t="n">
        <v>2</v>
      </c>
      <c r="B39" s="5" t="n">
        <v>106.71</v>
      </c>
      <c r="C39" s="5" t="n">
        <v>30299000</v>
      </c>
      <c r="D39" s="5" t="n">
        <v>5.62</v>
      </c>
      <c r="E39" s="5" t="n">
        <v>30.299</v>
      </c>
    </row>
    <row r="40" customFormat="false" ht="12.75" hidden="false" customHeight="true" outlineLevel="0" collapsed="false">
      <c r="A40" s="5" t="n">
        <v>2</v>
      </c>
      <c r="B40" s="5" t="n">
        <v>107.5</v>
      </c>
      <c r="C40" s="5" t="n">
        <v>41500000</v>
      </c>
      <c r="D40" s="5" t="n">
        <v>6.1352</v>
      </c>
      <c r="E40" s="5" t="n">
        <v>41.5</v>
      </c>
    </row>
    <row r="41" customFormat="false" ht="12.75" hidden="false" customHeight="true" outlineLevel="0" collapsed="false">
      <c r="A41" s="5" t="n">
        <v>2</v>
      </c>
      <c r="B41" s="5" t="n">
        <v>112.5</v>
      </c>
      <c r="C41" s="5" t="n">
        <v>111500000</v>
      </c>
      <c r="D41" s="5" t="n">
        <v>10.0952</v>
      </c>
      <c r="E41" s="5" t="n">
        <v>111.5</v>
      </c>
    </row>
    <row r="42" customFormat="false" ht="12.75" hidden="false" customHeight="true" outlineLevel="0" collapsed="false">
      <c r="A42" s="5" t="n">
        <v>2</v>
      </c>
      <c r="B42" s="5" t="n">
        <v>117.5</v>
      </c>
      <c r="C42" s="5" t="n">
        <v>201500000</v>
      </c>
      <c r="D42" s="5" t="n">
        <v>17.0052</v>
      </c>
      <c r="E42" s="5" t="n">
        <v>201.5</v>
      </c>
    </row>
    <row r="43" customFormat="false" ht="12.75" hidden="false" customHeight="true" outlineLevel="0" collapsed="false">
      <c r="A43" s="5" t="n">
        <v>2</v>
      </c>
      <c r="B43" s="5" t="n">
        <v>122.5</v>
      </c>
      <c r="C43" s="5" t="n">
        <v>321500000</v>
      </c>
      <c r="D43" s="5" t="n">
        <v>31.1052</v>
      </c>
      <c r="E43" s="5" t="n">
        <v>321.5</v>
      </c>
    </row>
    <row r="44" customFormat="false" ht="12.75" hidden="false" customHeight="true" outlineLevel="0" collapsed="false">
      <c r="A44" s="5" t="n">
        <v>2</v>
      </c>
      <c r="B44" s="5" t="n">
        <v>127.5</v>
      </c>
      <c r="C44" s="5" t="n">
        <v>521500000</v>
      </c>
      <c r="D44" s="5" t="n">
        <v>41.5352</v>
      </c>
      <c r="E44" s="5" t="n">
        <v>521.5</v>
      </c>
    </row>
    <row r="45" customFormat="false" ht="12.75" hidden="false" customHeight="true" outlineLevel="0" collapsed="false">
      <c r="A45" s="5" t="n">
        <v>2</v>
      </c>
      <c r="B45" s="5" t="n">
        <v>132.5</v>
      </c>
      <c r="C45" s="5" t="n">
        <v>751500000</v>
      </c>
      <c r="D45" s="5" t="n">
        <v>65.1552</v>
      </c>
      <c r="E45" s="5" t="n">
        <v>751.5</v>
      </c>
    </row>
    <row r="46" customFormat="false" ht="12.75" hidden="false" customHeight="true" outlineLevel="0" collapsed="false">
      <c r="A46" s="5" t="n">
        <v>2</v>
      </c>
      <c r="B46" s="5" t="n">
        <v>137.5</v>
      </c>
      <c r="C46" s="5" t="n">
        <v>1141500000</v>
      </c>
      <c r="D46" s="5" t="n">
        <v>90.3352</v>
      </c>
      <c r="E46" s="5" t="n">
        <v>1141.5</v>
      </c>
    </row>
    <row r="47" customFormat="false" ht="12.75" hidden="false" customHeight="true" outlineLevel="0" collapsed="false">
      <c r="A47" s="5" t="n">
        <v>2</v>
      </c>
      <c r="B47" s="5" t="n">
        <v>142.5</v>
      </c>
      <c r="C47" s="5" t="n">
        <v>1601000000</v>
      </c>
      <c r="D47" s="5" t="n">
        <v>144.8652</v>
      </c>
      <c r="E47" s="5" t="n">
        <v>1601</v>
      </c>
    </row>
    <row r="48" customFormat="false" ht="12.75" hidden="false" customHeight="true" outlineLevel="0" collapsed="false">
      <c r="A48" s="5" t="n">
        <v>2</v>
      </c>
      <c r="B48" s="5" t="n">
        <v>143.5</v>
      </c>
      <c r="C48" s="5" t="n">
        <v>1676500000</v>
      </c>
      <c r="D48" s="5" t="n">
        <v>154.6552</v>
      </c>
      <c r="E48" s="5" t="n">
        <v>1676.5</v>
      </c>
    </row>
    <row r="49" customFormat="false" ht="12.75" hidden="false" customHeight="true" outlineLevel="0" collapsed="false">
      <c r="A49" s="5" t="n">
        <v>3</v>
      </c>
      <c r="B49" s="5" t="n">
        <v>44.05</v>
      </c>
      <c r="C49" s="5" t="n">
        <v>0</v>
      </c>
      <c r="D49" s="5" t="n">
        <v>0</v>
      </c>
      <c r="E49" s="5" t="n">
        <v>0</v>
      </c>
    </row>
    <row r="50" customFormat="false" ht="12.75" hidden="false" customHeight="true" outlineLevel="0" collapsed="false">
      <c r="A50" s="5" t="n">
        <v>3</v>
      </c>
      <c r="B50" s="5" t="n">
        <v>44.75</v>
      </c>
      <c r="C50" s="5" t="n">
        <v>306</v>
      </c>
      <c r="D50" s="5" t="n">
        <v>0.0015</v>
      </c>
      <c r="E50" s="5" t="n">
        <v>0.000306</v>
      </c>
    </row>
    <row r="51" customFormat="false" ht="12.75" hidden="false" customHeight="true" outlineLevel="0" collapsed="false">
      <c r="A51" s="5" t="n">
        <v>3</v>
      </c>
      <c r="B51" s="5" t="n">
        <v>45.75</v>
      </c>
      <c r="C51" s="5" t="n">
        <v>9075</v>
      </c>
      <c r="D51" s="5" t="n">
        <v>0.0182</v>
      </c>
      <c r="E51" s="5" t="n">
        <v>0.009075</v>
      </c>
    </row>
    <row r="52" customFormat="false" ht="12.75" hidden="false" customHeight="true" outlineLevel="0" collapsed="false">
      <c r="A52" s="5" t="n">
        <v>3</v>
      </c>
      <c r="B52" s="5" t="n">
        <v>46.75</v>
      </c>
      <c r="C52" s="5" t="n">
        <v>42035</v>
      </c>
      <c r="D52" s="5" t="n">
        <v>0.0545</v>
      </c>
      <c r="E52" s="5" t="n">
        <v>0.042035</v>
      </c>
    </row>
    <row r="53" customFormat="false" ht="12.75" hidden="false" customHeight="true" outlineLevel="0" collapsed="false">
      <c r="A53" s="5" t="n">
        <v>3</v>
      </c>
      <c r="B53" s="5" t="n">
        <v>47.75</v>
      </c>
      <c r="C53" s="5" t="n">
        <v>131551</v>
      </c>
      <c r="D53" s="5" t="n">
        <v>0.1313</v>
      </c>
      <c r="E53" s="5" t="n">
        <v>0.131551</v>
      </c>
    </row>
    <row r="54" customFormat="false" ht="12.75" hidden="false" customHeight="true" outlineLevel="0" collapsed="false">
      <c r="A54" s="5" t="n">
        <v>3</v>
      </c>
      <c r="B54" s="5" t="n">
        <v>48.75</v>
      </c>
      <c r="C54" s="5" t="n">
        <v>312006</v>
      </c>
      <c r="D54" s="5" t="n">
        <v>0.2396</v>
      </c>
      <c r="E54" s="5" t="n">
        <v>0.312006</v>
      </c>
    </row>
    <row r="55" customFormat="false" ht="12.75" hidden="false" customHeight="true" outlineLevel="0" collapsed="false">
      <c r="A55" s="5" t="n">
        <v>3</v>
      </c>
      <c r="B55" s="5" t="n">
        <v>49.75</v>
      </c>
      <c r="C55" s="5" t="n">
        <v>622330</v>
      </c>
      <c r="D55" s="5" t="n">
        <v>0.3878</v>
      </c>
      <c r="E55" s="5" t="n">
        <v>0.62233</v>
      </c>
    </row>
    <row r="56" customFormat="false" ht="12.75" hidden="false" customHeight="true" outlineLevel="0" collapsed="false">
      <c r="A56" s="5" t="n">
        <v>3</v>
      </c>
      <c r="B56" s="5" t="n">
        <v>50.75</v>
      </c>
      <c r="C56" s="5" t="n">
        <v>1094306</v>
      </c>
      <c r="D56" s="5" t="n">
        <v>0.5715</v>
      </c>
      <c r="E56" s="5" t="n">
        <v>1.094306</v>
      </c>
    </row>
    <row r="57" customFormat="false" ht="12.75" hidden="false" customHeight="true" outlineLevel="0" collapsed="false">
      <c r="A57" s="5" t="n">
        <v>3</v>
      </c>
      <c r="B57" s="5" t="n">
        <v>51.75</v>
      </c>
      <c r="C57" s="5" t="n">
        <v>1785311</v>
      </c>
      <c r="D57" s="5" t="n">
        <v>0.8312</v>
      </c>
      <c r="E57" s="5" t="n">
        <v>1.785311</v>
      </c>
    </row>
    <row r="58" customFormat="false" ht="12.75" hidden="false" customHeight="true" outlineLevel="0" collapsed="false">
      <c r="A58" s="5" t="n">
        <v>3</v>
      </c>
      <c r="B58" s="5" t="n">
        <v>52.75</v>
      </c>
      <c r="C58" s="5" t="n">
        <v>2783288</v>
      </c>
      <c r="D58" s="5" t="n">
        <v>1.1752</v>
      </c>
      <c r="E58" s="5" t="n">
        <v>2.783288</v>
      </c>
    </row>
    <row r="59" customFormat="false" ht="12.75" hidden="false" customHeight="true" outlineLevel="0" collapsed="false">
      <c r="A59" s="5" t="n">
        <v>3</v>
      </c>
      <c r="B59" s="5" t="n">
        <v>53.75</v>
      </c>
      <c r="C59" s="5" t="n">
        <v>4124641</v>
      </c>
      <c r="D59" s="5" t="n">
        <v>1.5259</v>
      </c>
      <c r="E59" s="5" t="n">
        <v>4.124641</v>
      </c>
    </row>
    <row r="60" customFormat="false" ht="12.75" hidden="false" customHeight="true" outlineLevel="0" collapsed="false">
      <c r="A60" s="5" t="n">
        <v>3</v>
      </c>
      <c r="B60" s="5" t="n">
        <v>54.75</v>
      </c>
      <c r="C60" s="5" t="n">
        <v>5843945</v>
      </c>
      <c r="D60" s="5" t="n">
        <v>1.9363</v>
      </c>
      <c r="E60" s="5" t="n">
        <v>5.843945</v>
      </c>
    </row>
    <row r="61" customFormat="false" ht="12.75" hidden="false" customHeight="true" outlineLevel="0" collapsed="false">
      <c r="A61" s="5" t="n">
        <v>3</v>
      </c>
      <c r="B61" s="5" t="n">
        <v>55.75</v>
      </c>
      <c r="C61" s="5" t="n">
        <v>8001042</v>
      </c>
      <c r="D61" s="5" t="n">
        <v>2.4034</v>
      </c>
      <c r="E61" s="5" t="n">
        <v>8.001042</v>
      </c>
    </row>
    <row r="62" customFormat="false" ht="12.75" hidden="false" customHeight="true" outlineLevel="0" collapsed="false">
      <c r="A62" s="5" t="n">
        <v>3</v>
      </c>
      <c r="B62" s="5" t="n">
        <v>56.75</v>
      </c>
      <c r="C62" s="5" t="n">
        <v>10700110</v>
      </c>
      <c r="D62" s="5" t="n">
        <v>3.0401</v>
      </c>
      <c r="E62" s="5" t="n">
        <v>10.70011</v>
      </c>
    </row>
    <row r="63" customFormat="false" ht="12.75" hidden="false" customHeight="true" outlineLevel="0" collapsed="false">
      <c r="A63" s="5" t="n">
        <v>3</v>
      </c>
      <c r="B63" s="5" t="n">
        <v>57.75</v>
      </c>
      <c r="C63" s="5" t="n">
        <v>14103750</v>
      </c>
      <c r="D63" s="5" t="n">
        <v>3.76</v>
      </c>
      <c r="E63" s="5" t="n">
        <v>14.10375</v>
      </c>
    </row>
    <row r="64" customFormat="false" ht="12.75" hidden="false" customHeight="true" outlineLevel="0" collapsed="false">
      <c r="A64" s="5" t="n">
        <v>3</v>
      </c>
      <c r="B64" s="5" t="n">
        <v>58.75</v>
      </c>
      <c r="C64" s="5" t="n">
        <v>17995940</v>
      </c>
      <c r="D64" s="5" t="n">
        <v>3.996</v>
      </c>
      <c r="E64" s="5" t="n">
        <v>17.99594</v>
      </c>
    </row>
    <row r="65" customFormat="false" ht="12.75" hidden="false" customHeight="true" outlineLevel="0" collapsed="false">
      <c r="A65" s="5" t="n">
        <v>3</v>
      </c>
      <c r="B65" s="5" t="n">
        <v>59</v>
      </c>
      <c r="C65" s="5" t="n">
        <v>18996000</v>
      </c>
      <c r="D65" s="5" t="n">
        <v>4.146</v>
      </c>
      <c r="E65" s="5" t="n">
        <v>18.996</v>
      </c>
    </row>
    <row r="66" customFormat="false" ht="12.75" hidden="false" customHeight="true" outlineLevel="0" collapsed="false">
      <c r="A66" s="5" t="n">
        <v>3</v>
      </c>
      <c r="B66" s="5" t="n">
        <v>60</v>
      </c>
      <c r="C66" s="5" t="n">
        <v>24996000</v>
      </c>
      <c r="D66" s="5" t="n">
        <v>4.946</v>
      </c>
      <c r="E66" s="5" t="n">
        <v>24.996</v>
      </c>
    </row>
    <row r="67" customFormat="false" ht="12.75" hidden="false" customHeight="true" outlineLevel="0" collapsed="false">
      <c r="A67" s="5" t="n">
        <v>3</v>
      </c>
      <c r="B67" s="5" t="n">
        <v>61</v>
      </c>
      <c r="C67" s="5" t="n">
        <v>31996000</v>
      </c>
      <c r="D67" s="5" t="n">
        <v>5.846</v>
      </c>
      <c r="E67" s="5" t="n">
        <v>31.996</v>
      </c>
    </row>
    <row r="68" customFormat="false" ht="12.75" hidden="false" customHeight="true" outlineLevel="0" collapsed="false">
      <c r="A68" s="5" t="n">
        <v>3</v>
      </c>
      <c r="B68" s="5" t="n">
        <v>62</v>
      </c>
      <c r="C68" s="5" t="n">
        <v>39996000</v>
      </c>
      <c r="D68" s="5" t="n">
        <v>6.746</v>
      </c>
      <c r="E68" s="5" t="n">
        <v>39.996</v>
      </c>
    </row>
    <row r="69" customFormat="false" ht="12.75" hidden="false" customHeight="true" outlineLevel="0" collapsed="false">
      <c r="A69" s="5" t="n">
        <v>3</v>
      </c>
      <c r="B69" s="5" t="n">
        <v>63</v>
      </c>
      <c r="C69" s="5" t="n">
        <v>47996000</v>
      </c>
      <c r="D69" s="5" t="n">
        <v>7.846</v>
      </c>
      <c r="E69" s="5" t="n">
        <v>47.996</v>
      </c>
    </row>
    <row r="70" customFormat="false" ht="12.75" hidden="false" customHeight="true" outlineLevel="0" collapsed="false">
      <c r="A70" s="5" t="n">
        <v>3</v>
      </c>
      <c r="B70" s="5" t="n">
        <v>64</v>
      </c>
      <c r="C70" s="5" t="n">
        <v>57996000</v>
      </c>
      <c r="D70" s="5" t="n">
        <v>9.146</v>
      </c>
      <c r="E70" s="5" t="n">
        <v>57.996</v>
      </c>
    </row>
    <row r="71" customFormat="false" ht="12.75" hidden="false" customHeight="true" outlineLevel="0" collapsed="false">
      <c r="A71" s="5" t="n">
        <v>3</v>
      </c>
      <c r="B71" s="5" t="n">
        <v>65</v>
      </c>
      <c r="C71" s="5" t="n">
        <v>67996000</v>
      </c>
      <c r="D71" s="5" t="n">
        <v>10.546</v>
      </c>
      <c r="E71" s="5" t="n">
        <v>67.996</v>
      </c>
    </row>
    <row r="72" customFormat="false" ht="12.75" hidden="false" customHeight="true" outlineLevel="0" collapsed="false">
      <c r="A72" s="5" t="n">
        <v>3</v>
      </c>
      <c r="B72" s="5" t="n">
        <v>66</v>
      </c>
      <c r="C72" s="5" t="n">
        <v>79996000</v>
      </c>
      <c r="D72" s="5" t="n">
        <v>11.846</v>
      </c>
      <c r="E72" s="5" t="n">
        <v>79.996</v>
      </c>
    </row>
    <row r="73" customFormat="false" ht="12.75" hidden="false" customHeight="true" outlineLevel="0" collapsed="false">
      <c r="A73" s="5" t="n">
        <v>3</v>
      </c>
      <c r="B73" s="5" t="n">
        <v>67</v>
      </c>
      <c r="C73" s="5" t="n">
        <v>92996000</v>
      </c>
      <c r="D73" s="5" t="n">
        <v>13.046</v>
      </c>
      <c r="E73" s="5" t="n">
        <v>92.996</v>
      </c>
    </row>
    <row r="74" customFormat="false" ht="12.75" hidden="false" customHeight="true" outlineLevel="0" collapsed="false">
      <c r="A74" s="5" t="n">
        <v>3</v>
      </c>
      <c r="B74" s="5" t="n">
        <v>68</v>
      </c>
      <c r="C74" s="5" t="n">
        <v>106996000</v>
      </c>
      <c r="D74" s="5" t="n">
        <v>14.446</v>
      </c>
      <c r="E74" s="5" t="n">
        <v>106.996</v>
      </c>
    </row>
    <row r="75" customFormat="false" ht="12.75" hidden="false" customHeight="true" outlineLevel="0" collapsed="false">
      <c r="A75" s="5" t="n">
        <v>3</v>
      </c>
      <c r="B75" s="5" t="n">
        <v>69</v>
      </c>
      <c r="C75" s="5" t="n">
        <v>121996000</v>
      </c>
      <c r="D75" s="5" t="n">
        <v>15.746</v>
      </c>
      <c r="E75" s="5" t="n">
        <v>121.996</v>
      </c>
    </row>
    <row r="76" customFormat="false" ht="12.75" hidden="false" customHeight="true" outlineLevel="0" collapsed="false">
      <c r="A76" s="5" t="n">
        <v>3</v>
      </c>
      <c r="B76" s="5" t="n">
        <v>70</v>
      </c>
      <c r="C76" s="5" t="n">
        <v>138996000</v>
      </c>
      <c r="D76" s="5" t="n">
        <v>17.246</v>
      </c>
      <c r="E76" s="5" t="n">
        <v>138.996</v>
      </c>
    </row>
    <row r="77" customFormat="false" ht="12.75" hidden="false" customHeight="true" outlineLevel="0" collapsed="false">
      <c r="A77" s="5" t="n">
        <v>3</v>
      </c>
      <c r="B77" s="5" t="n">
        <v>71</v>
      </c>
      <c r="C77" s="5" t="n">
        <v>156996000</v>
      </c>
      <c r="D77" s="5" t="n">
        <v>18.746</v>
      </c>
      <c r="E77" s="5" t="n">
        <v>156.996</v>
      </c>
    </row>
    <row r="78" customFormat="false" ht="12.75" hidden="false" customHeight="true" outlineLevel="0" collapsed="false">
      <c r="A78" s="5" t="n">
        <v>3</v>
      </c>
      <c r="B78" s="5" t="n">
        <v>72</v>
      </c>
      <c r="C78" s="5" t="n">
        <v>176996000</v>
      </c>
      <c r="D78" s="5" t="n">
        <v>20.046</v>
      </c>
      <c r="E78" s="5" t="n">
        <v>176.996</v>
      </c>
    </row>
    <row r="79" customFormat="false" ht="12.75" hidden="false" customHeight="true" outlineLevel="0" collapsed="false">
      <c r="A79" s="5" t="n">
        <v>3</v>
      </c>
      <c r="B79" s="5" t="n">
        <v>73</v>
      </c>
      <c r="C79" s="5" t="n">
        <v>202000000</v>
      </c>
      <c r="D79" s="5" t="n">
        <v>21.746</v>
      </c>
      <c r="E79" s="5" t="n">
        <v>202</v>
      </c>
    </row>
    <row r="80" customFormat="false" ht="12.75" hidden="false" customHeight="true" outlineLevel="0" collapsed="false">
      <c r="A80" s="5" t="n">
        <v>3</v>
      </c>
      <c r="B80" s="5" t="n">
        <v>74</v>
      </c>
      <c r="C80" s="5" t="n">
        <v>203996000</v>
      </c>
      <c r="D80" s="5" t="n">
        <v>24.246</v>
      </c>
      <c r="E80" s="5" t="n">
        <v>203.996</v>
      </c>
    </row>
    <row r="81" customFormat="false" ht="12.75" hidden="false" customHeight="true" outlineLevel="0" collapsed="false">
      <c r="A81" s="5" t="n">
        <v>3</v>
      </c>
      <c r="B81" s="5" t="n">
        <v>75</v>
      </c>
      <c r="C81" s="5" t="n">
        <v>205996000</v>
      </c>
      <c r="D81" s="5" t="n">
        <v>27.246</v>
      </c>
      <c r="E81" s="5" t="n">
        <v>205.996</v>
      </c>
    </row>
    <row r="82" customFormat="false" ht="12.75" hidden="false" customHeight="true" outlineLevel="0" collapsed="false">
      <c r="A82" s="5" t="n">
        <v>4</v>
      </c>
      <c r="B82" s="5" t="n">
        <v>98.88</v>
      </c>
      <c r="C82" s="5" t="n">
        <v>0</v>
      </c>
      <c r="D82" s="5" t="n">
        <v>0</v>
      </c>
      <c r="E82" s="5" t="n">
        <v>0</v>
      </c>
    </row>
    <row r="83" customFormat="false" ht="12.75" hidden="false" customHeight="true" outlineLevel="0" collapsed="false">
      <c r="A83" s="5" t="n">
        <v>4</v>
      </c>
      <c r="B83" s="5" t="n">
        <v>99</v>
      </c>
      <c r="C83" s="5" t="n">
        <v>87</v>
      </c>
      <c r="D83" s="5" t="n">
        <v>0.0022</v>
      </c>
      <c r="E83" s="5" t="n">
        <v>8.7E-005</v>
      </c>
    </row>
    <row r="84" customFormat="false" ht="12.75" hidden="false" customHeight="true" outlineLevel="0" collapsed="false">
      <c r="A84" s="5" t="n">
        <v>4</v>
      </c>
      <c r="B84" s="5" t="n">
        <v>99.5</v>
      </c>
      <c r="C84" s="5" t="n">
        <v>24574</v>
      </c>
      <c r="D84" s="5" t="n">
        <v>0.1565</v>
      </c>
      <c r="E84" s="5" t="n">
        <v>0.024574</v>
      </c>
    </row>
    <row r="85" customFormat="false" ht="12.75" hidden="false" customHeight="true" outlineLevel="0" collapsed="false">
      <c r="A85" s="5" t="n">
        <v>4</v>
      </c>
      <c r="B85" s="5" t="n">
        <v>100</v>
      </c>
      <c r="C85" s="5" t="n">
        <v>186115</v>
      </c>
      <c r="D85" s="5" t="n">
        <v>0.4725</v>
      </c>
      <c r="E85" s="5" t="n">
        <v>0.186115</v>
      </c>
    </row>
    <row r="86" customFormat="false" ht="12.75" hidden="false" customHeight="true" outlineLevel="0" collapsed="false">
      <c r="A86" s="5" t="n">
        <v>4</v>
      </c>
      <c r="B86" s="5" t="n">
        <v>100.5</v>
      </c>
      <c r="C86" s="5" t="n">
        <v>478259</v>
      </c>
      <c r="D86" s="5" t="n">
        <v>0.6894</v>
      </c>
      <c r="E86" s="5" t="n">
        <v>0.478259</v>
      </c>
    </row>
    <row r="87" customFormat="false" ht="12.75" hidden="false" customHeight="true" outlineLevel="0" collapsed="false">
      <c r="A87" s="5" t="n">
        <v>4</v>
      </c>
      <c r="B87" s="5" t="n">
        <v>101</v>
      </c>
      <c r="C87" s="5" t="n">
        <v>865952</v>
      </c>
      <c r="D87" s="5" t="n">
        <v>0.8515</v>
      </c>
      <c r="E87" s="5" t="n">
        <v>0.865952</v>
      </c>
    </row>
    <row r="88" customFormat="false" ht="12.75" hidden="false" customHeight="true" outlineLevel="0" collapsed="false">
      <c r="A88" s="5" t="n">
        <v>4</v>
      </c>
      <c r="B88" s="5" t="n">
        <v>101.5</v>
      </c>
      <c r="C88" s="5" t="n">
        <v>1348432</v>
      </c>
      <c r="D88" s="5" t="n">
        <v>1.1442</v>
      </c>
      <c r="E88" s="5" t="n">
        <v>1.348432</v>
      </c>
    </row>
    <row r="89" customFormat="false" ht="12.75" hidden="false" customHeight="true" outlineLevel="0" collapsed="false">
      <c r="A89" s="5" t="n">
        <v>4</v>
      </c>
      <c r="B89" s="5" t="n">
        <v>102</v>
      </c>
      <c r="C89" s="5" t="n">
        <v>2012430</v>
      </c>
      <c r="D89" s="5" t="n">
        <v>1.4649</v>
      </c>
      <c r="E89" s="5" t="n">
        <v>2.01243</v>
      </c>
    </row>
    <row r="90" customFormat="false" ht="12.75" hidden="false" customHeight="true" outlineLevel="0" collapsed="false">
      <c r="A90" s="5" t="n">
        <v>4</v>
      </c>
      <c r="B90" s="5" t="n">
        <v>102.5</v>
      </c>
      <c r="C90" s="5" t="n">
        <v>2806355</v>
      </c>
      <c r="D90" s="5" t="n">
        <v>1.7241</v>
      </c>
      <c r="E90" s="5" t="n">
        <v>2.806355</v>
      </c>
    </row>
    <row r="91" customFormat="false" ht="12.75" hidden="false" customHeight="true" outlineLevel="0" collapsed="false">
      <c r="A91" s="5" t="n">
        <v>4</v>
      </c>
      <c r="B91" s="5" t="n">
        <v>103</v>
      </c>
      <c r="C91" s="5" t="n">
        <v>3766402</v>
      </c>
      <c r="D91" s="5" t="n">
        <v>2.1678</v>
      </c>
      <c r="E91" s="5" t="n">
        <v>3.766402</v>
      </c>
    </row>
    <row r="92" customFormat="false" ht="12.75" hidden="false" customHeight="true" outlineLevel="0" collapsed="false">
      <c r="A92" s="5" t="n">
        <v>4</v>
      </c>
      <c r="B92" s="5" t="n">
        <v>103.5</v>
      </c>
      <c r="C92" s="5" t="n">
        <v>4983023</v>
      </c>
      <c r="D92" s="5" t="n">
        <v>2.682</v>
      </c>
      <c r="E92" s="5" t="n">
        <v>4.983023</v>
      </c>
    </row>
    <row r="93" customFormat="false" ht="12.75" hidden="false" customHeight="true" outlineLevel="0" collapsed="false">
      <c r="A93" s="5" t="n">
        <v>4</v>
      </c>
      <c r="B93" s="5" t="n">
        <v>104</v>
      </c>
      <c r="C93" s="5" t="n">
        <v>6454504</v>
      </c>
      <c r="D93" s="5" t="n">
        <v>3.1916</v>
      </c>
      <c r="E93" s="5" t="n">
        <v>6.454504</v>
      </c>
    </row>
    <row r="94" customFormat="false" ht="12.75" hidden="false" customHeight="true" outlineLevel="0" collapsed="false">
      <c r="A94" s="5" t="n">
        <v>4</v>
      </c>
      <c r="B94" s="5" t="n">
        <v>104.5</v>
      </c>
      <c r="C94" s="5" t="n">
        <v>8180533</v>
      </c>
      <c r="D94" s="5" t="n">
        <v>3.7149</v>
      </c>
      <c r="E94" s="5" t="n">
        <v>8.180533</v>
      </c>
    </row>
    <row r="95" customFormat="false" ht="12.75" hidden="false" customHeight="true" outlineLevel="0" collapsed="false">
      <c r="A95" s="5" t="n">
        <v>4</v>
      </c>
      <c r="B95" s="5" t="n">
        <v>105</v>
      </c>
      <c r="C95" s="5" t="n">
        <v>10179792</v>
      </c>
      <c r="D95" s="5" t="n">
        <v>4.2854</v>
      </c>
      <c r="E95" s="5" t="n">
        <v>10.179792</v>
      </c>
    </row>
    <row r="96" customFormat="false" ht="12.75" hidden="false" customHeight="true" outlineLevel="0" collapsed="false">
      <c r="A96" s="5" t="n">
        <v>4</v>
      </c>
      <c r="B96" s="5" t="n">
        <v>105.5</v>
      </c>
      <c r="C96" s="5" t="n">
        <v>12459319</v>
      </c>
      <c r="D96" s="5" t="n">
        <v>4.8621</v>
      </c>
      <c r="E96" s="5" t="n">
        <v>12.459319</v>
      </c>
    </row>
    <row r="97" customFormat="false" ht="12.75" hidden="false" customHeight="true" outlineLevel="0" collapsed="false">
      <c r="A97" s="5" t="n">
        <v>4</v>
      </c>
      <c r="B97" s="5" t="n">
        <v>106</v>
      </c>
      <c r="C97" s="5" t="n">
        <v>15051253</v>
      </c>
      <c r="D97" s="5" t="n">
        <v>5.588</v>
      </c>
      <c r="E97" s="5" t="n">
        <v>15.051253</v>
      </c>
    </row>
    <row r="98" customFormat="false" ht="12.75" hidden="false" customHeight="true" outlineLevel="0" collapsed="false">
      <c r="A98" s="5" t="n">
        <v>4</v>
      </c>
      <c r="B98" s="5" t="n">
        <v>106.18</v>
      </c>
      <c r="C98" s="5" t="n">
        <v>16075345</v>
      </c>
      <c r="D98" s="5" t="n">
        <v>5.8525</v>
      </c>
      <c r="E98" s="5" t="n">
        <v>16.075345</v>
      </c>
    </row>
    <row r="99" customFormat="false" ht="12.75" hidden="false" customHeight="true" outlineLevel="0" collapsed="false">
      <c r="A99" s="5" t="n">
        <v>4</v>
      </c>
      <c r="B99" s="5" t="n">
        <v>107</v>
      </c>
      <c r="C99" s="5" t="n">
        <v>21101000</v>
      </c>
      <c r="D99" s="5" t="n">
        <v>7.4</v>
      </c>
      <c r="E99" s="5" t="n">
        <v>21.101</v>
      </c>
    </row>
    <row r="100" customFormat="false" ht="12.75" hidden="false" customHeight="true" outlineLevel="0" collapsed="false">
      <c r="A100" s="5" t="n">
        <v>4</v>
      </c>
      <c r="B100" s="5" t="n">
        <v>108</v>
      </c>
      <c r="C100" s="5" t="n">
        <v>29860000</v>
      </c>
      <c r="D100" s="5" t="n">
        <v>8.89</v>
      </c>
      <c r="E100" s="5" t="n">
        <v>29.86</v>
      </c>
    </row>
    <row r="101" customFormat="false" ht="12.75" hidden="false" customHeight="true" outlineLevel="0" collapsed="false">
      <c r="A101" s="5" t="n">
        <v>4</v>
      </c>
      <c r="B101" s="5" t="n">
        <v>109</v>
      </c>
      <c r="C101" s="5" t="n">
        <v>38611000</v>
      </c>
      <c r="D101" s="5" t="n">
        <v>10.38</v>
      </c>
      <c r="E101" s="5" t="n">
        <v>38.611</v>
      </c>
    </row>
    <row r="102" customFormat="false" ht="12.75" hidden="false" customHeight="true" outlineLevel="0" collapsed="false">
      <c r="A102" s="5" t="n">
        <v>4</v>
      </c>
      <c r="B102" s="5" t="n">
        <v>110</v>
      </c>
      <c r="C102" s="5" t="n">
        <v>50631000</v>
      </c>
      <c r="D102" s="5" t="n">
        <v>12.12</v>
      </c>
      <c r="E102" s="5" t="n">
        <v>50.631</v>
      </c>
    </row>
    <row r="103" customFormat="false" ht="12.75" hidden="false" customHeight="true" outlineLevel="0" collapsed="false">
      <c r="A103" s="5" t="n">
        <v>4</v>
      </c>
      <c r="B103" s="5" t="n">
        <v>111</v>
      </c>
      <c r="C103" s="5" t="n">
        <v>62641000</v>
      </c>
      <c r="D103" s="5" t="n">
        <v>13.86</v>
      </c>
      <c r="E103" s="5" t="n">
        <v>62.641</v>
      </c>
    </row>
    <row r="104" customFormat="false" ht="12.75" hidden="false" customHeight="true" outlineLevel="0" collapsed="false">
      <c r="A104" s="5" t="n">
        <v>4</v>
      </c>
      <c r="B104" s="5" t="n">
        <v>112</v>
      </c>
      <c r="C104" s="5" t="n">
        <v>78335100</v>
      </c>
      <c r="D104" s="5" t="n">
        <v>15.78</v>
      </c>
      <c r="E104" s="5" t="n">
        <v>78.3351</v>
      </c>
    </row>
    <row r="105" customFormat="false" ht="12.75" hidden="false" customHeight="true" outlineLevel="0" collapsed="false">
      <c r="A105" s="5" t="n">
        <v>4</v>
      </c>
      <c r="B105" s="5" t="n">
        <v>113</v>
      </c>
      <c r="C105" s="5" t="n">
        <v>94061000</v>
      </c>
      <c r="D105" s="5" t="n">
        <v>17.71</v>
      </c>
      <c r="E105" s="5" t="n">
        <v>94.061</v>
      </c>
    </row>
    <row r="106" customFormat="false" ht="12.75" hidden="false" customHeight="true" outlineLevel="0" collapsed="false">
      <c r="A106" s="5" t="n">
        <v>4</v>
      </c>
      <c r="B106" s="5" t="n">
        <v>114</v>
      </c>
      <c r="C106" s="5" t="n">
        <v>113791000</v>
      </c>
      <c r="D106" s="5" t="n">
        <v>18.55</v>
      </c>
      <c r="E106" s="5" t="n">
        <v>113.791</v>
      </c>
    </row>
    <row r="107" customFormat="false" ht="12.75" hidden="false" customHeight="true" outlineLevel="0" collapsed="false">
      <c r="A107" s="5" t="n">
        <v>4</v>
      </c>
      <c r="B107" s="5" t="n">
        <v>114.5</v>
      </c>
      <c r="C107" s="5" t="n">
        <v>122000000</v>
      </c>
      <c r="D107" s="5" t="n">
        <v>19.12</v>
      </c>
      <c r="E107" s="5" t="n">
        <v>122</v>
      </c>
    </row>
    <row r="108" customFormat="false" ht="12.75" hidden="false" customHeight="true" outlineLevel="0" collapsed="false">
      <c r="A108" s="5" t="n">
        <v>4</v>
      </c>
      <c r="B108" s="5" t="n">
        <v>115</v>
      </c>
      <c r="C108" s="5" t="n">
        <v>131000000</v>
      </c>
      <c r="D108" s="5" t="n">
        <v>19.39</v>
      </c>
      <c r="E108" s="5" t="n">
        <v>131</v>
      </c>
    </row>
    <row r="109" customFormat="false" ht="12.75" hidden="false" customHeight="true" outlineLevel="0" collapsed="false">
      <c r="A109" s="5" t="n">
        <v>5</v>
      </c>
      <c r="B109" s="5" t="n">
        <v>175</v>
      </c>
      <c r="C109" s="5" t="n">
        <v>0</v>
      </c>
      <c r="D109" s="5" t="n">
        <v>0</v>
      </c>
      <c r="E109" s="5" t="n">
        <v>0</v>
      </c>
    </row>
    <row r="110" customFormat="false" ht="12.75" hidden="false" customHeight="true" outlineLevel="0" collapsed="false">
      <c r="A110" s="5" t="n">
        <v>5</v>
      </c>
      <c r="B110" s="5" t="n">
        <v>180</v>
      </c>
      <c r="C110" s="5" t="n">
        <v>8900000</v>
      </c>
      <c r="D110" s="5" t="n">
        <v>2.256</v>
      </c>
      <c r="E110" s="5" t="n">
        <v>8.9</v>
      </c>
    </row>
    <row r="111" customFormat="false" ht="12.75" hidden="false" customHeight="true" outlineLevel="0" collapsed="false">
      <c r="A111" s="5" t="n">
        <v>5</v>
      </c>
      <c r="B111" s="5" t="n">
        <v>185</v>
      </c>
      <c r="C111" s="5" t="n">
        <v>27700000</v>
      </c>
      <c r="D111" s="5" t="n">
        <v>5.256</v>
      </c>
      <c r="E111" s="5" t="n">
        <v>27.7</v>
      </c>
    </row>
    <row r="112" customFormat="false" ht="12.75" hidden="false" customHeight="true" outlineLevel="0" collapsed="false">
      <c r="A112" s="5" t="n">
        <v>5</v>
      </c>
      <c r="B112" s="5" t="n">
        <v>190</v>
      </c>
      <c r="C112" s="5" t="n">
        <v>63600000</v>
      </c>
      <c r="D112" s="5" t="n">
        <v>9.088</v>
      </c>
      <c r="E112" s="5" t="n">
        <v>63.6</v>
      </c>
    </row>
    <row r="113" customFormat="false" ht="12.75" hidden="false" customHeight="true" outlineLevel="0" collapsed="false">
      <c r="A113" s="5" t="n">
        <v>5</v>
      </c>
      <c r="B113" s="5" t="n">
        <v>195</v>
      </c>
      <c r="C113" s="5" t="n">
        <v>125000000</v>
      </c>
      <c r="D113" s="5" t="n">
        <v>15.472</v>
      </c>
      <c r="E113" s="5" t="n">
        <v>125</v>
      </c>
    </row>
    <row r="114" customFormat="false" ht="12.75" hidden="false" customHeight="true" outlineLevel="0" collapsed="false">
      <c r="A114" s="5" t="n">
        <v>5</v>
      </c>
      <c r="B114" s="5" t="n">
        <v>200</v>
      </c>
      <c r="C114" s="5" t="n">
        <v>221900000</v>
      </c>
      <c r="D114" s="5" t="n">
        <v>23.156</v>
      </c>
      <c r="E114" s="5" t="n">
        <v>221.9</v>
      </c>
    </row>
    <row r="115" customFormat="false" ht="12.75" hidden="false" customHeight="true" outlineLevel="0" collapsed="false">
      <c r="A115" s="5" t="n">
        <v>5</v>
      </c>
      <c r="B115" s="5" t="n">
        <v>201</v>
      </c>
      <c r="C115" s="5" t="n">
        <v>254000000</v>
      </c>
      <c r="D115" s="5" t="n">
        <v>24.86</v>
      </c>
      <c r="E115" s="5" t="n">
        <v>254</v>
      </c>
    </row>
    <row r="116" customFormat="false" ht="12.75" hidden="false" customHeight="true" outlineLevel="0" collapsed="false">
      <c r="A116" s="5" t="n">
        <v>5</v>
      </c>
      <c r="B116" s="5" t="n">
        <v>205</v>
      </c>
      <c r="C116" s="5" t="n">
        <v>385572001</v>
      </c>
      <c r="D116" s="5" t="n">
        <v>31.6729</v>
      </c>
      <c r="E116" s="5" t="n">
        <v>385.572001</v>
      </c>
    </row>
    <row r="117" customFormat="false" ht="12.75" hidden="false" customHeight="true" outlineLevel="0" collapsed="false">
      <c r="A117" s="5" t="n">
        <v>6</v>
      </c>
      <c r="B117" s="5" t="n">
        <v>424.98</v>
      </c>
      <c r="C117" s="5" t="n">
        <v>0</v>
      </c>
      <c r="D117" s="5" t="n">
        <v>0</v>
      </c>
      <c r="E117" s="5" t="n">
        <v>0</v>
      </c>
    </row>
    <row r="118" customFormat="false" ht="12.75" hidden="false" customHeight="true" outlineLevel="0" collapsed="false">
      <c r="A118" s="5" t="n">
        <v>6</v>
      </c>
      <c r="B118" s="5" t="n">
        <v>425</v>
      </c>
      <c r="C118" s="5" t="n">
        <v>144934</v>
      </c>
      <c r="D118" s="5" t="n">
        <v>0.208</v>
      </c>
      <c r="E118" s="5" t="n">
        <v>0.144934</v>
      </c>
    </row>
    <row r="119" customFormat="false" ht="12.75" hidden="false" customHeight="true" outlineLevel="0" collapsed="false">
      <c r="A119" s="5" t="n">
        <v>6</v>
      </c>
      <c r="B119" s="5" t="n">
        <v>426</v>
      </c>
      <c r="C119" s="5" t="n">
        <v>465185</v>
      </c>
      <c r="D119" s="5" t="n">
        <v>0.433</v>
      </c>
      <c r="E119" s="5" t="n">
        <v>0.465185</v>
      </c>
    </row>
    <row r="120" customFormat="false" ht="12.75" hidden="false" customHeight="true" outlineLevel="0" collapsed="false">
      <c r="A120" s="5" t="n">
        <v>6</v>
      </c>
      <c r="B120" s="5" t="n">
        <v>427</v>
      </c>
      <c r="C120" s="5" t="n">
        <v>1023141</v>
      </c>
      <c r="D120" s="5" t="n">
        <v>0.691</v>
      </c>
      <c r="E120" s="5" t="n">
        <v>1.023141</v>
      </c>
    </row>
    <row r="121" customFormat="false" ht="12.75" hidden="false" customHeight="true" outlineLevel="0" collapsed="false">
      <c r="A121" s="5" t="n">
        <v>6</v>
      </c>
      <c r="B121" s="5" t="n">
        <v>428</v>
      </c>
      <c r="C121" s="5" t="n">
        <v>1872762</v>
      </c>
      <c r="D121" s="5" t="n">
        <v>1.014</v>
      </c>
      <c r="E121" s="5" t="n">
        <v>1.872762</v>
      </c>
    </row>
    <row r="122" customFormat="false" ht="12.75" hidden="false" customHeight="true" outlineLevel="0" collapsed="false">
      <c r="A122" s="5" t="n">
        <v>6</v>
      </c>
      <c r="B122" s="5" t="n">
        <v>429</v>
      </c>
      <c r="C122" s="5" t="n">
        <v>3047197</v>
      </c>
      <c r="D122" s="5" t="n">
        <v>1.325</v>
      </c>
      <c r="E122" s="5" t="n">
        <v>3.047197</v>
      </c>
    </row>
    <row r="123" customFormat="false" ht="12.75" hidden="false" customHeight="true" outlineLevel="0" collapsed="false">
      <c r="A123" s="5" t="n">
        <v>6</v>
      </c>
      <c r="B123" s="5" t="n">
        <v>430</v>
      </c>
      <c r="C123" s="5" t="n">
        <v>4502543</v>
      </c>
      <c r="D123" s="5" t="n">
        <v>1.57</v>
      </c>
      <c r="E123" s="5" t="n">
        <v>4.502543</v>
      </c>
    </row>
    <row r="124" customFormat="false" ht="12.75" hidden="false" customHeight="true" outlineLevel="0" collapsed="false">
      <c r="A124" s="5" t="n">
        <v>6</v>
      </c>
      <c r="B124" s="5" t="n">
        <v>431</v>
      </c>
      <c r="C124" s="5" t="n">
        <v>6177688</v>
      </c>
      <c r="D124" s="5" t="n">
        <v>1.782</v>
      </c>
      <c r="E124" s="5" t="n">
        <v>6.177688</v>
      </c>
    </row>
    <row r="125" customFormat="false" ht="12.75" hidden="false" customHeight="true" outlineLevel="0" collapsed="false">
      <c r="A125" s="5" t="n">
        <v>6</v>
      </c>
      <c r="B125" s="5" t="n">
        <v>431.22</v>
      </c>
      <c r="C125" s="5" t="n">
        <v>6574873</v>
      </c>
      <c r="D125" s="5" t="n">
        <v>1.878</v>
      </c>
      <c r="E125" s="5" t="n">
        <v>6.574873</v>
      </c>
    </row>
    <row r="126" customFormat="false" ht="12.75" hidden="false" customHeight="true" outlineLevel="0" collapsed="false">
      <c r="A126" s="5" t="n">
        <v>6</v>
      </c>
      <c r="B126" s="5" t="n">
        <v>432</v>
      </c>
      <c r="C126" s="5" t="n">
        <v>10050000</v>
      </c>
      <c r="D126" s="5" t="n">
        <v>3.28</v>
      </c>
      <c r="E126" s="5" t="n">
        <v>10.05</v>
      </c>
    </row>
    <row r="127" customFormat="false" ht="12.75" hidden="false" customHeight="true" outlineLevel="0" collapsed="false">
      <c r="A127" s="5" t="n">
        <v>6</v>
      </c>
      <c r="B127" s="5" t="n">
        <v>434</v>
      </c>
      <c r="C127" s="5" t="n">
        <v>18800000</v>
      </c>
      <c r="D127" s="5" t="n">
        <v>4.8</v>
      </c>
      <c r="E127" s="5" t="n">
        <v>18.8</v>
      </c>
    </row>
    <row r="128" customFormat="false" ht="12.75" hidden="false" customHeight="true" outlineLevel="0" collapsed="false">
      <c r="A128" s="5" t="n">
        <v>6</v>
      </c>
      <c r="B128" s="5" t="n">
        <v>436</v>
      </c>
      <c r="C128" s="5" t="n">
        <v>30100000</v>
      </c>
      <c r="D128" s="5" t="n">
        <v>6.2</v>
      </c>
      <c r="E128" s="5" t="n">
        <v>30.1</v>
      </c>
    </row>
    <row r="129" customFormat="false" ht="12.75" hidden="false" customHeight="true" outlineLevel="0" collapsed="false">
      <c r="A129" s="5" t="n">
        <v>6</v>
      </c>
      <c r="B129" s="5" t="n">
        <v>438</v>
      </c>
      <c r="C129" s="5" t="n">
        <v>42800000</v>
      </c>
      <c r="D129" s="5" t="n">
        <v>7.8</v>
      </c>
      <c r="E129" s="5" t="n">
        <v>42.8</v>
      </c>
    </row>
    <row r="130" customFormat="false" ht="12.75" hidden="false" customHeight="true" outlineLevel="0" collapsed="false">
      <c r="A130" s="5" t="n">
        <v>7</v>
      </c>
      <c r="B130" s="5" t="n">
        <v>93.26</v>
      </c>
      <c r="C130" s="5" t="n">
        <v>0</v>
      </c>
      <c r="D130" s="5" t="n">
        <v>0</v>
      </c>
      <c r="E130" s="5" t="n">
        <v>0</v>
      </c>
    </row>
    <row r="131" customFormat="false" ht="12.75" hidden="false" customHeight="true" outlineLevel="0" collapsed="false">
      <c r="A131" s="5" t="n">
        <v>7</v>
      </c>
      <c r="B131" s="5" t="n">
        <v>94</v>
      </c>
      <c r="C131" s="5" t="n">
        <v>955</v>
      </c>
      <c r="D131" s="5" t="n">
        <v>0.0043</v>
      </c>
      <c r="E131" s="5" t="n">
        <v>0.000955</v>
      </c>
    </row>
    <row r="132" customFormat="false" ht="12.75" hidden="false" customHeight="true" outlineLevel="0" collapsed="false">
      <c r="A132" s="5" t="n">
        <v>7</v>
      </c>
      <c r="B132" s="5" t="n">
        <v>95</v>
      </c>
      <c r="C132" s="5" t="n">
        <v>15118</v>
      </c>
      <c r="D132" s="5" t="n">
        <v>0.0289</v>
      </c>
      <c r="E132" s="5" t="n">
        <v>0.015118</v>
      </c>
    </row>
    <row r="133" customFormat="false" ht="12.75" hidden="false" customHeight="true" outlineLevel="0" collapsed="false">
      <c r="A133" s="5" t="n">
        <v>7</v>
      </c>
      <c r="B133" s="5" t="n">
        <v>96</v>
      </c>
      <c r="C133" s="5" t="n">
        <v>72742</v>
      </c>
      <c r="D133" s="5" t="n">
        <v>0.0857</v>
      </c>
      <c r="E133" s="5" t="n">
        <v>0.072742</v>
      </c>
    </row>
    <row r="134" customFormat="false" ht="12.75" hidden="false" customHeight="true" outlineLevel="0" collapsed="false">
      <c r="A134" s="5" t="n">
        <v>7</v>
      </c>
      <c r="B134" s="5" t="n">
        <v>97</v>
      </c>
      <c r="C134" s="5" t="n">
        <v>198312</v>
      </c>
      <c r="D134" s="5" t="n">
        <v>0.1762</v>
      </c>
      <c r="E134" s="5" t="n">
        <v>0.198312</v>
      </c>
    </row>
    <row r="135" customFormat="false" ht="12.75" hidden="false" customHeight="true" outlineLevel="0" collapsed="false">
      <c r="A135" s="5" t="n">
        <v>7</v>
      </c>
      <c r="B135" s="5" t="n">
        <v>98</v>
      </c>
      <c r="C135" s="5" t="n">
        <v>432905</v>
      </c>
      <c r="D135" s="5" t="n">
        <v>0.2895</v>
      </c>
      <c r="E135" s="5" t="n">
        <v>0.432905</v>
      </c>
    </row>
    <row r="136" customFormat="false" ht="12.75" hidden="false" customHeight="true" outlineLevel="0" collapsed="false">
      <c r="A136" s="5" t="n">
        <v>7</v>
      </c>
      <c r="B136" s="5" t="n">
        <v>99</v>
      </c>
      <c r="C136" s="5" t="n">
        <v>786594</v>
      </c>
      <c r="D136" s="5" t="n">
        <v>0.4277</v>
      </c>
      <c r="E136" s="5" t="n">
        <v>0.786594</v>
      </c>
    </row>
    <row r="137" customFormat="false" ht="12.75" hidden="false" customHeight="true" outlineLevel="0" collapsed="false">
      <c r="A137" s="5" t="n">
        <v>7</v>
      </c>
      <c r="B137" s="5" t="n">
        <v>100</v>
      </c>
      <c r="C137" s="5" t="n">
        <v>1306119</v>
      </c>
      <c r="D137" s="5" t="n">
        <v>0.6272</v>
      </c>
      <c r="E137" s="5" t="n">
        <v>1.306119</v>
      </c>
    </row>
    <row r="138" customFormat="false" ht="12.75" hidden="false" customHeight="true" outlineLevel="0" collapsed="false">
      <c r="A138" s="5" t="n">
        <v>7</v>
      </c>
      <c r="B138" s="5" t="n">
        <v>101</v>
      </c>
      <c r="C138" s="5" t="n">
        <v>2071015</v>
      </c>
      <c r="D138" s="5" t="n">
        <v>0.9262</v>
      </c>
      <c r="E138" s="5" t="n">
        <v>2.071015</v>
      </c>
    </row>
    <row r="139" customFormat="false" ht="12.75" hidden="false" customHeight="true" outlineLevel="0" collapsed="false">
      <c r="A139" s="5" t="n">
        <v>7</v>
      </c>
      <c r="B139" s="5" t="n">
        <v>102</v>
      </c>
      <c r="C139" s="5" t="n">
        <v>3160090</v>
      </c>
      <c r="D139" s="5" t="n">
        <v>1.2503</v>
      </c>
      <c r="E139" s="5" t="n">
        <v>3.16009</v>
      </c>
    </row>
    <row r="140" customFormat="false" ht="12.75" hidden="false" customHeight="true" outlineLevel="0" collapsed="false">
      <c r="A140" s="5" t="n">
        <v>7</v>
      </c>
      <c r="B140" s="5" t="n">
        <v>103</v>
      </c>
      <c r="C140" s="5" t="n">
        <v>4599024</v>
      </c>
      <c r="D140" s="5" t="n">
        <v>1.6173</v>
      </c>
      <c r="E140" s="5" t="n">
        <v>4.599024</v>
      </c>
    </row>
    <row r="141" customFormat="false" ht="12.75" hidden="false" customHeight="true" outlineLevel="0" collapsed="false">
      <c r="A141" s="5" t="n">
        <v>7</v>
      </c>
      <c r="B141" s="5" t="n">
        <v>104</v>
      </c>
      <c r="C141" s="5" t="n">
        <v>6426872</v>
      </c>
      <c r="D141" s="5" t="n">
        <v>2.0624</v>
      </c>
      <c r="E141" s="5" t="n">
        <v>6.426872</v>
      </c>
    </row>
    <row r="142" customFormat="false" ht="12.75" hidden="false" customHeight="true" outlineLevel="0" collapsed="false">
      <c r="A142" s="5" t="n">
        <v>7</v>
      </c>
      <c r="B142" s="5" t="n">
        <v>105</v>
      </c>
      <c r="C142" s="5" t="n">
        <v>8801454</v>
      </c>
      <c r="D142" s="5" t="n">
        <v>2.6969</v>
      </c>
      <c r="E142" s="5" t="n">
        <v>8.801454</v>
      </c>
    </row>
    <row r="143" customFormat="false" ht="12.75" hidden="false" customHeight="true" outlineLevel="0" collapsed="false">
      <c r="A143" s="5" t="n">
        <v>7</v>
      </c>
      <c r="B143" s="5" t="n">
        <v>106</v>
      </c>
      <c r="C143" s="5" t="n">
        <v>11857540</v>
      </c>
      <c r="D143" s="5" t="n">
        <v>3.4216</v>
      </c>
      <c r="E143" s="5" t="n">
        <v>11.85754</v>
      </c>
    </row>
    <row r="144" customFormat="false" ht="12.75" hidden="false" customHeight="true" outlineLevel="0" collapsed="false">
      <c r="A144" s="5" t="n">
        <v>7</v>
      </c>
      <c r="B144" s="5" t="n">
        <v>107</v>
      </c>
      <c r="C144" s="5" t="n">
        <v>15524189</v>
      </c>
      <c r="D144" s="5" t="n">
        <v>3.8174</v>
      </c>
      <c r="E144" s="5" t="n">
        <v>15.524189</v>
      </c>
    </row>
    <row r="145" customFormat="false" ht="12.75" hidden="false" customHeight="true" outlineLevel="0" collapsed="false">
      <c r="A145" s="5" t="n">
        <v>7</v>
      </c>
      <c r="B145" s="5" t="n">
        <v>107.4</v>
      </c>
      <c r="C145" s="5" t="n">
        <v>17066151</v>
      </c>
      <c r="D145" s="5" t="n">
        <v>3.8924</v>
      </c>
      <c r="E145" s="5" t="n">
        <v>17.066151</v>
      </c>
    </row>
    <row r="146" customFormat="false" ht="12.75" hidden="false" customHeight="true" outlineLevel="0" collapsed="false">
      <c r="A146" s="5" t="n">
        <v>7</v>
      </c>
      <c r="B146" s="5" t="n">
        <v>107.67</v>
      </c>
      <c r="C146" s="5" t="n">
        <v>18123926</v>
      </c>
      <c r="D146" s="5" t="n">
        <v>3.9428</v>
      </c>
      <c r="E146" s="5" t="n">
        <v>18.123926</v>
      </c>
    </row>
    <row r="147" customFormat="false" ht="12.75" hidden="false" customHeight="true" outlineLevel="0" collapsed="false">
      <c r="A147" s="5" t="n">
        <v>7</v>
      </c>
      <c r="B147" s="5" t="n">
        <v>110</v>
      </c>
      <c r="C147" s="5" t="n">
        <v>42220000</v>
      </c>
      <c r="D147" s="5" t="n">
        <v>7.6398</v>
      </c>
      <c r="E147" s="5" t="n">
        <v>42.22</v>
      </c>
    </row>
    <row r="148" customFormat="false" ht="12.75" hidden="false" customHeight="true" outlineLevel="0" collapsed="false">
      <c r="A148" s="5" t="n">
        <v>7</v>
      </c>
      <c r="B148" s="5" t="n">
        <v>115</v>
      </c>
      <c r="C148" s="5" t="n">
        <v>96650000</v>
      </c>
      <c r="D148" s="5" t="n">
        <v>14.1298</v>
      </c>
      <c r="E148" s="5" t="n">
        <v>96.65</v>
      </c>
    </row>
    <row r="149" customFormat="false" ht="12.75" hidden="false" customHeight="true" outlineLevel="0" collapsed="false">
      <c r="A149" s="5" t="n">
        <v>7</v>
      </c>
      <c r="B149" s="5" t="n">
        <v>120</v>
      </c>
      <c r="C149" s="5" t="n">
        <v>190710000</v>
      </c>
      <c r="D149" s="5" t="n">
        <v>23.4898</v>
      </c>
      <c r="E149" s="5" t="n">
        <v>190.71</v>
      </c>
    </row>
    <row r="150" customFormat="false" ht="12.75" hidden="false" customHeight="true" outlineLevel="0" collapsed="false">
      <c r="A150" s="5" t="n">
        <v>7</v>
      </c>
      <c r="B150" s="5" t="n">
        <v>124.5</v>
      </c>
      <c r="C150" s="5" t="n">
        <v>322200000</v>
      </c>
      <c r="D150" s="5" t="n">
        <v>33.7898</v>
      </c>
      <c r="E150" s="5" t="n">
        <v>322.2</v>
      </c>
    </row>
    <row r="151" customFormat="false" ht="12.75" hidden="false" customHeight="true" outlineLevel="0" collapsed="false">
      <c r="A151" s="5" t="n">
        <v>7</v>
      </c>
      <c r="B151" s="5" t="n">
        <v>125</v>
      </c>
      <c r="C151" s="5" t="n">
        <v>336810000</v>
      </c>
      <c r="D151" s="5" t="n">
        <v>34.9298</v>
      </c>
      <c r="E151" s="5" t="n">
        <v>336.81</v>
      </c>
    </row>
    <row r="152" customFormat="false" ht="12.75" hidden="false" customHeight="true" outlineLevel="0" collapsed="false">
      <c r="A152" s="5" t="n">
        <v>7</v>
      </c>
      <c r="B152" s="5" t="n">
        <v>130</v>
      </c>
      <c r="C152" s="5" t="n">
        <v>542620000</v>
      </c>
      <c r="D152" s="5" t="n">
        <v>47.3898</v>
      </c>
      <c r="E152" s="5" t="n">
        <v>542.62</v>
      </c>
    </row>
    <row r="153" customFormat="false" ht="12.75" hidden="false" customHeight="true" outlineLevel="0" collapsed="false">
      <c r="A153" s="5" t="n">
        <v>8</v>
      </c>
      <c r="B153" s="5" t="n">
        <v>393</v>
      </c>
      <c r="C153" s="5" t="n">
        <v>0</v>
      </c>
      <c r="D153" s="5" t="n">
        <v>0</v>
      </c>
      <c r="E153" s="5" t="n">
        <v>0</v>
      </c>
    </row>
    <row r="154" customFormat="false" ht="12.75" hidden="false" customHeight="true" outlineLevel="0" collapsed="false">
      <c r="A154" s="5" t="n">
        <v>8</v>
      </c>
      <c r="B154" s="5" t="n">
        <v>394</v>
      </c>
      <c r="C154" s="5" t="n">
        <v>340</v>
      </c>
      <c r="D154" s="5" t="n">
        <v>0.0008</v>
      </c>
      <c r="E154" s="5" t="n">
        <v>0.00034</v>
      </c>
    </row>
    <row r="155" customFormat="false" ht="12.75" hidden="false" customHeight="true" outlineLevel="0" collapsed="false">
      <c r="A155" s="5" t="n">
        <v>8</v>
      </c>
      <c r="B155" s="5" t="n">
        <v>395</v>
      </c>
      <c r="C155" s="5" t="n">
        <v>1750</v>
      </c>
      <c r="D155" s="5" t="n">
        <v>0.002</v>
      </c>
      <c r="E155" s="5" t="n">
        <v>0.00175</v>
      </c>
    </row>
    <row r="156" customFormat="false" ht="12.75" hidden="false" customHeight="true" outlineLevel="0" collapsed="false">
      <c r="A156" s="5" t="n">
        <v>8</v>
      </c>
      <c r="B156" s="5" t="n">
        <v>396</v>
      </c>
      <c r="C156" s="5" t="n">
        <v>2125</v>
      </c>
      <c r="D156" s="5" t="n">
        <v>0.0023</v>
      </c>
      <c r="E156" s="5" t="n">
        <v>0.002125</v>
      </c>
    </row>
    <row r="157" customFormat="false" ht="12.75" hidden="false" customHeight="true" outlineLevel="0" collapsed="false">
      <c r="A157" s="5" t="n">
        <v>8</v>
      </c>
      <c r="B157" s="5" t="n">
        <v>397</v>
      </c>
      <c r="C157" s="5" t="n">
        <v>4000</v>
      </c>
      <c r="D157" s="5" t="n">
        <v>0.0025</v>
      </c>
      <c r="E157" s="5" t="n">
        <v>0.004</v>
      </c>
    </row>
    <row r="158" customFormat="false" ht="12.75" hidden="false" customHeight="true" outlineLevel="0" collapsed="false">
      <c r="A158" s="5" t="n">
        <v>8</v>
      </c>
      <c r="B158" s="5" t="n">
        <v>398</v>
      </c>
      <c r="C158" s="5" t="n">
        <v>20000</v>
      </c>
      <c r="D158" s="5" t="n">
        <v>0.01</v>
      </c>
      <c r="E158" s="5" t="n">
        <v>0.02</v>
      </c>
    </row>
    <row r="159" customFormat="false" ht="12.75" hidden="false" customHeight="true" outlineLevel="0" collapsed="false">
      <c r="A159" s="5" t="n">
        <v>8</v>
      </c>
      <c r="B159" s="5" t="n">
        <v>399</v>
      </c>
      <c r="C159" s="5" t="n">
        <v>30000</v>
      </c>
      <c r="D159" s="5" t="n">
        <v>0.02</v>
      </c>
      <c r="E159" s="5" t="n">
        <v>0.03</v>
      </c>
    </row>
    <row r="160" customFormat="false" ht="12.75" hidden="false" customHeight="true" outlineLevel="0" collapsed="false">
      <c r="A160" s="5" t="n">
        <v>8</v>
      </c>
      <c r="B160" s="5" t="n">
        <v>400</v>
      </c>
      <c r="C160" s="5" t="n">
        <v>60000</v>
      </c>
      <c r="D160" s="5" t="n">
        <v>0.03</v>
      </c>
      <c r="E160" s="5" t="n">
        <v>0.06</v>
      </c>
    </row>
    <row r="161" customFormat="false" ht="12.75" hidden="false" customHeight="true" outlineLevel="0" collapsed="false">
      <c r="A161" s="5" t="n">
        <v>8</v>
      </c>
      <c r="B161" s="5" t="n">
        <v>401</v>
      </c>
      <c r="C161" s="5" t="n">
        <v>100000</v>
      </c>
      <c r="D161" s="5" t="n">
        <v>0.04</v>
      </c>
      <c r="E161" s="5" t="n">
        <v>0.1</v>
      </c>
    </row>
    <row r="162" customFormat="false" ht="12.75" hidden="false" customHeight="true" outlineLevel="0" collapsed="false">
      <c r="A162" s="5" t="n">
        <v>8</v>
      </c>
      <c r="B162" s="5" t="n">
        <v>402</v>
      </c>
      <c r="C162" s="5" t="n">
        <v>160000</v>
      </c>
      <c r="D162" s="5" t="n">
        <v>0.05</v>
      </c>
      <c r="E162" s="5" t="n">
        <v>0.16</v>
      </c>
    </row>
    <row r="163" customFormat="false" ht="12.75" hidden="false" customHeight="true" outlineLevel="0" collapsed="false">
      <c r="A163" s="5" t="n">
        <v>8</v>
      </c>
      <c r="B163" s="5" t="n">
        <v>403</v>
      </c>
      <c r="C163" s="5" t="n">
        <v>220000</v>
      </c>
      <c r="D163" s="5" t="n">
        <v>0.07</v>
      </c>
      <c r="E163" s="5" t="n">
        <v>0.22</v>
      </c>
    </row>
    <row r="164" customFormat="false" ht="12.75" hidden="false" customHeight="true" outlineLevel="0" collapsed="false">
      <c r="A164" s="5" t="n">
        <v>8</v>
      </c>
      <c r="B164" s="5" t="n">
        <v>404</v>
      </c>
      <c r="C164" s="5" t="n">
        <v>310000</v>
      </c>
      <c r="D164" s="5" t="n">
        <v>0.11</v>
      </c>
      <c r="E164" s="5" t="n">
        <v>0.31</v>
      </c>
    </row>
    <row r="165" customFormat="false" ht="12.75" hidden="false" customHeight="true" outlineLevel="0" collapsed="false">
      <c r="A165" s="5" t="n">
        <v>8</v>
      </c>
      <c r="B165" s="5" t="n">
        <v>405</v>
      </c>
      <c r="C165" s="5" t="n">
        <v>440000</v>
      </c>
      <c r="D165" s="5" t="n">
        <v>0.14</v>
      </c>
      <c r="E165" s="5" t="n">
        <v>0.44</v>
      </c>
    </row>
    <row r="166" customFormat="false" ht="12.75" hidden="false" customHeight="true" outlineLevel="0" collapsed="false">
      <c r="A166" s="5" t="n">
        <v>8</v>
      </c>
      <c r="B166" s="5" t="n">
        <v>406</v>
      </c>
      <c r="C166" s="5" t="n">
        <v>600000</v>
      </c>
      <c r="D166" s="5" t="n">
        <v>0.18</v>
      </c>
      <c r="E166" s="5" t="n">
        <v>0.6</v>
      </c>
    </row>
    <row r="167" customFormat="false" ht="12.75" hidden="false" customHeight="true" outlineLevel="0" collapsed="false">
      <c r="A167" s="5" t="n">
        <v>8</v>
      </c>
      <c r="B167" s="5" t="n">
        <v>407</v>
      </c>
      <c r="C167" s="5" t="n">
        <v>870000</v>
      </c>
      <c r="D167" s="5" t="n">
        <v>0.22</v>
      </c>
      <c r="E167" s="5" t="n">
        <v>0.87</v>
      </c>
    </row>
    <row r="168" customFormat="false" ht="12.75" hidden="false" customHeight="true" outlineLevel="0" collapsed="false">
      <c r="A168" s="5" t="n">
        <v>8</v>
      </c>
      <c r="B168" s="5" t="n">
        <v>408</v>
      </c>
      <c r="C168" s="5" t="n">
        <v>1070000</v>
      </c>
      <c r="D168" s="5" t="n">
        <v>0.29</v>
      </c>
      <c r="E168" s="5" t="n">
        <v>1.07</v>
      </c>
    </row>
    <row r="169" customFormat="false" ht="12.75" hidden="false" customHeight="true" outlineLevel="0" collapsed="false">
      <c r="A169" s="5" t="n">
        <v>8</v>
      </c>
      <c r="B169" s="5" t="n">
        <v>409</v>
      </c>
      <c r="C169" s="5" t="n">
        <v>1400000</v>
      </c>
      <c r="D169" s="5" t="n">
        <v>0.38</v>
      </c>
      <c r="E169" s="5" t="n">
        <v>1.4</v>
      </c>
    </row>
    <row r="170" customFormat="false" ht="12.75" hidden="false" customHeight="true" outlineLevel="0" collapsed="false">
      <c r="A170" s="5" t="n">
        <v>8</v>
      </c>
      <c r="B170" s="5" t="n">
        <v>410</v>
      </c>
      <c r="C170" s="5" t="n">
        <v>1840000</v>
      </c>
      <c r="D170" s="5" t="n">
        <v>0.49</v>
      </c>
      <c r="E170" s="5" t="n">
        <v>1.84</v>
      </c>
    </row>
    <row r="171" customFormat="false" ht="12.75" hidden="false" customHeight="true" outlineLevel="0" collapsed="false">
      <c r="A171" s="5" t="n">
        <v>8</v>
      </c>
      <c r="B171" s="5" t="n">
        <v>411</v>
      </c>
      <c r="C171" s="5" t="n">
        <v>2370000</v>
      </c>
      <c r="D171" s="5" t="n">
        <v>0.57</v>
      </c>
      <c r="E171" s="5" t="n">
        <v>2.37</v>
      </c>
    </row>
    <row r="172" customFormat="false" ht="12.75" hidden="false" customHeight="true" outlineLevel="0" collapsed="false">
      <c r="A172" s="5" t="n">
        <v>8</v>
      </c>
      <c r="B172" s="5" t="n">
        <v>412</v>
      </c>
      <c r="C172" s="5" t="n">
        <v>2990000</v>
      </c>
      <c r="D172" s="5" t="n">
        <v>0.65</v>
      </c>
      <c r="E172" s="5" t="n">
        <v>2.99</v>
      </c>
    </row>
    <row r="173" customFormat="false" ht="12.75" hidden="false" customHeight="true" outlineLevel="0" collapsed="false">
      <c r="A173" s="5" t="n">
        <v>8</v>
      </c>
      <c r="B173" s="5" t="n">
        <v>413</v>
      </c>
      <c r="C173" s="5" t="n">
        <v>3750000</v>
      </c>
      <c r="D173" s="5" t="n">
        <v>0.84</v>
      </c>
      <c r="E173" s="5" t="n">
        <v>3.75</v>
      </c>
    </row>
    <row r="174" customFormat="false" ht="12.75" hidden="false" customHeight="true" outlineLevel="0" collapsed="false">
      <c r="A174" s="5" t="n">
        <v>8</v>
      </c>
      <c r="B174" s="5" t="n">
        <v>414</v>
      </c>
      <c r="C174" s="5" t="n">
        <v>4680000</v>
      </c>
      <c r="D174" s="5" t="n">
        <v>1.02</v>
      </c>
      <c r="E174" s="5" t="n">
        <v>4.68</v>
      </c>
    </row>
    <row r="175" customFormat="false" ht="12.75" hidden="false" customHeight="true" outlineLevel="0" collapsed="false">
      <c r="A175" s="5" t="n">
        <v>8</v>
      </c>
      <c r="B175" s="5" t="n">
        <v>415</v>
      </c>
      <c r="C175" s="5" t="n">
        <v>5790000</v>
      </c>
      <c r="D175" s="5" t="n">
        <v>1.2</v>
      </c>
      <c r="E175" s="5" t="n">
        <v>5.79</v>
      </c>
    </row>
    <row r="176" customFormat="false" ht="12.75" hidden="false" customHeight="true" outlineLevel="0" collapsed="false">
      <c r="A176" s="5" t="n">
        <v>8</v>
      </c>
      <c r="B176" s="5" t="n">
        <v>416</v>
      </c>
      <c r="C176" s="5" t="n">
        <v>7080000</v>
      </c>
      <c r="D176" s="5" t="n">
        <v>1.37</v>
      </c>
      <c r="E176" s="5" t="n">
        <v>7.08</v>
      </c>
    </row>
    <row r="177" customFormat="false" ht="12.75" hidden="false" customHeight="true" outlineLevel="0" collapsed="false">
      <c r="A177" s="5" t="n">
        <v>8</v>
      </c>
      <c r="B177" s="5" t="n">
        <v>417</v>
      </c>
      <c r="C177" s="5" t="n">
        <v>8540000</v>
      </c>
      <c r="D177" s="5" t="n">
        <v>1.54</v>
      </c>
      <c r="E177" s="5" t="n">
        <v>8.54</v>
      </c>
    </row>
    <row r="178" customFormat="false" ht="12.75" hidden="false" customHeight="true" outlineLevel="0" collapsed="false">
      <c r="A178" s="5" t="n">
        <v>8</v>
      </c>
      <c r="B178" s="5" t="n">
        <v>418</v>
      </c>
      <c r="C178" s="5" t="n">
        <v>10230000</v>
      </c>
      <c r="D178" s="5" t="n">
        <v>1.82</v>
      </c>
      <c r="E178" s="5" t="n">
        <v>10.23</v>
      </c>
    </row>
    <row r="179" customFormat="false" ht="12.75" hidden="false" customHeight="true" outlineLevel="0" collapsed="false">
      <c r="A179" s="5" t="n">
        <v>8</v>
      </c>
      <c r="B179" s="5" t="n">
        <v>419</v>
      </c>
      <c r="C179" s="5" t="n">
        <v>12190000</v>
      </c>
      <c r="D179" s="5" t="n">
        <v>2.1</v>
      </c>
      <c r="E179" s="5" t="n">
        <v>12.19</v>
      </c>
    </row>
    <row r="180" customFormat="false" ht="12.75" hidden="false" customHeight="true" outlineLevel="0" collapsed="false">
      <c r="A180" s="5" t="n">
        <v>8</v>
      </c>
      <c r="B180" s="5" t="n">
        <v>420</v>
      </c>
      <c r="C180" s="5" t="n">
        <v>14430000</v>
      </c>
      <c r="D180" s="5" t="n">
        <v>2.37</v>
      </c>
      <c r="E180" s="5" t="n">
        <v>14.43</v>
      </c>
    </row>
    <row r="181" customFormat="false" ht="12.75" hidden="false" customHeight="true" outlineLevel="0" collapsed="false">
      <c r="A181" s="5" t="n">
        <v>8</v>
      </c>
      <c r="B181" s="5" t="n">
        <v>421</v>
      </c>
      <c r="C181" s="5" t="n">
        <v>16930000</v>
      </c>
      <c r="D181" s="5" t="n">
        <v>2.58</v>
      </c>
      <c r="E181" s="5" t="n">
        <v>16.93</v>
      </c>
    </row>
    <row r="182" customFormat="false" ht="12.75" hidden="false" customHeight="true" outlineLevel="0" collapsed="false">
      <c r="A182" s="5" t="n">
        <v>8</v>
      </c>
      <c r="B182" s="5" t="n">
        <v>422</v>
      </c>
      <c r="C182" s="5" t="n">
        <v>19660000</v>
      </c>
      <c r="D182" s="5" t="n">
        <v>2.88</v>
      </c>
      <c r="E182" s="5" t="n">
        <v>19.66</v>
      </c>
    </row>
    <row r="183" customFormat="false" ht="12.75" hidden="false" customHeight="true" outlineLevel="0" collapsed="false">
      <c r="A183" s="5" t="n">
        <v>8</v>
      </c>
      <c r="B183" s="5" t="n">
        <v>423</v>
      </c>
      <c r="C183" s="5" t="n">
        <v>22660000</v>
      </c>
      <c r="D183" s="5" t="n">
        <v>3.11</v>
      </c>
      <c r="E183" s="5" t="n">
        <v>22.66</v>
      </c>
    </row>
    <row r="184" customFormat="false" ht="12.75" hidden="false" customHeight="true" outlineLevel="0" collapsed="false">
      <c r="A184" s="5" t="n">
        <v>8</v>
      </c>
      <c r="B184" s="5" t="n">
        <v>424</v>
      </c>
      <c r="C184" s="5" t="n">
        <v>25910000</v>
      </c>
      <c r="D184" s="5" t="n">
        <v>3.37</v>
      </c>
      <c r="E184" s="5" t="n">
        <v>25.91</v>
      </c>
    </row>
    <row r="185" customFormat="false" ht="12.75" hidden="false" customHeight="true" outlineLevel="0" collapsed="false">
      <c r="A185" s="5" t="n">
        <v>8</v>
      </c>
      <c r="B185" s="5" t="n">
        <v>425</v>
      </c>
      <c r="C185" s="5" t="n">
        <v>29420000</v>
      </c>
      <c r="D185" s="5" t="n">
        <v>3.64</v>
      </c>
      <c r="E185" s="5" t="n">
        <v>29.42</v>
      </c>
    </row>
    <row r="186" customFormat="false" ht="12.75" hidden="false" customHeight="true" outlineLevel="0" collapsed="false">
      <c r="A186" s="5" t="n">
        <v>8</v>
      </c>
      <c r="B186" s="5" t="n">
        <v>426</v>
      </c>
      <c r="C186" s="5" t="n">
        <v>33190000</v>
      </c>
      <c r="D186" s="5" t="n">
        <v>3.91</v>
      </c>
      <c r="E186" s="5" t="n">
        <v>33.19</v>
      </c>
    </row>
    <row r="187" customFormat="false" ht="12.75" hidden="false" customHeight="true" outlineLevel="0" collapsed="false">
      <c r="A187" s="5" t="n">
        <v>8</v>
      </c>
      <c r="B187" s="5" t="n">
        <v>427</v>
      </c>
      <c r="C187" s="5" t="n">
        <v>37180000</v>
      </c>
      <c r="D187" s="5" t="n">
        <v>4.05</v>
      </c>
      <c r="E187" s="5" t="n">
        <v>37.18</v>
      </c>
    </row>
    <row r="188" customFormat="false" ht="12.75" hidden="false" customHeight="true" outlineLevel="0" collapsed="false">
      <c r="A188" s="5" t="n">
        <v>8</v>
      </c>
      <c r="B188" s="5" t="n">
        <v>428</v>
      </c>
      <c r="C188" s="5" t="n">
        <v>42450000</v>
      </c>
      <c r="D188" s="5" t="n">
        <v>4.52</v>
      </c>
      <c r="E188" s="5" t="n">
        <v>42.45</v>
      </c>
    </row>
    <row r="189" customFormat="false" ht="12.75" hidden="false" customHeight="true" outlineLevel="0" collapsed="false">
      <c r="A189" s="5" t="n">
        <v>8</v>
      </c>
      <c r="B189" s="5" t="n">
        <v>429</v>
      </c>
      <c r="C189" s="5" t="n">
        <v>46040000</v>
      </c>
      <c r="D189" s="5" t="n">
        <v>4.7</v>
      </c>
      <c r="E189" s="5" t="n">
        <v>46.04</v>
      </c>
    </row>
    <row r="190" customFormat="false" ht="12.75" hidden="false" customHeight="true" outlineLevel="0" collapsed="false">
      <c r="A190" s="5" t="n">
        <v>8</v>
      </c>
      <c r="B190" s="5" t="n">
        <v>430</v>
      </c>
      <c r="C190" s="5" t="n">
        <v>50940000</v>
      </c>
      <c r="D190" s="5" t="n">
        <v>5.09</v>
      </c>
      <c r="E190" s="5" t="n">
        <v>50.94</v>
      </c>
    </row>
    <row r="191" customFormat="false" ht="12.75" hidden="false" customHeight="true" outlineLevel="0" collapsed="false">
      <c r="A191" s="5" t="n">
        <v>9</v>
      </c>
      <c r="B191" s="5" t="n">
        <v>162.06</v>
      </c>
      <c r="C191" s="5" t="n">
        <v>0</v>
      </c>
      <c r="D191" s="5" t="n">
        <v>0</v>
      </c>
      <c r="E191" s="5" t="n">
        <v>0</v>
      </c>
    </row>
    <row r="192" customFormat="false" ht="12.75" hidden="false" customHeight="true" outlineLevel="0" collapsed="false">
      <c r="A192" s="5" t="n">
        <v>9</v>
      </c>
      <c r="B192" s="5" t="n">
        <v>163</v>
      </c>
      <c r="C192" s="5" t="n">
        <v>312</v>
      </c>
      <c r="D192" s="5" t="n">
        <v>0.0013</v>
      </c>
      <c r="E192" s="5" t="n">
        <v>0.000312</v>
      </c>
    </row>
    <row r="193" customFormat="false" ht="12.75" hidden="false" customHeight="true" outlineLevel="0" collapsed="false">
      <c r="A193" s="5" t="n">
        <v>9</v>
      </c>
      <c r="B193" s="5" t="n">
        <v>164</v>
      </c>
      <c r="C193" s="5" t="n">
        <v>10295</v>
      </c>
      <c r="D193" s="5" t="n">
        <v>0.0244</v>
      </c>
      <c r="E193" s="5" t="n">
        <v>0.010295</v>
      </c>
    </row>
    <row r="194" customFormat="false" ht="12.75" hidden="false" customHeight="true" outlineLevel="0" collapsed="false">
      <c r="A194" s="5" t="n">
        <v>9</v>
      </c>
      <c r="B194" s="5" t="n">
        <v>165</v>
      </c>
      <c r="C194" s="5" t="n">
        <v>86389</v>
      </c>
      <c r="D194" s="5" t="n">
        <v>0.1635</v>
      </c>
      <c r="E194" s="5" t="n">
        <v>0.086389</v>
      </c>
    </row>
    <row r="195" customFormat="false" ht="12.75" hidden="false" customHeight="true" outlineLevel="0" collapsed="false">
      <c r="A195" s="5" t="n">
        <v>9</v>
      </c>
      <c r="B195" s="5" t="n">
        <v>166</v>
      </c>
      <c r="C195" s="5" t="n">
        <v>399502</v>
      </c>
      <c r="D195" s="5" t="n">
        <v>0.4833</v>
      </c>
      <c r="E195" s="5" t="n">
        <v>0.399502</v>
      </c>
    </row>
    <row r="196" customFormat="false" ht="12.75" hidden="false" customHeight="true" outlineLevel="0" collapsed="false">
      <c r="A196" s="5" t="n">
        <v>9</v>
      </c>
      <c r="B196" s="5" t="n">
        <v>167</v>
      </c>
      <c r="C196" s="5" t="n">
        <v>1104680</v>
      </c>
      <c r="D196" s="5" t="n">
        <v>0.9454</v>
      </c>
      <c r="E196" s="5" t="n">
        <v>1.10468</v>
      </c>
    </row>
    <row r="197" customFormat="false" ht="12.75" hidden="false" customHeight="true" outlineLevel="0" collapsed="false">
      <c r="A197" s="5" t="n">
        <v>9</v>
      </c>
      <c r="B197" s="5" t="n">
        <v>168</v>
      </c>
      <c r="C197" s="5" t="n">
        <v>2329714</v>
      </c>
      <c r="D197" s="5" t="n">
        <v>1.5176</v>
      </c>
      <c r="E197" s="5" t="n">
        <v>2.329714</v>
      </c>
    </row>
    <row r="198" customFormat="false" ht="12.75" hidden="false" customHeight="true" outlineLevel="0" collapsed="false">
      <c r="A198" s="5" t="n">
        <v>9</v>
      </c>
      <c r="B198" s="5" t="n">
        <v>169</v>
      </c>
      <c r="C198" s="5" t="n">
        <v>4180362</v>
      </c>
      <c r="D198" s="5" t="n">
        <v>2.217</v>
      </c>
      <c r="E198" s="5" t="n">
        <v>4.180362</v>
      </c>
    </row>
    <row r="199" customFormat="false" ht="12.75" hidden="false" customHeight="true" outlineLevel="0" collapsed="false">
      <c r="A199" s="5" t="n">
        <v>9</v>
      </c>
      <c r="B199" s="5" t="n">
        <v>170</v>
      </c>
      <c r="C199" s="5" t="n">
        <v>6859733</v>
      </c>
      <c r="D199" s="5" t="n">
        <v>3.1791</v>
      </c>
      <c r="E199" s="5" t="n">
        <v>6.859733</v>
      </c>
    </row>
    <row r="200" customFormat="false" ht="12.75" hidden="false" customHeight="true" outlineLevel="0" collapsed="false">
      <c r="A200" s="5" t="n">
        <v>9</v>
      </c>
      <c r="B200" s="5" t="n">
        <v>171</v>
      </c>
      <c r="C200" s="5" t="n">
        <v>10576209</v>
      </c>
      <c r="D200" s="5" t="n">
        <v>4.2719</v>
      </c>
      <c r="E200" s="5" t="n">
        <v>10.576209</v>
      </c>
    </row>
    <row r="201" customFormat="false" ht="12.75" hidden="false" customHeight="true" outlineLevel="0" collapsed="false">
      <c r="A201" s="5" t="n">
        <v>9</v>
      </c>
      <c r="B201" s="5" t="n">
        <v>172</v>
      </c>
      <c r="C201" s="5" t="n">
        <v>15463424</v>
      </c>
      <c r="D201" s="5" t="n">
        <v>5.5234</v>
      </c>
      <c r="E201" s="5" t="n">
        <v>15.463424</v>
      </c>
    </row>
    <row r="202" customFormat="false" ht="12.75" hidden="false" customHeight="true" outlineLevel="0" collapsed="false">
      <c r="A202" s="5" t="n">
        <v>9</v>
      </c>
      <c r="B202" s="5" t="n">
        <v>173</v>
      </c>
      <c r="C202" s="5" t="n">
        <v>21676346</v>
      </c>
      <c r="D202" s="5" t="n">
        <v>6.9308</v>
      </c>
      <c r="E202" s="5" t="n">
        <v>21.676346</v>
      </c>
    </row>
    <row r="203" customFormat="false" ht="12.75" hidden="false" customHeight="true" outlineLevel="0" collapsed="false">
      <c r="A203" s="5" t="n">
        <v>9</v>
      </c>
      <c r="B203" s="5" t="n">
        <v>174</v>
      </c>
      <c r="C203" s="5" t="n">
        <v>29346753</v>
      </c>
      <c r="D203" s="5" t="n">
        <v>8.3981</v>
      </c>
      <c r="E203" s="5" t="n">
        <v>29.346753</v>
      </c>
    </row>
    <row r="204" customFormat="false" ht="12.75" hidden="false" customHeight="true" outlineLevel="0" collapsed="false">
      <c r="A204" s="5" t="n">
        <v>9</v>
      </c>
      <c r="B204" s="5" t="n">
        <v>175</v>
      </c>
      <c r="C204" s="5" t="n">
        <v>38514593</v>
      </c>
      <c r="D204" s="5" t="n">
        <v>9.9713</v>
      </c>
      <c r="E204" s="5" t="n">
        <v>38.514593</v>
      </c>
    </row>
    <row r="205" customFormat="false" ht="12.75" hidden="false" customHeight="true" outlineLevel="0" collapsed="false">
      <c r="A205" s="5" t="n">
        <v>9</v>
      </c>
      <c r="B205" s="5" t="n">
        <v>176</v>
      </c>
      <c r="C205" s="5" t="n">
        <v>49363929</v>
      </c>
      <c r="D205" s="5" t="n">
        <v>11.7114</v>
      </c>
      <c r="E205" s="5" t="n">
        <v>49.363929</v>
      </c>
    </row>
    <row r="206" customFormat="false" ht="12.75" hidden="false" customHeight="true" outlineLevel="0" collapsed="false">
      <c r="A206" s="5" t="n">
        <v>9</v>
      </c>
      <c r="B206" s="5" t="n">
        <v>177</v>
      </c>
      <c r="C206" s="5" t="n">
        <v>61998012</v>
      </c>
      <c r="D206" s="5" t="n">
        <v>13.5779</v>
      </c>
      <c r="E206" s="5" t="n">
        <v>61.998012</v>
      </c>
    </row>
    <row r="207" customFormat="false" ht="12.75" hidden="false" customHeight="true" outlineLevel="0" collapsed="false">
      <c r="A207" s="5" t="n">
        <v>9</v>
      </c>
      <c r="B207" s="5" t="n">
        <v>178</v>
      </c>
      <c r="C207" s="5" t="n">
        <v>76606266</v>
      </c>
      <c r="D207" s="5" t="n">
        <v>15.6041</v>
      </c>
      <c r="E207" s="5" t="n">
        <v>76.606266</v>
      </c>
    </row>
    <row r="208" customFormat="false" ht="12.75" hidden="false" customHeight="true" outlineLevel="0" collapsed="false">
      <c r="A208" s="5" t="n">
        <v>9</v>
      </c>
      <c r="B208" s="5" t="n">
        <v>179</v>
      </c>
      <c r="C208" s="5" t="n">
        <v>93215375</v>
      </c>
      <c r="D208" s="5" t="n">
        <v>17.6046</v>
      </c>
      <c r="E208" s="5" t="n">
        <v>93.215375</v>
      </c>
    </row>
    <row r="209" customFormat="false" ht="12.75" hidden="false" customHeight="true" outlineLevel="0" collapsed="false">
      <c r="A209" s="5" t="n">
        <v>9</v>
      </c>
      <c r="B209" s="5" t="n">
        <v>180</v>
      </c>
      <c r="C209" s="5" t="n">
        <v>111843885</v>
      </c>
      <c r="D209" s="5" t="n">
        <v>19.6343</v>
      </c>
      <c r="E209" s="5" t="n">
        <v>111.843885</v>
      </c>
    </row>
    <row r="210" customFormat="false" ht="12.75" hidden="false" customHeight="true" outlineLevel="0" collapsed="false">
      <c r="A210" s="5" t="n">
        <v>9</v>
      </c>
      <c r="B210" s="5" t="n">
        <v>181</v>
      </c>
      <c r="C210" s="5" t="n">
        <v>132551016</v>
      </c>
      <c r="D210" s="5" t="n">
        <v>21.8282</v>
      </c>
      <c r="E210" s="5" t="n">
        <v>132.551016</v>
      </c>
    </row>
    <row r="211" customFormat="false" ht="12.75" hidden="false" customHeight="true" outlineLevel="0" collapsed="false">
      <c r="A211" s="5" t="n">
        <v>9</v>
      </c>
      <c r="B211" s="5" t="n">
        <v>182</v>
      </c>
      <c r="C211" s="5" t="n">
        <v>155588504</v>
      </c>
      <c r="D211" s="5" t="n">
        <v>24.2414</v>
      </c>
      <c r="E211" s="5" t="n">
        <v>155.588504</v>
      </c>
    </row>
    <row r="212" customFormat="false" ht="12.75" hidden="false" customHeight="true" outlineLevel="0" collapsed="false">
      <c r="A212" s="5" t="n">
        <v>9</v>
      </c>
      <c r="B212" s="5" t="n">
        <v>183</v>
      </c>
      <c r="C212" s="5" t="n">
        <v>181179242</v>
      </c>
      <c r="D212" s="5" t="n">
        <v>27.0294</v>
      </c>
      <c r="E212" s="5" t="n">
        <v>181.179242</v>
      </c>
    </row>
    <row r="213" customFormat="false" ht="12.75" hidden="false" customHeight="true" outlineLevel="0" collapsed="false">
      <c r="A213" s="5" t="n">
        <v>9</v>
      </c>
      <c r="B213" s="5" t="n">
        <v>184</v>
      </c>
      <c r="C213" s="5" t="n">
        <v>209908797</v>
      </c>
      <c r="D213" s="5" t="n">
        <v>30.4755</v>
      </c>
      <c r="E213" s="5" t="n">
        <v>209.908797</v>
      </c>
    </row>
    <row r="214" customFormat="false" ht="12.75" hidden="false" customHeight="true" outlineLevel="0" collapsed="false">
      <c r="A214" s="5" t="n">
        <v>9</v>
      </c>
      <c r="B214" s="5" t="n">
        <v>185</v>
      </c>
      <c r="C214" s="5" t="n">
        <v>242276221</v>
      </c>
      <c r="D214" s="5" t="n">
        <v>34.3463</v>
      </c>
      <c r="E214" s="5" t="n">
        <v>242.276221</v>
      </c>
    </row>
    <row r="215" customFormat="false" ht="12.75" hidden="false" customHeight="true" outlineLevel="0" collapsed="false">
      <c r="A215" s="5" t="n">
        <v>9</v>
      </c>
      <c r="B215" s="5" t="n">
        <v>186</v>
      </c>
      <c r="C215" s="5" t="n">
        <v>278792034</v>
      </c>
      <c r="D215" s="5" t="n">
        <v>38.7347</v>
      </c>
      <c r="E215" s="5" t="n">
        <v>278.792034</v>
      </c>
    </row>
    <row r="216" customFormat="false" ht="12.75" hidden="false" customHeight="true" outlineLevel="0" collapsed="false">
      <c r="A216" s="5" t="n">
        <v>9</v>
      </c>
      <c r="B216" s="5" t="n">
        <v>187</v>
      </c>
      <c r="C216" s="5" t="n">
        <v>320101478</v>
      </c>
      <c r="D216" s="5" t="n">
        <v>43.9868</v>
      </c>
      <c r="E216" s="5" t="n">
        <v>320.101478</v>
      </c>
    </row>
    <row r="217" customFormat="false" ht="12.75" hidden="false" customHeight="true" outlineLevel="0" collapsed="false">
      <c r="A217" s="5" t="n">
        <v>9</v>
      </c>
      <c r="B217" s="5" t="n">
        <v>188</v>
      </c>
      <c r="C217" s="5" t="n">
        <v>366968604</v>
      </c>
      <c r="D217" s="5" t="n">
        <v>49.8709</v>
      </c>
      <c r="E217" s="5" t="n">
        <v>366.968604</v>
      </c>
    </row>
    <row r="218" customFormat="false" ht="12.75" hidden="false" customHeight="true" outlineLevel="0" collapsed="false">
      <c r="A218" s="5" t="n">
        <v>9</v>
      </c>
      <c r="B218" s="5" t="n">
        <v>189</v>
      </c>
      <c r="C218" s="5" t="n">
        <v>420390599</v>
      </c>
      <c r="D218" s="5" t="n">
        <v>57.1229</v>
      </c>
      <c r="E218" s="5" t="n">
        <v>420.390599</v>
      </c>
    </row>
    <row r="219" customFormat="false" ht="12.75" hidden="false" customHeight="true" outlineLevel="0" collapsed="false">
      <c r="A219" s="5" t="n">
        <v>9</v>
      </c>
      <c r="B219" s="5" t="n">
        <v>190</v>
      </c>
      <c r="C219" s="5" t="n">
        <v>481277527</v>
      </c>
      <c r="D219" s="5" t="n">
        <v>64.153</v>
      </c>
      <c r="E219" s="5" t="n">
        <v>481.277527</v>
      </c>
    </row>
    <row r="220" customFormat="false" ht="12.75" hidden="false" customHeight="true" outlineLevel="0" collapsed="false">
      <c r="A220" s="5" t="n">
        <v>9</v>
      </c>
      <c r="B220" s="5" t="n">
        <v>191</v>
      </c>
      <c r="C220" s="5" t="n">
        <v>547814719</v>
      </c>
      <c r="D220" s="5" t="n">
        <v>68.684</v>
      </c>
      <c r="E220" s="5" t="n">
        <v>547.814719</v>
      </c>
    </row>
    <row r="221" customFormat="false" ht="12.75" hidden="false" customHeight="true" outlineLevel="0" collapsed="false">
      <c r="A221" s="5" t="n">
        <v>9</v>
      </c>
      <c r="B221" s="5" t="n">
        <v>191.59</v>
      </c>
      <c r="C221" s="5" t="n">
        <v>589070570</v>
      </c>
      <c r="D221" s="5" t="n">
        <v>71.9958</v>
      </c>
      <c r="E221" s="5" t="n">
        <v>589.07057</v>
      </c>
    </row>
    <row r="222" customFormat="false" ht="12.75" hidden="false" customHeight="true" outlineLevel="0" collapsed="false">
      <c r="A222" s="5" t="n">
        <v>9</v>
      </c>
      <c r="B222" s="5" t="n">
        <v>192</v>
      </c>
      <c r="C222" s="5" t="n">
        <v>627410042</v>
      </c>
      <c r="D222" s="5" t="n">
        <v>75.8949</v>
      </c>
      <c r="E222" s="5" t="n">
        <v>627.410042</v>
      </c>
    </row>
    <row r="223" customFormat="false" ht="12.75" hidden="false" customHeight="true" outlineLevel="0" collapsed="false">
      <c r="A223" s="5" t="n">
        <v>9</v>
      </c>
      <c r="B223" s="5" t="n">
        <v>193</v>
      </c>
      <c r="C223" s="5" t="n">
        <v>731050042</v>
      </c>
      <c r="D223" s="5" t="n">
        <v>86.2249</v>
      </c>
      <c r="E223" s="5" t="n">
        <v>731.050042</v>
      </c>
    </row>
    <row r="224" customFormat="false" ht="12.75" hidden="false" customHeight="true" outlineLevel="0" collapsed="false">
      <c r="A224" s="5" t="n">
        <v>9</v>
      </c>
      <c r="B224" s="5" t="n">
        <v>194</v>
      </c>
      <c r="C224" s="5" t="n">
        <v>845800042</v>
      </c>
      <c r="D224" s="5" t="n">
        <v>97.4649</v>
      </c>
      <c r="E224" s="5" t="n">
        <v>845.800042</v>
      </c>
    </row>
    <row r="225" customFormat="false" ht="12.75" hidden="false" customHeight="true" outlineLevel="0" collapsed="false">
      <c r="A225" s="5" t="n">
        <v>9</v>
      </c>
      <c r="B225" s="5" t="n">
        <v>195</v>
      </c>
      <c r="C225" s="5" t="n">
        <v>972700042</v>
      </c>
      <c r="D225" s="5" t="n">
        <v>109.7549</v>
      </c>
      <c r="E225" s="5" t="n">
        <v>972.700042</v>
      </c>
    </row>
    <row r="226" customFormat="false" ht="12.75" hidden="false" customHeight="true" outlineLevel="0" collapsed="false">
      <c r="A226" s="5" t="n">
        <v>9</v>
      </c>
      <c r="B226" s="5" t="n">
        <v>196</v>
      </c>
      <c r="C226" s="5" t="n">
        <v>1112850042</v>
      </c>
      <c r="D226" s="5" t="n">
        <v>123.2249</v>
      </c>
      <c r="E226" s="5" t="n">
        <v>1112.850042</v>
      </c>
    </row>
    <row r="227" customFormat="false" ht="12.75" hidden="false" customHeight="true" outlineLevel="0" collapsed="false">
      <c r="A227" s="5" t="n">
        <v>9</v>
      </c>
      <c r="B227" s="5" t="n">
        <v>197</v>
      </c>
      <c r="C227" s="5" t="n">
        <v>1267380042</v>
      </c>
      <c r="D227" s="5" t="n">
        <v>138.0049</v>
      </c>
      <c r="E227" s="5" t="n">
        <v>1267.380042</v>
      </c>
    </row>
    <row r="228" customFormat="false" ht="12.75" hidden="false" customHeight="true" outlineLevel="0" collapsed="false">
      <c r="A228" s="5" t="n">
        <v>9</v>
      </c>
      <c r="B228" s="5" t="n">
        <v>198</v>
      </c>
      <c r="C228" s="5" t="n">
        <v>1437430042</v>
      </c>
      <c r="D228" s="5" t="n">
        <v>154.1849</v>
      </c>
      <c r="E228" s="5" t="n">
        <v>1437.430042</v>
      </c>
    </row>
    <row r="229" customFormat="false" ht="12.75" hidden="false" customHeight="true" outlineLevel="0" collapsed="false">
      <c r="A229" s="5" t="n">
        <v>9</v>
      </c>
      <c r="B229" s="5" t="n">
        <v>199</v>
      </c>
      <c r="C229" s="5" t="n">
        <v>1624060042</v>
      </c>
      <c r="D229" s="5" t="n">
        <v>171.7649</v>
      </c>
      <c r="E229" s="5" t="n">
        <v>1624.060042</v>
      </c>
    </row>
    <row r="230" customFormat="false" ht="12.75" hidden="false" customHeight="true" outlineLevel="0" collapsed="false">
      <c r="A230" s="5" t="n">
        <v>9</v>
      </c>
      <c r="B230" s="5" t="n">
        <v>199.48</v>
      </c>
      <c r="C230" s="5" t="n">
        <v>1725223978</v>
      </c>
      <c r="D230" s="5" t="n">
        <v>180.8176</v>
      </c>
      <c r="E230" s="5" t="n">
        <v>1725.223978</v>
      </c>
    </row>
    <row r="231" customFormat="false" ht="12.75" hidden="false" customHeight="true" outlineLevel="0" collapsed="false">
      <c r="A231" s="5" t="n">
        <v>9</v>
      </c>
      <c r="B231" s="5" t="n">
        <v>199.5</v>
      </c>
      <c r="C231" s="5" t="n">
        <v>1940000000</v>
      </c>
      <c r="D231" s="5" t="n">
        <v>182.11</v>
      </c>
      <c r="E231" s="5" t="n">
        <v>1940</v>
      </c>
    </row>
    <row r="232" customFormat="false" ht="12.75" hidden="false" customHeight="true" outlineLevel="0" collapsed="false">
      <c r="A232" s="5" t="n">
        <v>9</v>
      </c>
      <c r="B232" s="5" t="n">
        <v>200</v>
      </c>
      <c r="C232" s="5" t="n">
        <v>2828250042</v>
      </c>
      <c r="D232" s="5" t="n">
        <v>190.6249</v>
      </c>
      <c r="E232" s="5" t="n">
        <v>2828.250042</v>
      </c>
    </row>
    <row r="233" customFormat="false" ht="12.75" hidden="false" customHeight="true" outlineLevel="0" collapsed="false">
      <c r="A233" s="5" t="n">
        <v>9</v>
      </c>
      <c r="B233" s="5" t="n">
        <v>205</v>
      </c>
      <c r="C233" s="5" t="n">
        <v>3132240042</v>
      </c>
      <c r="D233" s="5" t="n">
        <v>289.1249</v>
      </c>
      <c r="E233" s="5" t="n">
        <v>3132.240042</v>
      </c>
    </row>
    <row r="234" customFormat="false" ht="12.75" hidden="false" customHeight="true" outlineLevel="0" collapsed="false">
      <c r="A234" s="5" t="n">
        <v>9</v>
      </c>
      <c r="B234" s="5" t="n">
        <v>206</v>
      </c>
      <c r="C234" s="5" t="n">
        <v>3789440042</v>
      </c>
      <c r="D234" s="5" t="n">
        <v>309.0849</v>
      </c>
      <c r="E234" s="5" t="n">
        <v>3789.440042</v>
      </c>
    </row>
    <row r="235" customFormat="false" ht="12.75" hidden="false" customHeight="true" outlineLevel="0" collapsed="false">
      <c r="A235" s="5" t="n">
        <v>10</v>
      </c>
      <c r="B235" s="5" t="n">
        <v>101.6</v>
      </c>
      <c r="C235" s="5" t="n">
        <v>0</v>
      </c>
      <c r="D235" s="5" t="n">
        <v>0</v>
      </c>
      <c r="E235" s="5" t="n">
        <v>0</v>
      </c>
    </row>
    <row r="236" customFormat="false" ht="12.75" hidden="false" customHeight="true" outlineLevel="0" collapsed="false">
      <c r="A236" s="5" t="n">
        <v>10</v>
      </c>
      <c r="B236" s="5" t="n">
        <v>102</v>
      </c>
      <c r="C236" s="5" t="n">
        <v>7</v>
      </c>
      <c r="D236" s="5" t="n">
        <v>0.0001</v>
      </c>
      <c r="E236" s="5" t="n">
        <v>7E-006</v>
      </c>
    </row>
    <row r="237" customFormat="false" ht="12.75" hidden="false" customHeight="true" outlineLevel="0" collapsed="false">
      <c r="A237" s="5" t="n">
        <v>10</v>
      </c>
      <c r="B237" s="5" t="n">
        <v>103</v>
      </c>
      <c r="C237" s="5" t="n">
        <v>767</v>
      </c>
      <c r="D237" s="5" t="n">
        <v>0.0022</v>
      </c>
      <c r="E237" s="5" t="n">
        <v>0.000767</v>
      </c>
    </row>
    <row r="238" customFormat="false" ht="12.75" hidden="false" customHeight="true" outlineLevel="0" collapsed="false">
      <c r="A238" s="5" t="n">
        <v>10</v>
      </c>
      <c r="B238" s="5" t="n">
        <v>104</v>
      </c>
      <c r="C238" s="5" t="n">
        <v>5936</v>
      </c>
      <c r="D238" s="5" t="n">
        <v>0.0096</v>
      </c>
      <c r="E238" s="5" t="n">
        <v>0.005936</v>
      </c>
    </row>
    <row r="239" customFormat="false" ht="12.75" hidden="false" customHeight="true" outlineLevel="0" collapsed="false">
      <c r="A239" s="5" t="n">
        <v>10</v>
      </c>
      <c r="B239" s="5" t="n">
        <v>105</v>
      </c>
      <c r="C239" s="5" t="n">
        <v>22543</v>
      </c>
      <c r="D239" s="5" t="n">
        <v>0.0253</v>
      </c>
      <c r="E239" s="5" t="n">
        <v>0.022543</v>
      </c>
    </row>
    <row r="240" customFormat="false" ht="12.75" hidden="false" customHeight="true" outlineLevel="0" collapsed="false">
      <c r="A240" s="5" t="n">
        <v>10</v>
      </c>
      <c r="B240" s="5" t="n">
        <v>106</v>
      </c>
      <c r="C240" s="5" t="n">
        <v>60799</v>
      </c>
      <c r="D240" s="5" t="n">
        <v>0.052</v>
      </c>
      <c r="E240" s="5" t="n">
        <v>0.060799</v>
      </c>
    </row>
    <row r="241" customFormat="false" ht="12.75" hidden="false" customHeight="true" outlineLevel="0" collapsed="false">
      <c r="A241" s="5" t="n">
        <v>10</v>
      </c>
      <c r="B241" s="5" t="n">
        <v>107</v>
      </c>
      <c r="C241" s="5" t="n">
        <v>131497</v>
      </c>
      <c r="D241" s="5" t="n">
        <v>0.0918</v>
      </c>
      <c r="E241" s="5" t="n">
        <v>0.131497</v>
      </c>
    </row>
    <row r="242" customFormat="false" ht="12.75" hidden="false" customHeight="true" outlineLevel="0" collapsed="false">
      <c r="A242" s="5" t="n">
        <v>10</v>
      </c>
      <c r="B242" s="5" t="n">
        <v>108</v>
      </c>
      <c r="C242" s="5" t="n">
        <v>249425</v>
      </c>
      <c r="D242" s="5" t="n">
        <v>0.1478</v>
      </c>
      <c r="E242" s="5" t="n">
        <v>0.249425</v>
      </c>
    </row>
    <row r="243" customFormat="false" ht="12.75" hidden="false" customHeight="true" outlineLevel="0" collapsed="false">
      <c r="A243" s="5" t="n">
        <v>10</v>
      </c>
      <c r="B243" s="5" t="n">
        <v>109</v>
      </c>
      <c r="C243" s="5" t="n">
        <v>430796</v>
      </c>
      <c r="D243" s="5" t="n">
        <v>0.2141</v>
      </c>
      <c r="E243" s="5" t="n">
        <v>0.430796</v>
      </c>
    </row>
    <row r="244" customFormat="false" ht="12.75" hidden="false" customHeight="true" outlineLevel="0" collapsed="false">
      <c r="A244" s="5" t="n">
        <v>10</v>
      </c>
      <c r="B244" s="5" t="n">
        <v>110</v>
      </c>
      <c r="C244" s="5" t="n">
        <v>682281</v>
      </c>
      <c r="D244" s="5" t="n">
        <v>0.2933</v>
      </c>
      <c r="E244" s="5" t="n">
        <v>0.682281</v>
      </c>
    </row>
    <row r="245" customFormat="false" ht="12.75" hidden="false" customHeight="true" outlineLevel="0" collapsed="false">
      <c r="A245" s="5" t="n">
        <v>10</v>
      </c>
      <c r="B245" s="5" t="n">
        <v>111</v>
      </c>
      <c r="C245" s="5" t="n">
        <v>1019298</v>
      </c>
      <c r="D245" s="5" t="n">
        <v>0.3805</v>
      </c>
      <c r="E245" s="5" t="n">
        <v>1.019298</v>
      </c>
    </row>
    <row r="246" customFormat="false" ht="12.75" hidden="false" customHeight="true" outlineLevel="0" collapsed="false">
      <c r="A246" s="5" t="n">
        <v>10</v>
      </c>
      <c r="B246" s="5" t="n">
        <v>112</v>
      </c>
      <c r="C246" s="5" t="n">
        <v>1449228</v>
      </c>
      <c r="D246" s="5" t="n">
        <v>0.4816</v>
      </c>
      <c r="E246" s="5" t="n">
        <v>1.449228</v>
      </c>
    </row>
    <row r="247" customFormat="false" ht="12.75" hidden="false" customHeight="true" outlineLevel="0" collapsed="false">
      <c r="A247" s="5" t="n">
        <v>10</v>
      </c>
      <c r="B247" s="5" t="n">
        <v>113</v>
      </c>
      <c r="C247" s="5" t="n">
        <v>1995279</v>
      </c>
      <c r="D247" s="5" t="n">
        <v>0.6175</v>
      </c>
      <c r="E247" s="5" t="n">
        <v>1.995279</v>
      </c>
    </row>
    <row r="248" customFormat="false" ht="12.75" hidden="false" customHeight="true" outlineLevel="0" collapsed="false">
      <c r="A248" s="5" t="n">
        <v>10</v>
      </c>
      <c r="B248" s="5" t="n">
        <v>114</v>
      </c>
      <c r="C248" s="5" t="n">
        <v>2696760</v>
      </c>
      <c r="D248" s="5" t="n">
        <v>0.7876</v>
      </c>
      <c r="E248" s="5" t="n">
        <v>2.69676</v>
      </c>
    </row>
    <row r="249" customFormat="false" ht="12.75" hidden="false" customHeight="true" outlineLevel="0" collapsed="false">
      <c r="A249" s="5" t="n">
        <v>10</v>
      </c>
      <c r="B249" s="5" t="n">
        <v>115</v>
      </c>
      <c r="C249" s="5" t="n">
        <v>3580075</v>
      </c>
      <c r="D249" s="5" t="n">
        <v>0.9864</v>
      </c>
      <c r="E249" s="5" t="n">
        <v>3.580075</v>
      </c>
    </row>
    <row r="250" customFormat="false" ht="12.75" hidden="false" customHeight="true" outlineLevel="0" collapsed="false">
      <c r="A250" s="5" t="n">
        <v>10</v>
      </c>
      <c r="B250" s="5" t="n">
        <v>116</v>
      </c>
      <c r="C250" s="5" t="n">
        <v>4682583</v>
      </c>
      <c r="D250" s="5" t="n">
        <v>1.2244</v>
      </c>
      <c r="E250" s="5" t="n">
        <v>4.682583</v>
      </c>
    </row>
    <row r="251" customFormat="false" ht="12.75" hidden="false" customHeight="true" outlineLevel="0" collapsed="false">
      <c r="A251" s="5" t="n">
        <v>10</v>
      </c>
      <c r="B251" s="5" t="n">
        <v>117</v>
      </c>
      <c r="C251" s="5" t="n">
        <v>6042992</v>
      </c>
      <c r="D251" s="5" t="n">
        <v>1.5002</v>
      </c>
      <c r="E251" s="5" t="n">
        <v>6.042992</v>
      </c>
    </row>
    <row r="252" customFormat="false" ht="12.75" hidden="false" customHeight="true" outlineLevel="0" collapsed="false">
      <c r="A252" s="5" t="n">
        <v>10</v>
      </c>
      <c r="B252" s="5" t="n">
        <v>118</v>
      </c>
      <c r="C252" s="5" t="n">
        <v>7701441</v>
      </c>
      <c r="D252" s="5" t="n">
        <v>1.8087</v>
      </c>
      <c r="E252" s="5" t="n">
        <v>7.701441</v>
      </c>
    </row>
    <row r="253" customFormat="false" ht="12.75" hidden="false" customHeight="true" outlineLevel="0" collapsed="false">
      <c r="A253" s="5" t="n">
        <v>10</v>
      </c>
      <c r="B253" s="5" t="n">
        <v>119</v>
      </c>
      <c r="C253" s="5" t="n">
        <v>9647793</v>
      </c>
      <c r="D253" s="5" t="n">
        <v>2.0686</v>
      </c>
      <c r="E253" s="5" t="n">
        <v>9.647793</v>
      </c>
    </row>
    <row r="254" customFormat="false" ht="12.75" hidden="false" customHeight="true" outlineLevel="0" collapsed="false">
      <c r="A254" s="5" t="n">
        <v>10</v>
      </c>
      <c r="B254" s="5" t="n">
        <v>120</v>
      </c>
      <c r="C254" s="5" t="n">
        <v>11792157</v>
      </c>
      <c r="D254" s="5" t="n">
        <v>2.2024</v>
      </c>
      <c r="E254" s="5" t="n">
        <v>11.792157</v>
      </c>
    </row>
    <row r="255" customFormat="false" ht="12.75" hidden="false" customHeight="true" outlineLevel="0" collapsed="false">
      <c r="A255" s="5" t="n">
        <v>10</v>
      </c>
      <c r="B255" s="5" t="n">
        <v>120.08</v>
      </c>
      <c r="C255" s="5" t="n">
        <v>11968714</v>
      </c>
      <c r="D255" s="5" t="n">
        <v>2.2113</v>
      </c>
      <c r="E255" s="5" t="n">
        <v>11.968714</v>
      </c>
    </row>
    <row r="256" customFormat="false" ht="12.75" hidden="false" customHeight="true" outlineLevel="0" collapsed="false">
      <c r="A256" s="5" t="n">
        <v>10</v>
      </c>
      <c r="B256" s="5" t="n">
        <v>120.63</v>
      </c>
      <c r="C256" s="5" t="n">
        <v>13165400</v>
      </c>
      <c r="D256" s="5" t="n">
        <v>2.2734</v>
      </c>
      <c r="E256" s="5" t="n">
        <v>13.1654</v>
      </c>
    </row>
    <row r="257" customFormat="false" ht="12.75" hidden="false" customHeight="true" outlineLevel="0" collapsed="false">
      <c r="A257" s="5" t="n">
        <v>10</v>
      </c>
      <c r="B257" s="5" t="n">
        <v>122</v>
      </c>
      <c r="C257" s="5" t="n">
        <v>17844000</v>
      </c>
      <c r="D257" s="5" t="n">
        <v>2.794</v>
      </c>
      <c r="E257" s="5" t="n">
        <v>17.844</v>
      </c>
    </row>
    <row r="258" customFormat="false" ht="12.75" hidden="false" customHeight="true" outlineLevel="0" collapsed="false">
      <c r="A258" s="5" t="n">
        <v>10</v>
      </c>
      <c r="B258" s="5" t="n">
        <v>124</v>
      </c>
      <c r="C258" s="5" t="n">
        <v>28304000</v>
      </c>
      <c r="D258" s="5" t="n">
        <v>3.664</v>
      </c>
      <c r="E258" s="5" t="n">
        <v>28.304</v>
      </c>
    </row>
    <row r="259" customFormat="false" ht="12.75" hidden="false" customHeight="true" outlineLevel="0" collapsed="false">
      <c r="A259" s="5" t="n">
        <v>10</v>
      </c>
      <c r="B259" s="5" t="n">
        <v>126</v>
      </c>
      <c r="C259" s="5" t="n">
        <v>36774000</v>
      </c>
      <c r="D259" s="5" t="n">
        <v>4.804</v>
      </c>
      <c r="E259" s="5" t="n">
        <v>36.774</v>
      </c>
    </row>
    <row r="260" customFormat="false" ht="12.75" hidden="false" customHeight="true" outlineLevel="0" collapsed="false">
      <c r="A260" s="5" t="n">
        <v>10</v>
      </c>
      <c r="B260" s="5" t="n">
        <v>128</v>
      </c>
      <c r="C260" s="5" t="n">
        <v>49554000</v>
      </c>
      <c r="D260" s="5" t="n">
        <v>5.974</v>
      </c>
      <c r="E260" s="5" t="n">
        <v>49.554</v>
      </c>
    </row>
    <row r="261" customFormat="false" ht="12.75" hidden="false" customHeight="true" outlineLevel="0" collapsed="false">
      <c r="A261" s="5" t="n">
        <v>10</v>
      </c>
      <c r="B261" s="5" t="n">
        <v>129.88</v>
      </c>
      <c r="C261" s="5" t="n">
        <v>64170000</v>
      </c>
      <c r="D261" s="5" t="n">
        <v>7.464</v>
      </c>
      <c r="E261" s="5" t="n">
        <v>64.17</v>
      </c>
    </row>
    <row r="262" customFormat="false" ht="12.75" hidden="false" customHeight="true" outlineLevel="0" collapsed="false">
      <c r="A262" s="5" t="n">
        <v>10</v>
      </c>
      <c r="B262" s="5" t="n">
        <v>130</v>
      </c>
      <c r="C262" s="5" t="n">
        <v>65103000</v>
      </c>
      <c r="D262" s="5" t="n">
        <v>7.564</v>
      </c>
      <c r="E262" s="5" t="n">
        <v>65.103</v>
      </c>
    </row>
    <row r="263" customFormat="false" ht="12.75" hidden="false" customHeight="true" outlineLevel="0" collapsed="false">
      <c r="A263" s="5" t="n">
        <v>10</v>
      </c>
      <c r="B263" s="5" t="n">
        <v>132</v>
      </c>
      <c r="C263" s="5" t="n">
        <v>83804000</v>
      </c>
      <c r="D263" s="5" t="n">
        <v>9.144</v>
      </c>
      <c r="E263" s="5" t="n">
        <v>83.804</v>
      </c>
    </row>
    <row r="264" customFormat="false" ht="12.75" hidden="false" customHeight="true" outlineLevel="0" collapsed="false">
      <c r="A264" s="5" t="n">
        <v>10</v>
      </c>
      <c r="B264" s="5" t="n">
        <v>134</v>
      </c>
      <c r="C264" s="5" t="n">
        <v>105814000</v>
      </c>
      <c r="D264" s="5" t="n">
        <v>10.904</v>
      </c>
      <c r="E264" s="5" t="n">
        <v>105.814</v>
      </c>
    </row>
    <row r="265" customFormat="false" ht="12.75" hidden="false" customHeight="true" outlineLevel="0" collapsed="false">
      <c r="A265" s="5" t="n">
        <v>10</v>
      </c>
      <c r="B265" s="5" t="n">
        <v>136</v>
      </c>
      <c r="C265" s="5" t="n">
        <v>131764000</v>
      </c>
      <c r="D265" s="5" t="n">
        <v>13.044</v>
      </c>
      <c r="E265" s="5" t="n">
        <v>131.764</v>
      </c>
    </row>
    <row r="266" customFormat="false" ht="12.75" hidden="false" customHeight="true" outlineLevel="0" collapsed="false">
      <c r="A266" s="5" t="n">
        <v>10</v>
      </c>
      <c r="B266" s="5" t="n">
        <v>138</v>
      </c>
      <c r="C266" s="5" t="n">
        <v>159644000</v>
      </c>
      <c r="D266" s="5" t="n">
        <v>14.824</v>
      </c>
      <c r="E266" s="5" t="n">
        <v>159.644</v>
      </c>
    </row>
    <row r="267" customFormat="false" ht="12.75" hidden="false" customHeight="true" outlineLevel="0" collapsed="false">
      <c r="A267" s="5" t="n">
        <v>10</v>
      </c>
      <c r="B267" s="5" t="n">
        <v>140</v>
      </c>
      <c r="C267" s="5" t="n">
        <v>195504000</v>
      </c>
      <c r="D267" s="5" t="n">
        <v>17.024</v>
      </c>
      <c r="E267" s="5" t="n">
        <v>195.504</v>
      </c>
    </row>
    <row r="268" customFormat="false" ht="12.75" hidden="false" customHeight="true" outlineLevel="0" collapsed="false">
      <c r="A268" s="5" t="n">
        <v>11</v>
      </c>
      <c r="B268" s="5" t="n">
        <v>98.74</v>
      </c>
      <c r="C268" s="5" t="n">
        <v>0</v>
      </c>
      <c r="D268" s="5" t="n">
        <v>0</v>
      </c>
      <c r="E268" s="5" t="n">
        <v>0</v>
      </c>
    </row>
    <row r="269" customFormat="false" ht="12.75" hidden="false" customHeight="true" outlineLevel="0" collapsed="false">
      <c r="A269" s="5" t="n">
        <v>11</v>
      </c>
      <c r="B269" s="5" t="n">
        <v>99</v>
      </c>
      <c r="C269" s="5" t="n">
        <v>11</v>
      </c>
      <c r="D269" s="5" t="n">
        <v>0.0002</v>
      </c>
      <c r="E269" s="5" t="n">
        <v>1.1E-005</v>
      </c>
    </row>
    <row r="270" customFormat="false" ht="12.75" hidden="false" customHeight="true" outlineLevel="0" collapsed="false">
      <c r="A270" s="5" t="n">
        <v>11</v>
      </c>
      <c r="B270" s="5" t="n">
        <v>100</v>
      </c>
      <c r="C270" s="5" t="n">
        <v>2140</v>
      </c>
      <c r="D270" s="5" t="n">
        <v>0.0054</v>
      </c>
      <c r="E270" s="5" t="n">
        <v>0.00214</v>
      </c>
    </row>
    <row r="271" customFormat="false" ht="12.75" hidden="false" customHeight="true" outlineLevel="0" collapsed="false">
      <c r="A271" s="5" t="n">
        <v>11</v>
      </c>
      <c r="B271" s="5" t="n">
        <v>101</v>
      </c>
      <c r="C271" s="5" t="n">
        <v>14194</v>
      </c>
      <c r="D271" s="5" t="n">
        <v>0.021</v>
      </c>
      <c r="E271" s="5" t="n">
        <v>0.014194</v>
      </c>
    </row>
    <row r="272" customFormat="false" ht="12.75" hidden="false" customHeight="true" outlineLevel="0" collapsed="false">
      <c r="A272" s="5" t="n">
        <v>11</v>
      </c>
      <c r="B272" s="5" t="n">
        <v>102</v>
      </c>
      <c r="C272" s="5" t="n">
        <v>50300</v>
      </c>
      <c r="D272" s="5" t="n">
        <v>0.0533</v>
      </c>
      <c r="E272" s="5" t="n">
        <v>0.0503</v>
      </c>
    </row>
    <row r="273" customFormat="false" ht="12.75" hidden="false" customHeight="true" outlineLevel="0" collapsed="false">
      <c r="A273" s="5" t="n">
        <v>11</v>
      </c>
      <c r="B273" s="5" t="n">
        <v>103</v>
      </c>
      <c r="C273" s="5" t="n">
        <v>128198</v>
      </c>
      <c r="D273" s="5" t="n">
        <v>0.1098</v>
      </c>
      <c r="E273" s="5" t="n">
        <v>0.128198</v>
      </c>
    </row>
    <row r="274" customFormat="false" ht="12.75" hidden="false" customHeight="true" outlineLevel="0" collapsed="false">
      <c r="A274" s="5" t="n">
        <v>11</v>
      </c>
      <c r="B274" s="5" t="n">
        <v>104</v>
      </c>
      <c r="C274" s="5" t="n">
        <v>288698</v>
      </c>
      <c r="D274" s="5" t="n">
        <v>0.2172</v>
      </c>
      <c r="E274" s="5" t="n">
        <v>0.288698</v>
      </c>
    </row>
    <row r="275" customFormat="false" ht="12.75" hidden="false" customHeight="true" outlineLevel="0" collapsed="false">
      <c r="A275" s="5" t="n">
        <v>11</v>
      </c>
      <c r="B275" s="5" t="n">
        <v>105</v>
      </c>
      <c r="C275" s="5" t="n">
        <v>581499</v>
      </c>
      <c r="D275" s="5" t="n">
        <v>0.3961</v>
      </c>
      <c r="E275" s="5" t="n">
        <v>0.581499</v>
      </c>
    </row>
    <row r="276" customFormat="false" ht="12.75" hidden="false" customHeight="true" outlineLevel="0" collapsed="false">
      <c r="A276" s="5" t="n">
        <v>11</v>
      </c>
      <c r="B276" s="5" t="n">
        <v>106</v>
      </c>
      <c r="C276" s="5" t="n">
        <v>1134842</v>
      </c>
      <c r="D276" s="5" t="n">
        <v>0.7304</v>
      </c>
      <c r="E276" s="5" t="n">
        <v>1.134842</v>
      </c>
    </row>
    <row r="277" customFormat="false" ht="12.75" hidden="false" customHeight="true" outlineLevel="0" collapsed="false">
      <c r="A277" s="5" t="n">
        <v>11</v>
      </c>
      <c r="B277" s="5" t="n">
        <v>107</v>
      </c>
      <c r="C277" s="5" t="n">
        <v>2085867</v>
      </c>
      <c r="D277" s="5" t="n">
        <v>1.1913</v>
      </c>
      <c r="E277" s="5" t="n">
        <v>2.085867</v>
      </c>
    </row>
    <row r="278" customFormat="false" ht="12.75" hidden="false" customHeight="true" outlineLevel="0" collapsed="false">
      <c r="A278" s="5" t="n">
        <v>11</v>
      </c>
      <c r="B278" s="5" t="n">
        <v>108</v>
      </c>
      <c r="C278" s="5" t="n">
        <v>3599553</v>
      </c>
      <c r="D278" s="5" t="n">
        <v>1.8684</v>
      </c>
      <c r="E278" s="5" t="n">
        <v>3.599553</v>
      </c>
    </row>
    <row r="279" customFormat="false" ht="12.75" hidden="false" customHeight="true" outlineLevel="0" collapsed="false">
      <c r="A279" s="5" t="n">
        <v>11</v>
      </c>
      <c r="B279" s="5" t="n">
        <v>109</v>
      </c>
      <c r="C279" s="5" t="n">
        <v>5899971</v>
      </c>
      <c r="D279" s="5" t="n">
        <v>2.7193</v>
      </c>
      <c r="E279" s="5" t="n">
        <v>5.899971</v>
      </c>
    </row>
    <row r="280" customFormat="false" ht="12.75" hidden="false" customHeight="true" outlineLevel="0" collapsed="false">
      <c r="A280" s="5" t="n">
        <v>11</v>
      </c>
      <c r="B280" s="5" t="n">
        <v>110</v>
      </c>
      <c r="C280" s="5" t="n">
        <v>9098346</v>
      </c>
      <c r="D280" s="5" t="n">
        <v>3.6948</v>
      </c>
      <c r="E280" s="5" t="n">
        <v>9.098346</v>
      </c>
    </row>
    <row r="281" customFormat="false" ht="12.75" hidden="false" customHeight="true" outlineLevel="0" collapsed="false">
      <c r="A281" s="5" t="n">
        <v>11</v>
      </c>
      <c r="B281" s="5" t="n">
        <v>111</v>
      </c>
      <c r="C281" s="5" t="n">
        <v>13337731</v>
      </c>
      <c r="D281" s="5" t="n">
        <v>4.8123</v>
      </c>
      <c r="E281" s="5" t="n">
        <v>13.337731</v>
      </c>
    </row>
    <row r="282" customFormat="false" ht="12.75" hidden="false" customHeight="true" outlineLevel="0" collapsed="false">
      <c r="A282" s="5" t="n">
        <v>11</v>
      </c>
      <c r="B282" s="5" t="n">
        <v>112</v>
      </c>
      <c r="C282" s="5" t="n">
        <v>18847984</v>
      </c>
      <c r="D282" s="5" t="n">
        <v>6.3217</v>
      </c>
      <c r="E282" s="5" t="n">
        <v>18.847984</v>
      </c>
    </row>
    <row r="283" customFormat="false" ht="12.75" hidden="false" customHeight="true" outlineLevel="0" collapsed="false">
      <c r="A283" s="5" t="n">
        <v>11</v>
      </c>
      <c r="B283" s="5" t="n">
        <v>113</v>
      </c>
      <c r="C283" s="5" t="n">
        <v>26117169</v>
      </c>
      <c r="D283" s="5" t="n">
        <v>8.2205</v>
      </c>
      <c r="E283" s="5" t="n">
        <v>26.117169</v>
      </c>
    </row>
    <row r="284" customFormat="false" ht="12.75" hidden="false" customHeight="true" outlineLevel="0" collapsed="false">
      <c r="A284" s="5" t="n">
        <v>11</v>
      </c>
      <c r="B284" s="5" t="n">
        <v>114</v>
      </c>
      <c r="C284" s="5" t="n">
        <v>35496748</v>
      </c>
      <c r="D284" s="5" t="n">
        <v>10.6259</v>
      </c>
      <c r="E284" s="5" t="n">
        <v>35.496748</v>
      </c>
    </row>
    <row r="285" customFormat="false" ht="12.75" hidden="false" customHeight="true" outlineLevel="0" collapsed="false">
      <c r="A285" s="5" t="n">
        <v>11</v>
      </c>
      <c r="B285" s="5" t="n">
        <v>115</v>
      </c>
      <c r="C285" s="5" t="n">
        <v>47502490</v>
      </c>
      <c r="D285" s="5" t="n">
        <v>13.477</v>
      </c>
      <c r="E285" s="5" t="n">
        <v>47.50249</v>
      </c>
    </row>
    <row r="286" customFormat="false" ht="12.75" hidden="false" customHeight="true" outlineLevel="0" collapsed="false">
      <c r="A286" s="5" t="n">
        <v>11</v>
      </c>
      <c r="B286" s="5" t="n">
        <v>116</v>
      </c>
      <c r="C286" s="5" t="n">
        <v>62517149</v>
      </c>
      <c r="D286" s="5" t="n">
        <v>16.4315</v>
      </c>
      <c r="E286" s="5" t="n">
        <v>62.517149</v>
      </c>
    </row>
    <row r="287" customFormat="false" ht="12.75" hidden="false" customHeight="true" outlineLevel="0" collapsed="false">
      <c r="A287" s="5" t="n">
        <v>11</v>
      </c>
      <c r="B287" s="5" t="n">
        <v>117</v>
      </c>
      <c r="C287" s="5" t="n">
        <v>80114992</v>
      </c>
      <c r="D287" s="5" t="n">
        <v>18.3166</v>
      </c>
      <c r="E287" s="5" t="n">
        <v>80.114992</v>
      </c>
    </row>
    <row r="288" customFormat="false" ht="12.75" hidden="false" customHeight="true" outlineLevel="0" collapsed="false">
      <c r="A288" s="5" t="n">
        <v>11</v>
      </c>
      <c r="B288" s="5" t="n">
        <v>117.58</v>
      </c>
      <c r="C288" s="5" t="n">
        <v>90888237</v>
      </c>
      <c r="D288" s="5" t="n">
        <v>19.1539</v>
      </c>
      <c r="E288" s="5" t="n">
        <v>90.888237</v>
      </c>
    </row>
    <row r="289" customFormat="false" ht="12.75" hidden="false" customHeight="true" outlineLevel="0" collapsed="false">
      <c r="A289" s="5" t="n">
        <v>11</v>
      </c>
      <c r="B289" s="5" t="n">
        <v>118</v>
      </c>
      <c r="C289" s="5" t="n">
        <v>96996264</v>
      </c>
      <c r="D289" s="5" t="n">
        <v>20.7239</v>
      </c>
      <c r="E289" s="5" t="n">
        <v>96.996264</v>
      </c>
    </row>
    <row r="290" customFormat="false" ht="12.75" hidden="false" customHeight="true" outlineLevel="0" collapsed="false">
      <c r="A290" s="5" t="n">
        <v>11</v>
      </c>
      <c r="B290" s="5" t="n">
        <v>120</v>
      </c>
      <c r="C290" s="5" t="n">
        <v>141286264</v>
      </c>
      <c r="D290" s="5" t="n">
        <v>26.6339</v>
      </c>
      <c r="E290" s="5" t="n">
        <v>141.286264</v>
      </c>
    </row>
    <row r="291" customFormat="false" ht="12.75" hidden="false" customHeight="true" outlineLevel="0" collapsed="false">
      <c r="A291" s="5" t="n">
        <v>11</v>
      </c>
      <c r="B291" s="5" t="n">
        <v>122</v>
      </c>
      <c r="C291" s="5" t="n">
        <v>200036264</v>
      </c>
      <c r="D291" s="5" t="n">
        <v>34.1839</v>
      </c>
      <c r="E291" s="5" t="n">
        <v>200.036264</v>
      </c>
    </row>
    <row r="292" customFormat="false" ht="12.75" hidden="false" customHeight="true" outlineLevel="0" collapsed="false">
      <c r="A292" s="5" t="n">
        <v>11</v>
      </c>
      <c r="B292" s="5" t="n">
        <v>124</v>
      </c>
      <c r="C292" s="5" t="n">
        <v>281176264</v>
      </c>
      <c r="D292" s="5" t="n">
        <v>43.0039</v>
      </c>
      <c r="E292" s="5" t="n">
        <v>281.176264</v>
      </c>
    </row>
    <row r="293" customFormat="false" ht="12.75" hidden="false" customHeight="true" outlineLevel="0" collapsed="false">
      <c r="A293" s="5" t="n">
        <v>11</v>
      </c>
      <c r="B293" s="5" t="n">
        <v>125</v>
      </c>
      <c r="C293" s="5" t="n">
        <v>325166264</v>
      </c>
      <c r="D293" s="5" t="n">
        <v>59.0339</v>
      </c>
      <c r="E293" s="5" t="n">
        <v>325.166264</v>
      </c>
    </row>
    <row r="294" customFormat="false" ht="12.75" hidden="false" customHeight="true" outlineLevel="0" collapsed="false">
      <c r="A294" s="5" t="n">
        <v>11</v>
      </c>
      <c r="B294" s="5" t="n">
        <v>127</v>
      </c>
      <c r="C294" s="5" t="n">
        <v>456000000</v>
      </c>
      <c r="D294" s="5" t="n">
        <v>73.9139</v>
      </c>
      <c r="E294" s="5" t="n">
        <v>456</v>
      </c>
    </row>
    <row r="295" customFormat="false" ht="12.75" hidden="false" customHeight="true" outlineLevel="0" collapsed="false">
      <c r="A295" s="5" t="n">
        <v>11</v>
      </c>
      <c r="B295" s="5" t="n">
        <v>128</v>
      </c>
      <c r="C295" s="5" t="n">
        <v>536003200</v>
      </c>
      <c r="D295" s="5" t="n">
        <v>86</v>
      </c>
      <c r="E295" s="5" t="n">
        <v>536.0032</v>
      </c>
    </row>
    <row r="296" customFormat="false" ht="12.75" hidden="false" customHeight="true" outlineLevel="0" collapsed="false">
      <c r="A296" s="5" t="n">
        <v>11</v>
      </c>
      <c r="B296" s="5" t="n">
        <v>129</v>
      </c>
      <c r="C296" s="5" t="n">
        <v>629003200</v>
      </c>
      <c r="D296" s="5" t="n">
        <v>100</v>
      </c>
      <c r="E296" s="5" t="n">
        <v>629.0032</v>
      </c>
    </row>
    <row r="297" customFormat="false" ht="12.75" hidden="false" customHeight="true" outlineLevel="0" collapsed="false">
      <c r="A297" s="5" t="n">
        <v>12</v>
      </c>
      <c r="B297" s="5" t="n">
        <v>37.45</v>
      </c>
      <c r="C297" s="5" t="n">
        <v>0</v>
      </c>
      <c r="D297" s="5" t="n">
        <v>0</v>
      </c>
      <c r="E297" s="5" t="n">
        <v>0</v>
      </c>
    </row>
    <row r="298" customFormat="false" ht="12.75" hidden="false" customHeight="true" outlineLevel="0" collapsed="false">
      <c r="A298" s="5" t="n">
        <v>12</v>
      </c>
      <c r="B298" s="5" t="n">
        <v>37.5</v>
      </c>
      <c r="C298" s="5" t="n">
        <v>0</v>
      </c>
      <c r="D298" s="5" t="n">
        <v>0</v>
      </c>
      <c r="E298" s="5" t="n">
        <v>0</v>
      </c>
    </row>
    <row r="299" customFormat="false" ht="12.75" hidden="false" customHeight="true" outlineLevel="0" collapsed="false">
      <c r="A299" s="5" t="n">
        <v>12</v>
      </c>
      <c r="B299" s="5" t="n">
        <v>38</v>
      </c>
      <c r="C299" s="5" t="n">
        <v>908</v>
      </c>
      <c r="D299" s="5" t="n">
        <v>0.005</v>
      </c>
      <c r="E299" s="5" t="n">
        <v>0.000908</v>
      </c>
    </row>
    <row r="300" customFormat="false" ht="12.75" hidden="false" customHeight="true" outlineLevel="0" collapsed="false">
      <c r="A300" s="5" t="n">
        <v>12</v>
      </c>
      <c r="B300" s="5" t="n">
        <v>38.5</v>
      </c>
      <c r="C300" s="5" t="n">
        <v>5279</v>
      </c>
      <c r="D300" s="5" t="n">
        <v>0.0136</v>
      </c>
      <c r="E300" s="5" t="n">
        <v>0.005279</v>
      </c>
    </row>
    <row r="301" customFormat="false" ht="12.75" hidden="false" customHeight="true" outlineLevel="0" collapsed="false">
      <c r="A301" s="5" t="n">
        <v>12</v>
      </c>
      <c r="B301" s="5" t="n">
        <v>39</v>
      </c>
      <c r="C301" s="5" t="n">
        <v>16985</v>
      </c>
      <c r="D301" s="5" t="n">
        <v>0.0345</v>
      </c>
      <c r="E301" s="5" t="n">
        <v>0.016985</v>
      </c>
    </row>
    <row r="302" customFormat="false" ht="12.75" hidden="false" customHeight="true" outlineLevel="0" collapsed="false">
      <c r="A302" s="5" t="n">
        <v>12</v>
      </c>
      <c r="B302" s="5" t="n">
        <v>39.5</v>
      </c>
      <c r="C302" s="5" t="n">
        <v>41226</v>
      </c>
      <c r="D302" s="5" t="n">
        <v>0.0666</v>
      </c>
      <c r="E302" s="5" t="n">
        <v>0.041226</v>
      </c>
    </row>
    <row r="303" customFormat="false" ht="12.75" hidden="false" customHeight="true" outlineLevel="0" collapsed="false">
      <c r="A303" s="5" t="n">
        <v>12</v>
      </c>
      <c r="B303" s="5" t="n">
        <v>40</v>
      </c>
      <c r="C303" s="5" t="n">
        <v>90153</v>
      </c>
      <c r="D303" s="5" t="n">
        <v>0.1354</v>
      </c>
      <c r="E303" s="5" t="n">
        <v>0.090153</v>
      </c>
    </row>
    <row r="304" customFormat="false" ht="12.75" hidden="false" customHeight="true" outlineLevel="0" collapsed="false">
      <c r="A304" s="5" t="n">
        <v>12</v>
      </c>
      <c r="B304" s="5" t="n">
        <v>40.5</v>
      </c>
      <c r="C304" s="5" t="n">
        <v>181822</v>
      </c>
      <c r="D304" s="5" t="n">
        <v>0.2408</v>
      </c>
      <c r="E304" s="5" t="n">
        <v>0.181822</v>
      </c>
    </row>
    <row r="305" customFormat="false" ht="12.75" hidden="false" customHeight="true" outlineLevel="0" collapsed="false">
      <c r="A305" s="5" t="n">
        <v>12</v>
      </c>
      <c r="B305" s="5" t="n">
        <v>41</v>
      </c>
      <c r="C305" s="5" t="n">
        <v>349436</v>
      </c>
      <c r="D305" s="5" t="n">
        <v>0.4657</v>
      </c>
      <c r="E305" s="5" t="n">
        <v>0.349436</v>
      </c>
    </row>
    <row r="306" customFormat="false" ht="12.75" hidden="false" customHeight="true" outlineLevel="0" collapsed="false">
      <c r="A306" s="5" t="n">
        <v>12</v>
      </c>
      <c r="B306" s="5" t="n">
        <v>41.5</v>
      </c>
      <c r="C306" s="5" t="n">
        <v>712556</v>
      </c>
      <c r="D306" s="5" t="n">
        <v>1.0571</v>
      </c>
      <c r="E306" s="5" t="n">
        <v>0.712556</v>
      </c>
    </row>
    <row r="307" customFormat="false" ht="12.75" hidden="false" customHeight="true" outlineLevel="0" collapsed="false">
      <c r="A307" s="5" t="n">
        <v>12</v>
      </c>
      <c r="B307" s="5" t="n">
        <v>42</v>
      </c>
      <c r="C307" s="5" t="n">
        <v>1425787</v>
      </c>
      <c r="D307" s="5" t="n">
        <v>1.8242</v>
      </c>
      <c r="E307" s="5" t="n">
        <v>1.425787</v>
      </c>
    </row>
    <row r="308" customFormat="false" ht="12.75" hidden="false" customHeight="true" outlineLevel="0" collapsed="false">
      <c r="A308" s="5" t="n">
        <v>12</v>
      </c>
      <c r="B308" s="5" t="n">
        <v>42.5</v>
      </c>
      <c r="C308" s="5" t="n">
        <v>2533815</v>
      </c>
      <c r="D308" s="5" t="n">
        <v>2.5921</v>
      </c>
      <c r="E308" s="5" t="n">
        <v>2.533815</v>
      </c>
    </row>
    <row r="309" customFormat="false" ht="12.75" hidden="false" customHeight="true" outlineLevel="0" collapsed="false">
      <c r="A309" s="5" t="n">
        <v>12</v>
      </c>
      <c r="B309" s="5" t="n">
        <v>43</v>
      </c>
      <c r="C309" s="5" t="n">
        <v>4006588</v>
      </c>
      <c r="D309" s="5" t="n">
        <v>3.3299</v>
      </c>
      <c r="E309" s="5" t="n">
        <v>4.006588</v>
      </c>
    </row>
    <row r="310" customFormat="false" ht="12.75" hidden="false" customHeight="true" outlineLevel="0" collapsed="false">
      <c r="A310" s="5" t="n">
        <v>12</v>
      </c>
      <c r="B310" s="5" t="n">
        <v>43.5</v>
      </c>
      <c r="C310" s="5" t="n">
        <v>5880799</v>
      </c>
      <c r="D310" s="5" t="n">
        <v>4.1715</v>
      </c>
      <c r="E310" s="5" t="n">
        <v>5.880799</v>
      </c>
    </row>
    <row r="311" customFormat="false" ht="12.75" hidden="false" customHeight="true" outlineLevel="0" collapsed="false">
      <c r="A311" s="5" t="n">
        <v>12</v>
      </c>
      <c r="B311" s="5" t="n">
        <v>44</v>
      </c>
      <c r="C311" s="5" t="n">
        <v>8162758</v>
      </c>
      <c r="D311" s="5" t="n">
        <v>4.962</v>
      </c>
      <c r="E311" s="5" t="n">
        <v>8.162758</v>
      </c>
    </row>
    <row r="312" customFormat="false" ht="12.75" hidden="false" customHeight="true" outlineLevel="0" collapsed="false">
      <c r="A312" s="5" t="n">
        <v>12</v>
      </c>
      <c r="B312" s="5" t="n">
        <v>44.5</v>
      </c>
      <c r="C312" s="5" t="n">
        <v>10864775</v>
      </c>
      <c r="D312" s="5" t="n">
        <v>5.85</v>
      </c>
      <c r="E312" s="5" t="n">
        <v>10.864775</v>
      </c>
    </row>
    <row r="313" customFormat="false" ht="12.75" hidden="false" customHeight="true" outlineLevel="0" collapsed="false">
      <c r="A313" s="5" t="n">
        <v>12</v>
      </c>
      <c r="B313" s="5" t="n">
        <v>45</v>
      </c>
      <c r="C313" s="5" t="n">
        <v>14023801</v>
      </c>
      <c r="D313" s="5" t="n">
        <v>6.8263</v>
      </c>
      <c r="E313" s="5" t="n">
        <v>14.023801</v>
      </c>
    </row>
    <row r="314" customFormat="false" ht="12.75" hidden="false" customHeight="true" outlineLevel="0" collapsed="false">
      <c r="A314" s="5" t="n">
        <v>12</v>
      </c>
      <c r="B314" s="5" t="n">
        <v>45.5</v>
      </c>
      <c r="C314" s="5" t="n">
        <v>17751928</v>
      </c>
      <c r="D314" s="5" t="n">
        <v>8.0319</v>
      </c>
      <c r="E314" s="5" t="n">
        <v>17.751928</v>
      </c>
    </row>
    <row r="315" customFormat="false" ht="12.75" hidden="false" customHeight="true" outlineLevel="0" collapsed="false">
      <c r="A315" s="5" t="n">
        <v>12</v>
      </c>
      <c r="B315" s="5" t="n">
        <v>46</v>
      </c>
      <c r="C315" s="5" t="n">
        <v>22042157</v>
      </c>
      <c r="D315" s="5" t="n">
        <v>9.1684</v>
      </c>
      <c r="E315" s="5" t="n">
        <v>22.042157</v>
      </c>
    </row>
    <row r="316" customFormat="false" ht="12.75" hidden="false" customHeight="true" outlineLevel="0" collapsed="false">
      <c r="A316" s="5" t="n">
        <v>12</v>
      </c>
      <c r="B316" s="5" t="n">
        <v>46.5</v>
      </c>
      <c r="C316" s="5" t="n">
        <v>26949079</v>
      </c>
      <c r="D316" s="5" t="n">
        <v>10.4274</v>
      </c>
      <c r="E316" s="5" t="n">
        <v>26.949079</v>
      </c>
    </row>
    <row r="317" customFormat="false" ht="12.75" hidden="false" customHeight="true" outlineLevel="0" collapsed="false">
      <c r="A317" s="5" t="n">
        <v>12</v>
      </c>
      <c r="B317" s="5" t="n">
        <v>47</v>
      </c>
      <c r="C317" s="5" t="n">
        <v>32464573</v>
      </c>
      <c r="D317" s="5" t="n">
        <v>11.6132</v>
      </c>
      <c r="E317" s="5" t="n">
        <v>32.464573</v>
      </c>
    </row>
    <row r="318" customFormat="false" ht="12.75" hidden="false" customHeight="true" outlineLevel="0" collapsed="false">
      <c r="A318" s="5" t="n">
        <v>12</v>
      </c>
      <c r="B318" s="5" t="n">
        <v>47.5</v>
      </c>
      <c r="C318" s="5" t="n">
        <v>38599011</v>
      </c>
      <c r="D318" s="5" t="n">
        <v>12.8729</v>
      </c>
      <c r="E318" s="5" t="n">
        <v>38.599011</v>
      </c>
    </row>
    <row r="319" customFormat="false" ht="12.75" hidden="false" customHeight="true" outlineLevel="0" collapsed="false">
      <c r="A319" s="5" t="n">
        <v>12</v>
      </c>
      <c r="B319" s="5" t="n">
        <v>48</v>
      </c>
      <c r="C319" s="5" t="n">
        <v>45347634</v>
      </c>
      <c r="D319" s="5" t="n">
        <v>14.116</v>
      </c>
      <c r="E319" s="5" t="n">
        <v>45.347634</v>
      </c>
    </row>
    <row r="320" customFormat="false" ht="12.75" hidden="false" customHeight="true" outlineLevel="0" collapsed="false">
      <c r="A320" s="5" t="n">
        <v>12</v>
      </c>
      <c r="B320" s="5" t="n">
        <v>48.5</v>
      </c>
      <c r="C320" s="5" t="n">
        <v>52736479</v>
      </c>
      <c r="D320" s="5" t="n">
        <v>15.4</v>
      </c>
      <c r="E320" s="5" t="n">
        <v>52.736479</v>
      </c>
    </row>
    <row r="321" customFormat="false" ht="12.75" hidden="false" customHeight="true" outlineLevel="0" collapsed="false">
      <c r="A321" s="5" t="n">
        <v>12</v>
      </c>
      <c r="B321" s="5" t="n">
        <v>49</v>
      </c>
      <c r="C321" s="5" t="n">
        <v>60781641</v>
      </c>
      <c r="D321" s="5" t="n">
        <v>16.7628</v>
      </c>
      <c r="E321" s="5" t="n">
        <v>60.781641</v>
      </c>
    </row>
    <row r="322" customFormat="false" ht="12.75" hidden="false" customHeight="true" outlineLevel="0" collapsed="false">
      <c r="A322" s="5" t="n">
        <v>12</v>
      </c>
      <c r="B322" s="5" t="n">
        <v>49.5</v>
      </c>
      <c r="C322" s="5" t="n">
        <v>69543500</v>
      </c>
      <c r="D322" s="5" t="n">
        <v>18.2995</v>
      </c>
      <c r="E322" s="5" t="n">
        <v>69.5435</v>
      </c>
    </row>
    <row r="323" customFormat="false" ht="12.75" hidden="false" customHeight="true" outlineLevel="0" collapsed="false">
      <c r="A323" s="5" t="n">
        <v>12</v>
      </c>
      <c r="B323" s="5" t="n">
        <v>50</v>
      </c>
      <c r="C323" s="5" t="n">
        <v>79098609</v>
      </c>
      <c r="D323" s="5" t="n">
        <v>19.8566</v>
      </c>
      <c r="E323" s="5" t="n">
        <v>79.098609</v>
      </c>
    </row>
    <row r="324" customFormat="false" ht="12.75" hidden="false" customHeight="true" outlineLevel="0" collapsed="false">
      <c r="A324" s="5" t="n">
        <v>12</v>
      </c>
      <c r="B324" s="5" t="n">
        <v>50.5</v>
      </c>
      <c r="C324" s="5" t="n">
        <v>89429761</v>
      </c>
      <c r="D324" s="5" t="n">
        <v>21.5002</v>
      </c>
      <c r="E324" s="5" t="n">
        <v>89.429761</v>
      </c>
    </row>
    <row r="325" customFormat="false" ht="12.75" hidden="false" customHeight="true" outlineLevel="0" collapsed="false">
      <c r="A325" s="5" t="n">
        <v>12</v>
      </c>
      <c r="B325" s="5" t="n">
        <v>51</v>
      </c>
      <c r="C325" s="5" t="n">
        <v>100606028</v>
      </c>
      <c r="D325" s="5" t="n">
        <v>23.1968</v>
      </c>
      <c r="E325" s="5" t="n">
        <v>100.606028</v>
      </c>
    </row>
    <row r="326" customFormat="false" ht="12.75" hidden="false" customHeight="true" outlineLevel="0" collapsed="false">
      <c r="A326" s="5" t="n">
        <v>12</v>
      </c>
      <c r="B326" s="5" t="n">
        <v>51.5</v>
      </c>
      <c r="C326" s="5" t="n">
        <v>112634907</v>
      </c>
      <c r="D326" s="5" t="n">
        <v>24.8876</v>
      </c>
      <c r="E326" s="5" t="n">
        <v>112.634907</v>
      </c>
    </row>
    <row r="327" customFormat="false" ht="12.75" hidden="false" customHeight="true" outlineLevel="0" collapsed="false">
      <c r="A327" s="5" t="n">
        <v>12</v>
      </c>
      <c r="B327" s="5" t="n">
        <v>52</v>
      </c>
      <c r="C327" s="5" t="n">
        <v>125523650</v>
      </c>
      <c r="D327" s="5" t="n">
        <v>26.6532</v>
      </c>
      <c r="E327" s="5" t="n">
        <v>125.52365</v>
      </c>
    </row>
    <row r="328" customFormat="false" ht="12.75" hidden="false" customHeight="true" outlineLevel="0" collapsed="false">
      <c r="A328" s="5" t="n">
        <v>12</v>
      </c>
      <c r="B328" s="5" t="n">
        <v>52.5</v>
      </c>
      <c r="C328" s="5" t="n">
        <v>139295226</v>
      </c>
      <c r="D328" s="5" t="n">
        <v>28.4239</v>
      </c>
      <c r="E328" s="5" t="n">
        <v>139.295226</v>
      </c>
    </row>
    <row r="329" customFormat="false" ht="12.75" hidden="false" customHeight="true" outlineLevel="0" collapsed="false">
      <c r="A329" s="5" t="n">
        <v>12</v>
      </c>
      <c r="B329" s="5" t="n">
        <v>53</v>
      </c>
      <c r="C329" s="5" t="n">
        <v>153989439</v>
      </c>
      <c r="D329" s="5" t="n">
        <v>30.2639</v>
      </c>
      <c r="E329" s="5" t="n">
        <v>153.989439</v>
      </c>
    </row>
    <row r="330" customFormat="false" ht="12.75" hidden="false" customHeight="true" outlineLevel="0" collapsed="false">
      <c r="A330" s="5" t="n">
        <v>12</v>
      </c>
      <c r="B330" s="5" t="n">
        <v>53.5</v>
      </c>
      <c r="C330" s="5" t="n">
        <v>169573718</v>
      </c>
      <c r="D330" s="5" t="n">
        <v>32.132</v>
      </c>
      <c r="E330" s="5" t="n">
        <v>169.573718</v>
      </c>
    </row>
    <row r="331" customFormat="false" ht="12.75" hidden="false" customHeight="true" outlineLevel="0" collapsed="false">
      <c r="A331" s="5" t="n">
        <v>12</v>
      </c>
      <c r="B331" s="5" t="n">
        <v>54</v>
      </c>
      <c r="C331" s="5" t="n">
        <v>186194771</v>
      </c>
      <c r="D331" s="5" t="n">
        <v>34.3194</v>
      </c>
      <c r="E331" s="5" t="n">
        <v>186.194771</v>
      </c>
    </row>
    <row r="332" customFormat="false" ht="12.75" hidden="false" customHeight="true" outlineLevel="0" collapsed="false">
      <c r="A332" s="5" t="n">
        <v>12</v>
      </c>
      <c r="B332" s="5" t="n">
        <v>54.5</v>
      </c>
      <c r="C332" s="5" t="n">
        <v>203983927</v>
      </c>
      <c r="D332" s="5" t="n">
        <v>36.8479</v>
      </c>
      <c r="E332" s="5" t="n">
        <v>203.983927</v>
      </c>
    </row>
    <row r="333" customFormat="false" ht="12.75" hidden="false" customHeight="true" outlineLevel="0" collapsed="false">
      <c r="A333" s="5" t="n">
        <v>12</v>
      </c>
      <c r="B333" s="5" t="n">
        <v>55</v>
      </c>
      <c r="C333" s="5" t="n">
        <v>223098936</v>
      </c>
      <c r="D333" s="5" t="n">
        <v>39.4875</v>
      </c>
      <c r="E333" s="5" t="n">
        <v>223.098936</v>
      </c>
    </row>
    <row r="334" customFormat="false" ht="12.75" hidden="false" customHeight="true" outlineLevel="0" collapsed="false">
      <c r="A334" s="5" t="n">
        <v>12</v>
      </c>
      <c r="B334" s="5" t="n">
        <v>55.5</v>
      </c>
      <c r="C334" s="5" t="n">
        <v>243386356</v>
      </c>
      <c r="D334" s="5" t="n">
        <v>41.5067</v>
      </c>
      <c r="E334" s="5" t="n">
        <v>243.386356</v>
      </c>
    </row>
    <row r="335" customFormat="false" ht="12.75" hidden="false" customHeight="true" outlineLevel="0" collapsed="false">
      <c r="A335" s="5" t="n">
        <v>12</v>
      </c>
      <c r="B335" s="5" t="n">
        <v>56</v>
      </c>
      <c r="C335" s="5" t="n">
        <v>264540650</v>
      </c>
      <c r="D335" s="5" t="n">
        <v>43.0216</v>
      </c>
      <c r="E335" s="5" t="n">
        <v>264.54065</v>
      </c>
    </row>
    <row r="336" customFormat="false" ht="12.75" hidden="false" customHeight="true" outlineLevel="0" collapsed="false">
      <c r="A336" s="5" t="n">
        <v>12</v>
      </c>
      <c r="B336" s="5" t="n">
        <v>56.5</v>
      </c>
      <c r="C336" s="5" t="n">
        <v>286415157</v>
      </c>
      <c r="D336" s="5" t="n">
        <v>44.4432</v>
      </c>
      <c r="E336" s="5" t="n">
        <v>286.415157</v>
      </c>
    </row>
    <row r="337" customFormat="false" ht="12.75" hidden="false" customHeight="true" outlineLevel="0" collapsed="false">
      <c r="A337" s="5" t="n">
        <v>12</v>
      </c>
      <c r="B337" s="5" t="n">
        <v>57</v>
      </c>
      <c r="C337" s="5" t="n">
        <v>308983346</v>
      </c>
      <c r="D337" s="5" t="n">
        <v>45.8232</v>
      </c>
      <c r="E337" s="5" t="n">
        <v>308.983346</v>
      </c>
    </row>
    <row r="338" customFormat="false" ht="12.75" hidden="false" customHeight="true" outlineLevel="0" collapsed="false">
      <c r="A338" s="5" t="n">
        <v>12</v>
      </c>
      <c r="B338" s="5" t="n">
        <v>57.25</v>
      </c>
      <c r="C338" s="5" t="n">
        <v>320523791</v>
      </c>
      <c r="D338" s="5" t="n">
        <v>46.4988</v>
      </c>
      <c r="E338" s="5" t="n">
        <v>320.523791</v>
      </c>
    </row>
    <row r="339" customFormat="false" ht="12.75" hidden="false" customHeight="true" outlineLevel="0" collapsed="false">
      <c r="A339" s="5" t="n">
        <v>12</v>
      </c>
      <c r="B339" s="5" t="n">
        <v>57.5</v>
      </c>
      <c r="C339" s="5" t="n">
        <v>335000000</v>
      </c>
      <c r="D339" s="5" t="n">
        <v>48.4</v>
      </c>
      <c r="E339" s="5" t="n">
        <v>335</v>
      </c>
    </row>
    <row r="340" customFormat="false" ht="12.75" hidden="false" customHeight="true" outlineLevel="0" collapsed="false">
      <c r="A340" s="5" t="n">
        <v>12</v>
      </c>
      <c r="B340" s="5" t="n">
        <v>58</v>
      </c>
      <c r="C340" s="5" t="n">
        <v>360000000</v>
      </c>
      <c r="D340" s="5" t="n">
        <v>50.4</v>
      </c>
      <c r="E340" s="5" t="n">
        <v>360</v>
      </c>
    </row>
    <row r="341" customFormat="false" ht="12.75" hidden="false" customHeight="true" outlineLevel="0" collapsed="false">
      <c r="A341" s="5" t="n">
        <v>12</v>
      </c>
      <c r="B341" s="5" t="n">
        <v>59</v>
      </c>
      <c r="C341" s="5" t="n">
        <v>414000000</v>
      </c>
      <c r="D341" s="5" t="n">
        <v>54.2</v>
      </c>
      <c r="E341" s="5" t="n">
        <v>414</v>
      </c>
    </row>
    <row r="342" customFormat="false" ht="12.75" hidden="false" customHeight="true" outlineLevel="0" collapsed="false">
      <c r="A342" s="5" t="n">
        <v>12</v>
      </c>
      <c r="B342" s="5" t="n">
        <v>60</v>
      </c>
      <c r="C342" s="5" t="n">
        <v>470100000</v>
      </c>
      <c r="D342" s="5" t="n">
        <v>58</v>
      </c>
      <c r="E342" s="5" t="n">
        <v>470.1</v>
      </c>
    </row>
    <row r="343" customFormat="false" ht="12.75" hidden="false" customHeight="true" outlineLevel="0" collapsed="false">
      <c r="A343" s="5" t="n">
        <v>13</v>
      </c>
      <c r="B343" s="5" t="n">
        <v>200</v>
      </c>
      <c r="C343" s="5" t="n">
        <v>0</v>
      </c>
      <c r="D343" s="5" t="n">
        <v>0</v>
      </c>
      <c r="E343" s="5" t="n">
        <v>0</v>
      </c>
    </row>
    <row r="344" customFormat="false" ht="12.75" hidden="false" customHeight="true" outlineLevel="0" collapsed="false">
      <c r="A344" s="5" t="n">
        <v>13</v>
      </c>
      <c r="B344" s="5" t="n">
        <v>205</v>
      </c>
      <c r="C344" s="5" t="n">
        <v>8500000</v>
      </c>
      <c r="D344" s="5" t="n">
        <v>3.4</v>
      </c>
      <c r="E344" s="5" t="n">
        <v>8.5</v>
      </c>
    </row>
    <row r="345" customFormat="false" ht="12.75" hidden="false" customHeight="true" outlineLevel="0" collapsed="false">
      <c r="A345" s="5" t="n">
        <v>13</v>
      </c>
      <c r="B345" s="5" t="n">
        <v>207.2</v>
      </c>
      <c r="C345" s="5" t="n">
        <v>16510000</v>
      </c>
      <c r="D345" s="5" t="n">
        <v>3.88</v>
      </c>
      <c r="E345" s="5" t="n">
        <v>16.51</v>
      </c>
    </row>
    <row r="346" customFormat="false" ht="12.75" hidden="false" customHeight="true" outlineLevel="0" collapsed="false">
      <c r="A346" s="5" t="n">
        <v>13</v>
      </c>
      <c r="B346" s="5" t="n">
        <v>208</v>
      </c>
      <c r="C346" s="5" t="n">
        <v>20250000</v>
      </c>
      <c r="D346" s="5" t="n">
        <v>5.46</v>
      </c>
      <c r="E346" s="5" t="n">
        <v>20.25</v>
      </c>
    </row>
    <row r="347" customFormat="false" ht="12.75" hidden="false" customHeight="true" outlineLevel="0" collapsed="false">
      <c r="A347" s="5" t="n">
        <v>13</v>
      </c>
      <c r="B347" s="5" t="n">
        <v>209</v>
      </c>
      <c r="C347" s="5" t="n">
        <v>25750000</v>
      </c>
      <c r="D347" s="5" t="n">
        <v>5.53</v>
      </c>
      <c r="E347" s="5" t="n">
        <v>25.75</v>
      </c>
    </row>
    <row r="348" customFormat="false" ht="12.75" hidden="false" customHeight="true" outlineLevel="0" collapsed="false">
      <c r="A348" s="5" t="n">
        <v>13</v>
      </c>
      <c r="B348" s="5" t="n">
        <v>210</v>
      </c>
      <c r="C348" s="5" t="n">
        <v>32750000</v>
      </c>
      <c r="D348" s="5" t="n">
        <v>7.2</v>
      </c>
      <c r="E348" s="5" t="n">
        <v>32.75</v>
      </c>
    </row>
    <row r="349" customFormat="false" ht="12.75" hidden="false" customHeight="true" outlineLevel="0" collapsed="false">
      <c r="A349" s="5" t="n">
        <v>13</v>
      </c>
      <c r="B349" s="5" t="n">
        <v>211</v>
      </c>
      <c r="C349" s="5" t="n">
        <v>40250000</v>
      </c>
      <c r="D349" s="5" t="n">
        <v>8.25</v>
      </c>
      <c r="E349" s="5" t="n">
        <v>40.25</v>
      </c>
    </row>
    <row r="350" customFormat="false" ht="12.75" hidden="false" customHeight="true" outlineLevel="0" collapsed="false">
      <c r="A350" s="5" t="n">
        <v>13</v>
      </c>
      <c r="B350" s="5" t="n">
        <v>212</v>
      </c>
      <c r="C350" s="5" t="n">
        <v>50000000</v>
      </c>
      <c r="D350" s="5" t="n">
        <v>9.5</v>
      </c>
      <c r="E350" s="5" t="n">
        <v>50</v>
      </c>
    </row>
    <row r="351" customFormat="false" ht="12.75" hidden="false" customHeight="true" outlineLevel="0" collapsed="false">
      <c r="A351" s="5" t="n">
        <v>13</v>
      </c>
      <c r="B351" s="5" t="n">
        <v>213</v>
      </c>
      <c r="C351" s="5" t="n">
        <v>61250000</v>
      </c>
      <c r="D351" s="5" t="n">
        <v>10.75</v>
      </c>
      <c r="E351" s="5" t="n">
        <v>61.25</v>
      </c>
    </row>
    <row r="352" customFormat="false" ht="12.75" hidden="false" customHeight="true" outlineLevel="0" collapsed="false">
      <c r="A352" s="5" t="n">
        <v>13</v>
      </c>
      <c r="B352" s="5" t="n">
        <v>214</v>
      </c>
      <c r="C352" s="5" t="n">
        <v>73000000</v>
      </c>
      <c r="D352" s="5" t="n">
        <v>12.15</v>
      </c>
      <c r="E352" s="5" t="n">
        <v>73</v>
      </c>
    </row>
    <row r="353" customFormat="false" ht="12.75" hidden="false" customHeight="true" outlineLevel="0" collapsed="false">
      <c r="A353" s="5" t="n">
        <v>13</v>
      </c>
      <c r="B353" s="5" t="n">
        <v>215</v>
      </c>
      <c r="C353" s="5" t="n">
        <v>86250000</v>
      </c>
      <c r="D353" s="5" t="n">
        <v>13.55</v>
      </c>
      <c r="E353" s="5" t="n">
        <v>86.25</v>
      </c>
    </row>
    <row r="354" customFormat="false" ht="12.75" hidden="false" customHeight="true" outlineLevel="0" collapsed="false">
      <c r="A354" s="5" t="n">
        <v>13</v>
      </c>
      <c r="B354" s="5" t="n">
        <v>216</v>
      </c>
      <c r="C354" s="5" t="n">
        <v>102000000</v>
      </c>
      <c r="D354" s="5" t="n">
        <v>15.1</v>
      </c>
      <c r="E354" s="5" t="n">
        <v>102</v>
      </c>
    </row>
    <row r="355" customFormat="false" ht="12.75" hidden="false" customHeight="true" outlineLevel="0" collapsed="false">
      <c r="A355" s="5" t="n">
        <v>13</v>
      </c>
      <c r="B355" s="5" t="n">
        <v>217</v>
      </c>
      <c r="C355" s="5" t="n">
        <v>118000000</v>
      </c>
      <c r="D355" s="5" t="n">
        <v>16.75</v>
      </c>
      <c r="E355" s="5" t="n">
        <v>118</v>
      </c>
    </row>
    <row r="356" customFormat="false" ht="12.75" hidden="false" customHeight="true" outlineLevel="0" collapsed="false">
      <c r="A356" s="5" t="n">
        <v>13</v>
      </c>
      <c r="B356" s="5" t="n">
        <v>218</v>
      </c>
      <c r="C356" s="5" t="n">
        <v>134200000</v>
      </c>
      <c r="D356" s="5" t="n">
        <v>18.45</v>
      </c>
      <c r="E356" s="5" t="n">
        <v>134.2</v>
      </c>
    </row>
    <row r="357" customFormat="false" ht="12.75" hidden="false" customHeight="true" outlineLevel="0" collapsed="false">
      <c r="A357" s="5" t="n">
        <v>13</v>
      </c>
      <c r="B357" s="5" t="n">
        <v>218.5</v>
      </c>
      <c r="C357" s="5" t="n">
        <v>143000000</v>
      </c>
      <c r="D357" s="5" t="n">
        <v>19.53</v>
      </c>
      <c r="E357" s="5" t="n">
        <v>143</v>
      </c>
    </row>
    <row r="358" customFormat="false" ht="12.75" hidden="false" customHeight="true" outlineLevel="0" collapsed="false">
      <c r="A358" s="5" t="n">
        <v>14</v>
      </c>
      <c r="B358" s="5" t="n">
        <v>52.17</v>
      </c>
      <c r="C358" s="5" t="n">
        <v>0</v>
      </c>
      <c r="D358" s="5" t="n">
        <v>0</v>
      </c>
      <c r="E358" s="5" t="n">
        <v>0</v>
      </c>
    </row>
    <row r="359" customFormat="false" ht="12.75" hidden="false" customHeight="true" outlineLevel="0" collapsed="false">
      <c r="A359" s="5" t="n">
        <v>14</v>
      </c>
      <c r="B359" s="5" t="n">
        <v>55</v>
      </c>
      <c r="C359" s="5" t="n">
        <v>20000</v>
      </c>
      <c r="D359" s="5" t="n">
        <v>0.02</v>
      </c>
      <c r="E359" s="5" t="n">
        <v>0.02</v>
      </c>
    </row>
    <row r="360" customFormat="false" ht="12.75" hidden="false" customHeight="true" outlineLevel="0" collapsed="false">
      <c r="A360" s="5" t="n">
        <v>14</v>
      </c>
      <c r="B360" s="5" t="n">
        <v>60</v>
      </c>
      <c r="C360" s="5" t="n">
        <v>200000</v>
      </c>
      <c r="D360" s="5" t="n">
        <v>0.05</v>
      </c>
      <c r="E360" s="5" t="n">
        <v>0.2</v>
      </c>
    </row>
    <row r="361" customFormat="false" ht="12.75" hidden="false" customHeight="true" outlineLevel="0" collapsed="false">
      <c r="A361" s="5" t="n">
        <v>14</v>
      </c>
      <c r="B361" s="5" t="n">
        <v>65</v>
      </c>
      <c r="C361" s="5" t="n">
        <v>650000</v>
      </c>
      <c r="D361" s="5" t="n">
        <v>0.12</v>
      </c>
      <c r="E361" s="5" t="n">
        <v>0.65</v>
      </c>
    </row>
    <row r="362" customFormat="false" ht="12.75" hidden="false" customHeight="true" outlineLevel="0" collapsed="false">
      <c r="A362" s="5" t="n">
        <v>14</v>
      </c>
      <c r="B362" s="5" t="n">
        <v>70</v>
      </c>
      <c r="C362" s="5" t="n">
        <v>1600000</v>
      </c>
      <c r="D362" s="5" t="n">
        <v>0.25</v>
      </c>
      <c r="E362" s="5" t="n">
        <v>1.6</v>
      </c>
    </row>
    <row r="363" customFormat="false" ht="12.75" hidden="false" customHeight="true" outlineLevel="0" collapsed="false">
      <c r="A363" s="5" t="n">
        <v>14</v>
      </c>
      <c r="B363" s="5" t="n">
        <v>75</v>
      </c>
      <c r="C363" s="5" t="n">
        <v>3340000</v>
      </c>
      <c r="D363" s="5" t="n">
        <v>0.43</v>
      </c>
      <c r="E363" s="5" t="n">
        <v>3.34</v>
      </c>
    </row>
    <row r="364" customFormat="false" ht="12.75" hidden="false" customHeight="true" outlineLevel="0" collapsed="false">
      <c r="A364" s="5" t="n">
        <v>14</v>
      </c>
      <c r="B364" s="5" t="n">
        <v>80</v>
      </c>
      <c r="C364" s="5" t="n">
        <v>6260000</v>
      </c>
      <c r="D364" s="5" t="n">
        <v>0.73</v>
      </c>
      <c r="E364" s="5" t="n">
        <v>6.26</v>
      </c>
    </row>
    <row r="365" customFormat="false" ht="12.75" hidden="false" customHeight="true" outlineLevel="0" collapsed="false">
      <c r="A365" s="5" t="n">
        <v>14</v>
      </c>
      <c r="B365" s="5" t="n">
        <v>85</v>
      </c>
      <c r="C365" s="5" t="n">
        <v>10780000</v>
      </c>
      <c r="D365" s="5" t="n">
        <v>1.07</v>
      </c>
      <c r="E365" s="5" t="n">
        <v>10.78</v>
      </c>
    </row>
    <row r="366" customFormat="false" ht="12.75" hidden="false" customHeight="true" outlineLevel="0" collapsed="false">
      <c r="A366" s="5" t="n">
        <v>14</v>
      </c>
      <c r="B366" s="5" t="n">
        <v>90</v>
      </c>
      <c r="C366" s="5" t="n">
        <v>17200000</v>
      </c>
      <c r="D366" s="5" t="n">
        <v>1.49</v>
      </c>
      <c r="E366" s="5" t="n">
        <v>17.2</v>
      </c>
    </row>
    <row r="367" customFormat="false" ht="12.75" hidden="false" customHeight="true" outlineLevel="0" collapsed="false">
      <c r="A367" s="5" t="n">
        <v>14</v>
      </c>
      <c r="B367" s="5" t="n">
        <v>95</v>
      </c>
      <c r="C367" s="5" t="n">
        <v>25820000</v>
      </c>
      <c r="D367" s="5" t="n">
        <v>1.95</v>
      </c>
      <c r="E367" s="5" t="n">
        <v>25.82</v>
      </c>
    </row>
    <row r="368" customFormat="false" ht="12.75" hidden="false" customHeight="true" outlineLevel="0" collapsed="false">
      <c r="A368" s="5" t="n">
        <v>14</v>
      </c>
      <c r="B368" s="5" t="n">
        <v>98</v>
      </c>
      <c r="C368" s="5" t="n">
        <v>32500000</v>
      </c>
      <c r="D368" s="5" t="n">
        <v>2.45</v>
      </c>
      <c r="E368" s="5" t="n">
        <v>32.5</v>
      </c>
    </row>
    <row r="369" customFormat="false" ht="12.75" hidden="false" customHeight="true" outlineLevel="0" collapsed="false">
      <c r="A369" s="5" t="n">
        <v>14</v>
      </c>
      <c r="B369" s="5" t="n">
        <v>100</v>
      </c>
      <c r="C369" s="5" t="n">
        <v>38720000</v>
      </c>
      <c r="D369" s="5" t="n">
        <v>3.2</v>
      </c>
      <c r="E369" s="5" t="n">
        <v>38.72</v>
      </c>
    </row>
    <row r="370" customFormat="false" ht="12.75" hidden="false" customHeight="true" outlineLevel="0" collapsed="false">
      <c r="A370" s="5" t="n">
        <v>15</v>
      </c>
      <c r="B370" s="5" t="n">
        <v>388.5</v>
      </c>
      <c r="C370" s="5" t="n">
        <v>0</v>
      </c>
      <c r="D370" s="5" t="n">
        <v>0</v>
      </c>
      <c r="E370" s="5" t="n">
        <v>0</v>
      </c>
    </row>
    <row r="371" customFormat="false" ht="12.75" hidden="false" customHeight="true" outlineLevel="0" collapsed="false">
      <c r="A371" s="5" t="n">
        <v>15</v>
      </c>
      <c r="B371" s="5" t="n">
        <v>389</v>
      </c>
      <c r="C371" s="5" t="n">
        <v>110000</v>
      </c>
      <c r="D371" s="5" t="n">
        <v>0.08</v>
      </c>
      <c r="E371" s="5" t="n">
        <v>0.11</v>
      </c>
    </row>
    <row r="372" customFormat="false" ht="12.75" hidden="false" customHeight="true" outlineLevel="0" collapsed="false">
      <c r="A372" s="5" t="n">
        <v>15</v>
      </c>
      <c r="B372" s="5" t="n">
        <v>390</v>
      </c>
      <c r="C372" s="5" t="n">
        <v>140000</v>
      </c>
      <c r="D372" s="5" t="n">
        <v>0.16</v>
      </c>
      <c r="E372" s="5" t="n">
        <v>0.14</v>
      </c>
    </row>
    <row r="373" customFormat="false" ht="12.75" hidden="false" customHeight="true" outlineLevel="0" collapsed="false">
      <c r="A373" s="5" t="n">
        <v>15</v>
      </c>
      <c r="B373" s="5" t="n">
        <v>391</v>
      </c>
      <c r="C373" s="5" t="n">
        <v>340000</v>
      </c>
      <c r="D373" s="5" t="n">
        <v>0.25</v>
      </c>
      <c r="E373" s="5" t="n">
        <v>0.34</v>
      </c>
    </row>
    <row r="374" customFormat="false" ht="12.75" hidden="false" customHeight="true" outlineLevel="0" collapsed="false">
      <c r="A374" s="5" t="n">
        <v>15</v>
      </c>
      <c r="B374" s="5" t="n">
        <v>395</v>
      </c>
      <c r="C374" s="5" t="n">
        <v>1140000</v>
      </c>
      <c r="D374" s="5" t="n">
        <v>0.34</v>
      </c>
      <c r="E374" s="5" t="n">
        <v>1.14</v>
      </c>
    </row>
    <row r="375" customFormat="false" ht="12.75" hidden="false" customHeight="true" outlineLevel="0" collapsed="false">
      <c r="A375" s="5" t="n">
        <v>15</v>
      </c>
      <c r="B375" s="5" t="n">
        <v>400</v>
      </c>
      <c r="C375" s="5" t="n">
        <v>3890000</v>
      </c>
      <c r="D375" s="5" t="n">
        <v>0.75</v>
      </c>
      <c r="E375" s="5" t="n">
        <v>3.89</v>
      </c>
    </row>
    <row r="376" customFormat="false" ht="12.75" hidden="false" customHeight="true" outlineLevel="0" collapsed="false">
      <c r="A376" s="5" t="n">
        <v>15</v>
      </c>
      <c r="B376" s="5" t="n">
        <v>405</v>
      </c>
      <c r="C376" s="5" t="n">
        <v>8730000</v>
      </c>
      <c r="D376" s="5" t="n">
        <v>1.17</v>
      </c>
      <c r="E376" s="5" t="n">
        <v>8.73</v>
      </c>
    </row>
    <row r="377" customFormat="false" ht="12.75" hidden="false" customHeight="true" outlineLevel="0" collapsed="false">
      <c r="A377" s="5" t="n">
        <v>15</v>
      </c>
      <c r="B377" s="5" t="n">
        <v>410</v>
      </c>
      <c r="C377" s="5" t="n">
        <v>15660000</v>
      </c>
      <c r="D377" s="5" t="n">
        <v>1.59</v>
      </c>
      <c r="E377" s="5" t="n">
        <v>15.66</v>
      </c>
    </row>
    <row r="378" customFormat="false" ht="12.75" hidden="false" customHeight="true" outlineLevel="0" collapsed="false">
      <c r="A378" s="5" t="n">
        <v>15</v>
      </c>
      <c r="B378" s="5" t="n">
        <v>415</v>
      </c>
      <c r="C378" s="5" t="n">
        <v>24830000</v>
      </c>
      <c r="D378" s="5" t="n">
        <v>2.07</v>
      </c>
      <c r="E378" s="5" t="n">
        <v>24.83</v>
      </c>
    </row>
    <row r="379" customFormat="false" ht="12.75" hidden="false" customHeight="true" outlineLevel="0" collapsed="false">
      <c r="A379" s="5" t="n">
        <v>15</v>
      </c>
      <c r="B379" s="5" t="n">
        <v>418</v>
      </c>
      <c r="C379" s="5" t="n">
        <v>31780000</v>
      </c>
      <c r="D379" s="5" t="n">
        <v>2.36</v>
      </c>
      <c r="E379" s="5" t="n">
        <v>31.78</v>
      </c>
    </row>
    <row r="380" customFormat="false" ht="12.75" hidden="false" customHeight="true" outlineLevel="0" collapsed="false">
      <c r="A380" s="5" t="n">
        <v>15</v>
      </c>
      <c r="B380" s="5" t="n">
        <v>420</v>
      </c>
      <c r="C380" s="5" t="n">
        <v>36410000</v>
      </c>
      <c r="D380" s="5" t="n">
        <v>2.55</v>
      </c>
      <c r="E380" s="5" t="n">
        <v>36.41</v>
      </c>
    </row>
    <row r="381" customFormat="false" ht="12.75" hidden="false" customHeight="true" outlineLevel="0" collapsed="false">
      <c r="A381" s="5" t="n">
        <v>16</v>
      </c>
      <c r="B381" s="5" t="n">
        <v>92.05</v>
      </c>
      <c r="C381" s="5" t="n">
        <v>0</v>
      </c>
      <c r="D381" s="5" t="n">
        <v>0</v>
      </c>
      <c r="E381" s="5" t="n">
        <v>0</v>
      </c>
    </row>
    <row r="382" customFormat="false" ht="12.75" hidden="false" customHeight="true" outlineLevel="0" collapsed="false">
      <c r="A382" s="5" t="n">
        <v>16</v>
      </c>
      <c r="B382" s="5" t="n">
        <v>93</v>
      </c>
      <c r="C382" s="5" t="n">
        <v>129</v>
      </c>
      <c r="D382" s="5" t="n">
        <v>0.001</v>
      </c>
      <c r="E382" s="5" t="n">
        <v>0.000129</v>
      </c>
    </row>
    <row r="383" customFormat="false" ht="12.75" hidden="false" customHeight="true" outlineLevel="0" collapsed="false">
      <c r="A383" s="5" t="n">
        <v>16</v>
      </c>
      <c r="B383" s="5" t="n">
        <v>93.5</v>
      </c>
      <c r="C383" s="5" t="n">
        <v>3692</v>
      </c>
      <c r="D383" s="5" t="n">
        <v>0.02</v>
      </c>
      <c r="E383" s="5" t="n">
        <v>0.003692</v>
      </c>
    </row>
    <row r="384" customFormat="false" ht="12.75" hidden="false" customHeight="true" outlineLevel="0" collapsed="false">
      <c r="A384" s="5" t="n">
        <v>16</v>
      </c>
      <c r="B384" s="5" t="n">
        <v>94</v>
      </c>
      <c r="C384" s="5" t="n">
        <v>21203</v>
      </c>
      <c r="D384" s="5" t="n">
        <v>0.049</v>
      </c>
      <c r="E384" s="5" t="n">
        <v>0.021203</v>
      </c>
    </row>
    <row r="385" customFormat="false" ht="12.75" hidden="false" customHeight="true" outlineLevel="0" collapsed="false">
      <c r="A385" s="5" t="n">
        <v>16</v>
      </c>
      <c r="B385" s="5" t="n">
        <v>94.5</v>
      </c>
      <c r="C385" s="5" t="n">
        <v>51310</v>
      </c>
      <c r="D385" s="5" t="n">
        <v>0.071</v>
      </c>
      <c r="E385" s="5" t="n">
        <v>0.05131</v>
      </c>
    </row>
    <row r="386" customFormat="false" ht="12.75" hidden="false" customHeight="true" outlineLevel="0" collapsed="false">
      <c r="A386" s="5" t="n">
        <v>16</v>
      </c>
      <c r="B386" s="5" t="n">
        <v>95</v>
      </c>
      <c r="C386" s="5" t="n">
        <v>90852</v>
      </c>
      <c r="D386" s="5" t="n">
        <v>0.088</v>
      </c>
      <c r="E386" s="5" t="n">
        <v>0.090852</v>
      </c>
    </row>
    <row r="387" customFormat="false" ht="12.75" hidden="false" customHeight="true" outlineLevel="0" collapsed="false">
      <c r="A387" s="5" t="n">
        <v>16</v>
      </c>
      <c r="B387" s="5" t="n">
        <v>95.5</v>
      </c>
      <c r="C387" s="5" t="n">
        <v>138834</v>
      </c>
      <c r="D387" s="5" t="n">
        <v>0.106</v>
      </c>
      <c r="E387" s="5" t="n">
        <v>0.138834</v>
      </c>
    </row>
    <row r="388" customFormat="false" ht="12.75" hidden="false" customHeight="true" outlineLevel="0" collapsed="false">
      <c r="A388" s="5" t="n">
        <v>16</v>
      </c>
      <c r="B388" s="5" t="n">
        <v>96</v>
      </c>
      <c r="C388" s="5" t="n">
        <v>196732</v>
      </c>
      <c r="D388" s="5" t="n">
        <v>0.127</v>
      </c>
      <c r="E388" s="5" t="n">
        <v>0.196732</v>
      </c>
    </row>
    <row r="389" customFormat="false" ht="12.75" hidden="false" customHeight="true" outlineLevel="0" collapsed="false">
      <c r="A389" s="5" t="n">
        <v>16</v>
      </c>
      <c r="B389" s="5" t="n">
        <v>96.5</v>
      </c>
      <c r="C389" s="5" t="n">
        <v>267455</v>
      </c>
      <c r="D389" s="5" t="n">
        <v>0.164</v>
      </c>
      <c r="E389" s="5" t="n">
        <v>0.267455</v>
      </c>
    </row>
    <row r="390" customFormat="false" ht="12.75" hidden="false" customHeight="true" outlineLevel="0" collapsed="false">
      <c r="A390" s="5" t="n">
        <v>16</v>
      </c>
      <c r="B390" s="5" t="n">
        <v>97</v>
      </c>
      <c r="C390" s="5" t="n">
        <v>369402</v>
      </c>
      <c r="D390" s="5" t="n">
        <v>0.259</v>
      </c>
      <c r="E390" s="5" t="n">
        <v>0.369402</v>
      </c>
    </row>
    <row r="391" customFormat="false" ht="12.75" hidden="false" customHeight="true" outlineLevel="0" collapsed="false">
      <c r="A391" s="5" t="n">
        <v>16</v>
      </c>
      <c r="B391" s="5" t="n">
        <v>97.5</v>
      </c>
      <c r="C391" s="5" t="n">
        <v>533091</v>
      </c>
      <c r="D391" s="5" t="n">
        <v>0.424</v>
      </c>
      <c r="E391" s="5" t="n">
        <v>0.533091</v>
      </c>
    </row>
    <row r="392" customFormat="false" ht="12.75" hidden="false" customHeight="true" outlineLevel="0" collapsed="false">
      <c r="A392" s="5" t="n">
        <v>16</v>
      </c>
      <c r="B392" s="5" t="n">
        <v>98</v>
      </c>
      <c r="C392" s="5" t="n">
        <v>819066</v>
      </c>
      <c r="D392" s="5" t="n">
        <v>0.732</v>
      </c>
      <c r="E392" s="5" t="n">
        <v>0.819066</v>
      </c>
    </row>
    <row r="393" customFormat="false" ht="12.75" hidden="false" customHeight="true" outlineLevel="0" collapsed="false">
      <c r="A393" s="5" t="n">
        <v>16</v>
      </c>
      <c r="B393" s="5" t="n">
        <v>98.5</v>
      </c>
      <c r="C393" s="5" t="n">
        <v>1260378</v>
      </c>
      <c r="D393" s="5" t="n">
        <v>1.058</v>
      </c>
      <c r="E393" s="5" t="n">
        <v>1.260378</v>
      </c>
    </row>
    <row r="394" customFormat="false" ht="12.75" hidden="false" customHeight="true" outlineLevel="0" collapsed="false">
      <c r="A394" s="5" t="n">
        <v>16</v>
      </c>
      <c r="B394" s="5" t="n">
        <v>99</v>
      </c>
      <c r="C394" s="5" t="n">
        <v>1871937</v>
      </c>
      <c r="D394" s="5" t="n">
        <v>1.405</v>
      </c>
      <c r="E394" s="5" t="n">
        <v>1.871937</v>
      </c>
    </row>
    <row r="395" customFormat="false" ht="12.75" hidden="false" customHeight="true" outlineLevel="0" collapsed="false">
      <c r="A395" s="5" t="n">
        <v>16</v>
      </c>
      <c r="B395" s="5" t="n">
        <v>99.5</v>
      </c>
      <c r="C395" s="5" t="n">
        <v>2639875</v>
      </c>
      <c r="D395" s="5" t="n">
        <v>1.689</v>
      </c>
      <c r="E395" s="5" t="n">
        <v>2.639875</v>
      </c>
    </row>
    <row r="396" customFormat="false" ht="12.75" hidden="false" customHeight="true" outlineLevel="0" collapsed="false">
      <c r="A396" s="5" t="n">
        <v>16</v>
      </c>
      <c r="B396" s="5" t="n">
        <v>100</v>
      </c>
      <c r="C396" s="5" t="n">
        <v>3531119</v>
      </c>
      <c r="D396" s="5" t="n">
        <v>1.904</v>
      </c>
      <c r="E396" s="5" t="n">
        <v>3.531119</v>
      </c>
    </row>
    <row r="397" customFormat="false" ht="12.75" hidden="false" customHeight="true" outlineLevel="0" collapsed="false">
      <c r="A397" s="5" t="n">
        <v>16</v>
      </c>
      <c r="B397" s="5" t="n">
        <v>100.5</v>
      </c>
      <c r="C397" s="5" t="n">
        <v>4508603</v>
      </c>
      <c r="D397" s="5" t="n">
        <v>2.042</v>
      </c>
      <c r="E397" s="5" t="n">
        <v>4.508603</v>
      </c>
    </row>
    <row r="398" customFormat="false" ht="12.75" hidden="false" customHeight="true" outlineLevel="0" collapsed="false">
      <c r="A398" s="5" t="n">
        <v>16</v>
      </c>
      <c r="B398" s="5" t="n">
        <v>101</v>
      </c>
      <c r="C398" s="5" t="n">
        <v>5549242</v>
      </c>
      <c r="D398" s="5" t="n">
        <v>2.168</v>
      </c>
      <c r="E398" s="5" t="n">
        <v>5.549242</v>
      </c>
    </row>
    <row r="399" customFormat="false" ht="12.75" hidden="false" customHeight="true" outlineLevel="0" collapsed="false">
      <c r="A399" s="5" t="n">
        <v>16</v>
      </c>
      <c r="B399" s="5" t="n">
        <v>101.5</v>
      </c>
      <c r="C399" s="5" t="n">
        <v>6656492</v>
      </c>
      <c r="D399" s="5" t="n">
        <v>2.361</v>
      </c>
      <c r="E399" s="5" t="n">
        <v>6.656492</v>
      </c>
    </row>
    <row r="400" customFormat="false" ht="12.75" hidden="false" customHeight="true" outlineLevel="0" collapsed="false">
      <c r="A400" s="5" t="n">
        <v>16</v>
      </c>
      <c r="B400" s="5" t="n">
        <v>102</v>
      </c>
      <c r="C400" s="5" t="n">
        <v>7889412</v>
      </c>
      <c r="D400" s="5" t="n">
        <v>2.569</v>
      </c>
      <c r="E400" s="5" t="n">
        <v>7.889412</v>
      </c>
    </row>
    <row r="401" customFormat="false" ht="12.75" hidden="false" customHeight="true" outlineLevel="0" collapsed="false">
      <c r="A401" s="5" t="n">
        <v>17</v>
      </c>
      <c r="B401" s="5" t="n">
        <v>101.2</v>
      </c>
      <c r="C401" s="5" t="n">
        <v>0</v>
      </c>
      <c r="D401" s="5" t="n">
        <v>0</v>
      </c>
      <c r="E401" s="5" t="n">
        <v>0</v>
      </c>
    </row>
    <row r="402" customFormat="false" ht="12.75" hidden="false" customHeight="true" outlineLevel="0" collapsed="false">
      <c r="A402" s="5" t="n">
        <v>17</v>
      </c>
      <c r="B402" s="5" t="n">
        <v>102</v>
      </c>
      <c r="C402" s="5" t="n">
        <v>527</v>
      </c>
      <c r="D402" s="5" t="n">
        <v>0.0035</v>
      </c>
      <c r="E402" s="5" t="n">
        <v>0.000527</v>
      </c>
    </row>
    <row r="403" customFormat="false" ht="12.75" hidden="false" customHeight="true" outlineLevel="0" collapsed="false">
      <c r="A403" s="5" t="n">
        <v>17</v>
      </c>
      <c r="B403" s="5" t="n">
        <v>103</v>
      </c>
      <c r="C403" s="5" t="n">
        <v>19442</v>
      </c>
      <c r="D403" s="5" t="n">
        <v>0.0395</v>
      </c>
      <c r="E403" s="5" t="n">
        <v>0.019442</v>
      </c>
    </row>
    <row r="404" customFormat="false" ht="12.75" hidden="false" customHeight="true" outlineLevel="0" collapsed="false">
      <c r="A404" s="5" t="n">
        <v>17</v>
      </c>
      <c r="B404" s="5" t="n">
        <v>104</v>
      </c>
      <c r="C404" s="5" t="n">
        <v>93208</v>
      </c>
      <c r="D404" s="5" t="n">
        <v>0.1211</v>
      </c>
      <c r="E404" s="5" t="n">
        <v>0.093208</v>
      </c>
    </row>
    <row r="405" customFormat="false" ht="12.75" hidden="false" customHeight="true" outlineLevel="0" collapsed="false">
      <c r="A405" s="5" t="n">
        <v>17</v>
      </c>
      <c r="B405" s="5" t="n">
        <v>105</v>
      </c>
      <c r="C405" s="5" t="n">
        <v>295286</v>
      </c>
      <c r="D405" s="5" t="n">
        <v>0.3035</v>
      </c>
      <c r="E405" s="5" t="n">
        <v>0.295286</v>
      </c>
    </row>
    <row r="406" customFormat="false" ht="12.75" hidden="false" customHeight="true" outlineLevel="0" collapsed="false">
      <c r="A406" s="5" t="n">
        <v>17</v>
      </c>
      <c r="B406" s="5" t="n">
        <v>106</v>
      </c>
      <c r="C406" s="5" t="n">
        <v>742634</v>
      </c>
      <c r="D406" s="5" t="n">
        <v>0.6126</v>
      </c>
      <c r="E406" s="5" t="n">
        <v>0.742634</v>
      </c>
    </row>
    <row r="407" customFormat="false" ht="12.75" hidden="false" customHeight="true" outlineLevel="0" collapsed="false">
      <c r="A407" s="5" t="n">
        <v>17</v>
      </c>
      <c r="B407" s="5" t="n">
        <v>107</v>
      </c>
      <c r="C407" s="5" t="n">
        <v>1586842</v>
      </c>
      <c r="D407" s="5" t="n">
        <v>1.1026</v>
      </c>
      <c r="E407" s="5" t="n">
        <v>1.586842</v>
      </c>
    </row>
    <row r="408" customFormat="false" ht="12.75" hidden="false" customHeight="true" outlineLevel="0" collapsed="false">
      <c r="A408" s="5" t="n">
        <v>17</v>
      </c>
      <c r="B408" s="5" t="n">
        <v>108</v>
      </c>
      <c r="C408" s="5" t="n">
        <v>3058416</v>
      </c>
      <c r="D408" s="5" t="n">
        <v>1.9036</v>
      </c>
      <c r="E408" s="5" t="n">
        <v>3.058416</v>
      </c>
    </row>
    <row r="409" customFormat="false" ht="12.75" hidden="false" customHeight="true" outlineLevel="0" collapsed="false">
      <c r="A409" s="5" t="n">
        <v>17</v>
      </c>
      <c r="B409" s="5" t="n">
        <v>109</v>
      </c>
      <c r="C409" s="5" t="n">
        <v>5384041</v>
      </c>
      <c r="D409" s="5" t="n">
        <v>2.6733</v>
      </c>
      <c r="E409" s="5" t="n">
        <v>5.384041</v>
      </c>
    </row>
    <row r="410" customFormat="false" ht="12.75" hidden="false" customHeight="true" outlineLevel="0" collapsed="false">
      <c r="A410" s="5" t="n">
        <v>17</v>
      </c>
      <c r="B410" s="5" t="n">
        <v>110</v>
      </c>
      <c r="C410" s="5" t="n">
        <v>8232259</v>
      </c>
      <c r="D410" s="5" t="n">
        <v>2.9599</v>
      </c>
      <c r="E410" s="5" t="n">
        <v>8.232259</v>
      </c>
    </row>
    <row r="411" customFormat="false" ht="12.75" hidden="false" customHeight="true" outlineLevel="0" collapsed="false">
      <c r="A411" s="5" t="n">
        <v>17</v>
      </c>
      <c r="B411" s="5" t="n">
        <v>110.4</v>
      </c>
      <c r="C411" s="5" t="n">
        <v>9431523</v>
      </c>
      <c r="D411" s="5" t="n">
        <v>3.0365</v>
      </c>
      <c r="E411" s="5" t="n">
        <v>9.431523</v>
      </c>
    </row>
    <row r="412" customFormat="false" ht="12.75" hidden="false" customHeight="true" outlineLevel="0" collapsed="false">
      <c r="A412" s="5" t="n">
        <v>17</v>
      </c>
      <c r="B412" s="5" t="n">
        <v>112</v>
      </c>
      <c r="C412" s="5" t="n">
        <v>16075357</v>
      </c>
      <c r="D412" s="5" t="n">
        <v>4.0538</v>
      </c>
      <c r="E412" s="5" t="n">
        <v>16.075357</v>
      </c>
    </row>
    <row r="413" customFormat="false" ht="12.75" hidden="false" customHeight="true" outlineLevel="0" collapsed="false">
      <c r="A413" s="5" t="n">
        <v>17</v>
      </c>
      <c r="B413" s="5" t="n">
        <v>114</v>
      </c>
      <c r="C413" s="5" t="n">
        <v>27295757</v>
      </c>
      <c r="D413" s="5" t="n">
        <v>5.505</v>
      </c>
      <c r="E413" s="5" t="n">
        <v>27.295757</v>
      </c>
    </row>
    <row r="414" customFormat="false" ht="12.75" hidden="false" customHeight="true" outlineLevel="0" collapsed="false">
      <c r="A414" s="5" t="n">
        <v>17</v>
      </c>
      <c r="B414" s="5" t="n">
        <v>116</v>
      </c>
      <c r="C414" s="5" t="n">
        <v>41443357</v>
      </c>
      <c r="D414" s="5" t="n">
        <v>6.9694</v>
      </c>
      <c r="E414" s="5" t="n">
        <v>41.443357</v>
      </c>
    </row>
    <row r="415" customFormat="false" ht="12.75" hidden="false" customHeight="true" outlineLevel="0" collapsed="false">
      <c r="A415" s="5" t="n">
        <v>17</v>
      </c>
      <c r="B415" s="5" t="n">
        <v>118</v>
      </c>
      <c r="C415" s="5" t="n">
        <v>58434157</v>
      </c>
      <c r="D415" s="5" t="n">
        <v>8.4322</v>
      </c>
      <c r="E415" s="5" t="n">
        <v>58.434157</v>
      </c>
    </row>
    <row r="416" customFormat="false" ht="12.75" hidden="false" customHeight="true" outlineLevel="0" collapsed="false">
      <c r="A416" s="5" t="n">
        <v>17</v>
      </c>
      <c r="B416" s="5" t="n">
        <v>118.6</v>
      </c>
      <c r="C416" s="5" t="n">
        <v>65204157</v>
      </c>
      <c r="D416" s="5" t="n">
        <v>9.127</v>
      </c>
      <c r="E416" s="5" t="n">
        <v>65.204157</v>
      </c>
    </row>
    <row r="417" customFormat="false" ht="12.75" hidden="false" customHeight="true" outlineLevel="0" collapsed="false">
      <c r="A417" s="5" t="n">
        <v>17</v>
      </c>
      <c r="B417" s="5" t="n">
        <v>120</v>
      </c>
      <c r="C417" s="5" t="n">
        <v>81323367</v>
      </c>
      <c r="D417" s="5" t="n">
        <v>10.48</v>
      </c>
      <c r="E417" s="5" t="n">
        <v>81.323367</v>
      </c>
    </row>
    <row r="418" customFormat="false" ht="12.75" hidden="false" customHeight="true" outlineLevel="0" collapsed="false">
      <c r="A418" s="5" t="n">
        <v>18</v>
      </c>
      <c r="B418" s="5" t="n">
        <v>86</v>
      </c>
      <c r="C418" s="5" t="n">
        <v>0</v>
      </c>
      <c r="D418" s="5" t="n">
        <v>0</v>
      </c>
      <c r="E418" s="5" t="n">
        <v>0</v>
      </c>
    </row>
    <row r="419" customFormat="false" ht="12.75" hidden="false" customHeight="true" outlineLevel="0" collapsed="false">
      <c r="A419" s="5" t="n">
        <v>18</v>
      </c>
      <c r="B419" s="5" t="n">
        <v>87</v>
      </c>
      <c r="C419" s="5" t="n">
        <v>190000</v>
      </c>
      <c r="D419" s="5" t="n">
        <v>0.16</v>
      </c>
      <c r="E419" s="5" t="n">
        <v>0.19</v>
      </c>
    </row>
    <row r="420" customFormat="false" ht="12.75" hidden="false" customHeight="true" outlineLevel="0" collapsed="false">
      <c r="A420" s="5" t="n">
        <v>18</v>
      </c>
      <c r="B420" s="5" t="n">
        <v>88</v>
      </c>
      <c r="C420" s="5" t="n">
        <v>400000</v>
      </c>
      <c r="D420" s="5" t="n">
        <v>0.27</v>
      </c>
      <c r="E420" s="5" t="n">
        <v>0.4</v>
      </c>
    </row>
    <row r="421" customFormat="false" ht="12.75" hidden="false" customHeight="true" outlineLevel="0" collapsed="false">
      <c r="A421" s="5" t="n">
        <v>18</v>
      </c>
      <c r="B421" s="5" t="n">
        <v>89</v>
      </c>
      <c r="C421" s="5" t="n">
        <v>740000</v>
      </c>
      <c r="D421" s="5" t="n">
        <v>0.4</v>
      </c>
      <c r="E421" s="5" t="n">
        <v>0.74</v>
      </c>
    </row>
    <row r="422" customFormat="false" ht="12.75" hidden="false" customHeight="true" outlineLevel="0" collapsed="false">
      <c r="A422" s="5" t="n">
        <v>18</v>
      </c>
      <c r="B422" s="5" t="n">
        <v>90</v>
      </c>
      <c r="C422" s="5" t="n">
        <v>1210000</v>
      </c>
      <c r="D422" s="5" t="n">
        <v>0.53</v>
      </c>
      <c r="E422" s="5" t="n">
        <v>1.21</v>
      </c>
    </row>
    <row r="423" customFormat="false" ht="12.75" hidden="false" customHeight="true" outlineLevel="0" collapsed="false">
      <c r="A423" s="5" t="n">
        <v>18</v>
      </c>
      <c r="B423" s="5" t="n">
        <v>91</v>
      </c>
      <c r="C423" s="5" t="n">
        <v>1810000</v>
      </c>
      <c r="D423" s="5" t="n">
        <v>0.66</v>
      </c>
      <c r="E423" s="5" t="n">
        <v>1.81</v>
      </c>
    </row>
    <row r="424" customFormat="false" ht="12.75" hidden="false" customHeight="true" outlineLevel="0" collapsed="false">
      <c r="A424" s="5" t="n">
        <v>18</v>
      </c>
      <c r="B424" s="5" t="n">
        <v>92</v>
      </c>
      <c r="C424" s="5" t="n">
        <v>2550000</v>
      </c>
      <c r="D424" s="5" t="n">
        <v>0.81</v>
      </c>
      <c r="E424" s="5" t="n">
        <v>2.55</v>
      </c>
    </row>
    <row r="425" customFormat="false" ht="12.75" hidden="false" customHeight="true" outlineLevel="0" collapsed="false">
      <c r="A425" s="5" t="n">
        <v>18</v>
      </c>
      <c r="B425" s="5" t="n">
        <v>93</v>
      </c>
      <c r="C425" s="5" t="n">
        <v>3480000</v>
      </c>
      <c r="D425" s="5" t="n">
        <v>1.04</v>
      </c>
      <c r="E425" s="5" t="n">
        <v>3.48</v>
      </c>
    </row>
    <row r="426" customFormat="false" ht="12.75" hidden="false" customHeight="true" outlineLevel="0" collapsed="false">
      <c r="A426" s="5" t="n">
        <v>18</v>
      </c>
      <c r="B426" s="5" t="n">
        <v>94</v>
      </c>
      <c r="C426" s="5" t="n">
        <v>4640000</v>
      </c>
      <c r="D426" s="5" t="n">
        <v>1.25</v>
      </c>
      <c r="E426" s="5" t="n">
        <v>4.64</v>
      </c>
    </row>
    <row r="427" customFormat="false" ht="12.75" hidden="false" customHeight="true" outlineLevel="0" collapsed="false">
      <c r="A427" s="5" t="n">
        <v>18</v>
      </c>
      <c r="B427" s="5" t="n">
        <v>95</v>
      </c>
      <c r="C427" s="5" t="n">
        <v>6040000</v>
      </c>
      <c r="D427" s="5" t="n">
        <v>1.45</v>
      </c>
      <c r="E427" s="5" t="n">
        <v>6.04</v>
      </c>
    </row>
    <row r="428" customFormat="false" ht="12.75" hidden="false" customHeight="true" outlineLevel="0" collapsed="false">
      <c r="A428" s="5" t="n">
        <v>18</v>
      </c>
      <c r="B428" s="5" t="n">
        <v>96</v>
      </c>
      <c r="C428" s="5" t="n">
        <v>8500000</v>
      </c>
      <c r="D428" s="5" t="n">
        <v>2</v>
      </c>
      <c r="E428" s="5" t="n">
        <v>8.5</v>
      </c>
    </row>
    <row r="429" customFormat="false" ht="12.75" hidden="false" customHeight="true" outlineLevel="0" collapsed="false">
      <c r="A429" s="5" t="n">
        <v>18</v>
      </c>
      <c r="B429" s="5" t="n">
        <v>97</v>
      </c>
      <c r="C429" s="5" t="n">
        <v>10000000</v>
      </c>
      <c r="D429" s="5" t="n">
        <v>3.5</v>
      </c>
      <c r="E429" s="5" t="n">
        <v>10</v>
      </c>
    </row>
    <row r="430" customFormat="false" ht="12.75" hidden="false" customHeight="true" outlineLevel="0" collapsed="false">
      <c r="A430" s="5" t="n">
        <v>19</v>
      </c>
      <c r="B430" s="5" t="n">
        <v>100.7</v>
      </c>
      <c r="C430" s="5" t="n">
        <v>0</v>
      </c>
      <c r="D430" s="5" t="n">
        <v>0</v>
      </c>
      <c r="E430" s="5" t="n">
        <v>0</v>
      </c>
    </row>
    <row r="431" customFormat="false" ht="12.75" hidden="false" customHeight="true" outlineLevel="0" collapsed="false">
      <c r="A431" s="5" t="n">
        <v>19</v>
      </c>
      <c r="B431" s="5" t="n">
        <v>101</v>
      </c>
      <c r="C431" s="5" t="n">
        <v>76500</v>
      </c>
      <c r="D431" s="5" t="n">
        <v>0.137</v>
      </c>
      <c r="E431" s="5" t="n">
        <v>0.0765</v>
      </c>
    </row>
    <row r="432" customFormat="false" ht="12.75" hidden="false" customHeight="true" outlineLevel="0" collapsed="false">
      <c r="A432" s="5" t="n">
        <v>19</v>
      </c>
      <c r="B432" s="5" t="n">
        <v>102</v>
      </c>
      <c r="C432" s="5" t="n">
        <v>315500</v>
      </c>
      <c r="D432" s="5" t="n">
        <v>0.341</v>
      </c>
      <c r="E432" s="5" t="n">
        <v>0.3155</v>
      </c>
    </row>
    <row r="433" customFormat="false" ht="12.75" hidden="false" customHeight="true" outlineLevel="0" collapsed="false">
      <c r="A433" s="5" t="n">
        <v>19</v>
      </c>
      <c r="B433" s="5" t="n">
        <v>103</v>
      </c>
      <c r="C433" s="5" t="n">
        <v>894000</v>
      </c>
      <c r="D433" s="5" t="n">
        <v>0.816</v>
      </c>
      <c r="E433" s="5" t="n">
        <v>0.894</v>
      </c>
    </row>
    <row r="434" customFormat="false" ht="12.75" hidden="false" customHeight="true" outlineLevel="0" collapsed="false">
      <c r="A434" s="5" t="n">
        <v>19</v>
      </c>
      <c r="B434" s="5" t="n">
        <v>104</v>
      </c>
      <c r="C434" s="5" t="n">
        <v>2080500</v>
      </c>
      <c r="D434" s="5" t="n">
        <v>1.557</v>
      </c>
      <c r="E434" s="5" t="n">
        <v>2.0805</v>
      </c>
    </row>
    <row r="435" customFormat="false" ht="12.75" hidden="false" customHeight="true" outlineLevel="0" collapsed="false">
      <c r="A435" s="5" t="n">
        <v>19</v>
      </c>
      <c r="B435" s="5" t="n">
        <v>105</v>
      </c>
      <c r="C435" s="5" t="n">
        <v>4034000</v>
      </c>
      <c r="D435" s="5" t="n">
        <v>2.35</v>
      </c>
      <c r="E435" s="5" t="n">
        <v>4.034</v>
      </c>
    </row>
    <row r="436" customFormat="false" ht="12.75" hidden="false" customHeight="true" outlineLevel="0" collapsed="false">
      <c r="A436" s="5" t="n">
        <v>19</v>
      </c>
      <c r="B436" s="5" t="n">
        <v>106</v>
      </c>
      <c r="C436" s="5" t="n">
        <v>5789500</v>
      </c>
      <c r="D436" s="5" t="n">
        <v>3.161</v>
      </c>
      <c r="E436" s="5" t="n">
        <v>5.7895</v>
      </c>
    </row>
    <row r="437" customFormat="false" ht="12.75" hidden="false" customHeight="true" outlineLevel="0" collapsed="false">
      <c r="A437" s="5" t="n">
        <v>19</v>
      </c>
      <c r="B437" s="5" t="n">
        <v>107</v>
      </c>
      <c r="C437" s="5" t="n">
        <v>10486000</v>
      </c>
      <c r="D437" s="5" t="n">
        <v>4.232</v>
      </c>
      <c r="E437" s="5" t="n">
        <v>10.486</v>
      </c>
    </row>
    <row r="438" customFormat="false" ht="12.75" hidden="false" customHeight="true" outlineLevel="0" collapsed="false">
      <c r="A438" s="5" t="n">
        <v>19</v>
      </c>
      <c r="B438" s="5" t="n">
        <v>108</v>
      </c>
      <c r="C438" s="5" t="n">
        <v>15395000</v>
      </c>
      <c r="D438" s="5" t="n">
        <v>5.586</v>
      </c>
      <c r="E438" s="5" t="n">
        <v>15.395</v>
      </c>
    </row>
    <row r="439" customFormat="false" ht="12.75" hidden="false" customHeight="true" outlineLevel="0" collapsed="false">
      <c r="A439" s="5" t="n">
        <v>19</v>
      </c>
      <c r="B439" s="5" t="n">
        <v>109</v>
      </c>
      <c r="C439" s="5" t="n">
        <v>21771000</v>
      </c>
      <c r="D439" s="5" t="n">
        <v>7.166</v>
      </c>
      <c r="E439" s="5" t="n">
        <v>21.771</v>
      </c>
    </row>
    <row r="440" customFormat="false" ht="12.75" hidden="false" customHeight="true" outlineLevel="0" collapsed="false">
      <c r="A440" s="5" t="n">
        <v>19</v>
      </c>
      <c r="B440" s="5" t="n">
        <v>109.28</v>
      </c>
      <c r="C440" s="5" t="n">
        <v>24000000</v>
      </c>
      <c r="D440" s="5" t="n">
        <v>7.604</v>
      </c>
      <c r="E440" s="5" t="n">
        <v>24</v>
      </c>
    </row>
    <row r="441" customFormat="false" ht="12.75" hidden="false" customHeight="true" outlineLevel="0" collapsed="false">
      <c r="A441" s="5" t="n">
        <v>19</v>
      </c>
      <c r="B441" s="5" t="n">
        <v>110</v>
      </c>
      <c r="C441" s="5" t="n">
        <v>29717000</v>
      </c>
      <c r="D441" s="5" t="n">
        <v>8.727</v>
      </c>
      <c r="E441" s="5" t="n">
        <v>29.717</v>
      </c>
    </row>
    <row r="442" customFormat="false" ht="12.75" hidden="false" customHeight="true" outlineLevel="0" collapsed="false">
      <c r="A442" s="5" t="n">
        <v>19</v>
      </c>
      <c r="B442" s="5" t="n">
        <v>111</v>
      </c>
      <c r="C442" s="5" t="n">
        <v>39700000</v>
      </c>
      <c r="D442" s="5" t="n">
        <v>10.7</v>
      </c>
      <c r="E442" s="5" t="n">
        <v>39.7</v>
      </c>
    </row>
    <row r="443" customFormat="false" ht="12.75" hidden="false" customHeight="true" outlineLevel="0" collapsed="false">
      <c r="A443" s="5" t="n">
        <v>20</v>
      </c>
      <c r="B443" s="5" t="n">
        <v>178.58</v>
      </c>
      <c r="C443" s="5" t="n">
        <v>0</v>
      </c>
      <c r="D443" s="5" t="n">
        <v>0</v>
      </c>
      <c r="E443" s="5" t="n">
        <v>0</v>
      </c>
    </row>
    <row r="444" customFormat="false" ht="12.75" hidden="false" customHeight="true" outlineLevel="0" collapsed="false">
      <c r="A444" s="5" t="n">
        <v>20</v>
      </c>
      <c r="B444" s="5" t="n">
        <v>179</v>
      </c>
      <c r="C444" s="5" t="n">
        <v>52</v>
      </c>
      <c r="D444" s="5" t="n">
        <v>0.0005</v>
      </c>
      <c r="E444" s="5" t="n">
        <v>5.2E-005</v>
      </c>
    </row>
    <row r="445" customFormat="false" ht="12.75" hidden="false" customHeight="true" outlineLevel="0" collapsed="false">
      <c r="A445" s="5" t="n">
        <v>20</v>
      </c>
      <c r="B445" s="5" t="n">
        <v>180</v>
      </c>
      <c r="C445" s="5" t="n">
        <v>7214</v>
      </c>
      <c r="D445" s="5" t="n">
        <v>0.018</v>
      </c>
      <c r="E445" s="5" t="n">
        <v>0.007214</v>
      </c>
    </row>
    <row r="446" customFormat="false" ht="12.75" hidden="false" customHeight="true" outlineLevel="0" collapsed="false">
      <c r="A446" s="5" t="n">
        <v>20</v>
      </c>
      <c r="B446" s="5" t="n">
        <v>181</v>
      </c>
      <c r="C446" s="5" t="n">
        <v>53615</v>
      </c>
      <c r="D446" s="5" t="n">
        <v>0.0766</v>
      </c>
      <c r="E446" s="5" t="n">
        <v>0.053615</v>
      </c>
    </row>
    <row r="447" customFormat="false" ht="12.75" hidden="false" customHeight="true" outlineLevel="0" collapsed="false">
      <c r="A447" s="5" t="n">
        <v>20</v>
      </c>
      <c r="B447" s="5" t="n">
        <v>182</v>
      </c>
      <c r="C447" s="5" t="n">
        <v>176926</v>
      </c>
      <c r="D447" s="5" t="n">
        <v>0.175</v>
      </c>
      <c r="E447" s="5" t="n">
        <v>0.176926</v>
      </c>
    </row>
    <row r="448" customFormat="false" ht="12.75" hidden="false" customHeight="true" outlineLevel="0" collapsed="false">
      <c r="A448" s="5" t="n">
        <v>20</v>
      </c>
      <c r="B448" s="5" t="n">
        <v>183</v>
      </c>
      <c r="C448" s="5" t="n">
        <v>400170</v>
      </c>
      <c r="D448" s="5" t="n">
        <v>0.2714</v>
      </c>
      <c r="E448" s="5" t="n">
        <v>0.40017</v>
      </c>
    </row>
    <row r="449" customFormat="false" ht="12.75" hidden="false" customHeight="true" outlineLevel="0" collapsed="false">
      <c r="A449" s="5" t="n">
        <v>20</v>
      </c>
      <c r="B449" s="5" t="n">
        <v>184</v>
      </c>
      <c r="C449" s="5" t="n">
        <v>729119</v>
      </c>
      <c r="D449" s="5" t="n">
        <v>0.3751</v>
      </c>
      <c r="E449" s="5" t="n">
        <v>0.729119</v>
      </c>
    </row>
    <row r="450" customFormat="false" ht="12.75" hidden="false" customHeight="true" outlineLevel="0" collapsed="false">
      <c r="A450" s="5" t="n">
        <v>20</v>
      </c>
      <c r="B450" s="5" t="n">
        <v>185</v>
      </c>
      <c r="C450" s="5" t="n">
        <v>1132106</v>
      </c>
      <c r="D450" s="5" t="n">
        <v>0.4199</v>
      </c>
      <c r="E450" s="5" t="n">
        <v>1.132106</v>
      </c>
    </row>
    <row r="451" customFormat="false" ht="12.75" hidden="false" customHeight="true" outlineLevel="0" collapsed="false">
      <c r="A451" s="5" t="n">
        <v>20</v>
      </c>
      <c r="B451" s="5" t="n">
        <v>185.53</v>
      </c>
      <c r="C451" s="5" t="n">
        <v>1357789</v>
      </c>
      <c r="D451" s="5" t="n">
        <v>0.4445</v>
      </c>
      <c r="E451" s="5" t="n">
        <v>1.357789</v>
      </c>
    </row>
    <row r="452" customFormat="false" ht="12.75" hidden="false" customHeight="true" outlineLevel="0" collapsed="false">
      <c r="A452" s="5" t="n">
        <v>20</v>
      </c>
      <c r="B452" s="5" t="n">
        <v>186</v>
      </c>
      <c r="C452" s="5" t="n">
        <v>2870000</v>
      </c>
      <c r="D452" s="5" t="n">
        <v>0.9</v>
      </c>
      <c r="E452" s="5" t="n">
        <v>2.87</v>
      </c>
    </row>
    <row r="453" customFormat="false" ht="12.75" hidden="false" customHeight="true" outlineLevel="0" collapsed="false">
      <c r="A453" s="5" t="n">
        <v>20</v>
      </c>
      <c r="B453" s="5" t="n">
        <v>187</v>
      </c>
      <c r="C453" s="5" t="n">
        <v>3880000</v>
      </c>
      <c r="D453" s="5" t="n">
        <v>1.11</v>
      </c>
      <c r="E453" s="5" t="n">
        <v>3.88</v>
      </c>
    </row>
    <row r="454" customFormat="false" ht="12.75" hidden="false" customHeight="true" outlineLevel="0" collapsed="false">
      <c r="A454" s="5" t="n">
        <v>20</v>
      </c>
      <c r="B454" s="5" t="n">
        <v>188</v>
      </c>
      <c r="C454" s="5" t="n">
        <v>5110000</v>
      </c>
      <c r="D454" s="5" t="n">
        <v>1.35</v>
      </c>
      <c r="E454" s="5" t="n">
        <v>5.11</v>
      </c>
    </row>
    <row r="455" customFormat="false" ht="12.75" hidden="false" customHeight="true" outlineLevel="0" collapsed="false">
      <c r="A455" s="5" t="n">
        <v>20</v>
      </c>
      <c r="B455" s="5" t="n">
        <v>189</v>
      </c>
      <c r="C455" s="5" t="n">
        <v>6590000</v>
      </c>
      <c r="D455" s="5" t="n">
        <v>1.6</v>
      </c>
      <c r="E455" s="5" t="n">
        <v>6.59</v>
      </c>
    </row>
    <row r="456" customFormat="false" ht="12.75" hidden="false" customHeight="true" outlineLevel="0" collapsed="false">
      <c r="A456" s="5" t="n">
        <v>20</v>
      </c>
      <c r="B456" s="5" t="n">
        <v>190</v>
      </c>
      <c r="C456" s="5" t="n">
        <v>8330000</v>
      </c>
      <c r="D456" s="5" t="n">
        <v>1.85</v>
      </c>
      <c r="E456" s="5" t="n">
        <v>8.33</v>
      </c>
    </row>
    <row r="457" customFormat="false" ht="12.75" hidden="false" customHeight="true" outlineLevel="0" collapsed="false">
      <c r="A457" s="5" t="n">
        <v>20</v>
      </c>
      <c r="B457" s="5" t="n">
        <v>191</v>
      </c>
      <c r="C457" s="5" t="n">
        <v>10330000</v>
      </c>
      <c r="D457" s="5" t="n">
        <v>2.15</v>
      </c>
      <c r="E457" s="5" t="n">
        <v>10.33</v>
      </c>
    </row>
    <row r="458" customFormat="false" ht="12.75" hidden="false" customHeight="true" outlineLevel="0" collapsed="false">
      <c r="A458" s="5" t="n">
        <v>20</v>
      </c>
      <c r="B458" s="5" t="n">
        <v>192</v>
      </c>
      <c r="C458" s="5" t="n">
        <v>12660000</v>
      </c>
      <c r="D458" s="5" t="n">
        <v>2.51</v>
      </c>
      <c r="E458" s="5" t="n">
        <v>12.66</v>
      </c>
    </row>
    <row r="459" customFormat="false" ht="12.75" hidden="false" customHeight="true" outlineLevel="0" collapsed="false">
      <c r="A459" s="5" t="n">
        <v>20</v>
      </c>
      <c r="B459" s="5" t="n">
        <v>193</v>
      </c>
      <c r="C459" s="5" t="n">
        <v>15360000</v>
      </c>
      <c r="D459" s="5" t="n">
        <v>2.88</v>
      </c>
      <c r="E459" s="5" t="n">
        <v>15.36</v>
      </c>
    </row>
    <row r="460" customFormat="false" ht="12.75" hidden="false" customHeight="true" outlineLevel="0" collapsed="false">
      <c r="A460" s="5" t="n">
        <v>20</v>
      </c>
      <c r="B460" s="5" t="n">
        <v>194</v>
      </c>
      <c r="C460" s="5" t="n">
        <v>18480000</v>
      </c>
      <c r="D460" s="5" t="n">
        <v>3.35</v>
      </c>
      <c r="E460" s="5" t="n">
        <v>18.48</v>
      </c>
    </row>
    <row r="461" customFormat="false" ht="12.75" hidden="false" customHeight="true" outlineLevel="0" collapsed="false">
      <c r="A461" s="5" t="n">
        <v>21</v>
      </c>
      <c r="B461" s="5" t="n">
        <v>88.14</v>
      </c>
      <c r="C461" s="5" t="n">
        <v>0</v>
      </c>
      <c r="D461" s="5" t="n">
        <v>0</v>
      </c>
      <c r="E461" s="5" t="n">
        <v>0</v>
      </c>
    </row>
    <row r="462" customFormat="false" ht="12.75" hidden="false" customHeight="true" outlineLevel="0" collapsed="false">
      <c r="A462" s="5" t="n">
        <v>21</v>
      </c>
      <c r="B462" s="5" t="n">
        <v>88.5</v>
      </c>
      <c r="C462" s="5" t="n">
        <v>404</v>
      </c>
      <c r="D462" s="5" t="n">
        <v>0.0038</v>
      </c>
      <c r="E462" s="5" t="n">
        <v>0.000404</v>
      </c>
    </row>
    <row r="463" customFormat="false" ht="12.75" hidden="false" customHeight="true" outlineLevel="0" collapsed="false">
      <c r="A463" s="5" t="n">
        <v>21</v>
      </c>
      <c r="B463" s="5" t="n">
        <v>89</v>
      </c>
      <c r="C463" s="5" t="n">
        <v>6159</v>
      </c>
      <c r="D463" s="5" t="n">
        <v>0.0201</v>
      </c>
      <c r="E463" s="5" t="n">
        <v>0.006159</v>
      </c>
    </row>
    <row r="464" customFormat="false" ht="12.75" hidden="false" customHeight="true" outlineLevel="0" collapsed="false">
      <c r="A464" s="5" t="n">
        <v>21</v>
      </c>
      <c r="B464" s="5" t="n">
        <v>89.5</v>
      </c>
      <c r="C464" s="5" t="n">
        <v>21049</v>
      </c>
      <c r="D464" s="5" t="n">
        <v>0.0409</v>
      </c>
      <c r="E464" s="5" t="n">
        <v>0.021049</v>
      </c>
    </row>
    <row r="465" customFormat="false" ht="12.75" hidden="false" customHeight="true" outlineLevel="0" collapsed="false">
      <c r="A465" s="5" t="n">
        <v>21</v>
      </c>
      <c r="B465" s="5" t="n">
        <v>90</v>
      </c>
      <c r="C465" s="5" t="n">
        <v>47892</v>
      </c>
      <c r="D465" s="5" t="n">
        <v>0.0675</v>
      </c>
      <c r="E465" s="5" t="n">
        <v>0.047892</v>
      </c>
    </row>
    <row r="466" customFormat="false" ht="12.75" hidden="false" customHeight="true" outlineLevel="0" collapsed="false">
      <c r="A466" s="5" t="n">
        <v>21</v>
      </c>
      <c r="B466" s="5" t="n">
        <v>90.5</v>
      </c>
      <c r="C466" s="5" t="n">
        <v>91892</v>
      </c>
      <c r="D466" s="5" t="n">
        <v>0.1168</v>
      </c>
      <c r="E466" s="5" t="n">
        <v>0.091892</v>
      </c>
    </row>
    <row r="467" customFormat="false" ht="12.75" hidden="false" customHeight="true" outlineLevel="0" collapsed="false">
      <c r="A467" s="5" t="n">
        <v>21</v>
      </c>
      <c r="B467" s="5" t="n">
        <v>91</v>
      </c>
      <c r="C467" s="5" t="n">
        <v>176793</v>
      </c>
      <c r="D467" s="5" t="n">
        <v>0.2256</v>
      </c>
      <c r="E467" s="5" t="n">
        <v>0.176793</v>
      </c>
    </row>
    <row r="468" customFormat="false" ht="12.75" hidden="false" customHeight="true" outlineLevel="0" collapsed="false">
      <c r="A468" s="5" t="n">
        <v>21</v>
      </c>
      <c r="B468" s="5" t="n">
        <v>91.5</v>
      </c>
      <c r="C468" s="5" t="n">
        <v>317177</v>
      </c>
      <c r="D468" s="5" t="n">
        <v>0.336</v>
      </c>
      <c r="E468" s="5" t="n">
        <v>0.317177</v>
      </c>
    </row>
    <row r="469" customFormat="false" ht="12.75" hidden="false" customHeight="true" outlineLevel="0" collapsed="false">
      <c r="A469" s="5" t="n">
        <v>21</v>
      </c>
      <c r="B469" s="5" t="n">
        <v>92</v>
      </c>
      <c r="C469" s="5" t="n">
        <v>514340</v>
      </c>
      <c r="D469" s="5" t="n">
        <v>0.4564</v>
      </c>
      <c r="E469" s="5" t="n">
        <v>0.51434</v>
      </c>
    </row>
    <row r="470" customFormat="false" ht="12.75" hidden="false" customHeight="true" outlineLevel="0" collapsed="false">
      <c r="A470" s="5" t="n">
        <v>21</v>
      </c>
      <c r="B470" s="5" t="n">
        <v>92.5</v>
      </c>
      <c r="C470" s="5" t="n">
        <v>782584</v>
      </c>
      <c r="D470" s="5" t="n">
        <v>0.6259</v>
      </c>
      <c r="E470" s="5" t="n">
        <v>0.782584</v>
      </c>
    </row>
    <row r="471" customFormat="false" ht="12.75" hidden="false" customHeight="true" outlineLevel="0" collapsed="false">
      <c r="A471" s="5" t="n">
        <v>21</v>
      </c>
      <c r="B471" s="5" t="n">
        <v>93</v>
      </c>
      <c r="C471" s="5" t="n">
        <v>1137236</v>
      </c>
      <c r="D471" s="5" t="n">
        <v>0.7902</v>
      </c>
      <c r="E471" s="5" t="n">
        <v>1.137236</v>
      </c>
    </row>
    <row r="472" customFormat="false" ht="12.75" hidden="false" customHeight="true" outlineLevel="0" collapsed="false">
      <c r="A472" s="5" t="n">
        <v>21</v>
      </c>
      <c r="B472" s="5" t="n">
        <v>93.5</v>
      </c>
      <c r="C472" s="5" t="n">
        <v>1575017</v>
      </c>
      <c r="D472" s="5" t="n">
        <v>0.9625</v>
      </c>
      <c r="E472" s="5" t="n">
        <v>1.575017</v>
      </c>
    </row>
    <row r="473" customFormat="false" ht="12.75" hidden="false" customHeight="true" outlineLevel="0" collapsed="false">
      <c r="A473" s="5" t="n">
        <v>21</v>
      </c>
      <c r="B473" s="5" t="n">
        <v>94</v>
      </c>
      <c r="C473" s="5" t="n">
        <v>2102192</v>
      </c>
      <c r="D473" s="5" t="n">
        <v>1.1489</v>
      </c>
      <c r="E473" s="5" t="n">
        <v>2.102192</v>
      </c>
    </row>
    <row r="474" customFormat="false" ht="12.75" hidden="false" customHeight="true" outlineLevel="0" collapsed="false">
      <c r="A474" s="5" t="n">
        <v>21</v>
      </c>
      <c r="B474" s="5" t="n">
        <v>94.5</v>
      </c>
      <c r="C474" s="5" t="n">
        <v>2727369</v>
      </c>
      <c r="D474" s="5" t="n">
        <v>1.36</v>
      </c>
      <c r="E474" s="5" t="n">
        <v>2.727369</v>
      </c>
    </row>
    <row r="475" customFormat="false" ht="12.75" hidden="false" customHeight="true" outlineLevel="0" collapsed="false">
      <c r="A475" s="5" t="n">
        <v>21</v>
      </c>
      <c r="B475" s="5" t="n">
        <v>95</v>
      </c>
      <c r="C475" s="5" t="n">
        <v>3455822</v>
      </c>
      <c r="D475" s="5" t="n">
        <v>1.5477</v>
      </c>
      <c r="E475" s="5" t="n">
        <v>3.455822</v>
      </c>
    </row>
    <row r="476" customFormat="false" ht="12.75" hidden="false" customHeight="true" outlineLevel="0" collapsed="false">
      <c r="A476" s="5" t="n">
        <v>21</v>
      </c>
      <c r="B476" s="5" t="n">
        <v>95.5</v>
      </c>
      <c r="C476" s="5" t="n">
        <v>4274091</v>
      </c>
      <c r="D476" s="5" t="n">
        <v>1.7256</v>
      </c>
      <c r="E476" s="5" t="n">
        <v>4.274091</v>
      </c>
    </row>
    <row r="477" customFormat="false" ht="12.75" hidden="false" customHeight="true" outlineLevel="0" collapsed="false">
      <c r="A477" s="5" t="n">
        <v>21</v>
      </c>
      <c r="B477" s="5" t="n">
        <v>96</v>
      </c>
      <c r="C477" s="5" t="n">
        <v>5182406</v>
      </c>
      <c r="D477" s="5" t="n">
        <v>1.9028</v>
      </c>
      <c r="E477" s="5" t="n">
        <v>5.182406</v>
      </c>
    </row>
    <row r="478" customFormat="false" ht="12.75" hidden="false" customHeight="true" outlineLevel="0" collapsed="false">
      <c r="A478" s="5" t="n">
        <v>21</v>
      </c>
      <c r="B478" s="5" t="n">
        <v>96.36</v>
      </c>
      <c r="C478" s="5" t="n">
        <v>5884529</v>
      </c>
      <c r="D478" s="5" t="n">
        <v>2.0077</v>
      </c>
      <c r="E478" s="5" t="n">
        <v>5.884529</v>
      </c>
    </row>
    <row r="479" customFormat="false" ht="12.75" hidden="false" customHeight="true" outlineLevel="0" collapsed="false">
      <c r="A479" s="5" t="n">
        <v>21</v>
      </c>
      <c r="B479" s="5" t="n">
        <v>97</v>
      </c>
      <c r="C479" s="5" t="n">
        <v>8108079</v>
      </c>
      <c r="D479" s="5" t="n">
        <v>2.25</v>
      </c>
      <c r="E479" s="5" t="n">
        <v>8.108079</v>
      </c>
    </row>
    <row r="480" customFormat="false" ht="12.75" hidden="false" customHeight="true" outlineLevel="0" collapsed="false">
      <c r="A480" s="5" t="n">
        <v>21</v>
      </c>
      <c r="B480" s="5" t="n">
        <v>98</v>
      </c>
      <c r="C480" s="5" t="n">
        <v>12160479</v>
      </c>
      <c r="D480" s="5" t="n">
        <v>2.55</v>
      </c>
      <c r="E480" s="5" t="n">
        <v>12.160479</v>
      </c>
    </row>
    <row r="481" customFormat="false" ht="12.75" hidden="false" customHeight="true" outlineLevel="0" collapsed="false">
      <c r="A481" s="5" t="n">
        <v>21</v>
      </c>
      <c r="B481" s="5" t="n">
        <v>99</v>
      </c>
      <c r="C481" s="5" t="n">
        <v>15786679</v>
      </c>
      <c r="D481" s="5" t="n">
        <v>2.8</v>
      </c>
      <c r="E481" s="5" t="n">
        <v>15.786679</v>
      </c>
    </row>
    <row r="482" customFormat="false" ht="12.75" hidden="false" customHeight="true" outlineLevel="0" collapsed="false">
      <c r="A482" s="5" t="n">
        <v>21</v>
      </c>
      <c r="B482" s="5" t="n">
        <v>100</v>
      </c>
      <c r="C482" s="5" t="n">
        <v>21450000</v>
      </c>
      <c r="D482" s="5" t="n">
        <v>2.95</v>
      </c>
      <c r="E482" s="5" t="n">
        <v>21.45</v>
      </c>
    </row>
    <row r="483" customFormat="false" ht="12.75" hidden="false" customHeight="true" outlineLevel="0" collapsed="false">
      <c r="A483" s="5" t="n">
        <v>22</v>
      </c>
      <c r="B483" s="5" t="n">
        <v>85.88</v>
      </c>
      <c r="C483" s="5" t="n">
        <v>0</v>
      </c>
      <c r="D483" s="5" t="n">
        <v>0</v>
      </c>
      <c r="E483" s="5" t="n">
        <v>0</v>
      </c>
    </row>
    <row r="484" customFormat="false" ht="12.75" hidden="false" customHeight="true" outlineLevel="0" collapsed="false">
      <c r="A484" s="5" t="n">
        <v>22</v>
      </c>
      <c r="B484" s="5" t="n">
        <v>86</v>
      </c>
      <c r="C484" s="5" t="n">
        <v>3</v>
      </c>
      <c r="D484" s="5" t="n">
        <v>0</v>
      </c>
      <c r="E484" s="5" t="n">
        <v>3E-006</v>
      </c>
    </row>
    <row r="485" customFormat="false" ht="12.75" hidden="false" customHeight="true" outlineLevel="0" collapsed="false">
      <c r="A485" s="5" t="n">
        <v>22</v>
      </c>
      <c r="B485" s="5" t="n">
        <v>87</v>
      </c>
      <c r="C485" s="5" t="n">
        <v>1230</v>
      </c>
      <c r="D485" s="5" t="n">
        <v>0</v>
      </c>
      <c r="E485" s="5" t="n">
        <v>0.00123</v>
      </c>
    </row>
    <row r="486" customFormat="false" ht="12.75" hidden="false" customHeight="true" outlineLevel="0" collapsed="false">
      <c r="A486" s="5" t="n">
        <v>22</v>
      </c>
      <c r="B486" s="5" t="n">
        <v>88</v>
      </c>
      <c r="C486" s="5" t="n">
        <v>12586</v>
      </c>
      <c r="D486" s="5" t="n">
        <v>0.02</v>
      </c>
      <c r="E486" s="5" t="n">
        <v>0.012586</v>
      </c>
    </row>
    <row r="487" customFormat="false" ht="12.75" hidden="false" customHeight="true" outlineLevel="0" collapsed="false">
      <c r="A487" s="5" t="n">
        <v>22</v>
      </c>
      <c r="B487" s="5" t="n">
        <v>89</v>
      </c>
      <c r="C487" s="5" t="n">
        <v>46827</v>
      </c>
      <c r="D487" s="5" t="n">
        <v>0.05</v>
      </c>
      <c r="E487" s="5" t="n">
        <v>0.046827</v>
      </c>
    </row>
    <row r="488" customFormat="false" ht="12.75" hidden="false" customHeight="true" outlineLevel="0" collapsed="false">
      <c r="A488" s="5" t="n">
        <v>22</v>
      </c>
      <c r="B488" s="5" t="n">
        <v>90</v>
      </c>
      <c r="C488" s="5" t="n">
        <v>135165</v>
      </c>
      <c r="D488" s="5" t="n">
        <v>0.12</v>
      </c>
      <c r="E488" s="5" t="n">
        <v>0.135165</v>
      </c>
    </row>
    <row r="489" customFormat="false" ht="12.75" hidden="false" customHeight="true" outlineLevel="0" collapsed="false">
      <c r="A489" s="5" t="n">
        <v>22</v>
      </c>
      <c r="B489" s="5" t="n">
        <v>91</v>
      </c>
      <c r="C489" s="5" t="n">
        <v>298687</v>
      </c>
      <c r="D489" s="5" t="n">
        <v>0.2</v>
      </c>
      <c r="E489" s="5" t="n">
        <v>0.298687</v>
      </c>
    </row>
    <row r="490" customFormat="false" ht="12.75" hidden="false" customHeight="true" outlineLevel="0" collapsed="false">
      <c r="A490" s="5" t="n">
        <v>22</v>
      </c>
      <c r="B490" s="5" t="n">
        <v>92</v>
      </c>
      <c r="C490" s="5" t="n">
        <v>535761</v>
      </c>
      <c r="D490" s="5" t="n">
        <v>0.27</v>
      </c>
      <c r="E490" s="5" t="n">
        <v>0.535761</v>
      </c>
    </row>
    <row r="491" customFormat="false" ht="12.75" hidden="false" customHeight="true" outlineLevel="0" collapsed="false">
      <c r="A491" s="5" t="n">
        <v>22</v>
      </c>
      <c r="B491" s="5" t="n">
        <v>93</v>
      </c>
      <c r="C491" s="5" t="n">
        <v>849037</v>
      </c>
      <c r="D491" s="5" t="n">
        <v>0.35</v>
      </c>
      <c r="E491" s="5" t="n">
        <v>0.849037</v>
      </c>
    </row>
    <row r="492" customFormat="false" ht="12.75" hidden="false" customHeight="true" outlineLevel="0" collapsed="false">
      <c r="A492" s="5" t="n">
        <v>22</v>
      </c>
      <c r="B492" s="5" t="n">
        <v>94</v>
      </c>
      <c r="C492" s="5" t="n">
        <v>1241123</v>
      </c>
      <c r="D492" s="5" t="n">
        <v>0.43</v>
      </c>
      <c r="E492" s="5" t="n">
        <v>1.241123</v>
      </c>
    </row>
    <row r="493" customFormat="false" ht="12.75" hidden="false" customHeight="true" outlineLevel="0" collapsed="false">
      <c r="A493" s="5" t="n">
        <v>22</v>
      </c>
      <c r="B493" s="5" t="n">
        <v>95</v>
      </c>
      <c r="C493" s="5" t="n">
        <v>1683260</v>
      </c>
      <c r="D493" s="5" t="n">
        <v>0.45</v>
      </c>
      <c r="E493" s="5" t="n">
        <v>1.68326</v>
      </c>
    </row>
    <row r="494" customFormat="false" ht="12.75" hidden="false" customHeight="true" outlineLevel="0" collapsed="false">
      <c r="A494" s="5" t="n">
        <v>22</v>
      </c>
      <c r="B494" s="5" t="n">
        <v>95.58</v>
      </c>
      <c r="C494" s="5" t="n">
        <v>1948103</v>
      </c>
      <c r="D494" s="5" t="n">
        <v>0.48</v>
      </c>
      <c r="E494" s="5" t="n">
        <v>1.948103</v>
      </c>
    </row>
    <row r="495" customFormat="false" ht="12.75" hidden="false" customHeight="true" outlineLevel="0" collapsed="false">
      <c r="A495" s="5" t="n">
        <v>22</v>
      </c>
      <c r="B495" s="5" t="n">
        <v>96</v>
      </c>
      <c r="C495" s="5" t="n">
        <v>2187502</v>
      </c>
      <c r="D495" s="5" t="n">
        <v>0.51</v>
      </c>
      <c r="E495" s="5" t="n">
        <v>2.187502</v>
      </c>
    </row>
    <row r="496" customFormat="false" ht="12.75" hidden="false" customHeight="true" outlineLevel="0" collapsed="false">
      <c r="A496" s="5" t="n">
        <v>22</v>
      </c>
      <c r="B496" s="5" t="n">
        <v>97</v>
      </c>
      <c r="C496" s="5" t="n">
        <v>2817502</v>
      </c>
      <c r="D496" s="5" t="n">
        <v>0.58</v>
      </c>
      <c r="E496" s="5" t="n">
        <v>2.817502</v>
      </c>
    </row>
    <row r="497" customFormat="false" ht="12.75" hidden="false" customHeight="true" outlineLevel="0" collapsed="false">
      <c r="A497" s="5" t="n">
        <v>22</v>
      </c>
      <c r="B497" s="5" t="n">
        <v>98</v>
      </c>
      <c r="C497" s="5" t="n">
        <v>3507502</v>
      </c>
      <c r="D497" s="5" t="n">
        <v>0.68</v>
      </c>
      <c r="E497" s="5" t="n">
        <v>3.507502</v>
      </c>
    </row>
    <row r="498" customFormat="false" ht="12.75" hidden="false" customHeight="true" outlineLevel="0" collapsed="false">
      <c r="A498" s="5" t="n">
        <v>22</v>
      </c>
      <c r="B498" s="5" t="n">
        <v>99</v>
      </c>
      <c r="C498" s="5" t="n">
        <v>4272502</v>
      </c>
      <c r="D498" s="5" t="n">
        <v>0.78</v>
      </c>
      <c r="E498" s="5" t="n">
        <v>4.272502</v>
      </c>
    </row>
    <row r="499" customFormat="false" ht="12.75" hidden="false" customHeight="true" outlineLevel="0" collapsed="false">
      <c r="A499" s="5" t="n">
        <v>22</v>
      </c>
      <c r="B499" s="5" t="n">
        <v>100</v>
      </c>
      <c r="C499" s="5" t="n">
        <v>5247502</v>
      </c>
      <c r="D499" s="5" t="n">
        <v>0.87</v>
      </c>
      <c r="E499" s="5" t="n">
        <v>5.247502</v>
      </c>
    </row>
    <row r="500" customFormat="false" ht="12.75" hidden="false" customHeight="true" outlineLevel="0" collapsed="false">
      <c r="A500" s="5" t="n">
        <v>22</v>
      </c>
      <c r="B500" s="5" t="n">
        <v>101</v>
      </c>
      <c r="C500" s="5" t="n">
        <v>6247502</v>
      </c>
      <c r="D500" s="5" t="n">
        <v>0.96</v>
      </c>
      <c r="E500" s="5" t="n">
        <v>6.247502</v>
      </c>
    </row>
    <row r="501" customFormat="false" ht="12.75" hidden="false" customHeight="true" outlineLevel="0" collapsed="false">
      <c r="A501" s="5" t="n">
        <v>23</v>
      </c>
      <c r="B501" s="5" t="n">
        <v>416</v>
      </c>
      <c r="C501" s="5" t="n">
        <v>0</v>
      </c>
      <c r="D501" s="5" t="n">
        <v>0</v>
      </c>
      <c r="E501" s="5" t="n">
        <v>0</v>
      </c>
    </row>
    <row r="502" customFormat="false" ht="12.75" hidden="false" customHeight="true" outlineLevel="0" collapsed="false">
      <c r="A502" s="5" t="n">
        <v>23</v>
      </c>
      <c r="B502" s="5" t="n">
        <v>420</v>
      </c>
      <c r="C502" s="5" t="n">
        <v>120000</v>
      </c>
      <c r="D502" s="5" t="n">
        <v>0.06</v>
      </c>
      <c r="E502" s="5" t="n">
        <v>0.12</v>
      </c>
    </row>
    <row r="503" customFormat="false" ht="12.75" hidden="false" customHeight="true" outlineLevel="0" collapsed="false">
      <c r="A503" s="5" t="n">
        <v>23</v>
      </c>
      <c r="B503" s="5" t="n">
        <v>425</v>
      </c>
      <c r="C503" s="5" t="n">
        <v>1320000</v>
      </c>
      <c r="D503" s="5" t="n">
        <v>0.41</v>
      </c>
      <c r="E503" s="5" t="n">
        <v>1.32</v>
      </c>
    </row>
    <row r="504" customFormat="false" ht="12.75" hidden="false" customHeight="true" outlineLevel="0" collapsed="false">
      <c r="A504" s="5" t="n">
        <v>23</v>
      </c>
      <c r="B504" s="5" t="n">
        <v>430</v>
      </c>
      <c r="C504" s="5" t="n">
        <v>4500000</v>
      </c>
      <c r="D504" s="5" t="n">
        <v>0.85</v>
      </c>
      <c r="E504" s="5" t="n">
        <v>4.5</v>
      </c>
    </row>
    <row r="505" customFormat="false" ht="12.75" hidden="false" customHeight="true" outlineLevel="0" collapsed="false">
      <c r="A505" s="5" t="n">
        <v>23</v>
      </c>
      <c r="B505" s="5" t="n">
        <v>435</v>
      </c>
      <c r="C505" s="5" t="n">
        <v>11480000</v>
      </c>
      <c r="D505" s="5" t="n">
        <v>1.93</v>
      </c>
      <c r="E505" s="5" t="n">
        <v>11.48</v>
      </c>
    </row>
    <row r="506" customFormat="false" ht="12.75" hidden="false" customHeight="true" outlineLevel="0" collapsed="false">
      <c r="A506" s="5" t="n">
        <v>23</v>
      </c>
      <c r="B506" s="5" t="n">
        <v>440</v>
      </c>
      <c r="C506" s="5" t="n">
        <v>24730000</v>
      </c>
      <c r="D506" s="5" t="n">
        <v>3.35</v>
      </c>
      <c r="E506" s="5" t="n">
        <v>24.73</v>
      </c>
    </row>
    <row r="507" customFormat="false" ht="12.75" hidden="false" customHeight="true" outlineLevel="0" collapsed="false">
      <c r="A507" s="5" t="n">
        <v>23</v>
      </c>
      <c r="B507" s="5" t="n">
        <v>441</v>
      </c>
      <c r="C507" s="5" t="n">
        <v>28780000</v>
      </c>
      <c r="D507" s="5" t="n">
        <v>3.63</v>
      </c>
      <c r="E507" s="5" t="n">
        <v>28.78</v>
      </c>
    </row>
    <row r="508" customFormat="false" ht="12.75" hidden="false" customHeight="true" outlineLevel="0" collapsed="false">
      <c r="A508" s="5" t="n">
        <v>23</v>
      </c>
      <c r="B508" s="5" t="n">
        <v>445</v>
      </c>
      <c r="C508" s="5" t="n">
        <v>45000000</v>
      </c>
      <c r="D508" s="5" t="n">
        <v>4.75</v>
      </c>
      <c r="E508" s="5" t="n">
        <v>45</v>
      </c>
    </row>
    <row r="509" customFormat="false" ht="12.75" hidden="false" customHeight="true" outlineLevel="0" collapsed="false">
      <c r="A509" s="5" t="n">
        <v>23</v>
      </c>
      <c r="B509" s="5" t="n">
        <v>446</v>
      </c>
      <c r="C509" s="5" t="n">
        <v>49900000</v>
      </c>
      <c r="D509" s="5" t="n">
        <v>5.05</v>
      </c>
      <c r="E509" s="5" t="n">
        <v>49.9</v>
      </c>
    </row>
    <row r="510" customFormat="false" ht="12.75" hidden="false" customHeight="true" outlineLevel="0" collapsed="false">
      <c r="A510" s="5" t="n">
        <v>24</v>
      </c>
      <c r="B510" s="5" t="n">
        <v>418.4</v>
      </c>
      <c r="C510" s="5" t="n">
        <v>0</v>
      </c>
      <c r="D510" s="5" t="n">
        <v>0</v>
      </c>
      <c r="E510" s="5" t="n">
        <v>0</v>
      </c>
    </row>
    <row r="511" customFormat="false" ht="12.75" hidden="false" customHeight="true" outlineLevel="0" collapsed="false">
      <c r="A511" s="5" t="n">
        <v>24</v>
      </c>
      <c r="B511" s="5" t="n">
        <v>419</v>
      </c>
      <c r="C511" s="5" t="n">
        <v>194</v>
      </c>
      <c r="D511" s="5" t="n">
        <v>0.0012</v>
      </c>
      <c r="E511" s="5" t="n">
        <v>0.000194</v>
      </c>
    </row>
    <row r="512" customFormat="false" ht="12.75" hidden="false" customHeight="true" outlineLevel="0" collapsed="false">
      <c r="A512" s="5" t="n">
        <v>24</v>
      </c>
      <c r="B512" s="5" t="n">
        <v>420</v>
      </c>
      <c r="C512" s="5" t="n">
        <v>4288</v>
      </c>
      <c r="D512" s="5" t="n">
        <v>0.0093</v>
      </c>
      <c r="E512" s="5" t="n">
        <v>0.004288</v>
      </c>
    </row>
    <row r="513" customFormat="false" ht="12.75" hidden="false" customHeight="true" outlineLevel="0" collapsed="false">
      <c r="A513" s="5" t="n">
        <v>24</v>
      </c>
      <c r="B513" s="5" t="n">
        <v>421</v>
      </c>
      <c r="C513" s="5" t="n">
        <v>23919</v>
      </c>
      <c r="D513" s="5" t="n">
        <v>0.0307</v>
      </c>
      <c r="E513" s="5" t="n">
        <v>0.023919</v>
      </c>
    </row>
    <row r="514" customFormat="false" ht="12.75" hidden="false" customHeight="true" outlineLevel="0" collapsed="false">
      <c r="A514" s="5" t="n">
        <v>24</v>
      </c>
      <c r="B514" s="5" t="n">
        <v>422</v>
      </c>
      <c r="C514" s="5" t="n">
        <v>70538</v>
      </c>
      <c r="D514" s="5" t="n">
        <v>0.0632</v>
      </c>
      <c r="E514" s="5" t="n">
        <v>0.070538</v>
      </c>
    </row>
    <row r="515" customFormat="false" ht="12.75" hidden="false" customHeight="true" outlineLevel="0" collapsed="false">
      <c r="A515" s="5" t="n">
        <v>24</v>
      </c>
      <c r="B515" s="5" t="n">
        <v>423</v>
      </c>
      <c r="C515" s="5" t="n">
        <v>156268</v>
      </c>
      <c r="D515" s="5" t="n">
        <v>0.1096</v>
      </c>
      <c r="E515" s="5" t="n">
        <v>0.156268</v>
      </c>
    </row>
    <row r="516" customFormat="false" ht="12.75" hidden="false" customHeight="true" outlineLevel="0" collapsed="false">
      <c r="A516" s="5" t="n">
        <v>24</v>
      </c>
      <c r="B516" s="5" t="n">
        <v>424</v>
      </c>
      <c r="C516" s="5" t="n">
        <v>298281</v>
      </c>
      <c r="D516" s="5" t="n">
        <v>0.1728</v>
      </c>
      <c r="E516" s="5" t="n">
        <v>0.298281</v>
      </c>
    </row>
    <row r="517" customFormat="false" ht="12.75" hidden="false" customHeight="true" outlineLevel="0" collapsed="false">
      <c r="A517" s="5" t="n">
        <v>24</v>
      </c>
      <c r="B517" s="5" t="n">
        <v>425</v>
      </c>
      <c r="C517" s="5" t="n">
        <v>517606</v>
      </c>
      <c r="D517" s="5" t="n">
        <v>0.2821</v>
      </c>
      <c r="E517" s="5" t="n">
        <v>0.517606</v>
      </c>
    </row>
    <row r="518" customFormat="false" ht="12.75" hidden="false" customHeight="true" outlineLevel="0" collapsed="false">
      <c r="A518" s="5" t="n">
        <v>24</v>
      </c>
      <c r="B518" s="5" t="n">
        <v>426</v>
      </c>
      <c r="C518" s="5" t="n">
        <v>881411</v>
      </c>
      <c r="D518" s="5" t="n">
        <v>0.4542</v>
      </c>
      <c r="E518" s="5" t="n">
        <v>0.881411</v>
      </c>
    </row>
    <row r="519" customFormat="false" ht="12.75" hidden="false" customHeight="true" outlineLevel="0" collapsed="false">
      <c r="A519" s="5" t="n">
        <v>24</v>
      </c>
      <c r="B519" s="5" t="n">
        <v>427</v>
      </c>
      <c r="C519" s="5" t="n">
        <v>1440217</v>
      </c>
      <c r="D519" s="5" t="n">
        <v>0.6705</v>
      </c>
      <c r="E519" s="5" t="n">
        <v>1.440217</v>
      </c>
    </row>
    <row r="520" customFormat="false" ht="12.75" hidden="false" customHeight="true" outlineLevel="0" collapsed="false">
      <c r="A520" s="5" t="n">
        <v>24</v>
      </c>
      <c r="B520" s="5" t="n">
        <v>428</v>
      </c>
      <c r="C520" s="5" t="n">
        <v>2248292</v>
      </c>
      <c r="D520" s="5" t="n">
        <v>0.968</v>
      </c>
      <c r="E520" s="5" t="n">
        <v>2.248292</v>
      </c>
    </row>
    <row r="521" customFormat="false" ht="12.75" hidden="false" customHeight="true" outlineLevel="0" collapsed="false">
      <c r="A521" s="5" t="n">
        <v>24</v>
      </c>
      <c r="B521" s="5" t="n">
        <v>429</v>
      </c>
      <c r="C521" s="5" t="n">
        <v>3406746</v>
      </c>
      <c r="D521" s="5" t="n">
        <v>1.3654</v>
      </c>
      <c r="E521" s="5" t="n">
        <v>3.406746</v>
      </c>
    </row>
    <row r="522" customFormat="false" ht="12.75" hidden="false" customHeight="true" outlineLevel="0" collapsed="false">
      <c r="A522" s="5" t="n">
        <v>24</v>
      </c>
      <c r="B522" s="5" t="n">
        <v>430</v>
      </c>
      <c r="C522" s="5" t="n">
        <v>5016742</v>
      </c>
      <c r="D522" s="5" t="n">
        <v>1.8475</v>
      </c>
      <c r="E522" s="5" t="n">
        <v>5.016742</v>
      </c>
    </row>
    <row r="523" customFormat="false" ht="12.75" hidden="false" customHeight="true" outlineLevel="0" collapsed="false">
      <c r="A523" s="5" t="n">
        <v>24</v>
      </c>
      <c r="B523" s="5" t="n">
        <v>431</v>
      </c>
      <c r="C523" s="5" t="n">
        <v>7103488</v>
      </c>
      <c r="D523" s="5" t="n">
        <v>2.3314</v>
      </c>
      <c r="E523" s="5" t="n">
        <v>7.103488</v>
      </c>
    </row>
    <row r="524" customFormat="false" ht="12.75" hidden="false" customHeight="true" outlineLevel="0" collapsed="false">
      <c r="A524" s="5" t="n">
        <v>24</v>
      </c>
      <c r="B524" s="5" t="n">
        <v>432</v>
      </c>
      <c r="C524" s="5" t="n">
        <v>9700318</v>
      </c>
      <c r="D524" s="5" t="n">
        <v>2.7935</v>
      </c>
      <c r="E524" s="5" t="n">
        <v>9.700318</v>
      </c>
    </row>
    <row r="525" customFormat="false" ht="12.75" hidden="false" customHeight="true" outlineLevel="0" collapsed="false">
      <c r="A525" s="5" t="n">
        <v>24</v>
      </c>
      <c r="B525" s="5" t="n">
        <v>432.89</v>
      </c>
      <c r="C525" s="5" t="n">
        <v>12266821</v>
      </c>
      <c r="D525" s="5" t="n">
        <v>2.9672</v>
      </c>
      <c r="E525" s="5" t="n">
        <v>12.266821</v>
      </c>
    </row>
    <row r="526" customFormat="false" ht="12.75" hidden="false" customHeight="true" outlineLevel="0" collapsed="false">
      <c r="A526" s="5" t="n">
        <v>24</v>
      </c>
      <c r="B526" s="5" t="n">
        <v>433</v>
      </c>
      <c r="C526" s="5" t="n">
        <v>13000000</v>
      </c>
      <c r="D526" s="5" t="n">
        <v>3.0508</v>
      </c>
      <c r="E526" s="5" t="n">
        <v>13</v>
      </c>
    </row>
    <row r="527" customFormat="false" ht="12.75" hidden="false" customHeight="true" outlineLevel="0" collapsed="false">
      <c r="A527" s="5" t="n">
        <v>24</v>
      </c>
      <c r="B527" s="5" t="n">
        <v>434</v>
      </c>
      <c r="C527" s="5" t="n">
        <v>17328962</v>
      </c>
      <c r="D527" s="5" t="n">
        <v>4.0308</v>
      </c>
      <c r="E527" s="5" t="n">
        <v>17.328962</v>
      </c>
    </row>
    <row r="528" customFormat="false" ht="12.75" hidden="false" customHeight="true" outlineLevel="0" collapsed="false">
      <c r="A528" s="5" t="n">
        <v>24</v>
      </c>
      <c r="B528" s="5" t="n">
        <v>435</v>
      </c>
      <c r="C528" s="5" t="n">
        <v>23078962</v>
      </c>
      <c r="D528" s="5" t="n">
        <v>5.0308</v>
      </c>
      <c r="E528" s="5" t="n">
        <v>23.078962</v>
      </c>
    </row>
    <row r="529" customFormat="false" ht="12.75" hidden="false" customHeight="true" outlineLevel="0" collapsed="false">
      <c r="A529" s="5" t="n">
        <v>24</v>
      </c>
      <c r="B529" s="5" t="n">
        <v>436</v>
      </c>
      <c r="C529" s="5" t="n">
        <v>29808962</v>
      </c>
      <c r="D529" s="5" t="n">
        <v>5.9908</v>
      </c>
      <c r="E529" s="5" t="n">
        <v>29.808962</v>
      </c>
    </row>
    <row r="530" customFormat="false" ht="12.75" hidden="false" customHeight="true" outlineLevel="0" collapsed="false">
      <c r="A530" s="5" t="n">
        <v>24</v>
      </c>
      <c r="B530" s="5" t="n">
        <v>437</v>
      </c>
      <c r="C530" s="5" t="n">
        <v>37768962</v>
      </c>
      <c r="D530" s="5" t="n">
        <v>7.5008</v>
      </c>
      <c r="E530" s="5" t="n">
        <v>37.768962</v>
      </c>
    </row>
    <row r="531" customFormat="false" ht="12.75" hidden="false" customHeight="true" outlineLevel="0" collapsed="false">
      <c r="A531" s="5" t="n">
        <v>24</v>
      </c>
      <c r="B531" s="5" t="n">
        <v>438</v>
      </c>
      <c r="C531" s="5" t="n">
        <v>47138962</v>
      </c>
      <c r="D531" s="5" t="n">
        <v>8.8108</v>
      </c>
      <c r="E531" s="5" t="n">
        <v>47.138962</v>
      </c>
    </row>
    <row r="532" customFormat="false" ht="12.75" hidden="false" customHeight="true" outlineLevel="0" collapsed="false">
      <c r="A532" s="5" t="n">
        <v>24</v>
      </c>
      <c r="B532" s="5" t="n">
        <v>439</v>
      </c>
      <c r="C532" s="5" t="n">
        <v>58018962</v>
      </c>
      <c r="D532" s="5" t="n">
        <v>10.5208</v>
      </c>
      <c r="E532" s="5" t="n">
        <v>58.018962</v>
      </c>
    </row>
    <row r="533" customFormat="false" ht="12.75" hidden="false" customHeight="true" outlineLevel="0" collapsed="false">
      <c r="A533" s="5" t="n">
        <v>24</v>
      </c>
      <c r="B533" s="5" t="n">
        <v>440</v>
      </c>
      <c r="C533" s="5" t="n">
        <v>70738962</v>
      </c>
      <c r="D533" s="5" t="n">
        <v>12.4908</v>
      </c>
      <c r="E533" s="5" t="n">
        <v>70.738962</v>
      </c>
    </row>
    <row r="534" customFormat="false" ht="12.75" hidden="false" customHeight="true" outlineLevel="0" collapsed="false">
      <c r="A534" s="5" t="n">
        <v>25</v>
      </c>
      <c r="B534" s="5" t="n">
        <v>95</v>
      </c>
      <c r="C534" s="5" t="n">
        <v>0</v>
      </c>
      <c r="D534" s="5" t="n">
        <v>0.005</v>
      </c>
      <c r="E534" s="5" t="n">
        <v>0</v>
      </c>
    </row>
    <row r="535" customFormat="false" ht="12.75" hidden="false" customHeight="true" outlineLevel="0" collapsed="false">
      <c r="A535" s="5" t="n">
        <v>25</v>
      </c>
      <c r="B535" s="5" t="n">
        <v>96</v>
      </c>
      <c r="C535" s="5" t="n">
        <v>8000</v>
      </c>
      <c r="D535" s="5" t="n">
        <v>0.01</v>
      </c>
      <c r="E535" s="5" t="n">
        <v>0.008</v>
      </c>
    </row>
    <row r="536" customFormat="false" ht="12.75" hidden="false" customHeight="true" outlineLevel="0" collapsed="false">
      <c r="A536" s="5" t="n">
        <v>25</v>
      </c>
      <c r="B536" s="5" t="n">
        <v>97</v>
      </c>
      <c r="C536" s="5" t="n">
        <v>20000</v>
      </c>
      <c r="D536" s="5" t="n">
        <v>0.02</v>
      </c>
      <c r="E536" s="5" t="n">
        <v>0.02</v>
      </c>
    </row>
    <row r="537" customFormat="false" ht="12.75" hidden="false" customHeight="true" outlineLevel="0" collapsed="false">
      <c r="A537" s="5" t="n">
        <v>25</v>
      </c>
      <c r="B537" s="5" t="n">
        <v>98</v>
      </c>
      <c r="C537" s="5" t="n">
        <v>80000</v>
      </c>
      <c r="D537" s="5" t="n">
        <v>0.07</v>
      </c>
      <c r="E537" s="5" t="n">
        <v>0.08</v>
      </c>
    </row>
    <row r="538" customFormat="false" ht="12.75" hidden="false" customHeight="true" outlineLevel="0" collapsed="false">
      <c r="A538" s="5" t="n">
        <v>25</v>
      </c>
      <c r="B538" s="5" t="n">
        <v>99</v>
      </c>
      <c r="C538" s="5" t="n">
        <v>250000</v>
      </c>
      <c r="D538" s="5" t="n">
        <v>0.26</v>
      </c>
      <c r="E538" s="5" t="n">
        <v>0.25</v>
      </c>
    </row>
    <row r="539" customFormat="false" ht="12.75" hidden="false" customHeight="true" outlineLevel="0" collapsed="false">
      <c r="A539" s="5" t="n">
        <v>25</v>
      </c>
      <c r="B539" s="5" t="n">
        <v>100</v>
      </c>
      <c r="C539" s="5" t="n">
        <v>620000</v>
      </c>
      <c r="D539" s="5" t="n">
        <v>0.48</v>
      </c>
      <c r="E539" s="5" t="n">
        <v>0.62</v>
      </c>
    </row>
    <row r="540" customFormat="false" ht="12.75" hidden="false" customHeight="true" outlineLevel="0" collapsed="false">
      <c r="A540" s="5" t="n">
        <v>25</v>
      </c>
      <c r="B540" s="5" t="n">
        <v>101</v>
      </c>
      <c r="C540" s="5" t="n">
        <v>1360000</v>
      </c>
      <c r="D540" s="5" t="n">
        <v>0.99</v>
      </c>
      <c r="E540" s="5" t="n">
        <v>1.36</v>
      </c>
    </row>
    <row r="541" customFormat="false" ht="12.75" hidden="false" customHeight="true" outlineLevel="0" collapsed="false">
      <c r="A541" s="5" t="n">
        <v>25</v>
      </c>
      <c r="B541" s="5" t="n">
        <v>102</v>
      </c>
      <c r="C541" s="5" t="n">
        <v>2890000</v>
      </c>
      <c r="D541" s="5" t="n">
        <v>2.06</v>
      </c>
      <c r="E541" s="5" t="n">
        <v>2.89</v>
      </c>
    </row>
    <row r="542" customFormat="false" ht="12.75" hidden="false" customHeight="true" outlineLevel="0" collapsed="false">
      <c r="A542" s="5" t="n">
        <v>25</v>
      </c>
      <c r="B542" s="5" t="n">
        <v>103</v>
      </c>
      <c r="C542" s="5" t="n">
        <v>5550000</v>
      </c>
      <c r="D542" s="5" t="n">
        <v>3.25</v>
      </c>
      <c r="E542" s="5" t="n">
        <v>5.55</v>
      </c>
    </row>
    <row r="543" customFormat="false" ht="12.75" hidden="false" customHeight="true" outlineLevel="0" collapsed="false">
      <c r="A543" s="5" t="n">
        <v>25</v>
      </c>
      <c r="B543" s="5" t="n">
        <v>104</v>
      </c>
      <c r="C543" s="5" t="n">
        <v>9520000</v>
      </c>
      <c r="D543" s="5" t="n">
        <v>4.68</v>
      </c>
      <c r="E543" s="5" t="n">
        <v>9.52</v>
      </c>
    </row>
    <row r="544" customFormat="false" ht="12.75" hidden="false" customHeight="true" outlineLevel="0" collapsed="false">
      <c r="A544" s="5" t="n">
        <v>25</v>
      </c>
      <c r="B544" s="5" t="n">
        <v>105</v>
      </c>
      <c r="C544" s="5" t="n">
        <v>14930000</v>
      </c>
      <c r="D544" s="5" t="n">
        <v>6.13</v>
      </c>
      <c r="E544" s="5" t="n">
        <v>14.93</v>
      </c>
    </row>
    <row r="545" customFormat="false" ht="12.75" hidden="false" customHeight="true" outlineLevel="0" collapsed="false">
      <c r="A545" s="5" t="n">
        <v>25</v>
      </c>
      <c r="B545" s="5" t="n">
        <v>106</v>
      </c>
      <c r="C545" s="5" t="n">
        <v>21830000</v>
      </c>
      <c r="D545" s="5" t="n">
        <v>7.66</v>
      </c>
      <c r="E545" s="5" t="n">
        <v>21.83</v>
      </c>
    </row>
    <row r="546" customFormat="false" ht="12.75" hidden="false" customHeight="true" outlineLevel="0" collapsed="false">
      <c r="A546" s="5" t="n">
        <v>25</v>
      </c>
      <c r="B546" s="5" t="n">
        <v>107</v>
      </c>
      <c r="C546" s="5" t="n">
        <v>30240000</v>
      </c>
      <c r="D546" s="5" t="n">
        <v>9.15</v>
      </c>
      <c r="E546" s="5" t="n">
        <v>30.24</v>
      </c>
    </row>
    <row r="547" customFormat="false" ht="12.75" hidden="false" customHeight="true" outlineLevel="0" collapsed="false">
      <c r="A547" s="5" t="n">
        <v>25</v>
      </c>
      <c r="B547" s="5" t="n">
        <v>108</v>
      </c>
      <c r="C547" s="5" t="n">
        <v>40240000</v>
      </c>
      <c r="D547" s="5" t="n">
        <v>10.83</v>
      </c>
      <c r="E547" s="5" t="n">
        <v>40.24</v>
      </c>
    </row>
    <row r="548" customFormat="false" ht="12.75" hidden="false" customHeight="true" outlineLevel="0" collapsed="false">
      <c r="A548" s="5" t="n">
        <v>25</v>
      </c>
      <c r="B548" s="5" t="n">
        <v>109</v>
      </c>
      <c r="C548" s="5" t="n">
        <v>51910000</v>
      </c>
      <c r="D548" s="5" t="n">
        <v>12.49</v>
      </c>
      <c r="E548" s="5" t="n">
        <v>51.91</v>
      </c>
    </row>
    <row r="549" customFormat="false" ht="12.75" hidden="false" customHeight="true" outlineLevel="0" collapsed="false">
      <c r="A549" s="5" t="n">
        <v>25</v>
      </c>
      <c r="B549" s="5" t="n">
        <v>110</v>
      </c>
      <c r="C549" s="5" t="n">
        <v>65320000</v>
      </c>
      <c r="D549" s="5" t="n">
        <v>14.34</v>
      </c>
      <c r="E549" s="5" t="n">
        <v>65.32</v>
      </c>
    </row>
    <row r="550" customFormat="false" ht="12.75" hidden="false" customHeight="true" outlineLevel="0" collapsed="false">
      <c r="A550" s="5" t="n">
        <v>25</v>
      </c>
      <c r="B550" s="5" t="n">
        <v>111</v>
      </c>
      <c r="C550" s="5" t="n">
        <v>80680000</v>
      </c>
      <c r="D550" s="5" t="n">
        <v>16.37</v>
      </c>
      <c r="E550" s="5" t="n">
        <v>80.68</v>
      </c>
    </row>
    <row r="551" customFormat="false" ht="12.75" hidden="false" customHeight="true" outlineLevel="0" collapsed="false">
      <c r="A551" s="5" t="n">
        <v>25</v>
      </c>
      <c r="B551" s="5" t="n">
        <v>112</v>
      </c>
      <c r="C551" s="5" t="n">
        <v>97920000</v>
      </c>
      <c r="D551" s="5" t="n">
        <v>18.1</v>
      </c>
      <c r="E551" s="5" t="n">
        <v>97.92</v>
      </c>
    </row>
    <row r="552" customFormat="false" ht="12.75" hidden="false" customHeight="true" outlineLevel="0" collapsed="false">
      <c r="A552" s="5" t="n">
        <v>26</v>
      </c>
      <c r="B552" s="5" t="n">
        <v>103</v>
      </c>
      <c r="C552" s="5" t="n">
        <v>0</v>
      </c>
      <c r="D552" s="5" t="n">
        <v>0</v>
      </c>
      <c r="E552" s="5" t="n">
        <v>0</v>
      </c>
    </row>
    <row r="553" customFormat="false" ht="12.75" hidden="false" customHeight="true" outlineLevel="0" collapsed="false">
      <c r="A553" s="5" t="n">
        <v>26</v>
      </c>
      <c r="B553" s="5" t="n">
        <v>103.5</v>
      </c>
      <c r="C553" s="5" t="n">
        <v>38914</v>
      </c>
      <c r="D553" s="5" t="n">
        <v>0.0675</v>
      </c>
      <c r="E553" s="5" t="n">
        <v>0.038914</v>
      </c>
    </row>
    <row r="554" customFormat="false" ht="12.75" hidden="false" customHeight="true" outlineLevel="0" collapsed="false">
      <c r="A554" s="5" t="n">
        <v>26</v>
      </c>
      <c r="B554" s="5" t="n">
        <v>104</v>
      </c>
      <c r="C554" s="5" t="n">
        <v>84663</v>
      </c>
      <c r="D554" s="5" t="n">
        <v>0.1214</v>
      </c>
      <c r="E554" s="5" t="n">
        <v>0.084663</v>
      </c>
    </row>
    <row r="555" customFormat="false" ht="12.75" hidden="false" customHeight="true" outlineLevel="0" collapsed="false">
      <c r="A555" s="5" t="n">
        <v>26</v>
      </c>
      <c r="B555" s="5" t="n">
        <v>104.5</v>
      </c>
      <c r="C555" s="5" t="n">
        <v>166100</v>
      </c>
      <c r="D555" s="5" t="n">
        <v>0.2089</v>
      </c>
      <c r="E555" s="5" t="n">
        <v>0.1661</v>
      </c>
    </row>
    <row r="556" customFormat="false" ht="12.75" hidden="false" customHeight="true" outlineLevel="0" collapsed="false">
      <c r="A556" s="5" t="n">
        <v>26</v>
      </c>
      <c r="B556" s="5" t="n">
        <v>105</v>
      </c>
      <c r="C556" s="5" t="n">
        <v>302171</v>
      </c>
      <c r="D556" s="5" t="n">
        <v>0.3346</v>
      </c>
      <c r="E556" s="5" t="n">
        <v>0.302171</v>
      </c>
    </row>
    <row r="557" customFormat="false" ht="12.75" hidden="false" customHeight="true" outlineLevel="0" collapsed="false">
      <c r="A557" s="5" t="n">
        <v>26</v>
      </c>
      <c r="B557" s="5" t="n">
        <v>105.5</v>
      </c>
      <c r="C557" s="5" t="n">
        <v>500378</v>
      </c>
      <c r="D557" s="5" t="n">
        <v>0.4505</v>
      </c>
      <c r="E557" s="5" t="n">
        <v>0.500378</v>
      </c>
    </row>
    <row r="558" customFormat="false" ht="12.75" hidden="false" customHeight="true" outlineLevel="0" collapsed="false">
      <c r="A558" s="5" t="n">
        <v>26</v>
      </c>
      <c r="B558" s="5" t="n">
        <v>106</v>
      </c>
      <c r="C558" s="5" t="n">
        <v>748229</v>
      </c>
      <c r="D558" s="5" t="n">
        <v>0.5377</v>
      </c>
      <c r="E558" s="5" t="n">
        <v>0.748229</v>
      </c>
    </row>
    <row r="559" customFormat="false" ht="12.75" hidden="false" customHeight="true" outlineLevel="0" collapsed="false">
      <c r="A559" s="5" t="n">
        <v>26</v>
      </c>
      <c r="B559" s="5" t="n">
        <v>106.5</v>
      </c>
      <c r="C559" s="5" t="n">
        <v>1035574</v>
      </c>
      <c r="D559" s="5" t="n">
        <v>0.6098</v>
      </c>
      <c r="E559" s="5" t="n">
        <v>1.035574</v>
      </c>
    </row>
    <row r="560" customFormat="false" ht="12.75" hidden="false" customHeight="true" outlineLevel="0" collapsed="false">
      <c r="A560" s="5" t="n">
        <v>26</v>
      </c>
      <c r="B560" s="5" t="n">
        <v>107</v>
      </c>
      <c r="C560" s="5" t="n">
        <v>1357388</v>
      </c>
      <c r="D560" s="5" t="n">
        <v>0.6774</v>
      </c>
      <c r="E560" s="5" t="n">
        <v>1.357388</v>
      </c>
    </row>
    <row r="561" customFormat="false" ht="12.75" hidden="false" customHeight="true" outlineLevel="0" collapsed="false">
      <c r="A561" s="5" t="n">
        <v>26</v>
      </c>
      <c r="B561" s="5" t="n">
        <v>107.5</v>
      </c>
      <c r="C561" s="5" t="n">
        <v>1712287</v>
      </c>
      <c r="D561" s="5" t="n">
        <v>0.7418</v>
      </c>
      <c r="E561" s="5" t="n">
        <v>1.712287</v>
      </c>
    </row>
    <row r="562" customFormat="false" ht="12.75" hidden="false" customHeight="true" outlineLevel="0" collapsed="false">
      <c r="A562" s="5" t="n">
        <v>26</v>
      </c>
      <c r="B562" s="5" t="n">
        <v>108</v>
      </c>
      <c r="C562" s="5" t="n">
        <v>2099339</v>
      </c>
      <c r="D562" s="5" t="n">
        <v>0.8058</v>
      </c>
      <c r="E562" s="5" t="n">
        <v>2.099339</v>
      </c>
    </row>
    <row r="563" customFormat="false" ht="12.75" hidden="false" customHeight="true" outlineLevel="0" collapsed="false">
      <c r="A563" s="5" t="n">
        <v>26</v>
      </c>
      <c r="B563" s="5" t="n">
        <v>108.5</v>
      </c>
      <c r="C563" s="5" t="n">
        <v>2517678</v>
      </c>
      <c r="D563" s="5" t="n">
        <v>0.868</v>
      </c>
      <c r="E563" s="5" t="n">
        <v>2.517678</v>
      </c>
    </row>
    <row r="564" customFormat="false" ht="12.75" hidden="false" customHeight="true" outlineLevel="0" collapsed="false">
      <c r="A564" s="5" t="n">
        <v>26</v>
      </c>
      <c r="B564" s="5" t="n">
        <v>109</v>
      </c>
      <c r="C564" s="5" t="n">
        <v>2967404</v>
      </c>
      <c r="D564" s="5" t="n">
        <v>0.9321</v>
      </c>
      <c r="E564" s="5" t="n">
        <v>2.967404</v>
      </c>
    </row>
    <row r="565" customFormat="false" ht="12.75" hidden="false" customHeight="true" outlineLevel="0" collapsed="false">
      <c r="A565" s="5" t="n">
        <v>26</v>
      </c>
      <c r="B565" s="5" t="n">
        <v>109.5</v>
      </c>
      <c r="C565" s="5" t="n">
        <v>3451871</v>
      </c>
      <c r="D565" s="5" t="n">
        <v>1.0068</v>
      </c>
      <c r="E565" s="5" t="n">
        <v>3.451871</v>
      </c>
    </row>
    <row r="566" customFormat="false" ht="12.75" hidden="false" customHeight="true" outlineLevel="0" collapsed="false">
      <c r="A566" s="5" t="n">
        <v>26</v>
      </c>
      <c r="B566" s="5" t="n">
        <v>110</v>
      </c>
      <c r="C566" s="5" t="n">
        <v>3977666</v>
      </c>
      <c r="D566" s="5" t="n">
        <v>1.1077</v>
      </c>
      <c r="E566" s="5" t="n">
        <v>3.977666</v>
      </c>
    </row>
    <row r="567" customFormat="false" ht="12.75" hidden="false" customHeight="true" outlineLevel="0" collapsed="false">
      <c r="A567" s="5" t="n">
        <v>26</v>
      </c>
      <c r="B567" s="5" t="n">
        <v>110.5</v>
      </c>
      <c r="C567" s="5" t="n">
        <v>4564335</v>
      </c>
      <c r="D567" s="5" t="n">
        <v>1.2334</v>
      </c>
      <c r="E567" s="5" t="n">
        <v>4.564335</v>
      </c>
    </row>
    <row r="568" customFormat="false" ht="12.75" hidden="false" customHeight="true" outlineLevel="0" collapsed="false">
      <c r="A568" s="5" t="n">
        <v>26</v>
      </c>
      <c r="B568" s="5" t="n">
        <v>111</v>
      </c>
      <c r="C568" s="5" t="n">
        <v>5194457</v>
      </c>
      <c r="D568" s="5" t="n">
        <v>1.337</v>
      </c>
      <c r="E568" s="5" t="n">
        <v>5.194457</v>
      </c>
    </row>
    <row r="569" customFormat="false" ht="12.75" hidden="false" customHeight="true" outlineLevel="0" collapsed="false">
      <c r="A569" s="5" t="n">
        <v>26</v>
      </c>
      <c r="B569" s="5" t="n">
        <v>112</v>
      </c>
      <c r="C569" s="5" t="n">
        <v>6642949</v>
      </c>
      <c r="D569" s="5" t="n">
        <v>1.56</v>
      </c>
      <c r="E569" s="5" t="n">
        <v>6.642949</v>
      </c>
    </row>
    <row r="570" customFormat="false" ht="12.75" hidden="false" customHeight="true" outlineLevel="0" collapsed="false">
      <c r="A570" s="5" t="n">
        <v>26</v>
      </c>
      <c r="B570" s="5" t="n">
        <v>113</v>
      </c>
      <c r="C570" s="5" t="n">
        <v>8312949</v>
      </c>
      <c r="D570" s="5" t="n">
        <v>1.78</v>
      </c>
      <c r="E570" s="5" t="n">
        <v>8.312949</v>
      </c>
    </row>
    <row r="571" customFormat="false" ht="12.75" hidden="false" customHeight="true" outlineLevel="0" collapsed="false">
      <c r="A571" s="5" t="n">
        <v>27</v>
      </c>
      <c r="B571" s="5" t="n">
        <v>522.79</v>
      </c>
      <c r="C571" s="5" t="n">
        <v>0</v>
      </c>
      <c r="D571" s="5" t="n">
        <v>0</v>
      </c>
      <c r="E571" s="5" t="n">
        <v>0</v>
      </c>
    </row>
    <row r="572" customFormat="false" ht="12.75" hidden="false" customHeight="true" outlineLevel="0" collapsed="false">
      <c r="A572" s="5" t="n">
        <v>27</v>
      </c>
      <c r="B572" s="5" t="n">
        <v>523</v>
      </c>
      <c r="C572" s="5" t="n">
        <v>5</v>
      </c>
      <c r="D572" s="5" t="n">
        <v>0.0001</v>
      </c>
      <c r="E572" s="5" t="n">
        <v>5E-006</v>
      </c>
    </row>
    <row r="573" customFormat="false" ht="12.75" hidden="false" customHeight="true" outlineLevel="0" collapsed="false">
      <c r="A573" s="5" t="n">
        <v>27</v>
      </c>
      <c r="B573" s="5" t="n">
        <v>524</v>
      </c>
      <c r="C573" s="5" t="n">
        <v>6788</v>
      </c>
      <c r="D573" s="5" t="n">
        <v>0</v>
      </c>
      <c r="E573" s="5" t="n">
        <v>0.006788</v>
      </c>
    </row>
    <row r="574" customFormat="false" ht="12.75" hidden="false" customHeight="true" outlineLevel="0" collapsed="false">
      <c r="A574" s="5" t="n">
        <v>27</v>
      </c>
      <c r="B574" s="5" t="n">
        <v>525</v>
      </c>
      <c r="C574" s="5" t="n">
        <v>37136</v>
      </c>
      <c r="D574" s="5" t="n">
        <v>0.0472</v>
      </c>
      <c r="E574" s="5" t="n">
        <v>0.037136</v>
      </c>
    </row>
    <row r="575" customFormat="false" ht="12.75" hidden="false" customHeight="true" outlineLevel="0" collapsed="false">
      <c r="A575" s="5" t="n">
        <v>27</v>
      </c>
      <c r="B575" s="5" t="n">
        <v>526</v>
      </c>
      <c r="C575" s="5" t="n">
        <v>106337</v>
      </c>
      <c r="D575" s="5" t="n">
        <v>0.0937</v>
      </c>
      <c r="E575" s="5" t="n">
        <v>0.106337</v>
      </c>
    </row>
    <row r="576" customFormat="false" ht="12.75" hidden="false" customHeight="true" outlineLevel="0" collapsed="false">
      <c r="A576" s="5" t="n">
        <v>27</v>
      </c>
      <c r="B576" s="5" t="n">
        <v>527</v>
      </c>
      <c r="C576" s="5" t="n">
        <v>232513</v>
      </c>
      <c r="D576" s="5" t="n">
        <v>0.1635</v>
      </c>
      <c r="E576" s="5" t="n">
        <v>0.232513</v>
      </c>
    </row>
    <row r="577" customFormat="false" ht="12.75" hidden="false" customHeight="true" outlineLevel="0" collapsed="false">
      <c r="A577" s="5" t="n">
        <v>27</v>
      </c>
      <c r="B577" s="5" t="n">
        <v>528</v>
      </c>
      <c r="C577" s="5" t="n">
        <v>438852</v>
      </c>
      <c r="D577" s="5" t="n">
        <v>0.2559</v>
      </c>
      <c r="E577" s="5" t="n">
        <v>0.438852</v>
      </c>
    </row>
    <row r="578" customFormat="false" ht="12.75" hidden="false" customHeight="true" outlineLevel="0" collapsed="false">
      <c r="A578" s="5" t="n">
        <v>27</v>
      </c>
      <c r="B578" s="5" t="n">
        <v>529</v>
      </c>
      <c r="C578" s="5" t="n">
        <v>763975</v>
      </c>
      <c r="D578" s="5" t="n">
        <v>0.402</v>
      </c>
      <c r="E578" s="5" t="n">
        <v>0.763975</v>
      </c>
    </row>
    <row r="579" customFormat="false" ht="12.75" hidden="false" customHeight="true" outlineLevel="0" collapsed="false">
      <c r="A579" s="5" t="n">
        <v>27</v>
      </c>
      <c r="B579" s="5" t="n">
        <v>530</v>
      </c>
      <c r="C579" s="5" t="n">
        <v>1266309</v>
      </c>
      <c r="D579" s="5" t="n">
        <v>0.6169</v>
      </c>
      <c r="E579" s="5" t="n">
        <v>1.266309</v>
      </c>
    </row>
    <row r="580" customFormat="false" ht="12.75" hidden="false" customHeight="true" outlineLevel="0" collapsed="false">
      <c r="A580" s="5" t="n">
        <v>27</v>
      </c>
      <c r="B580" s="5" t="n">
        <v>531</v>
      </c>
      <c r="C580" s="5" t="n">
        <v>1999926</v>
      </c>
      <c r="D580" s="5" t="n">
        <v>0.8268</v>
      </c>
      <c r="E580" s="5" t="n">
        <v>1.999926</v>
      </c>
    </row>
    <row r="581" customFormat="false" ht="12.75" hidden="false" customHeight="true" outlineLevel="0" collapsed="false">
      <c r="A581" s="5" t="n">
        <v>27</v>
      </c>
      <c r="B581" s="5" t="n">
        <v>532</v>
      </c>
      <c r="C581" s="5" t="n">
        <v>2873542</v>
      </c>
      <c r="D581" s="5" t="n">
        <v>0.9032</v>
      </c>
      <c r="E581" s="5" t="n">
        <v>2.873542</v>
      </c>
    </row>
    <row r="582" customFormat="false" ht="12.75" hidden="false" customHeight="true" outlineLevel="0" collapsed="false">
      <c r="A582" s="5" t="n">
        <v>27</v>
      </c>
      <c r="B582" s="5" t="n">
        <v>532.39</v>
      </c>
      <c r="C582" s="5" t="n">
        <v>3229297</v>
      </c>
      <c r="D582" s="5" t="n">
        <v>1.0282</v>
      </c>
      <c r="E582" s="5" t="n">
        <v>3.229297</v>
      </c>
    </row>
    <row r="583" customFormat="false" ht="12.75" hidden="false" customHeight="true" outlineLevel="0" collapsed="false">
      <c r="A583" s="5" t="n">
        <v>27</v>
      </c>
      <c r="B583" s="5" t="n">
        <v>532.5</v>
      </c>
      <c r="C583" s="5" t="n">
        <v>3347765</v>
      </c>
      <c r="D583" s="5" t="n">
        <v>1.0634</v>
      </c>
      <c r="E583" s="5" t="n">
        <v>3.347765</v>
      </c>
    </row>
    <row r="584" customFormat="false" ht="12.75" hidden="false" customHeight="true" outlineLevel="0" collapsed="false">
      <c r="A584" s="5" t="n">
        <v>27</v>
      </c>
      <c r="B584" s="5" t="n">
        <v>533</v>
      </c>
      <c r="C584" s="5" t="n">
        <v>3973859</v>
      </c>
      <c r="D584" s="5" t="n">
        <v>1.2354</v>
      </c>
      <c r="E584" s="5" t="n">
        <v>3.973859</v>
      </c>
    </row>
    <row r="585" customFormat="false" ht="12.75" hidden="false" customHeight="true" outlineLevel="0" collapsed="false">
      <c r="A585" s="5" t="n">
        <v>27</v>
      </c>
      <c r="B585" s="5" t="n">
        <v>533.5</v>
      </c>
      <c r="C585" s="5" t="n">
        <v>4689674</v>
      </c>
      <c r="D585" s="5" t="n">
        <v>1.4234</v>
      </c>
      <c r="E585" s="5" t="n">
        <v>4.689674</v>
      </c>
    </row>
    <row r="586" customFormat="false" ht="12.75" hidden="false" customHeight="true" outlineLevel="0" collapsed="false">
      <c r="A586" s="5" t="n">
        <v>27</v>
      </c>
      <c r="B586" s="5" t="n">
        <v>534</v>
      </c>
      <c r="C586" s="5" t="n">
        <v>5503031</v>
      </c>
      <c r="D586" s="5" t="n">
        <v>1.6424</v>
      </c>
      <c r="E586" s="5" t="n">
        <v>5.503031</v>
      </c>
    </row>
    <row r="587" customFormat="false" ht="12.75" hidden="false" customHeight="true" outlineLevel="0" collapsed="false">
      <c r="A587" s="5" t="n">
        <v>27</v>
      </c>
      <c r="B587" s="5" t="n">
        <v>534.5</v>
      </c>
      <c r="C587" s="5" t="n">
        <v>6440477</v>
      </c>
      <c r="D587" s="5" t="n">
        <v>1.9034</v>
      </c>
      <c r="E587" s="5" t="n">
        <v>6.440477</v>
      </c>
    </row>
    <row r="588" customFormat="false" ht="12.75" hidden="false" customHeight="true" outlineLevel="0" collapsed="false">
      <c r="A588" s="5" t="n">
        <v>27</v>
      </c>
      <c r="B588" s="5" t="n">
        <v>535</v>
      </c>
      <c r="C588" s="5" t="n">
        <v>7506650</v>
      </c>
      <c r="D588" s="5" t="n">
        <v>2.1534</v>
      </c>
      <c r="E588" s="5" t="n">
        <v>7.50665</v>
      </c>
    </row>
    <row r="589" customFormat="false" ht="12.75" hidden="false" customHeight="true" outlineLevel="0" collapsed="false">
      <c r="A589" s="5" t="n">
        <v>27</v>
      </c>
      <c r="B589" s="5" t="n">
        <v>535.5</v>
      </c>
      <c r="C589" s="5" t="n">
        <v>8693392</v>
      </c>
      <c r="D589" s="5" t="n">
        <v>2.3944</v>
      </c>
      <c r="E589" s="5" t="n">
        <v>8.693392</v>
      </c>
    </row>
    <row r="590" customFormat="false" ht="12.75" hidden="false" customHeight="true" outlineLevel="0" collapsed="false">
      <c r="A590" s="5" t="n">
        <v>27</v>
      </c>
      <c r="B590" s="5" t="n">
        <v>535.92</v>
      </c>
      <c r="C590" s="5" t="n">
        <v>9779271</v>
      </c>
      <c r="D590" s="5" t="n">
        <v>2.5894</v>
      </c>
      <c r="E590" s="5" t="n">
        <v>9.779271</v>
      </c>
    </row>
    <row r="591" customFormat="false" ht="12.75" hidden="false" customHeight="true" outlineLevel="0" collapsed="false">
      <c r="A591" s="5" t="n">
        <v>27</v>
      </c>
      <c r="B591" s="5" t="n">
        <v>540</v>
      </c>
      <c r="C591" s="5" t="n">
        <v>34578931</v>
      </c>
      <c r="D591" s="5" t="n">
        <v>6.3934</v>
      </c>
      <c r="E591" s="5" t="n">
        <v>34.578931</v>
      </c>
    </row>
    <row r="592" customFormat="false" ht="12.75" hidden="false" customHeight="true" outlineLevel="0" collapsed="false">
      <c r="A592" s="5" t="n">
        <v>27</v>
      </c>
      <c r="B592" s="5" t="n">
        <v>541.98</v>
      </c>
      <c r="C592" s="5" t="n">
        <v>51963159</v>
      </c>
      <c r="D592" s="5" t="n">
        <v>8.2051</v>
      </c>
      <c r="E592" s="5" t="n">
        <v>51.963159</v>
      </c>
    </row>
    <row r="593" customFormat="false" ht="12.75" hidden="false" customHeight="true" outlineLevel="0" collapsed="false">
      <c r="A593" s="5" t="n">
        <v>27</v>
      </c>
      <c r="B593" s="5" t="n">
        <v>542</v>
      </c>
      <c r="C593" s="5" t="n">
        <v>52000000</v>
      </c>
      <c r="D593" s="5" t="n">
        <v>8.32</v>
      </c>
      <c r="E593" s="5" t="n">
        <v>52</v>
      </c>
    </row>
    <row r="594" customFormat="false" ht="12.75" hidden="false" customHeight="true" outlineLevel="0" collapsed="false">
      <c r="A594" s="5" t="n">
        <v>27</v>
      </c>
      <c r="B594" s="5" t="n">
        <v>545</v>
      </c>
      <c r="C594" s="5" t="n">
        <v>78978931</v>
      </c>
      <c r="D594" s="5" t="n">
        <v>10.9634</v>
      </c>
      <c r="E594" s="5" t="n">
        <v>78.978931</v>
      </c>
    </row>
    <row r="595" customFormat="false" ht="12.75" hidden="false" customHeight="true" outlineLevel="0" collapsed="false">
      <c r="A595" s="5" t="n">
        <v>27</v>
      </c>
      <c r="B595" s="5" t="n">
        <v>550</v>
      </c>
      <c r="C595" s="5" t="n">
        <v>147098931</v>
      </c>
      <c r="D595" s="5" t="n">
        <v>16.2934</v>
      </c>
      <c r="E595" s="5" t="n">
        <v>147.098931</v>
      </c>
    </row>
    <row r="596" customFormat="false" ht="12.75" hidden="false" customHeight="true" outlineLevel="0" collapsed="false">
      <c r="A596" s="5" t="n">
        <v>28</v>
      </c>
      <c r="B596" s="5" t="n">
        <v>103</v>
      </c>
      <c r="C596" s="5" t="n">
        <v>0</v>
      </c>
      <c r="D596" s="5" t="n">
        <v>0</v>
      </c>
      <c r="E596" s="5" t="n">
        <v>0</v>
      </c>
    </row>
    <row r="597" customFormat="false" ht="12.75" hidden="false" customHeight="true" outlineLevel="0" collapsed="false">
      <c r="A597" s="5" t="n">
        <v>28</v>
      </c>
      <c r="B597" s="5" t="n">
        <v>104</v>
      </c>
      <c r="C597" s="5" t="n">
        <v>600000</v>
      </c>
      <c r="D597" s="5" t="n">
        <v>0.42</v>
      </c>
      <c r="E597" s="5" t="n">
        <v>0.6</v>
      </c>
    </row>
    <row r="598" customFormat="false" ht="12.75" hidden="false" customHeight="true" outlineLevel="0" collapsed="false">
      <c r="A598" s="5" t="n">
        <v>28</v>
      </c>
      <c r="B598" s="5" t="n">
        <v>106</v>
      </c>
      <c r="C598" s="5" t="n">
        <v>1980000</v>
      </c>
      <c r="D598" s="5" t="n">
        <v>0.95</v>
      </c>
      <c r="E598" s="5" t="n">
        <v>1.98</v>
      </c>
    </row>
    <row r="599" customFormat="false" ht="12.75" hidden="false" customHeight="true" outlineLevel="0" collapsed="false">
      <c r="A599" s="5" t="n">
        <v>28</v>
      </c>
      <c r="B599" s="5" t="n">
        <v>108</v>
      </c>
      <c r="C599" s="5" t="n">
        <v>4590000</v>
      </c>
      <c r="D599" s="5" t="n">
        <v>1.66</v>
      </c>
      <c r="E599" s="5" t="n">
        <v>4.59</v>
      </c>
    </row>
    <row r="600" customFormat="false" ht="12.75" hidden="false" customHeight="true" outlineLevel="0" collapsed="false">
      <c r="A600" s="5" t="n">
        <v>28</v>
      </c>
      <c r="B600" s="5" t="n">
        <v>110</v>
      </c>
      <c r="C600" s="5" t="n">
        <v>8870000</v>
      </c>
      <c r="D600" s="5" t="n">
        <v>2.62</v>
      </c>
      <c r="E600" s="5" t="n">
        <v>8.87</v>
      </c>
    </row>
    <row r="601" customFormat="false" ht="12.75" hidden="false" customHeight="true" outlineLevel="0" collapsed="false">
      <c r="A601" s="5" t="n">
        <v>28</v>
      </c>
      <c r="B601" s="5" t="n">
        <v>112</v>
      </c>
      <c r="C601" s="5" t="n">
        <v>15250000</v>
      </c>
      <c r="D601" s="5" t="n">
        <v>3.75</v>
      </c>
      <c r="E601" s="5" t="n">
        <v>15.25</v>
      </c>
    </row>
    <row r="602" customFormat="false" ht="12.75" hidden="false" customHeight="true" outlineLevel="0" collapsed="false">
      <c r="A602" s="5" t="n">
        <v>28</v>
      </c>
      <c r="B602" s="5" t="n">
        <v>114</v>
      </c>
      <c r="C602" s="5" t="n">
        <v>24100000</v>
      </c>
      <c r="D602" s="5" t="n">
        <v>5.12</v>
      </c>
      <c r="E602" s="5" t="n">
        <v>24.1</v>
      </c>
    </row>
    <row r="603" customFormat="false" ht="12.75" hidden="false" customHeight="true" outlineLevel="0" collapsed="false">
      <c r="A603" s="5" t="n">
        <v>28</v>
      </c>
      <c r="B603" s="5" t="n">
        <v>114.45</v>
      </c>
      <c r="C603" s="5" t="n">
        <v>26772800</v>
      </c>
      <c r="D603" s="5" t="n">
        <v>5.48</v>
      </c>
      <c r="E603" s="5" t="n">
        <v>26.7728</v>
      </c>
    </row>
    <row r="604" customFormat="false" ht="12.75" hidden="false" customHeight="true" outlineLevel="0" collapsed="false">
      <c r="A604" s="5" t="n">
        <v>28</v>
      </c>
      <c r="B604" s="5" t="n">
        <v>116</v>
      </c>
      <c r="C604" s="5" t="n">
        <v>35890000</v>
      </c>
      <c r="D604" s="5" t="n">
        <v>6.71</v>
      </c>
      <c r="E604" s="5" t="n">
        <v>35.89</v>
      </c>
    </row>
    <row r="605" customFormat="false" ht="12.75" hidden="false" customHeight="true" outlineLevel="0" collapsed="false">
      <c r="A605" s="5" t="n">
        <v>28</v>
      </c>
      <c r="B605" s="5" t="n">
        <v>118</v>
      </c>
      <c r="C605" s="5" t="n">
        <v>50950000</v>
      </c>
      <c r="D605" s="5" t="n">
        <v>8.52</v>
      </c>
      <c r="E605" s="5" t="n">
        <v>50.95</v>
      </c>
    </row>
    <row r="606" customFormat="false" ht="12.75" hidden="false" customHeight="true" outlineLevel="0" collapsed="false">
      <c r="A606" s="5" t="n">
        <v>29</v>
      </c>
      <c r="B606" s="5" t="n">
        <v>193</v>
      </c>
      <c r="C606" s="5" t="n">
        <v>0</v>
      </c>
      <c r="D606" s="5" t="n">
        <v>0.01</v>
      </c>
      <c r="E606" s="5" t="n">
        <v>0</v>
      </c>
    </row>
    <row r="607" customFormat="false" ht="12.75" hidden="false" customHeight="true" outlineLevel="0" collapsed="false">
      <c r="A607" s="5" t="n">
        <v>29</v>
      </c>
      <c r="B607" s="5" t="n">
        <v>194</v>
      </c>
      <c r="C607" s="5" t="n">
        <v>10000</v>
      </c>
      <c r="D607" s="5" t="n">
        <v>0.02</v>
      </c>
      <c r="E607" s="5" t="n">
        <v>0.01</v>
      </c>
    </row>
    <row r="608" customFormat="false" ht="12.75" hidden="false" customHeight="true" outlineLevel="0" collapsed="false">
      <c r="A608" s="5" t="n">
        <v>29</v>
      </c>
      <c r="B608" s="5" t="n">
        <v>195</v>
      </c>
      <c r="C608" s="5" t="n">
        <v>70000</v>
      </c>
      <c r="D608" s="5" t="n">
        <v>0.07</v>
      </c>
      <c r="E608" s="5" t="n">
        <v>0.07</v>
      </c>
    </row>
    <row r="609" customFormat="false" ht="12.75" hidden="false" customHeight="true" outlineLevel="0" collapsed="false">
      <c r="A609" s="5" t="n">
        <v>29</v>
      </c>
      <c r="B609" s="5" t="n">
        <v>196</v>
      </c>
      <c r="C609" s="5" t="n">
        <v>200000</v>
      </c>
      <c r="D609" s="5" t="n">
        <v>0.2</v>
      </c>
      <c r="E609" s="5" t="n">
        <v>0.2</v>
      </c>
    </row>
    <row r="610" customFormat="false" ht="12.75" hidden="false" customHeight="true" outlineLevel="0" collapsed="false">
      <c r="A610" s="5" t="n">
        <v>29</v>
      </c>
      <c r="B610" s="5" t="n">
        <v>197</v>
      </c>
      <c r="C610" s="5" t="n">
        <v>570000</v>
      </c>
      <c r="D610" s="5" t="n">
        <v>0.53</v>
      </c>
      <c r="E610" s="5" t="n">
        <v>0.57</v>
      </c>
    </row>
    <row r="611" customFormat="false" ht="12.75" hidden="false" customHeight="true" outlineLevel="0" collapsed="false">
      <c r="A611" s="5" t="n">
        <v>29</v>
      </c>
      <c r="B611" s="5" t="n">
        <v>198</v>
      </c>
      <c r="C611" s="5" t="n">
        <v>1330000</v>
      </c>
      <c r="D611" s="5" t="n">
        <v>0.98</v>
      </c>
      <c r="E611" s="5" t="n">
        <v>1.33</v>
      </c>
    </row>
    <row r="612" customFormat="false" ht="12.75" hidden="false" customHeight="true" outlineLevel="0" collapsed="false">
      <c r="A612" s="5" t="n">
        <v>29</v>
      </c>
      <c r="B612" s="5" t="n">
        <v>199</v>
      </c>
      <c r="C612" s="5" t="n">
        <v>2550000</v>
      </c>
      <c r="D612" s="5" t="n">
        <v>1.45</v>
      </c>
      <c r="E612" s="5" t="n">
        <v>2.55</v>
      </c>
    </row>
    <row r="613" customFormat="false" ht="12.75" hidden="false" customHeight="true" outlineLevel="0" collapsed="false">
      <c r="A613" s="5" t="n">
        <v>30</v>
      </c>
      <c r="B613" s="5" t="n">
        <v>10</v>
      </c>
      <c r="C613" s="5" t="n">
        <v>0</v>
      </c>
      <c r="D613" s="5" t="n">
        <v>0</v>
      </c>
      <c r="E613" s="5" t="n">
        <v>0</v>
      </c>
    </row>
    <row r="614" customFormat="false" ht="12.75" hidden="false" customHeight="true" outlineLevel="0" collapsed="false">
      <c r="A614" s="5" t="n">
        <v>30</v>
      </c>
      <c r="B614" s="5" t="n">
        <v>11</v>
      </c>
      <c r="C614" s="5" t="n">
        <v>2000</v>
      </c>
      <c r="D614" s="5" t="n">
        <v>0.004</v>
      </c>
      <c r="E614" s="5" t="n">
        <v>0.002</v>
      </c>
    </row>
    <row r="615" customFormat="false" ht="12.75" hidden="false" customHeight="true" outlineLevel="0" collapsed="false">
      <c r="A615" s="5" t="n">
        <v>30</v>
      </c>
      <c r="B615" s="5" t="n">
        <v>12</v>
      </c>
      <c r="C615" s="5" t="n">
        <v>10000</v>
      </c>
      <c r="D615" s="5" t="n">
        <v>0.01</v>
      </c>
      <c r="E615" s="5" t="n">
        <v>0.01</v>
      </c>
    </row>
    <row r="616" customFormat="false" ht="12.75" hidden="false" customHeight="true" outlineLevel="0" collapsed="false">
      <c r="A616" s="5" t="n">
        <v>30</v>
      </c>
      <c r="B616" s="5" t="n">
        <v>13</v>
      </c>
      <c r="C616" s="5" t="n">
        <v>40000</v>
      </c>
      <c r="D616" s="5" t="n">
        <v>0.04</v>
      </c>
      <c r="E616" s="5" t="n">
        <v>0.04</v>
      </c>
    </row>
    <row r="617" customFormat="false" ht="12.75" hidden="false" customHeight="true" outlineLevel="0" collapsed="false">
      <c r="A617" s="5" t="n">
        <v>30</v>
      </c>
      <c r="B617" s="5" t="n">
        <v>14</v>
      </c>
      <c r="C617" s="5" t="n">
        <v>110000</v>
      </c>
      <c r="D617" s="5" t="n">
        <v>0.1</v>
      </c>
      <c r="E617" s="5" t="n">
        <v>0.11</v>
      </c>
    </row>
    <row r="618" customFormat="false" ht="12.75" hidden="false" customHeight="true" outlineLevel="0" collapsed="false">
      <c r="A618" s="5" t="n">
        <v>30</v>
      </c>
      <c r="B618" s="5" t="n">
        <v>15</v>
      </c>
      <c r="C618" s="5" t="n">
        <v>270000</v>
      </c>
      <c r="D618" s="5" t="n">
        <v>0.19</v>
      </c>
      <c r="E618" s="5" t="n">
        <v>0.27</v>
      </c>
    </row>
    <row r="619" customFormat="false" ht="12.75" hidden="false" customHeight="true" outlineLevel="0" collapsed="false">
      <c r="A619" s="5" t="n">
        <v>30</v>
      </c>
      <c r="B619" s="5" t="n">
        <v>16</v>
      </c>
      <c r="C619" s="5" t="n">
        <v>530000</v>
      </c>
      <c r="D619" s="5" t="n">
        <v>0.33</v>
      </c>
      <c r="E619" s="5" t="n">
        <v>0.53</v>
      </c>
    </row>
    <row r="620" customFormat="false" ht="12.75" hidden="false" customHeight="true" outlineLevel="0" collapsed="false">
      <c r="A620" s="5" t="n">
        <v>30</v>
      </c>
      <c r="B620" s="5" t="n">
        <v>17</v>
      </c>
      <c r="C620" s="5" t="n">
        <v>980000</v>
      </c>
      <c r="D620" s="5" t="n">
        <v>0.56</v>
      </c>
      <c r="E620" s="5" t="n">
        <v>0.98</v>
      </c>
    </row>
    <row r="621" customFormat="false" ht="12.75" hidden="false" customHeight="true" outlineLevel="0" collapsed="false">
      <c r="A621" s="5" t="n">
        <v>30</v>
      </c>
      <c r="B621" s="5" t="n">
        <v>18</v>
      </c>
      <c r="C621" s="5" t="n">
        <v>1660000</v>
      </c>
      <c r="D621" s="5" t="n">
        <v>0.79</v>
      </c>
      <c r="E621" s="5" t="n">
        <v>1.66</v>
      </c>
    </row>
    <row r="622" customFormat="false" ht="12.75" hidden="false" customHeight="true" outlineLevel="0" collapsed="false">
      <c r="A622" s="5" t="n">
        <v>30</v>
      </c>
      <c r="B622" s="5" t="n">
        <v>19</v>
      </c>
      <c r="C622" s="5" t="n">
        <v>2580000</v>
      </c>
      <c r="D622" s="5" t="n">
        <v>1.05</v>
      </c>
      <c r="E622" s="5" t="n">
        <v>2.58</v>
      </c>
    </row>
    <row r="623" customFormat="false" ht="12.75" hidden="false" customHeight="true" outlineLevel="0" collapsed="false">
      <c r="A623" s="5" t="n">
        <v>30</v>
      </c>
      <c r="B623" s="5" t="n">
        <v>20</v>
      </c>
      <c r="C623" s="5" t="n">
        <v>3770000</v>
      </c>
      <c r="D623" s="5" t="n">
        <v>1.32</v>
      </c>
      <c r="E623" s="5" t="n">
        <v>3.77</v>
      </c>
    </row>
    <row r="624" customFormat="false" ht="12.75" hidden="false" customHeight="true" outlineLevel="0" collapsed="false">
      <c r="A624" s="5" t="n">
        <v>30</v>
      </c>
      <c r="B624" s="5" t="n">
        <v>21</v>
      </c>
      <c r="C624" s="5" t="n">
        <v>5240000</v>
      </c>
      <c r="D624" s="5" t="n">
        <v>1.61</v>
      </c>
      <c r="E624" s="5" t="n">
        <v>5.24</v>
      </c>
    </row>
    <row r="625" customFormat="false" ht="12.75" hidden="false" customHeight="true" outlineLevel="0" collapsed="false">
      <c r="A625" s="5" t="n">
        <v>30</v>
      </c>
      <c r="B625" s="5" t="n">
        <v>22</v>
      </c>
      <c r="C625" s="5" t="n">
        <v>7030000</v>
      </c>
      <c r="D625" s="5" t="n">
        <v>1.95</v>
      </c>
      <c r="E625" s="5" t="n">
        <v>7.03</v>
      </c>
    </row>
    <row r="626" customFormat="false" ht="12.75" hidden="false" customHeight="true" outlineLevel="0" collapsed="false">
      <c r="A626" s="5" t="n">
        <v>30</v>
      </c>
      <c r="B626" s="5" t="n">
        <v>23</v>
      </c>
      <c r="C626" s="5" t="n">
        <v>9150000</v>
      </c>
      <c r="D626" s="5" t="n">
        <v>2.29</v>
      </c>
      <c r="E626" s="5" t="n">
        <v>9.15</v>
      </c>
    </row>
    <row r="627" customFormat="false" ht="12.75" hidden="false" customHeight="true" outlineLevel="0" collapsed="false">
      <c r="A627" s="5" t="n">
        <v>30</v>
      </c>
      <c r="B627" s="5" t="n">
        <v>23.5</v>
      </c>
      <c r="C627" s="5" t="n">
        <v>10390000</v>
      </c>
      <c r="D627" s="5" t="n">
        <v>2.48</v>
      </c>
      <c r="E627" s="5" t="n">
        <v>10.39</v>
      </c>
    </row>
    <row r="628" customFormat="false" ht="12.75" hidden="false" customHeight="true" outlineLevel="0" collapsed="false">
      <c r="A628" s="5" t="n">
        <v>30</v>
      </c>
      <c r="B628" s="5" t="n">
        <v>24</v>
      </c>
      <c r="C628" s="5" t="n">
        <v>11640000</v>
      </c>
      <c r="D628" s="5" t="n">
        <v>2.67</v>
      </c>
      <c r="E628" s="5" t="n">
        <v>11.64</v>
      </c>
    </row>
    <row r="629" customFormat="false" ht="12.75" hidden="false" customHeight="true" outlineLevel="0" collapsed="false">
      <c r="A629" s="5" t="n">
        <v>30</v>
      </c>
      <c r="B629" s="5" t="n">
        <v>25</v>
      </c>
      <c r="C629" s="5" t="n">
        <v>14570000</v>
      </c>
      <c r="D629" s="5" t="n">
        <v>3.08</v>
      </c>
      <c r="E629" s="5" t="n">
        <v>14.57</v>
      </c>
    </row>
    <row r="630" customFormat="false" ht="12.75" hidden="false" customHeight="true" outlineLevel="0" collapsed="false">
      <c r="A630" s="5" t="n">
        <v>31</v>
      </c>
      <c r="B630" s="5" t="n">
        <v>119.4</v>
      </c>
      <c r="C630" s="5" t="n">
        <v>0</v>
      </c>
      <c r="D630" s="5" t="n">
        <v>0</v>
      </c>
      <c r="E630" s="5" t="n">
        <v>0</v>
      </c>
    </row>
    <row r="631" customFormat="false" ht="12.75" hidden="false" customHeight="true" outlineLevel="0" collapsed="false">
      <c r="A631" s="5" t="n">
        <v>31</v>
      </c>
      <c r="B631" s="5" t="n">
        <v>120</v>
      </c>
      <c r="C631" s="5" t="n">
        <v>1410</v>
      </c>
      <c r="D631" s="5" t="n">
        <v>0.0061</v>
      </c>
      <c r="E631" s="5" t="n">
        <v>0.00141</v>
      </c>
    </row>
    <row r="632" customFormat="false" ht="12.75" hidden="false" customHeight="true" outlineLevel="0" collapsed="false">
      <c r="A632" s="5" t="n">
        <v>31</v>
      </c>
      <c r="B632" s="5" t="n">
        <v>121</v>
      </c>
      <c r="C632" s="5" t="n">
        <v>18741</v>
      </c>
      <c r="D632" s="5" t="n">
        <v>0.0357</v>
      </c>
      <c r="E632" s="5" t="n">
        <v>0.018741</v>
      </c>
    </row>
    <row r="633" customFormat="false" ht="12.75" hidden="false" customHeight="true" outlineLevel="0" collapsed="false">
      <c r="A633" s="5" t="n">
        <v>31</v>
      </c>
      <c r="B633" s="5" t="n">
        <v>122</v>
      </c>
      <c r="C633" s="5" t="n">
        <v>94626</v>
      </c>
      <c r="D633" s="5" t="n">
        <v>0.1342</v>
      </c>
      <c r="E633" s="5" t="n">
        <v>0.094626</v>
      </c>
    </row>
    <row r="634" customFormat="false" ht="12.75" hidden="false" customHeight="true" outlineLevel="0" collapsed="false">
      <c r="A634" s="5" t="n">
        <v>31</v>
      </c>
      <c r="B634" s="5" t="n">
        <v>123</v>
      </c>
      <c r="C634" s="5" t="n">
        <v>314811</v>
      </c>
      <c r="D634" s="5" t="n">
        <v>0.3186</v>
      </c>
      <c r="E634" s="5" t="n">
        <v>0.314811</v>
      </c>
    </row>
    <row r="635" customFormat="false" ht="12.75" hidden="false" customHeight="true" outlineLevel="0" collapsed="false">
      <c r="A635" s="5" t="n">
        <v>31</v>
      </c>
      <c r="B635" s="5" t="n">
        <v>124</v>
      </c>
      <c r="C635" s="5" t="n">
        <v>736731</v>
      </c>
      <c r="D635" s="5" t="n">
        <v>0.5375</v>
      </c>
      <c r="E635" s="5" t="n">
        <v>0.736731</v>
      </c>
    </row>
    <row r="636" customFormat="false" ht="12.75" hidden="false" customHeight="true" outlineLevel="0" collapsed="false">
      <c r="A636" s="5" t="n">
        <v>31</v>
      </c>
      <c r="B636" s="5" t="n">
        <v>125</v>
      </c>
      <c r="C636" s="5" t="n">
        <v>1432943</v>
      </c>
      <c r="D636" s="5" t="n">
        <v>0.8833</v>
      </c>
      <c r="E636" s="5" t="n">
        <v>1.432943</v>
      </c>
    </row>
    <row r="637" customFormat="false" ht="12.75" hidden="false" customHeight="true" outlineLevel="0" collapsed="false">
      <c r="A637" s="5" t="n">
        <v>31</v>
      </c>
      <c r="B637" s="5" t="n">
        <v>126</v>
      </c>
      <c r="C637" s="5" t="n">
        <v>2522038</v>
      </c>
      <c r="D637" s="5" t="n">
        <v>1.3065</v>
      </c>
      <c r="E637" s="5" t="n">
        <v>2.522038</v>
      </c>
    </row>
    <row r="638" customFormat="false" ht="12.75" hidden="false" customHeight="true" outlineLevel="0" collapsed="false">
      <c r="A638" s="5" t="n">
        <v>31</v>
      </c>
      <c r="B638" s="5" t="n">
        <v>127</v>
      </c>
      <c r="C638" s="5" t="n">
        <v>4062201</v>
      </c>
      <c r="D638" s="5" t="n">
        <v>1.7953</v>
      </c>
      <c r="E638" s="5" t="n">
        <v>4.062201</v>
      </c>
    </row>
    <row r="639" customFormat="false" ht="12.75" hidden="false" customHeight="true" outlineLevel="0" collapsed="false">
      <c r="A639" s="5" t="n">
        <v>31</v>
      </c>
      <c r="B639" s="5" t="n">
        <v>128</v>
      </c>
      <c r="C639" s="5" t="n">
        <v>6123170</v>
      </c>
      <c r="D639" s="5" t="n">
        <v>2.3576</v>
      </c>
      <c r="E639" s="5" t="n">
        <v>6.12317</v>
      </c>
    </row>
    <row r="640" customFormat="false" ht="12.75" hidden="false" customHeight="true" outlineLevel="0" collapsed="false">
      <c r="A640" s="5" t="n">
        <v>31</v>
      </c>
      <c r="B640" s="5" t="n">
        <v>129</v>
      </c>
      <c r="C640" s="5" t="n">
        <v>8828738</v>
      </c>
      <c r="D640" s="5" t="n">
        <v>3.0803</v>
      </c>
      <c r="E640" s="5" t="n">
        <v>8.828738</v>
      </c>
    </row>
    <row r="641" customFormat="false" ht="12.75" hidden="false" customHeight="true" outlineLevel="0" collapsed="false">
      <c r="A641" s="5" t="n">
        <v>31</v>
      </c>
      <c r="B641" s="5" t="n">
        <v>130</v>
      </c>
      <c r="C641" s="5" t="n">
        <v>12330435</v>
      </c>
      <c r="D641" s="5" t="n">
        <v>3.9783</v>
      </c>
      <c r="E641" s="5" t="n">
        <v>12.330435</v>
      </c>
    </row>
    <row r="642" customFormat="false" ht="12.75" hidden="false" customHeight="true" outlineLevel="0" collapsed="false">
      <c r="A642" s="5" t="n">
        <v>31</v>
      </c>
      <c r="B642" s="5" t="n">
        <v>131</v>
      </c>
      <c r="C642" s="5" t="n">
        <v>16820440</v>
      </c>
      <c r="D642" s="5" t="n">
        <v>5.0547</v>
      </c>
      <c r="E642" s="5" t="n">
        <v>16.82044</v>
      </c>
    </row>
    <row r="643" customFormat="false" ht="12.75" hidden="false" customHeight="true" outlineLevel="0" collapsed="false">
      <c r="A643" s="5" t="n">
        <v>31</v>
      </c>
      <c r="B643" s="5" t="n">
        <v>132</v>
      </c>
      <c r="C643" s="5" t="n">
        <v>22448657</v>
      </c>
      <c r="D643" s="5" t="n">
        <v>6.2236</v>
      </c>
      <c r="E643" s="5" t="n">
        <v>22.448657</v>
      </c>
    </row>
    <row r="644" customFormat="false" ht="12.75" hidden="false" customHeight="true" outlineLevel="0" collapsed="false">
      <c r="A644" s="5" t="n">
        <v>31</v>
      </c>
      <c r="B644" s="5" t="n">
        <v>133</v>
      </c>
      <c r="C644" s="5" t="n">
        <v>29257673</v>
      </c>
      <c r="D644" s="5" t="n">
        <v>7.4066</v>
      </c>
      <c r="E644" s="5" t="n">
        <v>29.257673</v>
      </c>
    </row>
    <row r="645" customFormat="false" ht="12.75" hidden="false" customHeight="true" outlineLevel="0" collapsed="false">
      <c r="A645" s="5" t="n">
        <v>31</v>
      </c>
      <c r="B645" s="5" t="n">
        <v>134</v>
      </c>
      <c r="C645" s="5" t="n">
        <v>32273901</v>
      </c>
      <c r="D645" s="5" t="n">
        <v>8.6935</v>
      </c>
      <c r="E645" s="5" t="n">
        <v>32.273901</v>
      </c>
    </row>
    <row r="646" customFormat="false" ht="12.75" hidden="false" customHeight="true" outlineLevel="0" collapsed="false">
      <c r="A646" s="5" t="n">
        <v>31</v>
      </c>
      <c r="B646" s="5" t="n">
        <v>135</v>
      </c>
      <c r="C646" s="5" t="n">
        <v>46665779</v>
      </c>
      <c r="D646" s="5" t="n">
        <v>10.1676</v>
      </c>
      <c r="E646" s="5" t="n">
        <v>46.665779</v>
      </c>
    </row>
    <row r="647" customFormat="false" ht="12.75" hidden="false" customHeight="true" outlineLevel="0" collapsed="false">
      <c r="A647" s="5" t="n">
        <v>31</v>
      </c>
      <c r="B647" s="5" t="n">
        <v>136</v>
      </c>
      <c r="C647" s="5" t="n">
        <v>57666988</v>
      </c>
      <c r="D647" s="5" t="n">
        <v>11.8901</v>
      </c>
      <c r="E647" s="5" t="n">
        <v>57.666988</v>
      </c>
    </row>
    <row r="648" customFormat="false" ht="12.75" hidden="false" customHeight="true" outlineLevel="0" collapsed="false">
      <c r="A648" s="5" t="n">
        <v>31</v>
      </c>
      <c r="B648" s="5" t="n">
        <v>137</v>
      </c>
      <c r="C648" s="5" t="n">
        <v>70410704</v>
      </c>
      <c r="D648" s="5" t="n">
        <v>14.2104</v>
      </c>
      <c r="E648" s="5" t="n">
        <v>70.410704</v>
      </c>
    </row>
    <row r="649" customFormat="false" ht="12.75" hidden="false" customHeight="true" outlineLevel="0" collapsed="false">
      <c r="A649" s="5" t="n">
        <v>31</v>
      </c>
      <c r="B649" s="5" t="n">
        <v>137.6</v>
      </c>
      <c r="C649" s="5" t="n">
        <v>78793093</v>
      </c>
      <c r="D649" s="5" t="n">
        <v>15.3049</v>
      </c>
      <c r="E649" s="5" t="n">
        <v>78.793093</v>
      </c>
    </row>
    <row r="650" customFormat="false" ht="12.75" hidden="false" customHeight="true" outlineLevel="0" collapsed="false">
      <c r="A650" s="5" t="n">
        <v>31</v>
      </c>
      <c r="B650" s="5" t="n">
        <v>138</v>
      </c>
      <c r="C650" s="5" t="n">
        <v>86633860</v>
      </c>
      <c r="D650" s="5" t="n">
        <v>16.3789</v>
      </c>
      <c r="E650" s="5" t="n">
        <v>86.63386</v>
      </c>
    </row>
    <row r="651" customFormat="false" ht="12.75" hidden="false" customHeight="true" outlineLevel="0" collapsed="false">
      <c r="A651" s="5" t="n">
        <v>31</v>
      </c>
      <c r="B651" s="5" t="n">
        <v>139</v>
      </c>
      <c r="C651" s="5" t="n">
        <v>106533000</v>
      </c>
      <c r="D651" s="5" t="n">
        <v>19.0639</v>
      </c>
      <c r="E651" s="5" t="n">
        <v>106.533</v>
      </c>
    </row>
    <row r="652" customFormat="false" ht="12.75" hidden="false" customHeight="true" outlineLevel="0" collapsed="false">
      <c r="A652" s="5" t="n">
        <v>31</v>
      </c>
      <c r="B652" s="5" t="n">
        <v>140</v>
      </c>
      <c r="C652" s="5" t="n">
        <v>126533000</v>
      </c>
      <c r="D652" s="5" t="n">
        <v>21.7489</v>
      </c>
      <c r="E652" s="5" t="n">
        <v>126.533</v>
      </c>
    </row>
    <row r="653" customFormat="false" ht="12.75" hidden="false" customHeight="true" outlineLevel="0" collapsed="false">
      <c r="A653" s="5" t="n">
        <v>31</v>
      </c>
      <c r="B653" s="5" t="n">
        <v>141</v>
      </c>
      <c r="C653" s="5" t="n">
        <v>155533000</v>
      </c>
      <c r="D653" s="5" t="n">
        <v>24.6339</v>
      </c>
      <c r="E653" s="5" t="n">
        <v>155.533</v>
      </c>
    </row>
    <row r="654" customFormat="false" ht="12.75" hidden="false" customHeight="true" outlineLevel="0" collapsed="false">
      <c r="A654" s="5" t="n">
        <v>31</v>
      </c>
      <c r="B654" s="5" t="n">
        <v>142</v>
      </c>
      <c r="C654" s="5" t="n">
        <v>183533000</v>
      </c>
      <c r="D654" s="5" t="n">
        <v>28.2739</v>
      </c>
      <c r="E654" s="5" t="n">
        <v>183.533</v>
      </c>
    </row>
    <row r="655" customFormat="false" ht="12.75" hidden="false" customHeight="true" outlineLevel="0" collapsed="false">
      <c r="A655" s="5" t="n">
        <v>31</v>
      </c>
      <c r="B655" s="5" t="n">
        <v>143</v>
      </c>
      <c r="C655" s="5" t="n">
        <v>216533000</v>
      </c>
      <c r="D655" s="5" t="n">
        <v>32.1139</v>
      </c>
      <c r="E655" s="5" t="n">
        <v>216.533</v>
      </c>
    </row>
    <row r="656" customFormat="false" ht="12.75" hidden="false" customHeight="true" outlineLevel="0" collapsed="false">
      <c r="A656" s="5" t="n">
        <v>31</v>
      </c>
      <c r="B656" s="5" t="n">
        <v>144</v>
      </c>
      <c r="C656" s="5" t="n">
        <v>256533000</v>
      </c>
      <c r="D656" s="5" t="n">
        <v>35.9539</v>
      </c>
      <c r="E656" s="5" t="n">
        <v>256.533</v>
      </c>
    </row>
    <row r="657" customFormat="false" ht="12.75" hidden="false" customHeight="true" outlineLevel="0" collapsed="false">
      <c r="A657" s="5" t="n">
        <v>31</v>
      </c>
      <c r="B657" s="5" t="n">
        <v>145</v>
      </c>
      <c r="C657" s="5" t="n">
        <v>302733000</v>
      </c>
      <c r="D657" s="5" t="n">
        <v>40.3639</v>
      </c>
      <c r="E657" s="5" t="n">
        <v>302.733</v>
      </c>
    </row>
    <row r="658" customFormat="false" ht="12.75" hidden="false" customHeight="true" outlineLevel="0" collapsed="false">
      <c r="A658" s="5" t="n">
        <v>31</v>
      </c>
      <c r="B658" s="5" t="n">
        <v>146</v>
      </c>
      <c r="C658" s="5" t="n">
        <v>360933000</v>
      </c>
      <c r="D658" s="5" t="n">
        <v>44.7739</v>
      </c>
      <c r="E658" s="5" t="n">
        <v>360.933</v>
      </c>
    </row>
    <row r="659" customFormat="false" ht="12.75" hidden="false" customHeight="true" outlineLevel="0" collapsed="false">
      <c r="A659" s="5" t="n">
        <v>31</v>
      </c>
      <c r="B659" s="5" t="n">
        <v>147</v>
      </c>
      <c r="C659" s="5" t="n">
        <v>413133000</v>
      </c>
      <c r="D659" s="5" t="n">
        <v>49.1839</v>
      </c>
      <c r="E659" s="5" t="n">
        <v>413.133</v>
      </c>
    </row>
    <row r="660" customFormat="false" ht="12.75" hidden="false" customHeight="true" outlineLevel="0" collapsed="false">
      <c r="A660" s="5" t="n">
        <v>31</v>
      </c>
      <c r="B660" s="5" t="n">
        <v>148</v>
      </c>
      <c r="C660" s="5" t="n">
        <v>470533000</v>
      </c>
      <c r="D660" s="5" t="n">
        <v>55.7369</v>
      </c>
      <c r="E660" s="5" t="n">
        <v>470.533</v>
      </c>
    </row>
    <row r="661" customFormat="false" ht="12.75" hidden="false" customHeight="true" outlineLevel="0" collapsed="false">
      <c r="A661" s="5" t="n">
        <v>31</v>
      </c>
      <c r="B661" s="5" t="n">
        <v>149</v>
      </c>
      <c r="C661" s="5" t="n">
        <v>531533000</v>
      </c>
      <c r="D661" s="5" t="n">
        <v>62.2849</v>
      </c>
      <c r="E661" s="5" t="n">
        <v>531.533</v>
      </c>
    </row>
    <row r="662" customFormat="false" ht="12.75" hidden="false" customHeight="true" outlineLevel="0" collapsed="false">
      <c r="A662" s="5" t="n">
        <v>31</v>
      </c>
      <c r="B662" s="5" t="n">
        <v>150</v>
      </c>
      <c r="C662" s="5" t="n">
        <v>597627000</v>
      </c>
      <c r="D662" s="5" t="n">
        <v>68.8339</v>
      </c>
      <c r="E662" s="5" t="n">
        <v>597.627</v>
      </c>
    </row>
    <row r="663" customFormat="false" ht="12.75" hidden="false" customHeight="true" outlineLevel="0" collapsed="false">
      <c r="A663" s="5" t="n">
        <v>31</v>
      </c>
      <c r="B663" s="5" t="n">
        <v>151</v>
      </c>
      <c r="C663" s="5" t="n">
        <v>682333000</v>
      </c>
      <c r="D663" s="5" t="n">
        <v>76.4999</v>
      </c>
      <c r="E663" s="5" t="n">
        <v>682.333</v>
      </c>
    </row>
    <row r="664" customFormat="false" ht="12.75" hidden="false" customHeight="true" outlineLevel="0" collapsed="false">
      <c r="A664" s="5" t="n">
        <v>31</v>
      </c>
      <c r="B664" s="5" t="n">
        <v>152</v>
      </c>
      <c r="C664" s="5" t="n">
        <v>758408000</v>
      </c>
      <c r="D664" s="5" t="n">
        <v>84.1659</v>
      </c>
      <c r="E664" s="5" t="n">
        <v>758.408</v>
      </c>
    </row>
    <row r="665" customFormat="false" ht="12.75" hidden="false" customHeight="true" outlineLevel="0" collapsed="false">
      <c r="A665" s="5" t="n">
        <v>31</v>
      </c>
      <c r="B665" s="5" t="n">
        <v>153</v>
      </c>
      <c r="C665" s="5" t="n">
        <v>859533000</v>
      </c>
      <c r="D665" s="5" t="n">
        <v>91.8339</v>
      </c>
      <c r="E665" s="5" t="n">
        <v>859.533</v>
      </c>
    </row>
    <row r="666" customFormat="false" ht="12.75" hidden="false" customHeight="true" outlineLevel="0" collapsed="false">
      <c r="A666" s="5" t="n">
        <v>31</v>
      </c>
      <c r="B666" s="5" t="n">
        <v>154</v>
      </c>
      <c r="C666" s="5" t="n">
        <v>938533000</v>
      </c>
      <c r="D666" s="5" t="n">
        <v>99.8339</v>
      </c>
      <c r="E666" s="5" t="n">
        <v>938.533</v>
      </c>
    </row>
    <row r="667" customFormat="false" ht="12.75" hidden="false" customHeight="true" outlineLevel="0" collapsed="false">
      <c r="A667" s="5" t="n">
        <v>31</v>
      </c>
      <c r="B667" s="5" t="n">
        <v>155</v>
      </c>
      <c r="C667" s="5" t="n">
        <v>1048533000</v>
      </c>
      <c r="D667" s="5" t="n">
        <v>108.3339</v>
      </c>
      <c r="E667" s="5" t="n">
        <v>1048.533</v>
      </c>
    </row>
    <row r="668" customFormat="false" ht="12.75" hidden="false" customHeight="true" outlineLevel="0" collapsed="false">
      <c r="A668" s="5" t="n">
        <v>32</v>
      </c>
      <c r="B668" s="5" t="n">
        <v>91.51</v>
      </c>
      <c r="C668" s="5" t="n">
        <v>0</v>
      </c>
      <c r="D668" s="5" t="n">
        <v>0</v>
      </c>
      <c r="E668" s="5" t="n">
        <v>0</v>
      </c>
    </row>
    <row r="669" customFormat="false" ht="12.75" hidden="false" customHeight="true" outlineLevel="0" collapsed="false">
      <c r="A669" s="5" t="n">
        <v>32</v>
      </c>
      <c r="B669" s="5" t="n">
        <v>92</v>
      </c>
      <c r="C669" s="5" t="n">
        <v>34000</v>
      </c>
      <c r="D669" s="5" t="n">
        <v>0.062</v>
      </c>
      <c r="E669" s="5" t="n">
        <v>0.034</v>
      </c>
    </row>
    <row r="670" customFormat="false" ht="12.75" hidden="false" customHeight="true" outlineLevel="0" collapsed="false">
      <c r="A670" s="5" t="n">
        <v>32</v>
      </c>
      <c r="B670" s="5" t="n">
        <v>93</v>
      </c>
      <c r="C670" s="5" t="n">
        <v>140000</v>
      </c>
      <c r="D670" s="5" t="n">
        <v>0.141</v>
      </c>
      <c r="E670" s="5" t="n">
        <v>0.14</v>
      </c>
    </row>
    <row r="671" customFormat="false" ht="12.75" hidden="false" customHeight="true" outlineLevel="0" collapsed="false">
      <c r="A671" s="5" t="n">
        <v>32</v>
      </c>
      <c r="B671" s="5" t="n">
        <v>94</v>
      </c>
      <c r="C671" s="5" t="n">
        <v>312000</v>
      </c>
      <c r="D671" s="5" t="n">
        <v>0.197</v>
      </c>
      <c r="E671" s="5" t="n">
        <v>0.312</v>
      </c>
    </row>
    <row r="672" customFormat="false" ht="12.75" hidden="false" customHeight="true" outlineLevel="0" collapsed="false">
      <c r="A672" s="5" t="n">
        <v>32</v>
      </c>
      <c r="B672" s="5" t="n">
        <v>95</v>
      </c>
      <c r="C672" s="5" t="n">
        <v>522000</v>
      </c>
      <c r="D672" s="5" t="n">
        <v>0.219</v>
      </c>
      <c r="E672" s="5" t="n">
        <v>0.522</v>
      </c>
    </row>
    <row r="673" customFormat="false" ht="12.75" hidden="false" customHeight="true" outlineLevel="0" collapsed="false">
      <c r="A673" s="5" t="n">
        <v>32</v>
      </c>
      <c r="B673" s="5" t="n">
        <v>95.13</v>
      </c>
      <c r="C673" s="5" t="n">
        <v>550000</v>
      </c>
      <c r="D673" s="5" t="n">
        <v>0.222</v>
      </c>
      <c r="E673" s="5" t="n">
        <v>0.55</v>
      </c>
    </row>
    <row r="674" customFormat="false" ht="12.75" hidden="false" customHeight="true" outlineLevel="0" collapsed="false">
      <c r="A674" s="5" t="n">
        <v>32</v>
      </c>
      <c r="B674" s="5" t="n">
        <v>96</v>
      </c>
      <c r="C674" s="5" t="n">
        <v>1037000</v>
      </c>
      <c r="D674" s="5" t="n">
        <v>0.37</v>
      </c>
      <c r="E674" s="5" t="n">
        <v>1.037</v>
      </c>
    </row>
    <row r="675" customFormat="false" ht="12.75" hidden="false" customHeight="true" outlineLevel="0" collapsed="false">
      <c r="A675" s="5" t="n">
        <v>32</v>
      </c>
      <c r="B675" s="5" t="n">
        <v>97</v>
      </c>
      <c r="C675" s="5" t="n">
        <v>1747000</v>
      </c>
      <c r="D675" s="5" t="n">
        <v>0.51</v>
      </c>
      <c r="E675" s="5" t="n">
        <v>1.747</v>
      </c>
    </row>
    <row r="676" customFormat="false" ht="12.75" hidden="false" customHeight="true" outlineLevel="0" collapsed="false">
      <c r="A676" s="5" t="n">
        <v>32</v>
      </c>
      <c r="B676" s="5" t="n">
        <v>98</v>
      </c>
      <c r="C676" s="5" t="n">
        <v>2597000</v>
      </c>
      <c r="D676" s="5" t="n">
        <v>0.64</v>
      </c>
      <c r="E676" s="5" t="n">
        <v>2.597</v>
      </c>
    </row>
    <row r="677" customFormat="false" ht="12.75" hidden="false" customHeight="true" outlineLevel="0" collapsed="false">
      <c r="A677" s="5" t="n">
        <v>32</v>
      </c>
      <c r="B677" s="5" t="n">
        <v>99</v>
      </c>
      <c r="C677" s="5" t="n">
        <v>3597000</v>
      </c>
      <c r="D677" s="5" t="n">
        <v>0.81</v>
      </c>
      <c r="E677" s="5" t="n">
        <v>3.597</v>
      </c>
    </row>
    <row r="678" customFormat="false" ht="12.75" hidden="false" customHeight="true" outlineLevel="0" collapsed="false">
      <c r="A678" s="5" t="n">
        <v>32</v>
      </c>
      <c r="B678" s="5" t="n">
        <v>100</v>
      </c>
      <c r="C678" s="5" t="n">
        <v>4790000</v>
      </c>
      <c r="D678" s="5" t="n">
        <v>1.02</v>
      </c>
      <c r="E678" s="5" t="n">
        <v>4.79</v>
      </c>
    </row>
    <row r="679" customFormat="false" ht="12.75" hidden="false" customHeight="true" outlineLevel="0" collapsed="false">
      <c r="A679" s="5" t="n">
        <v>32</v>
      </c>
      <c r="B679" s="5" t="n">
        <v>101</v>
      </c>
      <c r="C679" s="5" t="n">
        <v>6037000</v>
      </c>
      <c r="D679" s="5" t="n">
        <v>1.73</v>
      </c>
      <c r="E679" s="5" t="n">
        <v>6.037</v>
      </c>
    </row>
    <row r="680" customFormat="false" ht="12.75" hidden="false" customHeight="true" outlineLevel="0" collapsed="false">
      <c r="A680" s="5" t="n">
        <v>32</v>
      </c>
      <c r="B680" s="5" t="n">
        <v>102</v>
      </c>
      <c r="C680" s="5" t="n">
        <v>7537000</v>
      </c>
      <c r="D680" s="5" t="n">
        <v>3.23</v>
      </c>
      <c r="E680" s="5" t="n">
        <v>7.537</v>
      </c>
    </row>
    <row r="681" customFormat="false" ht="12.75" hidden="false" customHeight="true" outlineLevel="0" collapsed="false">
      <c r="A681" s="5" t="n">
        <v>33</v>
      </c>
      <c r="B681" s="5" t="n">
        <v>78</v>
      </c>
      <c r="C681" s="5" t="n">
        <v>0</v>
      </c>
      <c r="D681" s="5" t="n">
        <v>0</v>
      </c>
      <c r="E681" s="5" t="n">
        <v>0</v>
      </c>
    </row>
    <row r="682" customFormat="false" ht="12.75" hidden="false" customHeight="true" outlineLevel="0" collapsed="false">
      <c r="A682" s="5" t="n">
        <v>33</v>
      </c>
      <c r="B682" s="5" t="n">
        <v>79</v>
      </c>
      <c r="C682" s="5" t="n">
        <v>2500</v>
      </c>
      <c r="D682" s="5" t="n">
        <v>0.005</v>
      </c>
      <c r="E682" s="5" t="n">
        <v>0.0025</v>
      </c>
    </row>
    <row r="683" customFormat="false" ht="12.75" hidden="false" customHeight="true" outlineLevel="0" collapsed="false">
      <c r="A683" s="5" t="n">
        <v>33</v>
      </c>
      <c r="B683" s="5" t="n">
        <v>80</v>
      </c>
      <c r="C683" s="5" t="n">
        <v>10000</v>
      </c>
      <c r="D683" s="5" t="n">
        <v>0.01</v>
      </c>
      <c r="E683" s="5" t="n">
        <v>0.01</v>
      </c>
    </row>
    <row r="684" customFormat="false" ht="12.75" hidden="false" customHeight="true" outlineLevel="0" collapsed="false">
      <c r="A684" s="5" t="n">
        <v>33</v>
      </c>
      <c r="B684" s="5" t="n">
        <v>81</v>
      </c>
      <c r="C684" s="5" t="n">
        <v>30000</v>
      </c>
      <c r="D684" s="5" t="n">
        <v>0.02</v>
      </c>
      <c r="E684" s="5" t="n">
        <v>0.03</v>
      </c>
    </row>
    <row r="685" customFormat="false" ht="12.75" hidden="false" customHeight="true" outlineLevel="0" collapsed="false">
      <c r="A685" s="5" t="n">
        <v>33</v>
      </c>
      <c r="B685" s="5" t="n">
        <v>82</v>
      </c>
      <c r="C685" s="5" t="n">
        <v>60000</v>
      </c>
      <c r="D685" s="5" t="n">
        <v>0.03</v>
      </c>
      <c r="E685" s="5" t="n">
        <v>0.06</v>
      </c>
    </row>
    <row r="686" customFormat="false" ht="12.75" hidden="false" customHeight="true" outlineLevel="0" collapsed="false">
      <c r="A686" s="5" t="n">
        <v>33</v>
      </c>
      <c r="B686" s="5" t="n">
        <v>84</v>
      </c>
      <c r="C686" s="5" t="n">
        <v>180000</v>
      </c>
      <c r="D686" s="5" t="n">
        <v>0.08</v>
      </c>
      <c r="E686" s="5" t="n">
        <v>0.18</v>
      </c>
    </row>
    <row r="687" customFormat="false" ht="12.75" hidden="false" customHeight="true" outlineLevel="0" collapsed="false">
      <c r="A687" s="5" t="n">
        <v>33</v>
      </c>
      <c r="B687" s="5" t="n">
        <v>85</v>
      </c>
      <c r="C687" s="5" t="n">
        <v>290000</v>
      </c>
      <c r="D687" s="5" t="n">
        <v>0.12</v>
      </c>
      <c r="E687" s="5" t="n">
        <v>0.29</v>
      </c>
    </row>
    <row r="688" customFormat="false" ht="12.75" hidden="false" customHeight="true" outlineLevel="0" collapsed="false">
      <c r="A688" s="5" t="n">
        <v>33</v>
      </c>
      <c r="B688" s="5" t="n">
        <v>86</v>
      </c>
      <c r="C688" s="5" t="n">
        <v>440000</v>
      </c>
      <c r="D688" s="5" t="n">
        <v>0.17</v>
      </c>
      <c r="E688" s="5" t="n">
        <v>0.44</v>
      </c>
    </row>
    <row r="689" customFormat="false" ht="12.75" hidden="false" customHeight="true" outlineLevel="0" collapsed="false">
      <c r="A689" s="5" t="n">
        <v>33</v>
      </c>
      <c r="B689" s="5" t="n">
        <v>87</v>
      </c>
      <c r="C689" s="5" t="n">
        <v>630000</v>
      </c>
      <c r="D689" s="5" t="n">
        <v>0.21</v>
      </c>
      <c r="E689" s="5" t="n">
        <v>0.63</v>
      </c>
    </row>
    <row r="690" customFormat="false" ht="12.75" hidden="false" customHeight="true" outlineLevel="0" collapsed="false">
      <c r="A690" s="5" t="n">
        <v>33</v>
      </c>
      <c r="B690" s="5" t="n">
        <v>88</v>
      </c>
      <c r="C690" s="5" t="n">
        <v>860000</v>
      </c>
      <c r="D690" s="5" t="n">
        <v>0.23</v>
      </c>
      <c r="E690" s="5" t="n">
        <v>0.86</v>
      </c>
    </row>
    <row r="691" customFormat="false" ht="12.75" hidden="false" customHeight="true" outlineLevel="0" collapsed="false">
      <c r="A691" s="5" t="n">
        <v>33</v>
      </c>
      <c r="B691" s="5" t="n">
        <v>89</v>
      </c>
      <c r="C691" s="5" t="n">
        <v>1130000</v>
      </c>
      <c r="D691" s="5" t="n">
        <v>0.3</v>
      </c>
      <c r="E691" s="5" t="n">
        <v>1.13</v>
      </c>
    </row>
    <row r="692" customFormat="false" ht="12.75" hidden="false" customHeight="true" outlineLevel="0" collapsed="false">
      <c r="A692" s="5" t="n">
        <v>33</v>
      </c>
      <c r="B692" s="5" t="n">
        <v>90</v>
      </c>
      <c r="C692" s="5" t="n">
        <v>1460000</v>
      </c>
      <c r="D692" s="5" t="n">
        <v>0.37</v>
      </c>
      <c r="E692" s="5" t="n">
        <v>1.46</v>
      </c>
    </row>
    <row r="693" customFormat="false" ht="12.75" hidden="false" customHeight="true" outlineLevel="0" collapsed="false">
      <c r="A693" s="5" t="n">
        <v>33</v>
      </c>
      <c r="B693" s="5" t="n">
        <v>91</v>
      </c>
      <c r="C693" s="5" t="n">
        <v>1860000</v>
      </c>
      <c r="D693" s="5" t="n">
        <v>0.42</v>
      </c>
      <c r="E693" s="5" t="n">
        <v>1.86</v>
      </c>
    </row>
    <row r="694" customFormat="false" ht="12.75" hidden="false" customHeight="true" outlineLevel="0" collapsed="false">
      <c r="A694" s="5" t="n">
        <v>33</v>
      </c>
      <c r="B694" s="5" t="n">
        <v>92</v>
      </c>
      <c r="C694" s="5" t="n">
        <v>2330000</v>
      </c>
      <c r="D694" s="5" t="n">
        <v>0.5</v>
      </c>
      <c r="E694" s="5" t="n">
        <v>2.33</v>
      </c>
    </row>
    <row r="695" customFormat="false" ht="12.75" hidden="false" customHeight="true" outlineLevel="0" collapsed="false">
      <c r="A695" s="5" t="n">
        <v>33</v>
      </c>
      <c r="B695" s="5" t="n">
        <v>93</v>
      </c>
      <c r="C695" s="5" t="n">
        <v>2860000</v>
      </c>
      <c r="D695" s="5" t="n">
        <v>0.57</v>
      </c>
      <c r="E695" s="5" t="n">
        <v>2.86</v>
      </c>
    </row>
    <row r="696" customFormat="false" ht="12.75" hidden="false" customHeight="true" outlineLevel="0" collapsed="false">
      <c r="A696" s="5" t="n">
        <v>33</v>
      </c>
      <c r="B696" s="5" t="n">
        <v>94</v>
      </c>
      <c r="C696" s="5" t="n">
        <v>3480000</v>
      </c>
      <c r="D696" s="5" t="n">
        <v>0.65</v>
      </c>
      <c r="E696" s="5" t="n">
        <v>3.48</v>
      </c>
    </row>
    <row r="697" customFormat="false" ht="12.75" hidden="false" customHeight="true" outlineLevel="0" collapsed="false">
      <c r="A697" s="5" t="n">
        <v>33</v>
      </c>
      <c r="B697" s="5" t="n">
        <v>95</v>
      </c>
      <c r="C697" s="5" t="n">
        <v>4160000</v>
      </c>
      <c r="D697" s="5" t="n">
        <v>0.72</v>
      </c>
      <c r="E697" s="5" t="n">
        <v>4.16</v>
      </c>
    </row>
    <row r="698" customFormat="false" ht="12.75" hidden="false" customHeight="true" outlineLevel="0" collapsed="false">
      <c r="A698" s="5" t="n">
        <v>33</v>
      </c>
      <c r="B698" s="5" t="n">
        <v>96</v>
      </c>
      <c r="C698" s="5" t="n">
        <v>4940000</v>
      </c>
      <c r="D698" s="5" t="n">
        <v>0.82</v>
      </c>
      <c r="E698" s="5" t="n">
        <v>4.94</v>
      </c>
    </row>
    <row r="699" customFormat="false" ht="12.75" hidden="false" customHeight="true" outlineLevel="0" collapsed="false">
      <c r="A699" s="5" t="n">
        <v>33</v>
      </c>
      <c r="B699" s="5" t="n">
        <v>96.89</v>
      </c>
      <c r="C699" s="5" t="n">
        <v>5714000</v>
      </c>
      <c r="D699" s="5" t="n">
        <v>0.91</v>
      </c>
      <c r="E699" s="5" t="n">
        <v>5.714</v>
      </c>
    </row>
    <row r="700" customFormat="false" ht="12.75" hidden="false" customHeight="true" outlineLevel="0" collapsed="false">
      <c r="A700" s="5" t="n">
        <v>33</v>
      </c>
      <c r="B700" s="5" t="n">
        <v>97</v>
      </c>
      <c r="C700" s="5" t="n">
        <v>5810000</v>
      </c>
      <c r="D700" s="5" t="n">
        <v>0.92</v>
      </c>
      <c r="E700" s="5" t="n">
        <v>5.81</v>
      </c>
    </row>
    <row r="701" customFormat="false" ht="12.75" hidden="false" customHeight="true" outlineLevel="0" collapsed="false">
      <c r="A701" s="5" t="n">
        <v>33</v>
      </c>
      <c r="B701" s="5" t="n">
        <v>97.3</v>
      </c>
      <c r="C701" s="5" t="n">
        <v>6000000</v>
      </c>
      <c r="D701" s="5" t="n">
        <v>1</v>
      </c>
      <c r="E701" s="5" t="n">
        <v>6</v>
      </c>
    </row>
    <row r="702" customFormat="false" ht="12.75" hidden="false" customHeight="true" outlineLevel="0" collapsed="false">
      <c r="A702" s="5" t="n">
        <v>33</v>
      </c>
      <c r="B702" s="5" t="n">
        <v>97.5</v>
      </c>
      <c r="C702" s="5" t="n">
        <v>6310000</v>
      </c>
      <c r="D702" s="5" t="n">
        <v>1.05</v>
      </c>
      <c r="E702" s="5" t="n">
        <v>6.31</v>
      </c>
    </row>
    <row r="703" customFormat="false" ht="12.75" hidden="false" customHeight="true" outlineLevel="0" collapsed="false">
      <c r="A703" s="5" t="n">
        <v>33</v>
      </c>
      <c r="B703" s="5" t="n">
        <v>98</v>
      </c>
      <c r="C703" s="5" t="n">
        <v>7000000</v>
      </c>
      <c r="D703" s="5" t="n">
        <v>1.5</v>
      </c>
      <c r="E703" s="5" t="n">
        <v>7</v>
      </c>
    </row>
    <row r="704" customFormat="false" ht="12.75" hidden="false" customHeight="true" outlineLevel="0" collapsed="false">
      <c r="A704" s="5" t="n">
        <v>33</v>
      </c>
      <c r="B704" s="5" t="n">
        <v>99</v>
      </c>
      <c r="C704" s="5" t="n">
        <v>8000000</v>
      </c>
      <c r="D704" s="5" t="n">
        <v>1.7</v>
      </c>
      <c r="E704" s="5" t="n">
        <v>8</v>
      </c>
    </row>
    <row r="705" customFormat="false" ht="12.75" hidden="false" customHeight="true" outlineLevel="0" collapsed="false">
      <c r="A705" s="5" t="n">
        <v>34</v>
      </c>
      <c r="B705" s="5" t="n">
        <v>89.19</v>
      </c>
      <c r="C705" s="5" t="n">
        <v>0</v>
      </c>
      <c r="D705" s="5" t="n">
        <v>0</v>
      </c>
      <c r="E705" s="5" t="n">
        <v>0</v>
      </c>
    </row>
    <row r="706" customFormat="false" ht="12.75" hidden="false" customHeight="true" outlineLevel="0" collapsed="false">
      <c r="A706" s="5" t="n">
        <v>34</v>
      </c>
      <c r="B706" s="5" t="n">
        <v>90</v>
      </c>
      <c r="C706" s="5" t="n">
        <v>67</v>
      </c>
      <c r="D706" s="5" t="n">
        <v>0.0004</v>
      </c>
      <c r="E706" s="5" t="n">
        <v>6.7E-005</v>
      </c>
    </row>
    <row r="707" customFormat="false" ht="12.75" hidden="false" customHeight="true" outlineLevel="0" collapsed="false">
      <c r="A707" s="5" t="n">
        <v>34</v>
      </c>
      <c r="B707" s="5" t="n">
        <v>91</v>
      </c>
      <c r="C707" s="5" t="n">
        <v>4675</v>
      </c>
      <c r="D707" s="5" t="n">
        <v>0.0122</v>
      </c>
      <c r="E707" s="5" t="n">
        <v>0.004675</v>
      </c>
    </row>
    <row r="708" customFormat="false" ht="12.75" hidden="false" customHeight="true" outlineLevel="0" collapsed="false">
      <c r="A708" s="5" t="n">
        <v>34</v>
      </c>
      <c r="B708" s="5" t="n">
        <v>92</v>
      </c>
      <c r="C708" s="5" t="n">
        <v>45069</v>
      </c>
      <c r="D708" s="5" t="n">
        <v>0.0856</v>
      </c>
      <c r="E708" s="5" t="n">
        <v>0.045069</v>
      </c>
    </row>
    <row r="709" customFormat="false" ht="12.75" hidden="false" customHeight="true" outlineLevel="0" collapsed="false">
      <c r="A709" s="5" t="n">
        <v>34</v>
      </c>
      <c r="B709" s="5" t="n">
        <v>93</v>
      </c>
      <c r="C709" s="5" t="n">
        <v>205198</v>
      </c>
      <c r="D709" s="5" t="n">
        <v>0.2587</v>
      </c>
      <c r="E709" s="5" t="n">
        <v>0.205198</v>
      </c>
    </row>
    <row r="710" customFormat="false" ht="12.75" hidden="false" customHeight="true" outlineLevel="0" collapsed="false">
      <c r="A710" s="5" t="n">
        <v>34</v>
      </c>
      <c r="B710" s="5" t="n">
        <v>94</v>
      </c>
      <c r="C710" s="5" t="n">
        <v>606671</v>
      </c>
      <c r="D710" s="5" t="n">
        <v>0.518</v>
      </c>
      <c r="E710" s="5" t="n">
        <v>0.606671</v>
      </c>
    </row>
    <row r="711" customFormat="false" ht="12.75" hidden="false" customHeight="true" outlineLevel="0" collapsed="false">
      <c r="A711" s="5" t="n">
        <v>34</v>
      </c>
      <c r="B711" s="5" t="n">
        <v>94.59</v>
      </c>
      <c r="C711" s="5" t="n">
        <v>927092</v>
      </c>
      <c r="D711" s="5" t="n">
        <v>0.5599</v>
      </c>
      <c r="E711" s="5" t="n">
        <v>0.927092</v>
      </c>
    </row>
    <row r="712" customFormat="false" ht="12.75" hidden="false" customHeight="true" outlineLevel="0" collapsed="false">
      <c r="A712" s="5" t="n">
        <v>34</v>
      </c>
      <c r="B712" s="5" t="n">
        <v>95</v>
      </c>
      <c r="C712" s="5" t="n">
        <v>1144394</v>
      </c>
      <c r="D712" s="5" t="n">
        <v>0.67879</v>
      </c>
      <c r="E712" s="5" t="n">
        <v>1.144394</v>
      </c>
    </row>
    <row r="713" customFormat="false" ht="12.75" hidden="false" customHeight="true" outlineLevel="0" collapsed="false">
      <c r="A713" s="5" t="n">
        <v>34</v>
      </c>
      <c r="B713" s="5" t="n">
        <v>96</v>
      </c>
      <c r="C713" s="5" t="n">
        <v>1964394</v>
      </c>
      <c r="D713" s="5" t="n">
        <v>0.95879</v>
      </c>
      <c r="E713" s="5" t="n">
        <v>1.964394</v>
      </c>
    </row>
    <row r="714" customFormat="false" ht="12.75" hidden="false" customHeight="true" outlineLevel="0" collapsed="false">
      <c r="A714" s="5" t="n">
        <v>34</v>
      </c>
      <c r="B714" s="5" t="n">
        <v>97</v>
      </c>
      <c r="C714" s="5" t="n">
        <v>3114394</v>
      </c>
      <c r="D714" s="5" t="n">
        <v>1.30879</v>
      </c>
      <c r="E714" s="5" t="n">
        <v>3.114394</v>
      </c>
    </row>
    <row r="715" customFormat="false" ht="12.75" hidden="false" customHeight="true" outlineLevel="0" collapsed="false">
      <c r="A715" s="5" t="n">
        <v>34</v>
      </c>
      <c r="B715" s="5" t="n">
        <v>98</v>
      </c>
      <c r="C715" s="5" t="n">
        <v>4604394</v>
      </c>
      <c r="D715" s="5" t="n">
        <v>1.65879</v>
      </c>
      <c r="E715" s="5" t="n">
        <v>4.604394</v>
      </c>
    </row>
    <row r="716" customFormat="false" ht="12.75" hidden="false" customHeight="true" outlineLevel="0" collapsed="false">
      <c r="A716" s="5" t="n">
        <v>34</v>
      </c>
      <c r="B716" s="5" t="n">
        <v>99</v>
      </c>
      <c r="C716" s="5" t="n">
        <v>6554394</v>
      </c>
      <c r="D716" s="5" t="n">
        <v>1.94879</v>
      </c>
      <c r="E716" s="5" t="n">
        <v>6.554394</v>
      </c>
    </row>
    <row r="717" customFormat="false" ht="12.75" hidden="false" customHeight="true" outlineLevel="0" collapsed="false">
      <c r="A717" s="5" t="n">
        <v>34</v>
      </c>
      <c r="B717" s="5" t="n">
        <v>100</v>
      </c>
      <c r="C717" s="5" t="n">
        <v>7554394</v>
      </c>
      <c r="D717" s="5" t="n">
        <v>2.49879</v>
      </c>
      <c r="E717" s="5" t="n">
        <v>7.554394</v>
      </c>
    </row>
    <row r="718" customFormat="false" ht="12.75" hidden="false" customHeight="true" outlineLevel="0" collapsed="false">
      <c r="A718" s="5" t="n">
        <v>35</v>
      </c>
      <c r="B718" s="5" t="n">
        <v>87</v>
      </c>
      <c r="C718" s="5" t="n">
        <v>0</v>
      </c>
      <c r="D718" s="5" t="n">
        <v>0</v>
      </c>
      <c r="E718" s="5" t="n">
        <v>0</v>
      </c>
    </row>
    <row r="719" customFormat="false" ht="12.75" hidden="false" customHeight="true" outlineLevel="0" collapsed="false">
      <c r="A719" s="5" t="n">
        <v>35</v>
      </c>
      <c r="B719" s="5" t="n">
        <v>88</v>
      </c>
      <c r="C719" s="5" t="n">
        <v>1600</v>
      </c>
      <c r="D719" s="5" t="n">
        <v>0</v>
      </c>
      <c r="E719" s="5" t="n">
        <v>0.0016</v>
      </c>
    </row>
    <row r="720" customFormat="false" ht="12.75" hidden="false" customHeight="true" outlineLevel="0" collapsed="false">
      <c r="A720" s="5" t="n">
        <v>35</v>
      </c>
      <c r="B720" s="5" t="n">
        <v>89</v>
      </c>
      <c r="C720" s="5" t="n">
        <v>8000</v>
      </c>
      <c r="D720" s="5" t="n">
        <v>0</v>
      </c>
      <c r="E720" s="5" t="n">
        <v>0.008</v>
      </c>
    </row>
    <row r="721" customFormat="false" ht="12.75" hidden="false" customHeight="true" outlineLevel="0" collapsed="false">
      <c r="A721" s="5" t="n">
        <v>35</v>
      </c>
      <c r="B721" s="5" t="n">
        <v>90</v>
      </c>
      <c r="C721" s="5" t="n">
        <v>30000</v>
      </c>
      <c r="D721" s="5" t="n">
        <v>0.04</v>
      </c>
      <c r="E721" s="5" t="n">
        <v>0.03</v>
      </c>
    </row>
    <row r="722" customFormat="false" ht="12.75" hidden="false" customHeight="true" outlineLevel="0" collapsed="false">
      <c r="A722" s="5" t="n">
        <v>35</v>
      </c>
      <c r="B722" s="5" t="n">
        <v>91</v>
      </c>
      <c r="C722" s="5" t="n">
        <v>120000</v>
      </c>
      <c r="D722" s="5" t="n">
        <v>0.12</v>
      </c>
      <c r="E722" s="5" t="n">
        <v>0.12</v>
      </c>
    </row>
    <row r="723" customFormat="false" ht="12.75" hidden="false" customHeight="true" outlineLevel="0" collapsed="false">
      <c r="A723" s="5" t="n">
        <v>35</v>
      </c>
      <c r="B723" s="5" t="n">
        <v>92</v>
      </c>
      <c r="C723" s="5" t="n">
        <v>350000</v>
      </c>
      <c r="D723" s="5" t="n">
        <v>0.34</v>
      </c>
      <c r="E723" s="5" t="n">
        <v>0.35</v>
      </c>
    </row>
    <row r="724" customFormat="false" ht="12.75" hidden="false" customHeight="true" outlineLevel="0" collapsed="false">
      <c r="A724" s="5" t="n">
        <v>35</v>
      </c>
      <c r="B724" s="5" t="n">
        <v>93</v>
      </c>
      <c r="C724" s="5" t="n">
        <v>750000</v>
      </c>
      <c r="D724" s="5" t="n">
        <v>0.45</v>
      </c>
      <c r="E724" s="5" t="n">
        <v>0.75</v>
      </c>
    </row>
    <row r="725" customFormat="false" ht="12.75" hidden="false" customHeight="true" outlineLevel="0" collapsed="false">
      <c r="A725" s="5" t="n">
        <v>35</v>
      </c>
      <c r="B725" s="5" t="n">
        <v>94</v>
      </c>
      <c r="C725" s="5" t="n">
        <v>1260000</v>
      </c>
      <c r="D725" s="5" t="n">
        <v>0.56</v>
      </c>
      <c r="E725" s="5" t="n">
        <v>1.26</v>
      </c>
    </row>
    <row r="726" customFormat="false" ht="12.75" hidden="false" customHeight="true" outlineLevel="0" collapsed="false">
      <c r="A726" s="5" t="n">
        <v>35</v>
      </c>
      <c r="B726" s="5" t="n">
        <v>95</v>
      </c>
      <c r="C726" s="5" t="n">
        <v>1880000</v>
      </c>
      <c r="D726" s="5" t="n">
        <v>0.68</v>
      </c>
      <c r="E726" s="5" t="n">
        <v>1.88</v>
      </c>
    </row>
    <row r="727" customFormat="false" ht="12.75" hidden="false" customHeight="true" outlineLevel="0" collapsed="false">
      <c r="A727" s="5" t="n">
        <v>35</v>
      </c>
      <c r="B727" s="5" t="n">
        <v>96</v>
      </c>
      <c r="C727" s="5" t="n">
        <v>2590000</v>
      </c>
      <c r="D727" s="5" t="n">
        <v>0.73</v>
      </c>
      <c r="E727" s="5" t="n">
        <v>2.59</v>
      </c>
    </row>
    <row r="728" customFormat="false" ht="12.75" hidden="false" customHeight="true" outlineLevel="0" collapsed="false">
      <c r="A728" s="5" t="n">
        <v>35</v>
      </c>
      <c r="B728" s="5" t="n">
        <v>97</v>
      </c>
      <c r="C728" s="5" t="n">
        <v>3390000</v>
      </c>
      <c r="D728" s="5" t="n">
        <v>0.86</v>
      </c>
      <c r="E728" s="5" t="n">
        <v>3.39</v>
      </c>
    </row>
    <row r="729" customFormat="false" ht="12.75" hidden="false" customHeight="true" outlineLevel="0" collapsed="false">
      <c r="A729" s="5" t="n">
        <v>35</v>
      </c>
      <c r="B729" s="5" t="n">
        <v>98</v>
      </c>
      <c r="C729" s="5" t="n">
        <v>4150000</v>
      </c>
      <c r="D729" s="5" t="n">
        <v>0.9</v>
      </c>
      <c r="E729" s="5" t="n">
        <v>4.15</v>
      </c>
    </row>
    <row r="730" customFormat="false" ht="12.75" hidden="false" customHeight="true" outlineLevel="0" collapsed="false">
      <c r="A730" s="5" t="n">
        <v>36</v>
      </c>
      <c r="B730" s="5" t="n">
        <v>401</v>
      </c>
      <c r="C730" s="5" t="n">
        <v>0</v>
      </c>
      <c r="D730" s="5" t="n">
        <v>0</v>
      </c>
      <c r="E730" s="5" t="n">
        <v>0</v>
      </c>
    </row>
    <row r="731" customFormat="false" ht="12.75" hidden="false" customHeight="true" outlineLevel="0" collapsed="false">
      <c r="A731" s="5" t="n">
        <v>36</v>
      </c>
      <c r="B731" s="5" t="n">
        <v>405</v>
      </c>
      <c r="C731" s="5" t="n">
        <v>10000</v>
      </c>
      <c r="D731" s="5" t="n">
        <v>0.008</v>
      </c>
      <c r="E731" s="5" t="n">
        <v>0.01</v>
      </c>
    </row>
    <row r="732" customFormat="false" ht="12.75" hidden="false" customHeight="true" outlineLevel="0" collapsed="false">
      <c r="A732" s="5" t="n">
        <v>36</v>
      </c>
      <c r="B732" s="5" t="n">
        <v>410</v>
      </c>
      <c r="C732" s="5" t="n">
        <v>130000</v>
      </c>
      <c r="D732" s="5" t="n">
        <v>0.03</v>
      </c>
      <c r="E732" s="5" t="n">
        <v>0.13</v>
      </c>
    </row>
    <row r="733" customFormat="false" ht="12.75" hidden="false" customHeight="true" outlineLevel="0" collapsed="false">
      <c r="A733" s="5" t="n">
        <v>36</v>
      </c>
      <c r="B733" s="5" t="n">
        <v>415</v>
      </c>
      <c r="C733" s="5" t="n">
        <v>470000</v>
      </c>
      <c r="D733" s="5" t="n">
        <v>0.09</v>
      </c>
      <c r="E733" s="5" t="n">
        <v>0.47</v>
      </c>
    </row>
    <row r="734" customFormat="false" ht="12.75" hidden="false" customHeight="true" outlineLevel="0" collapsed="false">
      <c r="A734" s="5" t="n">
        <v>36</v>
      </c>
      <c r="B734" s="5" t="n">
        <v>420</v>
      </c>
      <c r="C734" s="5" t="n">
        <v>1220000</v>
      </c>
      <c r="D734" s="5" t="n">
        <v>0.19</v>
      </c>
      <c r="E734" s="5" t="n">
        <v>1.22</v>
      </c>
    </row>
    <row r="735" customFormat="false" ht="12.75" hidden="false" customHeight="true" outlineLevel="0" collapsed="false">
      <c r="A735" s="5" t="n">
        <v>36</v>
      </c>
      <c r="B735" s="5" t="n">
        <v>425</v>
      </c>
      <c r="C735" s="5" t="n">
        <v>2390000</v>
      </c>
      <c r="D735" s="5" t="n">
        <v>0.27</v>
      </c>
      <c r="E735" s="5" t="n">
        <v>2.39</v>
      </c>
    </row>
    <row r="736" customFormat="false" ht="12.75" hidden="false" customHeight="true" outlineLevel="0" collapsed="false">
      <c r="A736" s="5" t="n">
        <v>36</v>
      </c>
      <c r="B736" s="5" t="n">
        <v>426</v>
      </c>
      <c r="C736" s="5" t="n">
        <v>2700000</v>
      </c>
      <c r="D736" s="5" t="n">
        <v>0.28</v>
      </c>
      <c r="E736" s="5" t="n">
        <v>2.7</v>
      </c>
    </row>
    <row r="737" customFormat="false" ht="12.75" hidden="false" customHeight="true" outlineLevel="0" collapsed="false">
      <c r="A737" s="5" t="n">
        <v>36</v>
      </c>
      <c r="B737" s="5" t="n">
        <v>427</v>
      </c>
      <c r="C737" s="5" t="n">
        <v>3000000</v>
      </c>
      <c r="D737" s="5" t="n">
        <v>1</v>
      </c>
      <c r="E737" s="5" t="n">
        <v>3</v>
      </c>
    </row>
    <row r="738" customFormat="false" ht="12.75" hidden="false" customHeight="true" outlineLevel="0" collapsed="false">
      <c r="A738" s="5" t="n">
        <v>37</v>
      </c>
      <c r="B738" s="5" t="n">
        <v>74</v>
      </c>
      <c r="C738" s="5" t="n">
        <v>0</v>
      </c>
      <c r="D738" s="5" t="n">
        <v>0</v>
      </c>
      <c r="E738" s="5" t="n">
        <v>0</v>
      </c>
    </row>
    <row r="739" customFormat="false" ht="12.75" hidden="false" customHeight="true" outlineLevel="0" collapsed="false">
      <c r="A739" s="5" t="n">
        <v>37</v>
      </c>
      <c r="B739" s="5" t="n">
        <v>75</v>
      </c>
      <c r="C739" s="5" t="n">
        <v>1600</v>
      </c>
      <c r="D739" s="5" t="n">
        <v>0.0032</v>
      </c>
      <c r="E739" s="5" t="n">
        <v>0.0016</v>
      </c>
    </row>
    <row r="740" customFormat="false" ht="12.75" hidden="false" customHeight="true" outlineLevel="0" collapsed="false">
      <c r="A740" s="5" t="n">
        <v>37</v>
      </c>
      <c r="B740" s="5" t="n">
        <v>76</v>
      </c>
      <c r="C740" s="5" t="n">
        <v>6400</v>
      </c>
      <c r="D740" s="5" t="n">
        <v>0.0064</v>
      </c>
      <c r="E740" s="5" t="n">
        <v>0.0064</v>
      </c>
    </row>
    <row r="741" customFormat="false" ht="12.75" hidden="false" customHeight="true" outlineLevel="0" collapsed="false">
      <c r="A741" s="5" t="n">
        <v>37</v>
      </c>
      <c r="B741" s="5" t="n">
        <v>77</v>
      </c>
      <c r="C741" s="5" t="n">
        <v>20000</v>
      </c>
      <c r="D741" s="5" t="n">
        <v>0.02</v>
      </c>
      <c r="E741" s="5" t="n">
        <v>0.02</v>
      </c>
    </row>
    <row r="742" customFormat="false" ht="12.75" hidden="false" customHeight="true" outlineLevel="0" collapsed="false">
      <c r="A742" s="5" t="n">
        <v>37</v>
      </c>
      <c r="B742" s="5" t="n">
        <v>78</v>
      </c>
      <c r="C742" s="5" t="n">
        <v>50000</v>
      </c>
      <c r="D742" s="5" t="n">
        <v>0.04</v>
      </c>
      <c r="E742" s="5" t="n">
        <v>0.05</v>
      </c>
    </row>
    <row r="743" customFormat="false" ht="12.75" hidden="false" customHeight="true" outlineLevel="0" collapsed="false">
      <c r="A743" s="5" t="n">
        <v>37</v>
      </c>
      <c r="B743" s="5" t="n">
        <v>79</v>
      </c>
      <c r="C743" s="5" t="n">
        <v>110000</v>
      </c>
      <c r="D743" s="5" t="n">
        <v>0.08</v>
      </c>
      <c r="E743" s="5" t="n">
        <v>0.11</v>
      </c>
    </row>
    <row r="744" customFormat="false" ht="12.75" hidden="false" customHeight="true" outlineLevel="0" collapsed="false">
      <c r="A744" s="5" t="n">
        <v>37</v>
      </c>
      <c r="B744" s="5" t="n">
        <v>80</v>
      </c>
      <c r="C744" s="5" t="n">
        <v>190000</v>
      </c>
      <c r="D744" s="5" t="n">
        <v>0.08</v>
      </c>
      <c r="E744" s="5" t="n">
        <v>0.19</v>
      </c>
    </row>
    <row r="745" customFormat="false" ht="12.75" hidden="false" customHeight="true" outlineLevel="0" collapsed="false">
      <c r="A745" s="5" t="n">
        <v>37</v>
      </c>
      <c r="B745" s="5" t="n">
        <v>81</v>
      </c>
      <c r="C745" s="5" t="n">
        <v>290000</v>
      </c>
      <c r="D745" s="5" t="n">
        <v>0.09</v>
      </c>
      <c r="E745" s="5" t="n">
        <v>0.29</v>
      </c>
    </row>
    <row r="746" customFormat="false" ht="12.75" hidden="false" customHeight="true" outlineLevel="0" collapsed="false">
      <c r="A746" s="5" t="n">
        <v>37</v>
      </c>
      <c r="B746" s="5" t="n">
        <v>82</v>
      </c>
      <c r="C746" s="5" t="n">
        <v>400000</v>
      </c>
      <c r="D746" s="5" t="n">
        <v>0.13</v>
      </c>
      <c r="E746" s="5" t="n">
        <v>0.4</v>
      </c>
    </row>
    <row r="747" customFormat="false" ht="12.75" hidden="false" customHeight="true" outlineLevel="0" collapsed="false">
      <c r="A747" s="5" t="n">
        <v>37</v>
      </c>
      <c r="B747" s="5" t="n">
        <v>83</v>
      </c>
      <c r="C747" s="5" t="n">
        <v>580000</v>
      </c>
      <c r="D747" s="5" t="n">
        <v>0.22</v>
      </c>
      <c r="E747" s="5" t="n">
        <v>0.58</v>
      </c>
    </row>
    <row r="748" customFormat="false" ht="12.75" hidden="false" customHeight="true" outlineLevel="0" collapsed="false">
      <c r="A748" s="5" t="n">
        <v>37</v>
      </c>
      <c r="B748" s="5" t="n">
        <v>84</v>
      </c>
      <c r="C748" s="5" t="n">
        <v>840000</v>
      </c>
      <c r="D748" s="5" t="n">
        <v>0.28</v>
      </c>
      <c r="E748" s="5" t="n">
        <v>0.84</v>
      </c>
    </row>
    <row r="749" customFormat="false" ht="12.75" hidden="false" customHeight="true" outlineLevel="0" collapsed="false">
      <c r="A749" s="5" t="n">
        <v>37</v>
      </c>
      <c r="B749" s="5" t="n">
        <v>85</v>
      </c>
      <c r="C749" s="5" t="n">
        <v>1160000</v>
      </c>
      <c r="D749" s="5" t="n">
        <v>0.35</v>
      </c>
      <c r="E749" s="5" t="n">
        <v>1.16</v>
      </c>
    </row>
    <row r="750" customFormat="false" ht="12.75" hidden="false" customHeight="true" outlineLevel="0" collapsed="false">
      <c r="A750" s="5" t="n">
        <v>37</v>
      </c>
      <c r="B750" s="5" t="n">
        <v>86</v>
      </c>
      <c r="C750" s="5" t="n">
        <v>1570000</v>
      </c>
      <c r="D750" s="5" t="n">
        <v>0.47</v>
      </c>
      <c r="E750" s="5" t="n">
        <v>1.57</v>
      </c>
    </row>
    <row r="751" customFormat="false" ht="12.75" hidden="false" customHeight="true" outlineLevel="0" collapsed="false">
      <c r="A751" s="5" t="n">
        <v>37</v>
      </c>
      <c r="B751" s="5" t="n">
        <v>87</v>
      </c>
      <c r="C751" s="5" t="n">
        <v>2080000</v>
      </c>
      <c r="D751" s="5" t="n">
        <v>0.54</v>
      </c>
      <c r="E751" s="5" t="n">
        <v>2.08</v>
      </c>
    </row>
    <row r="752" customFormat="false" ht="12.75" hidden="false" customHeight="true" outlineLevel="0" collapsed="false">
      <c r="A752" s="5" t="n">
        <v>37</v>
      </c>
      <c r="B752" s="5" t="n">
        <v>88</v>
      </c>
      <c r="C752" s="5" t="n">
        <v>2650000</v>
      </c>
      <c r="D752" s="5" t="n">
        <v>0.59</v>
      </c>
      <c r="E752" s="5" t="n">
        <v>2.65</v>
      </c>
    </row>
    <row r="753" customFormat="false" ht="12.75" hidden="false" customHeight="true" outlineLevel="0" collapsed="false">
      <c r="A753" s="5" t="n">
        <v>37</v>
      </c>
      <c r="B753" s="5" t="n">
        <v>89</v>
      </c>
      <c r="C753" s="5" t="n">
        <v>3250000</v>
      </c>
      <c r="D753" s="5" t="n">
        <v>0.61</v>
      </c>
      <c r="E753" s="5" t="n">
        <v>3.25</v>
      </c>
    </row>
    <row r="754" customFormat="false" ht="12.75" hidden="false" customHeight="true" outlineLevel="0" collapsed="false">
      <c r="A754" s="5" t="n">
        <v>37</v>
      </c>
      <c r="B754" s="5" t="n">
        <v>90</v>
      </c>
      <c r="C754" s="5" t="n">
        <v>3900000</v>
      </c>
      <c r="D754" s="5" t="n">
        <v>0.68</v>
      </c>
      <c r="E754" s="5" t="n">
        <v>3.9</v>
      </c>
    </row>
    <row r="755" customFormat="false" ht="12.75" hidden="false" customHeight="true" outlineLevel="0" collapsed="false">
      <c r="A755" s="5" t="n">
        <v>37</v>
      </c>
      <c r="B755" s="5" t="n">
        <v>91</v>
      </c>
      <c r="C755" s="5" t="n">
        <v>4620000</v>
      </c>
      <c r="D755" s="5" t="n">
        <v>0.74</v>
      </c>
      <c r="E755" s="5" t="n">
        <v>4.62</v>
      </c>
    </row>
    <row r="756" customFormat="false" ht="12.75" hidden="false" customHeight="true" outlineLevel="0" collapsed="false">
      <c r="A756" s="5" t="n">
        <v>37</v>
      </c>
      <c r="B756" s="5" t="n">
        <v>92</v>
      </c>
      <c r="C756" s="5" t="n">
        <v>5390000</v>
      </c>
      <c r="D756" s="5" t="n">
        <v>0.8</v>
      </c>
      <c r="E756" s="5" t="n">
        <v>5.39</v>
      </c>
    </row>
    <row r="757" customFormat="false" ht="12.75" hidden="false" customHeight="true" outlineLevel="0" collapsed="false">
      <c r="A757" s="5" t="n">
        <v>37</v>
      </c>
      <c r="B757" s="5" t="n">
        <v>93</v>
      </c>
      <c r="C757" s="5" t="n">
        <v>6240000</v>
      </c>
      <c r="D757" s="5" t="n">
        <v>0.88</v>
      </c>
      <c r="E757" s="5" t="n">
        <v>6.24</v>
      </c>
    </row>
    <row r="758" customFormat="false" ht="12.75" hidden="false" customHeight="true" outlineLevel="0" collapsed="false">
      <c r="A758" s="5" t="n">
        <v>37</v>
      </c>
      <c r="B758" s="5" t="n">
        <v>94</v>
      </c>
      <c r="C758" s="5" t="n">
        <v>7190000</v>
      </c>
      <c r="D758" s="5" t="n">
        <v>1.02</v>
      </c>
      <c r="E758" s="5" t="n">
        <v>7.19</v>
      </c>
    </row>
    <row r="759" customFormat="false" ht="12.75" hidden="false" customHeight="true" outlineLevel="0" collapsed="false">
      <c r="A759" s="5" t="n">
        <v>38</v>
      </c>
      <c r="B759" s="5" t="n">
        <v>107</v>
      </c>
      <c r="C759" s="5" t="n">
        <v>140000</v>
      </c>
      <c r="D759" s="5" t="n">
        <v>0</v>
      </c>
      <c r="E759" s="5" t="n">
        <v>0.14</v>
      </c>
    </row>
    <row r="760" customFormat="false" ht="12.75" hidden="false" customHeight="true" outlineLevel="0" collapsed="false">
      <c r="A760" s="5" t="n">
        <v>38</v>
      </c>
      <c r="B760" s="5" t="n">
        <v>108</v>
      </c>
      <c r="C760" s="5" t="n">
        <v>220000</v>
      </c>
      <c r="D760" s="5" t="n">
        <v>0</v>
      </c>
      <c r="E760" s="5" t="n">
        <v>0.22</v>
      </c>
    </row>
    <row r="761" customFormat="false" ht="12.75" hidden="false" customHeight="true" outlineLevel="0" collapsed="false">
      <c r="A761" s="5" t="n">
        <v>38</v>
      </c>
      <c r="B761" s="5" t="n">
        <v>109</v>
      </c>
      <c r="C761" s="5" t="n">
        <v>320000</v>
      </c>
      <c r="D761" s="5" t="n">
        <v>0</v>
      </c>
      <c r="E761" s="5" t="n">
        <v>0.32</v>
      </c>
    </row>
    <row r="762" customFormat="false" ht="12.75" hidden="false" customHeight="true" outlineLevel="0" collapsed="false">
      <c r="A762" s="5" t="n">
        <v>38</v>
      </c>
      <c r="B762" s="5" t="n">
        <v>110</v>
      </c>
      <c r="C762" s="5" t="n">
        <v>470000</v>
      </c>
      <c r="D762" s="5" t="n">
        <v>0</v>
      </c>
      <c r="E762" s="5" t="n">
        <v>0.47</v>
      </c>
    </row>
    <row r="763" customFormat="false" ht="12.75" hidden="false" customHeight="true" outlineLevel="0" collapsed="false">
      <c r="A763" s="5" t="n">
        <v>38</v>
      </c>
      <c r="B763" s="5" t="n">
        <v>111</v>
      </c>
      <c r="C763" s="5" t="n">
        <v>680000</v>
      </c>
      <c r="D763" s="5" t="n">
        <v>0</v>
      </c>
      <c r="E763" s="5" t="n">
        <v>0.68</v>
      </c>
    </row>
    <row r="764" customFormat="false" ht="12.75" hidden="false" customHeight="true" outlineLevel="0" collapsed="false">
      <c r="A764" s="5" t="n">
        <v>38</v>
      </c>
      <c r="B764" s="5" t="n">
        <v>112</v>
      </c>
      <c r="C764" s="5" t="n">
        <v>950000</v>
      </c>
      <c r="D764" s="5" t="n">
        <v>0</v>
      </c>
      <c r="E764" s="5" t="n">
        <v>0.95</v>
      </c>
    </row>
    <row r="765" customFormat="false" ht="12.75" hidden="false" customHeight="true" outlineLevel="0" collapsed="false">
      <c r="A765" s="5" t="n">
        <v>38</v>
      </c>
      <c r="B765" s="5" t="n">
        <v>113</v>
      </c>
      <c r="C765" s="5" t="n">
        <v>1270000</v>
      </c>
      <c r="D765" s="5" t="n">
        <v>0</v>
      </c>
      <c r="E765" s="5" t="n">
        <v>1.27</v>
      </c>
    </row>
    <row r="766" customFormat="false" ht="12.75" hidden="false" customHeight="true" outlineLevel="0" collapsed="false">
      <c r="A766" s="5" t="n">
        <v>38</v>
      </c>
      <c r="B766" s="5" t="n">
        <v>114</v>
      </c>
      <c r="C766" s="5" t="n">
        <v>1700000</v>
      </c>
      <c r="D766" s="5" t="n">
        <v>0</v>
      </c>
      <c r="E766" s="5" t="n">
        <v>1.7</v>
      </c>
    </row>
    <row r="767" customFormat="false" ht="12.75" hidden="false" customHeight="true" outlineLevel="0" collapsed="false">
      <c r="A767" s="5" t="n">
        <v>38</v>
      </c>
      <c r="B767" s="5" t="n">
        <v>115</v>
      </c>
      <c r="C767" s="5" t="n">
        <v>2260000</v>
      </c>
      <c r="D767" s="5" t="n">
        <v>0</v>
      </c>
      <c r="E767" s="5" t="n">
        <v>2.26</v>
      </c>
    </row>
    <row r="768" customFormat="false" ht="12.75" hidden="false" customHeight="true" outlineLevel="0" collapsed="false">
      <c r="A768" s="5" t="n">
        <v>38</v>
      </c>
      <c r="B768" s="5" t="n">
        <v>115.5</v>
      </c>
      <c r="C768" s="5" t="n">
        <v>2640000</v>
      </c>
      <c r="D768" s="5" t="n">
        <v>0</v>
      </c>
      <c r="E768" s="5" t="n">
        <v>2.64</v>
      </c>
    </row>
    <row r="769" customFormat="false" ht="12.75" hidden="false" customHeight="true" outlineLevel="0" collapsed="false">
      <c r="A769" s="5" t="n">
        <v>38</v>
      </c>
      <c r="B769" s="5" t="n">
        <v>115.7</v>
      </c>
      <c r="C769" s="5" t="n">
        <v>3100000</v>
      </c>
      <c r="D769" s="5" t="n">
        <v>0</v>
      </c>
      <c r="E769" s="5" t="n">
        <v>3.1</v>
      </c>
    </row>
    <row r="770" customFormat="false" ht="12.75" hidden="false" customHeight="true" outlineLevel="0" collapsed="false">
      <c r="A770" s="5" t="n">
        <v>39</v>
      </c>
      <c r="B770" s="5" t="n">
        <v>90</v>
      </c>
      <c r="C770" s="5" t="n">
        <v>0</v>
      </c>
      <c r="D770" s="5" t="n">
        <v>0</v>
      </c>
      <c r="E770" s="5" t="n">
        <v>0</v>
      </c>
    </row>
    <row r="771" customFormat="false" ht="12.75" hidden="false" customHeight="true" outlineLevel="0" collapsed="false">
      <c r="A771" s="5" t="n">
        <v>39</v>
      </c>
      <c r="B771" s="5" t="n">
        <v>91</v>
      </c>
      <c r="C771" s="5" t="n">
        <v>20000</v>
      </c>
      <c r="D771" s="5" t="n">
        <v>0.03</v>
      </c>
      <c r="E771" s="5" t="n">
        <v>0.02</v>
      </c>
    </row>
    <row r="772" customFormat="false" ht="12.75" hidden="false" customHeight="true" outlineLevel="0" collapsed="false">
      <c r="A772" s="5" t="n">
        <v>39</v>
      </c>
      <c r="B772" s="5" t="n">
        <v>92</v>
      </c>
      <c r="C772" s="5" t="n">
        <v>90000</v>
      </c>
      <c r="D772" s="5" t="n">
        <v>0.1</v>
      </c>
      <c r="E772" s="5" t="n">
        <v>0.09</v>
      </c>
    </row>
    <row r="773" customFormat="false" ht="12.75" hidden="false" customHeight="true" outlineLevel="0" collapsed="false">
      <c r="A773" s="5" t="n">
        <v>39</v>
      </c>
      <c r="B773" s="5" t="n">
        <v>93</v>
      </c>
      <c r="C773" s="5" t="n">
        <v>230000</v>
      </c>
      <c r="D773" s="5" t="n">
        <v>0.18</v>
      </c>
      <c r="E773" s="5" t="n">
        <v>0.23</v>
      </c>
    </row>
    <row r="774" customFormat="false" ht="12.75" hidden="false" customHeight="true" outlineLevel="0" collapsed="false">
      <c r="A774" s="5" t="n">
        <v>39</v>
      </c>
      <c r="B774" s="5" t="n">
        <v>94</v>
      </c>
      <c r="C774" s="5" t="n">
        <v>510000</v>
      </c>
      <c r="D774" s="5" t="n">
        <v>0.38</v>
      </c>
      <c r="E774" s="5" t="n">
        <v>0.51</v>
      </c>
    </row>
    <row r="775" customFormat="false" ht="12.75" hidden="false" customHeight="true" outlineLevel="0" collapsed="false">
      <c r="A775" s="5" t="n">
        <v>39</v>
      </c>
      <c r="B775" s="5" t="n">
        <v>95</v>
      </c>
      <c r="C775" s="5" t="n">
        <v>1240000</v>
      </c>
      <c r="D775" s="5" t="n">
        <v>0.63</v>
      </c>
      <c r="E775" s="5" t="n">
        <v>1.24</v>
      </c>
    </row>
    <row r="776" customFormat="false" ht="12.75" hidden="false" customHeight="true" outlineLevel="0" collapsed="false">
      <c r="A776" s="5" t="n">
        <v>39</v>
      </c>
      <c r="B776" s="5" t="n">
        <v>96</v>
      </c>
      <c r="C776" s="5" t="n">
        <v>1960000</v>
      </c>
      <c r="D776" s="5" t="n">
        <v>0.81</v>
      </c>
      <c r="E776" s="5" t="n">
        <v>1.96</v>
      </c>
    </row>
    <row r="777" customFormat="false" ht="12.75" hidden="false" customHeight="true" outlineLevel="0" collapsed="false">
      <c r="A777" s="5" t="n">
        <v>39</v>
      </c>
      <c r="B777" s="5" t="n">
        <v>97</v>
      </c>
      <c r="C777" s="5" t="n">
        <v>2870000</v>
      </c>
      <c r="D777" s="5" t="n">
        <v>1.01</v>
      </c>
      <c r="E777" s="5" t="n">
        <v>2.87</v>
      </c>
    </row>
    <row r="778" customFormat="false" ht="12.75" hidden="false" customHeight="true" outlineLevel="0" collapsed="false">
      <c r="A778" s="5" t="n">
        <v>39</v>
      </c>
      <c r="B778" s="5" t="n">
        <v>98</v>
      </c>
      <c r="C778" s="5" t="n">
        <v>4040000</v>
      </c>
      <c r="D778" s="5" t="n">
        <v>1.32</v>
      </c>
      <c r="E778" s="5" t="n">
        <v>4.04</v>
      </c>
    </row>
    <row r="779" customFormat="false" ht="12.75" hidden="false" customHeight="true" outlineLevel="0" collapsed="false">
      <c r="A779" s="5" t="n">
        <v>39</v>
      </c>
      <c r="B779" s="5" t="n">
        <v>99</v>
      </c>
      <c r="C779" s="5" t="n">
        <v>5640000</v>
      </c>
      <c r="D779" s="5" t="n">
        <v>1.89</v>
      </c>
      <c r="E779" s="5" t="n">
        <v>5.64</v>
      </c>
    </row>
    <row r="780" customFormat="false" ht="12.75" hidden="false" customHeight="true" outlineLevel="0" collapsed="false">
      <c r="A780" s="5" t="n">
        <v>39</v>
      </c>
      <c r="B780" s="5" t="n">
        <v>100</v>
      </c>
      <c r="C780" s="5" t="n">
        <v>7670000</v>
      </c>
      <c r="D780" s="5" t="n">
        <v>2.15</v>
      </c>
      <c r="E780" s="5" t="n">
        <v>7.67</v>
      </c>
    </row>
    <row r="781" customFormat="false" ht="12.75" hidden="false" customHeight="true" outlineLevel="0" collapsed="false">
      <c r="A781" s="5" t="n">
        <v>39</v>
      </c>
      <c r="B781" s="5" t="n">
        <v>101</v>
      </c>
      <c r="C781" s="5" t="n">
        <v>10100000</v>
      </c>
      <c r="D781" s="5" t="n">
        <v>2.7</v>
      </c>
      <c r="E781" s="5" t="n">
        <v>10.1</v>
      </c>
    </row>
    <row r="782" customFormat="false" ht="12.75" hidden="false" customHeight="true" outlineLevel="0" collapsed="false">
      <c r="A782" s="5" t="n">
        <v>39</v>
      </c>
      <c r="B782" s="5" t="n">
        <v>102</v>
      </c>
      <c r="C782" s="5" t="n">
        <v>12180000</v>
      </c>
      <c r="D782" s="5" t="n">
        <v>3.18</v>
      </c>
      <c r="E782" s="5" t="n">
        <v>12.18</v>
      </c>
    </row>
    <row r="783" customFormat="false" ht="12.75" hidden="false" customHeight="true" outlineLevel="0" collapsed="false">
      <c r="A783" s="5" t="n">
        <v>40</v>
      </c>
      <c r="B783" s="5" t="n">
        <v>90</v>
      </c>
      <c r="C783" s="5" t="n">
        <v>0</v>
      </c>
      <c r="D783" s="5" t="n">
        <v>0</v>
      </c>
      <c r="E783" s="5" t="n">
        <v>0</v>
      </c>
    </row>
    <row r="784" customFormat="false" ht="12.75" hidden="false" customHeight="true" outlineLevel="0" collapsed="false">
      <c r="A784" s="5" t="n">
        <v>40</v>
      </c>
      <c r="B784" s="5" t="n">
        <v>91</v>
      </c>
      <c r="C784" s="5" t="n">
        <v>1400</v>
      </c>
      <c r="D784" s="5" t="n">
        <v>0.0028</v>
      </c>
      <c r="E784" s="5" t="n">
        <v>0.0014</v>
      </c>
    </row>
    <row r="785" customFormat="false" ht="12.75" hidden="false" customHeight="true" outlineLevel="0" collapsed="false">
      <c r="A785" s="5" t="n">
        <v>40</v>
      </c>
      <c r="B785" s="5" t="n">
        <v>92</v>
      </c>
      <c r="C785" s="5" t="n">
        <v>7400</v>
      </c>
      <c r="D785" s="5" t="n">
        <v>0.0092</v>
      </c>
      <c r="E785" s="5" t="n">
        <v>0.0074</v>
      </c>
    </row>
    <row r="786" customFormat="false" ht="12.75" hidden="false" customHeight="true" outlineLevel="0" collapsed="false">
      <c r="A786" s="5" t="n">
        <v>40</v>
      </c>
      <c r="B786" s="5" t="n">
        <v>93</v>
      </c>
      <c r="C786" s="5" t="n">
        <v>20000</v>
      </c>
      <c r="D786" s="5" t="n">
        <v>0.02</v>
      </c>
      <c r="E786" s="5" t="n">
        <v>0.02</v>
      </c>
    </row>
    <row r="787" customFormat="false" ht="12.75" hidden="false" customHeight="true" outlineLevel="0" collapsed="false">
      <c r="A787" s="5" t="n">
        <v>40</v>
      </c>
      <c r="B787" s="5" t="n">
        <v>94</v>
      </c>
      <c r="C787" s="5" t="n">
        <v>60000</v>
      </c>
      <c r="D787" s="5" t="n">
        <v>0.05</v>
      </c>
      <c r="E787" s="5" t="n">
        <v>0.06</v>
      </c>
    </row>
    <row r="788" customFormat="false" ht="12.75" hidden="false" customHeight="true" outlineLevel="0" collapsed="false">
      <c r="A788" s="5" t="n">
        <v>40</v>
      </c>
      <c r="B788" s="5" t="n">
        <v>95</v>
      </c>
      <c r="C788" s="5" t="n">
        <v>120000</v>
      </c>
      <c r="D788" s="5" t="n">
        <v>0.07</v>
      </c>
      <c r="E788" s="5" t="n">
        <v>0.12</v>
      </c>
    </row>
    <row r="789" customFormat="false" ht="12.75" hidden="false" customHeight="true" outlineLevel="0" collapsed="false">
      <c r="A789" s="5" t="n">
        <v>40</v>
      </c>
      <c r="B789" s="5" t="n">
        <v>96</v>
      </c>
      <c r="C789" s="5" t="n">
        <v>230000</v>
      </c>
      <c r="D789" s="5" t="n">
        <v>0.12</v>
      </c>
      <c r="E789" s="5" t="n">
        <v>0.23</v>
      </c>
    </row>
    <row r="790" customFormat="false" ht="12.75" hidden="false" customHeight="true" outlineLevel="0" collapsed="false">
      <c r="A790" s="5" t="n">
        <v>40</v>
      </c>
      <c r="B790" s="5" t="n">
        <v>97</v>
      </c>
      <c r="C790" s="5" t="n">
        <v>380000</v>
      </c>
      <c r="D790" s="5" t="n">
        <v>0.18</v>
      </c>
      <c r="E790" s="5" t="n">
        <v>0.38</v>
      </c>
    </row>
    <row r="791" customFormat="false" ht="12.75" hidden="false" customHeight="true" outlineLevel="0" collapsed="false">
      <c r="A791" s="5" t="n">
        <v>40</v>
      </c>
      <c r="B791" s="5" t="n">
        <v>98</v>
      </c>
      <c r="C791" s="5" t="n">
        <v>600000</v>
      </c>
      <c r="D791" s="5" t="n">
        <v>0.25</v>
      </c>
      <c r="E791" s="5" t="n">
        <v>0.6</v>
      </c>
    </row>
    <row r="792" customFormat="false" ht="12.75" hidden="false" customHeight="true" outlineLevel="0" collapsed="false">
      <c r="A792" s="5" t="n">
        <v>40</v>
      </c>
      <c r="B792" s="5" t="n">
        <v>99</v>
      </c>
      <c r="C792" s="5" t="n">
        <v>900000</v>
      </c>
      <c r="D792" s="5" t="n">
        <v>0.33</v>
      </c>
      <c r="E792" s="5" t="n">
        <v>0.9</v>
      </c>
    </row>
    <row r="793" customFormat="false" ht="12.75" hidden="false" customHeight="true" outlineLevel="0" collapsed="false">
      <c r="A793" s="5" t="n">
        <v>40</v>
      </c>
      <c r="B793" s="5" t="n">
        <v>100</v>
      </c>
      <c r="C793" s="5" t="n">
        <v>1280000</v>
      </c>
      <c r="D793" s="5" t="n">
        <v>0.43</v>
      </c>
      <c r="E793" s="5" t="n">
        <v>1.28</v>
      </c>
    </row>
    <row r="794" customFormat="false" ht="12.75" hidden="false" customHeight="true" outlineLevel="0" collapsed="false">
      <c r="A794" s="5" t="n">
        <v>40</v>
      </c>
      <c r="B794" s="5" t="n">
        <v>101</v>
      </c>
      <c r="C794" s="5" t="n">
        <v>1750000</v>
      </c>
      <c r="D794" s="5" t="n">
        <v>0.5</v>
      </c>
      <c r="E794" s="5" t="n">
        <v>1.75</v>
      </c>
    </row>
    <row r="795" customFormat="false" ht="12.75" hidden="false" customHeight="true" outlineLevel="0" collapsed="false">
      <c r="A795" s="5" t="n">
        <v>40</v>
      </c>
      <c r="B795" s="5" t="n">
        <v>101.5</v>
      </c>
      <c r="C795" s="5" t="n">
        <v>2010000</v>
      </c>
      <c r="D795" s="5" t="n">
        <v>0.54</v>
      </c>
      <c r="E795" s="5" t="n">
        <v>2.01</v>
      </c>
    </row>
    <row r="796" customFormat="false" ht="12.75" hidden="false" customHeight="true" outlineLevel="0" collapsed="false">
      <c r="A796" s="5" t="n">
        <v>40</v>
      </c>
      <c r="B796" s="5" t="n">
        <v>102.5</v>
      </c>
      <c r="C796" s="5" t="n">
        <v>2400000</v>
      </c>
      <c r="D796" s="5" t="n">
        <v>0.662</v>
      </c>
      <c r="E796" s="5" t="n">
        <v>2.4</v>
      </c>
    </row>
    <row r="797" customFormat="false" ht="12.75" hidden="false" customHeight="true" outlineLevel="0" collapsed="false">
      <c r="A797" s="5" t="n">
        <v>40</v>
      </c>
      <c r="B797" s="5" t="n">
        <v>103.5</v>
      </c>
      <c r="C797" s="5" t="n">
        <v>3000000</v>
      </c>
      <c r="D797" s="5" t="n">
        <v>1</v>
      </c>
      <c r="E797" s="5" t="n">
        <v>3</v>
      </c>
    </row>
    <row r="798" customFormat="false" ht="12.75" hidden="false" customHeight="true" outlineLevel="0" collapsed="false">
      <c r="A798" s="5" t="n">
        <v>42</v>
      </c>
      <c r="B798" s="5" t="n">
        <v>82</v>
      </c>
      <c r="C798" s="5" t="n">
        <v>0</v>
      </c>
      <c r="D798" s="5" t="n">
        <v>0</v>
      </c>
      <c r="E798" s="5" t="n">
        <v>0</v>
      </c>
    </row>
    <row r="799" customFormat="false" ht="12.75" hidden="false" customHeight="true" outlineLevel="0" collapsed="false">
      <c r="A799" s="5" t="n">
        <v>42</v>
      </c>
      <c r="B799" s="5" t="n">
        <v>83</v>
      </c>
      <c r="C799" s="5" t="n">
        <v>8000</v>
      </c>
      <c r="D799" s="5" t="n">
        <v>0.01</v>
      </c>
      <c r="E799" s="5" t="n">
        <v>0.008</v>
      </c>
    </row>
    <row r="800" customFormat="false" ht="12.75" hidden="false" customHeight="true" outlineLevel="0" collapsed="false">
      <c r="A800" s="5" t="n">
        <v>42</v>
      </c>
      <c r="B800" s="5" t="n">
        <v>84</v>
      </c>
      <c r="C800" s="5" t="n">
        <v>30000</v>
      </c>
      <c r="D800" s="5" t="n">
        <v>0.04</v>
      </c>
      <c r="E800" s="5" t="n">
        <v>0.03</v>
      </c>
    </row>
    <row r="801" customFormat="false" ht="12.75" hidden="false" customHeight="true" outlineLevel="0" collapsed="false">
      <c r="A801" s="5" t="n">
        <v>42</v>
      </c>
      <c r="B801" s="5" t="n">
        <v>85</v>
      </c>
      <c r="C801" s="5" t="n">
        <v>90000</v>
      </c>
      <c r="D801" s="5" t="n">
        <v>0.08</v>
      </c>
      <c r="E801" s="5" t="n">
        <v>0.09</v>
      </c>
    </row>
    <row r="802" customFormat="false" ht="12.75" hidden="false" customHeight="true" outlineLevel="0" collapsed="false">
      <c r="A802" s="5" t="n">
        <v>42</v>
      </c>
      <c r="B802" s="5" t="n">
        <v>86</v>
      </c>
      <c r="C802" s="5" t="n">
        <v>190000</v>
      </c>
      <c r="D802" s="5" t="n">
        <v>0.11</v>
      </c>
      <c r="E802" s="5" t="n">
        <v>0.19</v>
      </c>
    </row>
    <row r="803" customFormat="false" ht="12.75" hidden="false" customHeight="true" outlineLevel="0" collapsed="false">
      <c r="A803" s="5" t="n">
        <v>42</v>
      </c>
      <c r="B803" s="5" t="n">
        <v>87</v>
      </c>
      <c r="C803" s="5" t="n">
        <v>320000</v>
      </c>
      <c r="D803" s="5" t="n">
        <v>0.14</v>
      </c>
      <c r="E803" s="5" t="n">
        <v>0.32</v>
      </c>
    </row>
    <row r="804" customFormat="false" ht="12.75" hidden="false" customHeight="true" outlineLevel="0" collapsed="false">
      <c r="A804" s="5" t="n">
        <v>42</v>
      </c>
      <c r="B804" s="5" t="n">
        <v>88</v>
      </c>
      <c r="C804" s="5" t="n">
        <v>480000</v>
      </c>
      <c r="D804" s="5" t="n">
        <v>0.17</v>
      </c>
      <c r="E804" s="5" t="n">
        <v>0.48</v>
      </c>
    </row>
    <row r="805" customFormat="false" ht="12.75" hidden="false" customHeight="true" outlineLevel="0" collapsed="false">
      <c r="A805" s="5" t="n">
        <v>42</v>
      </c>
      <c r="B805" s="5" t="n">
        <v>89</v>
      </c>
      <c r="C805" s="5" t="n">
        <v>670000</v>
      </c>
      <c r="D805" s="5" t="n">
        <v>0.21</v>
      </c>
      <c r="E805" s="5" t="n">
        <v>0.67</v>
      </c>
    </row>
    <row r="806" customFormat="false" ht="12.75" hidden="false" customHeight="true" outlineLevel="0" collapsed="false">
      <c r="A806" s="5" t="n">
        <v>42</v>
      </c>
      <c r="B806" s="5" t="n">
        <v>90</v>
      </c>
      <c r="C806" s="5" t="n">
        <v>920000</v>
      </c>
      <c r="D806" s="5" t="n">
        <v>0.27</v>
      </c>
      <c r="E806" s="5" t="n">
        <v>0.92</v>
      </c>
    </row>
    <row r="807" customFormat="false" ht="12.75" hidden="false" customHeight="true" outlineLevel="0" collapsed="false">
      <c r="A807" s="5" t="n">
        <v>42</v>
      </c>
      <c r="B807" s="5" t="n">
        <v>91</v>
      </c>
      <c r="C807" s="5" t="n">
        <v>1210000</v>
      </c>
      <c r="D807" s="5" t="n">
        <v>0.32</v>
      </c>
      <c r="E807" s="5" t="n">
        <v>1.21</v>
      </c>
    </row>
    <row r="808" customFormat="false" ht="12.75" hidden="false" customHeight="true" outlineLevel="0" collapsed="false">
      <c r="A808" s="5" t="n">
        <v>42</v>
      </c>
      <c r="B808" s="5" t="n">
        <v>92</v>
      </c>
      <c r="C808" s="5" t="n">
        <v>1550000</v>
      </c>
      <c r="D808" s="5" t="n">
        <v>0.36</v>
      </c>
      <c r="E808" s="5" t="n">
        <v>1.55</v>
      </c>
    </row>
    <row r="809" customFormat="false" ht="12.75" hidden="false" customHeight="true" outlineLevel="0" collapsed="false">
      <c r="A809" s="5" t="n">
        <v>42</v>
      </c>
      <c r="B809" s="5" t="n">
        <v>93</v>
      </c>
      <c r="C809" s="5" t="n">
        <v>1930000</v>
      </c>
      <c r="D809" s="5" t="n">
        <v>0.4</v>
      </c>
      <c r="E809" s="5" t="n">
        <v>1.93</v>
      </c>
    </row>
    <row r="810" customFormat="false" ht="12.75" hidden="false" customHeight="true" outlineLevel="0" collapsed="false">
      <c r="A810" s="5" t="n">
        <v>42</v>
      </c>
      <c r="B810" s="5" t="n">
        <v>94</v>
      </c>
      <c r="C810" s="5" t="n">
        <v>2360000</v>
      </c>
      <c r="D810" s="5" t="n">
        <v>0.44</v>
      </c>
      <c r="E810" s="5" t="n">
        <v>2.36</v>
      </c>
    </row>
    <row r="811" customFormat="false" ht="12.75" hidden="false" customHeight="true" outlineLevel="0" collapsed="false">
      <c r="A811" s="5" t="n">
        <v>42</v>
      </c>
      <c r="B811" s="5" t="n">
        <v>95</v>
      </c>
      <c r="C811" s="5" t="n">
        <v>2840000</v>
      </c>
      <c r="D811" s="5" t="n">
        <v>0.52</v>
      </c>
      <c r="E811" s="5" t="n">
        <v>2.84</v>
      </c>
    </row>
    <row r="812" customFormat="false" ht="12.75" hidden="false" customHeight="true" outlineLevel="0" collapsed="false">
      <c r="A812" s="5" t="n">
        <v>42</v>
      </c>
      <c r="B812" s="5" t="n">
        <v>96</v>
      </c>
      <c r="C812" s="5" t="n">
        <v>3390000</v>
      </c>
      <c r="D812" s="5" t="n">
        <v>0.58</v>
      </c>
      <c r="E812" s="5" t="n">
        <v>3.39</v>
      </c>
    </row>
    <row r="813" customFormat="false" ht="12.75" hidden="false" customHeight="true" outlineLevel="0" collapsed="false">
      <c r="A813" s="5" t="n">
        <v>42</v>
      </c>
      <c r="B813" s="5" t="n">
        <v>97</v>
      </c>
      <c r="C813" s="5" t="n">
        <v>4020000</v>
      </c>
      <c r="D813" s="5" t="n">
        <v>0.66</v>
      </c>
      <c r="E813" s="5" t="n">
        <v>4.02</v>
      </c>
    </row>
    <row r="814" customFormat="false" ht="12.75" hidden="false" customHeight="true" outlineLevel="0" collapsed="false">
      <c r="A814" s="5" t="n">
        <v>42</v>
      </c>
      <c r="B814" s="5" t="n">
        <v>98</v>
      </c>
      <c r="C814" s="5" t="n">
        <v>4750000</v>
      </c>
      <c r="D814" s="5" t="n">
        <v>0.8</v>
      </c>
      <c r="E814" s="5" t="n">
        <v>4.75</v>
      </c>
    </row>
    <row r="815" customFormat="false" ht="12.75" hidden="false" customHeight="true" outlineLevel="0" collapsed="false">
      <c r="A815" s="5" t="n">
        <v>42</v>
      </c>
      <c r="B815" s="5" t="n">
        <v>99</v>
      </c>
      <c r="C815" s="5" t="n">
        <v>5590000</v>
      </c>
      <c r="D815" s="5" t="n">
        <v>0.88</v>
      </c>
      <c r="E815" s="5" t="n">
        <v>5.59</v>
      </c>
    </row>
    <row r="816" customFormat="false" ht="12.75" hidden="false" customHeight="true" outlineLevel="0" collapsed="false">
      <c r="A816" s="5" t="n">
        <v>42</v>
      </c>
      <c r="B816" s="5" t="n">
        <v>100</v>
      </c>
      <c r="C816" s="5" t="n">
        <v>6540000</v>
      </c>
      <c r="D816" s="5" t="n">
        <v>1.03</v>
      </c>
      <c r="E816" s="5" t="n">
        <v>6.54</v>
      </c>
    </row>
    <row r="817" customFormat="false" ht="12.75" hidden="false" customHeight="true" outlineLevel="0" collapsed="false">
      <c r="A817" s="5" t="n">
        <v>42</v>
      </c>
      <c r="B817" s="5" t="n">
        <v>101</v>
      </c>
      <c r="C817" s="5" t="n">
        <v>7100000</v>
      </c>
      <c r="D817" s="5" t="n">
        <v>1.078</v>
      </c>
      <c r="E817" s="5" t="n">
        <v>7.1</v>
      </c>
    </row>
    <row r="818" customFormat="false" ht="12.75" hidden="false" customHeight="true" outlineLevel="0" collapsed="false">
      <c r="A818" s="5" t="n">
        <v>42</v>
      </c>
      <c r="B818" s="5" t="n">
        <v>102</v>
      </c>
      <c r="C818" s="5" t="n">
        <v>8500000</v>
      </c>
      <c r="D818" s="5" t="n">
        <v>2</v>
      </c>
      <c r="E818" s="5" t="n">
        <v>8.5</v>
      </c>
    </row>
    <row r="819" customFormat="false" ht="12.75" hidden="false" customHeight="true" outlineLevel="0" collapsed="false">
      <c r="A819" s="5" t="n">
        <v>43</v>
      </c>
      <c r="B819" s="5" t="n">
        <v>90.91</v>
      </c>
      <c r="C819" s="5" t="n">
        <v>0</v>
      </c>
      <c r="D819" s="5" t="n">
        <v>0</v>
      </c>
      <c r="E819" s="5" t="n">
        <v>0</v>
      </c>
    </row>
    <row r="820" customFormat="false" ht="12.75" hidden="false" customHeight="true" outlineLevel="0" collapsed="false">
      <c r="A820" s="5" t="n">
        <v>43</v>
      </c>
      <c r="B820" s="5" t="n">
        <v>91</v>
      </c>
      <c r="C820" s="5" t="n">
        <v>0</v>
      </c>
      <c r="D820" s="5" t="n">
        <v>0</v>
      </c>
      <c r="E820" s="5" t="n">
        <v>0</v>
      </c>
    </row>
    <row r="821" customFormat="false" ht="12.75" hidden="false" customHeight="true" outlineLevel="0" collapsed="false">
      <c r="A821" s="5" t="n">
        <v>43</v>
      </c>
      <c r="B821" s="5" t="n">
        <v>92</v>
      </c>
      <c r="C821" s="5" t="n">
        <v>2000</v>
      </c>
      <c r="D821" s="5" t="n">
        <v>0.005</v>
      </c>
      <c r="E821" s="5" t="n">
        <v>0.002</v>
      </c>
    </row>
    <row r="822" customFormat="false" ht="12.75" hidden="false" customHeight="true" outlineLevel="0" collapsed="false">
      <c r="A822" s="5" t="n">
        <v>43</v>
      </c>
      <c r="B822" s="5" t="n">
        <v>93</v>
      </c>
      <c r="C822" s="5" t="n">
        <v>14000</v>
      </c>
      <c r="D822" s="5" t="n">
        <v>0.019</v>
      </c>
      <c r="E822" s="5" t="n">
        <v>0.014</v>
      </c>
    </row>
    <row r="823" customFormat="false" ht="12.75" hidden="false" customHeight="true" outlineLevel="0" collapsed="false">
      <c r="A823" s="5" t="n">
        <v>43</v>
      </c>
      <c r="B823" s="5" t="n">
        <v>94</v>
      </c>
      <c r="C823" s="5" t="n">
        <v>47000</v>
      </c>
      <c r="D823" s="5" t="n">
        <v>0.06</v>
      </c>
      <c r="E823" s="5" t="n">
        <v>0.047</v>
      </c>
    </row>
    <row r="824" customFormat="false" ht="12.75" hidden="false" customHeight="true" outlineLevel="0" collapsed="false">
      <c r="A824" s="5" t="n">
        <v>43</v>
      </c>
      <c r="B824" s="5" t="n">
        <v>95</v>
      </c>
      <c r="C824" s="5" t="n">
        <v>151000</v>
      </c>
      <c r="D824" s="5" t="n">
        <v>0.15</v>
      </c>
      <c r="E824" s="5" t="n">
        <v>0.151</v>
      </c>
    </row>
    <row r="825" customFormat="false" ht="12.75" hidden="false" customHeight="true" outlineLevel="0" collapsed="false">
      <c r="A825" s="5" t="n">
        <v>43</v>
      </c>
      <c r="B825" s="5" t="n">
        <v>96</v>
      </c>
      <c r="C825" s="5" t="n">
        <v>354000</v>
      </c>
      <c r="D825" s="5" t="n">
        <v>0.26</v>
      </c>
      <c r="E825" s="5" t="n">
        <v>0.354</v>
      </c>
    </row>
    <row r="826" customFormat="false" ht="12.75" hidden="false" customHeight="true" outlineLevel="0" collapsed="false">
      <c r="A826" s="5" t="n">
        <v>43</v>
      </c>
      <c r="B826" s="5" t="n">
        <v>97</v>
      </c>
      <c r="C826" s="5" t="n">
        <v>680000</v>
      </c>
      <c r="D826" s="5" t="n">
        <v>0.4</v>
      </c>
      <c r="E826" s="5" t="n">
        <v>0.68</v>
      </c>
    </row>
    <row r="827" customFormat="false" ht="12.75" hidden="false" customHeight="true" outlineLevel="0" collapsed="false">
      <c r="A827" s="5" t="n">
        <v>43</v>
      </c>
      <c r="B827" s="5" t="n">
        <v>98</v>
      </c>
      <c r="C827" s="5" t="n">
        <v>1115000</v>
      </c>
      <c r="D827" s="5" t="n">
        <v>0.46</v>
      </c>
      <c r="E827" s="5" t="n">
        <v>1.115</v>
      </c>
    </row>
    <row r="828" customFormat="false" ht="12.75" hidden="false" customHeight="true" outlineLevel="0" collapsed="false">
      <c r="A828" s="5" t="n">
        <v>43</v>
      </c>
      <c r="B828" s="5" t="n">
        <v>98.06</v>
      </c>
      <c r="C828" s="5" t="n">
        <v>1142000</v>
      </c>
      <c r="D828" s="5" t="n">
        <v>0.46</v>
      </c>
      <c r="E828" s="5" t="n">
        <v>1.142</v>
      </c>
    </row>
    <row r="829" customFormat="false" ht="12.75" hidden="false" customHeight="true" outlineLevel="0" collapsed="false">
      <c r="A829" s="5" t="n">
        <v>43</v>
      </c>
      <c r="B829" s="5" t="n">
        <v>99</v>
      </c>
      <c r="C829" s="5" t="n">
        <v>3280000</v>
      </c>
      <c r="D829" s="5" t="n">
        <v>1.08</v>
      </c>
      <c r="E829" s="5" t="n">
        <v>3.28</v>
      </c>
    </row>
    <row r="830" customFormat="false" ht="12.75" hidden="false" customHeight="true" outlineLevel="0" collapsed="false">
      <c r="A830" s="5" t="n">
        <v>43</v>
      </c>
      <c r="B830" s="5" t="n">
        <v>100</v>
      </c>
      <c r="C830" s="5" t="n">
        <v>4470000</v>
      </c>
      <c r="D830" s="5" t="n">
        <v>1.29</v>
      </c>
      <c r="E830" s="5" t="n">
        <v>4.47</v>
      </c>
    </row>
    <row r="831" customFormat="false" ht="12.75" hidden="false" customHeight="true" outlineLevel="0" collapsed="false">
      <c r="A831" s="5" t="n">
        <v>43</v>
      </c>
      <c r="B831" s="5" t="n">
        <v>101</v>
      </c>
      <c r="C831" s="5" t="n">
        <v>5910000</v>
      </c>
      <c r="D831" s="5" t="n">
        <v>1.57</v>
      </c>
      <c r="E831" s="5" t="n">
        <v>5.91</v>
      </c>
    </row>
    <row r="832" customFormat="false" ht="12.75" hidden="false" customHeight="true" outlineLevel="0" collapsed="false">
      <c r="A832" s="5" t="n">
        <v>43</v>
      </c>
      <c r="B832" s="5" t="n">
        <v>102</v>
      </c>
      <c r="C832" s="5" t="n">
        <v>7620000</v>
      </c>
      <c r="D832" s="5" t="n">
        <v>1.85</v>
      </c>
      <c r="E832" s="5" t="n">
        <v>7.62</v>
      </c>
    </row>
    <row r="833" customFormat="false" ht="12.75" hidden="false" customHeight="true" outlineLevel="0" collapsed="false">
      <c r="A833" s="5" t="n">
        <v>43</v>
      </c>
      <c r="B833" s="5" t="n">
        <v>103</v>
      </c>
      <c r="C833" s="5" t="n">
        <v>9630000</v>
      </c>
      <c r="D833" s="5" t="n">
        <v>2.17</v>
      </c>
      <c r="E833" s="5" t="n">
        <v>9.63</v>
      </c>
    </row>
    <row r="834" customFormat="false" ht="12.75" hidden="false" customHeight="true" outlineLevel="0" collapsed="false">
      <c r="A834" s="5" t="n">
        <v>43</v>
      </c>
      <c r="B834" s="5" t="n">
        <v>104</v>
      </c>
      <c r="C834" s="5" t="n">
        <v>12000000</v>
      </c>
      <c r="D834" s="5" t="n">
        <v>2.533</v>
      </c>
      <c r="E834" s="5" t="n">
        <v>12</v>
      </c>
    </row>
    <row r="835" customFormat="false" ht="12.75" hidden="false" customHeight="true" outlineLevel="0" collapsed="false">
      <c r="A835" s="5" t="n">
        <v>44</v>
      </c>
      <c r="B835" s="5" t="n">
        <v>89.69</v>
      </c>
      <c r="C835" s="5" t="n">
        <v>0</v>
      </c>
      <c r="D835" s="5" t="n">
        <v>0</v>
      </c>
      <c r="E835" s="5" t="n">
        <v>0</v>
      </c>
    </row>
    <row r="836" customFormat="false" ht="12.75" hidden="false" customHeight="true" outlineLevel="0" collapsed="false">
      <c r="A836" s="5" t="n">
        <v>44</v>
      </c>
      <c r="B836" s="5" t="n">
        <v>90</v>
      </c>
      <c r="C836" s="5" t="n">
        <v>4</v>
      </c>
      <c r="D836" s="5" t="n">
        <v>0</v>
      </c>
      <c r="E836" s="5" t="n">
        <v>4E-006</v>
      </c>
    </row>
    <row r="837" customFormat="false" ht="12.75" hidden="false" customHeight="true" outlineLevel="0" collapsed="false">
      <c r="A837" s="5" t="n">
        <v>44</v>
      </c>
      <c r="B837" s="5" t="n">
        <v>91</v>
      </c>
      <c r="C837" s="5" t="n">
        <v>569</v>
      </c>
      <c r="D837" s="5" t="n">
        <v>0.002</v>
      </c>
      <c r="E837" s="5" t="n">
        <v>0.000569</v>
      </c>
    </row>
    <row r="838" customFormat="false" ht="12.75" hidden="false" customHeight="true" outlineLevel="0" collapsed="false">
      <c r="A838" s="5" t="n">
        <v>44</v>
      </c>
      <c r="B838" s="5" t="n">
        <v>92</v>
      </c>
      <c r="C838" s="5" t="n">
        <v>6036</v>
      </c>
      <c r="D838" s="5" t="n">
        <v>0.0094</v>
      </c>
      <c r="E838" s="5" t="n">
        <v>0.006036</v>
      </c>
    </row>
    <row r="839" customFormat="false" ht="12.75" hidden="false" customHeight="true" outlineLevel="0" collapsed="false">
      <c r="A839" s="5" t="n">
        <v>44</v>
      </c>
      <c r="B839" s="5" t="n">
        <v>93</v>
      </c>
      <c r="C839" s="5" t="n">
        <v>20455</v>
      </c>
      <c r="D839" s="5" t="n">
        <v>0.019</v>
      </c>
      <c r="E839" s="5" t="n">
        <v>0.020455</v>
      </c>
    </row>
    <row r="840" customFormat="false" ht="12.75" hidden="false" customHeight="true" outlineLevel="0" collapsed="false">
      <c r="A840" s="5" t="n">
        <v>44</v>
      </c>
      <c r="B840" s="5" t="n">
        <v>94</v>
      </c>
      <c r="C840" s="5" t="n">
        <v>44127</v>
      </c>
      <c r="D840" s="5" t="n">
        <v>0.0288</v>
      </c>
      <c r="E840" s="5" t="n">
        <v>0.044127</v>
      </c>
    </row>
    <row r="841" customFormat="false" ht="12.75" hidden="false" customHeight="true" outlineLevel="0" collapsed="false">
      <c r="A841" s="5" t="n">
        <v>44</v>
      </c>
      <c r="B841" s="5" t="n">
        <v>95</v>
      </c>
      <c r="C841" s="5" t="n">
        <v>78428</v>
      </c>
      <c r="D841" s="5" t="n">
        <v>0.0397</v>
      </c>
      <c r="E841" s="5" t="n">
        <v>0.078428</v>
      </c>
    </row>
    <row r="842" customFormat="false" ht="12.75" hidden="false" customHeight="true" outlineLevel="0" collapsed="false">
      <c r="A842" s="5" t="n">
        <v>44</v>
      </c>
      <c r="B842" s="5" t="n">
        <v>96</v>
      </c>
      <c r="C842" s="5" t="n">
        <v>123635</v>
      </c>
      <c r="D842" s="5" t="n">
        <v>0.0512</v>
      </c>
      <c r="E842" s="5" t="n">
        <v>0.123635</v>
      </c>
    </row>
    <row r="843" customFormat="false" ht="12.75" hidden="false" customHeight="true" outlineLevel="0" collapsed="false">
      <c r="A843" s="5" t="n">
        <v>44</v>
      </c>
      <c r="B843" s="5" t="n">
        <v>97</v>
      </c>
      <c r="C843" s="5" t="n">
        <v>181704</v>
      </c>
      <c r="D843" s="5" t="n">
        <v>0.0637</v>
      </c>
      <c r="E843" s="5" t="n">
        <v>0.181704</v>
      </c>
    </row>
    <row r="844" customFormat="false" ht="12.75" hidden="false" customHeight="true" outlineLevel="0" collapsed="false">
      <c r="A844" s="5" t="n">
        <v>44</v>
      </c>
      <c r="B844" s="5" t="n">
        <v>98</v>
      </c>
      <c r="C844" s="5" t="n">
        <v>250798</v>
      </c>
      <c r="D844" s="5" t="n">
        <v>0.0742</v>
      </c>
      <c r="E844" s="5" t="n">
        <v>0.250798</v>
      </c>
    </row>
    <row r="845" customFormat="false" ht="12.75" hidden="false" customHeight="true" outlineLevel="0" collapsed="false">
      <c r="A845" s="5" t="n">
        <v>44</v>
      </c>
      <c r="B845" s="5" t="n">
        <v>99</v>
      </c>
      <c r="C845" s="5" t="n">
        <v>329401</v>
      </c>
      <c r="D845" s="5" t="n">
        <v>0.0827</v>
      </c>
      <c r="E845" s="5" t="n">
        <v>0.329401</v>
      </c>
    </row>
    <row r="846" customFormat="false" ht="12.75" hidden="false" customHeight="true" outlineLevel="0" collapsed="false">
      <c r="A846" s="5" t="n">
        <v>44</v>
      </c>
      <c r="B846" s="5" t="n">
        <v>100</v>
      </c>
      <c r="C846" s="5" t="n">
        <v>415541</v>
      </c>
      <c r="D846" s="5" t="n">
        <v>0.0887</v>
      </c>
      <c r="E846" s="5" t="n">
        <v>0.415541</v>
      </c>
    </row>
    <row r="847" customFormat="false" ht="12.75" hidden="false" customHeight="true" outlineLevel="0" collapsed="false">
      <c r="A847" s="5" t="n">
        <v>44</v>
      </c>
      <c r="B847" s="5" t="n">
        <v>100.97</v>
      </c>
      <c r="C847" s="5" t="n">
        <v>503341</v>
      </c>
      <c r="D847" s="5" t="n">
        <v>0.0923</v>
      </c>
      <c r="E847" s="5" t="n">
        <v>0.503341</v>
      </c>
    </row>
    <row r="848" customFormat="false" ht="12.75" hidden="false" customHeight="true" outlineLevel="0" collapsed="false">
      <c r="A848" s="5" t="n">
        <v>44</v>
      </c>
      <c r="B848" s="5" t="n">
        <v>101</v>
      </c>
      <c r="C848" s="5" t="n">
        <v>506500</v>
      </c>
      <c r="D848" s="5" t="n">
        <v>0.09</v>
      </c>
      <c r="E848" s="5" t="n">
        <v>0.5065</v>
      </c>
    </row>
    <row r="849" customFormat="false" ht="12.75" hidden="false" customHeight="true" outlineLevel="0" collapsed="false">
      <c r="A849" s="5" t="n">
        <v>44</v>
      </c>
      <c r="B849" s="5" t="n">
        <v>102</v>
      </c>
      <c r="C849" s="5" t="n">
        <v>625000</v>
      </c>
      <c r="D849" s="5" t="n">
        <v>0.11</v>
      </c>
      <c r="E849" s="5" t="n">
        <v>0.625</v>
      </c>
    </row>
    <row r="850" customFormat="false" ht="12.75" hidden="false" customHeight="true" outlineLevel="0" collapsed="false">
      <c r="A850" s="5" t="n">
        <v>44</v>
      </c>
      <c r="B850" s="5" t="n">
        <v>103</v>
      </c>
      <c r="C850" s="5" t="n">
        <v>758000</v>
      </c>
      <c r="D850" s="5" t="n">
        <v>0.12</v>
      </c>
      <c r="E850" s="5" t="n">
        <v>0.758</v>
      </c>
    </row>
    <row r="851" customFormat="false" ht="12.75" hidden="false" customHeight="true" outlineLevel="0" collapsed="false">
      <c r="A851" s="5" t="n">
        <v>44</v>
      </c>
      <c r="B851" s="5" t="n">
        <v>104</v>
      </c>
      <c r="C851" s="5" t="n">
        <v>904000</v>
      </c>
      <c r="D851" s="5" t="n">
        <v>0.13</v>
      </c>
      <c r="E851" s="5" t="n">
        <v>0.904</v>
      </c>
    </row>
    <row r="852" customFormat="false" ht="12.75" hidden="false" customHeight="true" outlineLevel="0" collapsed="false">
      <c r="A852" s="5" t="n">
        <v>44</v>
      </c>
      <c r="B852" s="5" t="n">
        <v>104.56</v>
      </c>
      <c r="C852" s="5" t="n">
        <v>990000</v>
      </c>
      <c r="D852" s="5" t="n">
        <v>0.14</v>
      </c>
      <c r="E852" s="5" t="n">
        <v>0.99</v>
      </c>
    </row>
    <row r="853" customFormat="false" ht="12.75" hidden="false" customHeight="true" outlineLevel="0" collapsed="false">
      <c r="A853" s="5" t="n">
        <v>44</v>
      </c>
      <c r="B853" s="5" t="n">
        <v>105</v>
      </c>
      <c r="C853" s="5" t="n">
        <v>1127000</v>
      </c>
      <c r="D853" s="5" t="n">
        <v>0.15</v>
      </c>
      <c r="E853" s="5" t="n">
        <v>1.127</v>
      </c>
    </row>
    <row r="854" customFormat="false" ht="12.75" hidden="false" customHeight="true" outlineLevel="0" collapsed="false">
      <c r="A854" s="5" t="n">
        <v>44</v>
      </c>
      <c r="B854" s="5" t="n">
        <v>106</v>
      </c>
      <c r="C854" s="5" t="n">
        <v>1487000</v>
      </c>
      <c r="D854" s="5" t="n">
        <v>0.18</v>
      </c>
      <c r="E854" s="5" t="n">
        <v>1.487</v>
      </c>
    </row>
    <row r="855" customFormat="false" ht="12.75" hidden="false" customHeight="true" outlineLevel="0" collapsed="false">
      <c r="A855" s="5" t="n">
        <v>44</v>
      </c>
      <c r="B855" s="5" t="n">
        <v>107</v>
      </c>
      <c r="C855" s="5" t="n">
        <v>1880000</v>
      </c>
      <c r="D855" s="5" t="n">
        <v>0.21</v>
      </c>
      <c r="E855" s="5" t="n">
        <v>1.88</v>
      </c>
    </row>
    <row r="856" customFormat="false" ht="12.75" hidden="false" customHeight="true" outlineLevel="0" collapsed="false">
      <c r="A856" s="5" t="n">
        <v>44</v>
      </c>
      <c r="B856" s="5" t="n">
        <v>108</v>
      </c>
      <c r="C856" s="5" t="n">
        <v>2287000</v>
      </c>
      <c r="D856" s="5" t="n">
        <v>0.23</v>
      </c>
      <c r="E856" s="5" t="n">
        <v>2.287</v>
      </c>
    </row>
    <row r="857" customFormat="false" ht="12.75" hidden="false" customHeight="true" outlineLevel="0" collapsed="false">
      <c r="A857" s="5" t="n">
        <v>44</v>
      </c>
      <c r="B857" s="5" t="n">
        <v>108.5</v>
      </c>
      <c r="C857" s="5" t="n">
        <v>2720000</v>
      </c>
      <c r="D857" s="5" t="n">
        <v>0.25</v>
      </c>
      <c r="E857" s="5" t="n">
        <v>2.72</v>
      </c>
    </row>
    <row r="858" customFormat="false" ht="12.75" hidden="false" customHeight="true" outlineLevel="0" collapsed="false">
      <c r="A858" s="5" t="n">
        <v>45</v>
      </c>
      <c r="B858" s="5" t="n">
        <v>84.5</v>
      </c>
      <c r="C858" s="5" t="n">
        <v>0</v>
      </c>
      <c r="D858" s="5" t="n">
        <v>0</v>
      </c>
      <c r="E858" s="5" t="n">
        <v>0</v>
      </c>
    </row>
    <row r="859" customFormat="false" ht="12.75" hidden="false" customHeight="true" outlineLevel="0" collapsed="false">
      <c r="A859" s="5" t="n">
        <v>45</v>
      </c>
      <c r="B859" s="5" t="n">
        <v>85.62</v>
      </c>
      <c r="C859" s="5" t="n">
        <v>0</v>
      </c>
      <c r="D859" s="5" t="n">
        <v>0</v>
      </c>
      <c r="E859" s="5" t="n">
        <v>0</v>
      </c>
    </row>
    <row r="860" customFormat="false" ht="12.75" hidden="false" customHeight="true" outlineLevel="0" collapsed="false">
      <c r="A860" s="5" t="n">
        <v>45</v>
      </c>
      <c r="B860" s="5" t="n">
        <v>86</v>
      </c>
      <c r="C860" s="5" t="n">
        <v>34</v>
      </c>
      <c r="D860" s="5" t="n">
        <v>0.0002</v>
      </c>
      <c r="E860" s="5" t="n">
        <v>3.4E-005</v>
      </c>
    </row>
    <row r="861" customFormat="false" ht="12.75" hidden="false" customHeight="true" outlineLevel="0" collapsed="false">
      <c r="A861" s="5" t="n">
        <v>45</v>
      </c>
      <c r="B861" s="5" t="n">
        <v>87</v>
      </c>
      <c r="C861" s="5" t="n">
        <v>17375</v>
      </c>
      <c r="D861" s="5" t="n">
        <v>0.0565</v>
      </c>
      <c r="E861" s="5" t="n">
        <v>0.017375</v>
      </c>
    </row>
    <row r="862" customFormat="false" ht="12.75" hidden="false" customHeight="true" outlineLevel="0" collapsed="false">
      <c r="A862" s="5" t="n">
        <v>45</v>
      </c>
      <c r="B862" s="5" t="n">
        <v>88</v>
      </c>
      <c r="C862" s="5" t="n">
        <v>137444</v>
      </c>
      <c r="D862" s="5" t="n">
        <v>0.1819</v>
      </c>
      <c r="E862" s="5" t="n">
        <v>0.137444</v>
      </c>
    </row>
    <row r="863" customFormat="false" ht="12.75" hidden="false" customHeight="true" outlineLevel="0" collapsed="false">
      <c r="A863" s="5" t="n">
        <v>45</v>
      </c>
      <c r="B863" s="5" t="n">
        <v>89</v>
      </c>
      <c r="C863" s="5" t="n">
        <v>405288</v>
      </c>
      <c r="D863" s="5" t="n">
        <v>0.3643</v>
      </c>
      <c r="E863" s="5" t="n">
        <v>0.405288</v>
      </c>
    </row>
    <row r="864" customFormat="false" ht="12.75" hidden="false" customHeight="true" outlineLevel="0" collapsed="false">
      <c r="A864" s="5" t="n">
        <v>45</v>
      </c>
      <c r="B864" s="5" t="n">
        <v>90</v>
      </c>
      <c r="C864" s="5" t="n">
        <v>864230</v>
      </c>
      <c r="D864" s="5" t="n">
        <v>0.5373</v>
      </c>
      <c r="E864" s="5" t="n">
        <v>0.86423</v>
      </c>
    </row>
    <row r="865" customFormat="false" ht="12.75" hidden="false" customHeight="true" outlineLevel="0" collapsed="false">
      <c r="A865" s="5" t="n">
        <v>45</v>
      </c>
      <c r="B865" s="5" t="n">
        <v>90.9</v>
      </c>
      <c r="C865" s="5" t="n">
        <v>1370100</v>
      </c>
      <c r="D865" s="5" t="n">
        <v>0.5839</v>
      </c>
      <c r="E865" s="5" t="n">
        <v>1.3701</v>
      </c>
    </row>
    <row r="866" customFormat="false" ht="12.75" hidden="false" customHeight="true" outlineLevel="0" collapsed="false">
      <c r="A866" s="5" t="n">
        <v>45</v>
      </c>
      <c r="B866" s="5" t="n">
        <v>91</v>
      </c>
      <c r="C866" s="5" t="n">
        <v>1433100</v>
      </c>
      <c r="D866" s="5" t="n">
        <v>0.60587</v>
      </c>
      <c r="E866" s="5" t="n">
        <v>1.4331</v>
      </c>
    </row>
    <row r="867" customFormat="false" ht="12.75" hidden="false" customHeight="true" outlineLevel="0" collapsed="false">
      <c r="A867" s="5" t="n">
        <v>45</v>
      </c>
      <c r="B867" s="5" t="n">
        <v>92</v>
      </c>
      <c r="C867" s="5" t="n">
        <v>2353100</v>
      </c>
      <c r="D867" s="5" t="n">
        <v>0.86587</v>
      </c>
      <c r="E867" s="5" t="n">
        <v>2.3531</v>
      </c>
    </row>
    <row r="868" customFormat="false" ht="12.75" hidden="false" customHeight="true" outlineLevel="0" collapsed="false">
      <c r="A868" s="5" t="n">
        <v>45</v>
      </c>
      <c r="B868" s="5" t="n">
        <v>93</v>
      </c>
      <c r="C868" s="5" t="n">
        <v>3622100</v>
      </c>
      <c r="D868" s="5" t="n">
        <v>1.35587</v>
      </c>
      <c r="E868" s="5" t="n">
        <v>3.6221</v>
      </c>
    </row>
    <row r="869" customFormat="false" ht="12.75" hidden="false" customHeight="true" outlineLevel="0" collapsed="false">
      <c r="A869" s="5" t="n">
        <v>45</v>
      </c>
      <c r="B869" s="5" t="n">
        <v>94</v>
      </c>
      <c r="C869" s="5" t="n">
        <v>5333100</v>
      </c>
      <c r="D869" s="5" t="n">
        <v>1.74587</v>
      </c>
      <c r="E869" s="5" t="n">
        <v>5.3331</v>
      </c>
    </row>
    <row r="870" customFormat="false" ht="12.75" hidden="false" customHeight="true" outlineLevel="0" collapsed="false">
      <c r="A870" s="5" t="n">
        <v>45</v>
      </c>
      <c r="B870" s="5" t="n">
        <v>95</v>
      </c>
      <c r="C870" s="5" t="n">
        <v>7433100</v>
      </c>
      <c r="D870" s="5" t="n">
        <v>2.16587</v>
      </c>
      <c r="E870" s="5" t="n">
        <v>7.4331</v>
      </c>
    </row>
    <row r="871" customFormat="false" ht="12.75" hidden="false" customHeight="true" outlineLevel="0" collapsed="false">
      <c r="A871" s="5" t="n">
        <v>45</v>
      </c>
      <c r="B871" s="5" t="n">
        <v>95.98</v>
      </c>
      <c r="C871" s="5" t="n">
        <v>10873000</v>
      </c>
      <c r="D871" s="5" t="n">
        <v>2.55787</v>
      </c>
      <c r="E871" s="5" t="n">
        <v>10.873</v>
      </c>
    </row>
    <row r="872" customFormat="false" ht="12.75" hidden="false" customHeight="true" outlineLevel="0" collapsed="false">
      <c r="A872" s="5" t="n">
        <v>45</v>
      </c>
      <c r="B872" s="5" t="n">
        <v>96</v>
      </c>
      <c r="C872" s="5" t="n">
        <v>11010000</v>
      </c>
      <c r="D872" s="5" t="n">
        <v>2.71</v>
      </c>
      <c r="E872" s="5" t="n">
        <v>11.01</v>
      </c>
    </row>
    <row r="873" customFormat="false" ht="12.75" hidden="false" customHeight="true" outlineLevel="0" collapsed="false">
      <c r="A873" s="5" t="n">
        <v>45</v>
      </c>
      <c r="B873" s="5" t="n">
        <v>97</v>
      </c>
      <c r="C873" s="5" t="n">
        <v>12713100</v>
      </c>
      <c r="D873" s="5" t="n">
        <v>3.16587</v>
      </c>
      <c r="E873" s="5" t="n">
        <v>12.7131</v>
      </c>
    </row>
    <row r="874" customFormat="false" ht="12.75" hidden="false" customHeight="true" outlineLevel="0" collapsed="false">
      <c r="A874" s="5" t="n">
        <v>45</v>
      </c>
      <c r="B874" s="5" t="n">
        <v>98</v>
      </c>
      <c r="C874" s="5" t="n">
        <v>13533100</v>
      </c>
      <c r="D874" s="5" t="n">
        <v>4.05587</v>
      </c>
      <c r="E874" s="5" t="n">
        <v>13.5331</v>
      </c>
    </row>
    <row r="875" customFormat="false" ht="12.75" hidden="false" customHeight="true" outlineLevel="0" collapsed="false">
      <c r="A875" s="5" t="n">
        <v>46</v>
      </c>
      <c r="B875" s="5" t="n">
        <v>486</v>
      </c>
      <c r="C875" s="5" t="n">
        <v>0</v>
      </c>
      <c r="D875" s="5" t="n">
        <v>0</v>
      </c>
      <c r="E875" s="5" t="n">
        <v>0</v>
      </c>
    </row>
    <row r="876" customFormat="false" ht="12.75" hidden="false" customHeight="true" outlineLevel="0" collapsed="false">
      <c r="A876" s="5" t="n">
        <v>46</v>
      </c>
      <c r="B876" s="5" t="n">
        <v>488</v>
      </c>
      <c r="C876" s="5" t="n">
        <v>7680</v>
      </c>
      <c r="D876" s="5" t="n">
        <v>0.0077</v>
      </c>
      <c r="E876" s="5" t="n">
        <v>0.00768</v>
      </c>
    </row>
    <row r="877" customFormat="false" ht="12.75" hidden="false" customHeight="true" outlineLevel="0" collapsed="false">
      <c r="A877" s="5" t="n">
        <v>46</v>
      </c>
      <c r="B877" s="5" t="n">
        <v>490</v>
      </c>
      <c r="C877" s="5" t="n">
        <v>30000</v>
      </c>
      <c r="D877" s="5" t="n">
        <v>0.04</v>
      </c>
      <c r="E877" s="5" t="n">
        <v>0.03</v>
      </c>
    </row>
    <row r="878" customFormat="false" ht="12.75" hidden="false" customHeight="true" outlineLevel="0" collapsed="false">
      <c r="A878" s="5" t="n">
        <v>46</v>
      </c>
      <c r="B878" s="5" t="n">
        <v>492</v>
      </c>
      <c r="C878" s="5" t="n">
        <v>100000</v>
      </c>
      <c r="D878" s="5" t="n">
        <v>0.19</v>
      </c>
      <c r="E878" s="5" t="n">
        <v>0.1</v>
      </c>
    </row>
    <row r="879" customFormat="false" ht="12.75" hidden="false" customHeight="true" outlineLevel="0" collapsed="false">
      <c r="A879" s="5" t="n">
        <v>46</v>
      </c>
      <c r="B879" s="5" t="n">
        <v>494</v>
      </c>
      <c r="C879" s="5" t="n">
        <v>210000</v>
      </c>
      <c r="D879" s="5" t="n">
        <v>0.51</v>
      </c>
      <c r="E879" s="5" t="n">
        <v>0.21</v>
      </c>
    </row>
    <row r="880" customFormat="false" ht="12.75" hidden="false" customHeight="true" outlineLevel="0" collapsed="false">
      <c r="A880" s="5" t="n">
        <v>46</v>
      </c>
      <c r="B880" s="5" t="n">
        <v>496</v>
      </c>
      <c r="C880" s="5" t="n">
        <v>350000</v>
      </c>
      <c r="D880" s="5" t="n">
        <v>1.08</v>
      </c>
      <c r="E880" s="5" t="n">
        <v>0.35</v>
      </c>
    </row>
    <row r="881" customFormat="false" ht="12.75" hidden="false" customHeight="true" outlineLevel="0" collapsed="false">
      <c r="A881" s="5" t="n">
        <v>46</v>
      </c>
      <c r="B881" s="5" t="n">
        <v>498</v>
      </c>
      <c r="C881" s="5" t="n">
        <v>570000</v>
      </c>
      <c r="D881" s="5" t="n">
        <v>2</v>
      </c>
      <c r="E881" s="5" t="n">
        <v>0.57</v>
      </c>
    </row>
    <row r="882" customFormat="false" ht="12.75" hidden="false" customHeight="true" outlineLevel="0" collapsed="false">
      <c r="A882" s="5" t="n">
        <v>46</v>
      </c>
      <c r="B882" s="5" t="n">
        <v>500</v>
      </c>
      <c r="C882" s="5" t="n">
        <v>830000</v>
      </c>
      <c r="D882" s="5" t="n">
        <v>3.4</v>
      </c>
      <c r="E882" s="5" t="n">
        <v>0.83</v>
      </c>
    </row>
    <row r="883" customFormat="false" ht="12.75" hidden="false" customHeight="true" outlineLevel="0" collapsed="false">
      <c r="A883" s="5" t="n">
        <v>46</v>
      </c>
      <c r="B883" s="5" t="n">
        <v>502</v>
      </c>
      <c r="C883" s="5" t="n">
        <v>1070000</v>
      </c>
      <c r="D883" s="5" t="n">
        <v>5.31</v>
      </c>
      <c r="E883" s="5" t="n">
        <v>1.07</v>
      </c>
    </row>
    <row r="884" customFormat="false" ht="12.75" hidden="false" customHeight="true" outlineLevel="0" collapsed="false">
      <c r="A884" s="5" t="n">
        <v>46</v>
      </c>
      <c r="B884" s="5" t="n">
        <v>504</v>
      </c>
      <c r="C884" s="5" t="n">
        <v>1330000</v>
      </c>
      <c r="D884" s="5" t="n">
        <v>7.72</v>
      </c>
      <c r="E884" s="5" t="n">
        <v>1.33</v>
      </c>
    </row>
    <row r="885" customFormat="false" ht="12.75" hidden="false" customHeight="true" outlineLevel="0" collapsed="false">
      <c r="A885" s="5" t="n">
        <v>46</v>
      </c>
      <c r="B885" s="5" t="n">
        <v>506</v>
      </c>
      <c r="C885" s="5" t="n">
        <v>1590000</v>
      </c>
      <c r="D885" s="5" t="n">
        <v>10.65</v>
      </c>
      <c r="E885" s="5" t="n">
        <v>1.59</v>
      </c>
    </row>
    <row r="886" customFormat="false" ht="12.75" hidden="false" customHeight="true" outlineLevel="0" collapsed="false">
      <c r="A886" s="5" t="n">
        <v>46</v>
      </c>
      <c r="B886" s="5" t="n">
        <v>508</v>
      </c>
      <c r="C886" s="5" t="n">
        <v>1870000</v>
      </c>
      <c r="D886" s="5" t="n">
        <v>14.13</v>
      </c>
      <c r="E886" s="5" t="n">
        <v>1.87</v>
      </c>
    </row>
    <row r="887" customFormat="false" ht="12.75" hidden="false" customHeight="true" outlineLevel="0" collapsed="false">
      <c r="A887" s="5" t="n">
        <v>46</v>
      </c>
      <c r="B887" s="5" t="n">
        <v>510</v>
      </c>
      <c r="C887" s="5" t="n">
        <v>2180000</v>
      </c>
      <c r="D887" s="5" t="n">
        <v>18.19</v>
      </c>
      <c r="E887" s="5" t="n">
        <v>2.18</v>
      </c>
    </row>
    <row r="888" customFormat="false" ht="12.75" hidden="false" customHeight="true" outlineLevel="0" collapsed="false">
      <c r="A888" s="5" t="n">
        <v>46</v>
      </c>
      <c r="B888" s="5" t="n">
        <v>512</v>
      </c>
      <c r="C888" s="5" t="n">
        <v>2450000</v>
      </c>
      <c r="D888" s="5" t="n">
        <v>22.82</v>
      </c>
      <c r="E888" s="5" t="n">
        <v>2.45</v>
      </c>
    </row>
    <row r="889" customFormat="false" ht="12.75" hidden="false" customHeight="true" outlineLevel="0" collapsed="false">
      <c r="A889" s="5" t="n">
        <v>46</v>
      </c>
      <c r="B889" s="5" t="n">
        <v>513</v>
      </c>
      <c r="C889" s="5" t="n">
        <v>2760000</v>
      </c>
      <c r="D889" s="5" t="n">
        <v>25.43</v>
      </c>
      <c r="E889" s="5" t="n">
        <v>2.76</v>
      </c>
    </row>
    <row r="890" customFormat="false" ht="12.75" hidden="false" customHeight="true" outlineLevel="0" collapsed="false">
      <c r="A890" s="5" t="n">
        <v>47</v>
      </c>
      <c r="B890" s="5" t="n">
        <v>388.34</v>
      </c>
      <c r="C890" s="5" t="n">
        <v>0</v>
      </c>
      <c r="D890" s="5" t="n">
        <v>0</v>
      </c>
      <c r="E890" s="5" t="n">
        <v>0</v>
      </c>
    </row>
    <row r="891" customFormat="false" ht="12.75" hidden="false" customHeight="true" outlineLevel="0" collapsed="false">
      <c r="A891" s="5" t="n">
        <v>47</v>
      </c>
      <c r="B891" s="5" t="n">
        <v>389</v>
      </c>
      <c r="C891" s="5" t="n">
        <v>23</v>
      </c>
      <c r="D891" s="5" t="n">
        <v>0</v>
      </c>
      <c r="E891" s="5" t="n">
        <v>2.3E-005</v>
      </c>
    </row>
    <row r="892" customFormat="false" ht="12.75" hidden="false" customHeight="true" outlineLevel="0" collapsed="false">
      <c r="A892" s="5" t="n">
        <v>47</v>
      </c>
      <c r="B892" s="5" t="n">
        <v>390</v>
      </c>
      <c r="C892" s="5" t="n">
        <v>1710</v>
      </c>
      <c r="D892" s="5" t="n">
        <v>0.004</v>
      </c>
      <c r="E892" s="5" t="n">
        <v>0.00171</v>
      </c>
    </row>
    <row r="893" customFormat="false" ht="12.75" hidden="false" customHeight="true" outlineLevel="0" collapsed="false">
      <c r="A893" s="5" t="n">
        <v>47</v>
      </c>
      <c r="B893" s="5" t="n">
        <v>391</v>
      </c>
      <c r="C893" s="5" t="n">
        <v>9432</v>
      </c>
      <c r="D893" s="5" t="n">
        <v>0.013</v>
      </c>
      <c r="E893" s="5" t="n">
        <v>0.009432</v>
      </c>
    </row>
    <row r="894" customFormat="false" ht="12.75" hidden="false" customHeight="true" outlineLevel="0" collapsed="false">
      <c r="A894" s="5" t="n">
        <v>47</v>
      </c>
      <c r="B894" s="5" t="n">
        <v>392</v>
      </c>
      <c r="C894" s="5" t="n">
        <v>29063</v>
      </c>
      <c r="D894" s="5" t="n">
        <v>0.028</v>
      </c>
      <c r="E894" s="5" t="n">
        <v>0.029063</v>
      </c>
    </row>
    <row r="895" customFormat="false" ht="12.75" hidden="false" customHeight="true" outlineLevel="0" collapsed="false">
      <c r="A895" s="5" t="n">
        <v>47</v>
      </c>
      <c r="B895" s="5" t="n">
        <v>393</v>
      </c>
      <c r="C895" s="5" t="n">
        <v>69031</v>
      </c>
      <c r="D895" s="5" t="n">
        <v>0.054</v>
      </c>
      <c r="E895" s="5" t="n">
        <v>0.069031</v>
      </c>
    </row>
    <row r="896" customFormat="false" ht="12.75" hidden="false" customHeight="true" outlineLevel="0" collapsed="false">
      <c r="A896" s="5" t="n">
        <v>47</v>
      </c>
      <c r="B896" s="5" t="n">
        <v>394</v>
      </c>
      <c r="C896" s="5" t="n">
        <v>140063</v>
      </c>
      <c r="D896" s="5" t="n">
        <v>0.09</v>
      </c>
      <c r="E896" s="5" t="n">
        <v>0.140063</v>
      </c>
    </row>
    <row r="897" customFormat="false" ht="12.75" hidden="false" customHeight="true" outlineLevel="0" collapsed="false">
      <c r="A897" s="5" t="n">
        <v>47</v>
      </c>
      <c r="B897" s="5" t="n">
        <v>395</v>
      </c>
      <c r="C897" s="5" t="n">
        <v>254069</v>
      </c>
      <c r="D897" s="5" t="n">
        <v>0.142</v>
      </c>
      <c r="E897" s="5" t="n">
        <v>0.254069</v>
      </c>
    </row>
    <row r="898" customFormat="false" ht="12.75" hidden="false" customHeight="true" outlineLevel="0" collapsed="false">
      <c r="A898" s="5" t="n">
        <v>47</v>
      </c>
      <c r="B898" s="5" t="n">
        <v>396</v>
      </c>
      <c r="C898" s="5" t="n">
        <v>432901</v>
      </c>
      <c r="D898" s="5" t="n">
        <v>0.216</v>
      </c>
      <c r="E898" s="5" t="n">
        <v>0.432901</v>
      </c>
    </row>
    <row r="899" customFormat="false" ht="12.75" hidden="false" customHeight="true" outlineLevel="0" collapsed="false">
      <c r="A899" s="5" t="n">
        <v>47</v>
      </c>
      <c r="B899" s="5" t="n">
        <v>397</v>
      </c>
      <c r="C899" s="5" t="n">
        <v>690396</v>
      </c>
      <c r="D899" s="5" t="n">
        <v>0.3</v>
      </c>
      <c r="E899" s="5" t="n">
        <v>0.690396</v>
      </c>
    </row>
    <row r="900" customFormat="false" ht="12.75" hidden="false" customHeight="true" outlineLevel="0" collapsed="false">
      <c r="A900" s="5" t="n">
        <v>47</v>
      </c>
      <c r="B900" s="5" t="n">
        <v>398</v>
      </c>
      <c r="C900" s="5" t="n">
        <v>1042940</v>
      </c>
      <c r="D900" s="5" t="n">
        <v>0.406</v>
      </c>
      <c r="E900" s="5" t="n">
        <v>1.04294</v>
      </c>
    </row>
    <row r="901" customFormat="false" ht="12.75" hidden="false" customHeight="true" outlineLevel="0" collapsed="false">
      <c r="A901" s="5" t="n">
        <v>47</v>
      </c>
      <c r="B901" s="5" t="n">
        <v>399</v>
      </c>
      <c r="C901" s="5" t="n">
        <v>1513438</v>
      </c>
      <c r="D901" s="5" t="n">
        <v>0.532</v>
      </c>
      <c r="E901" s="5" t="n">
        <v>1.513438</v>
      </c>
    </row>
    <row r="902" customFormat="false" ht="12.75" hidden="false" customHeight="true" outlineLevel="0" collapsed="false">
      <c r="A902" s="5" t="n">
        <v>47</v>
      </c>
      <c r="B902" s="5" t="n">
        <v>400</v>
      </c>
      <c r="C902" s="5" t="n">
        <v>2119992</v>
      </c>
      <c r="D902" s="5" t="n">
        <v>0.674</v>
      </c>
      <c r="E902" s="5" t="n">
        <v>2.119992</v>
      </c>
    </row>
    <row r="903" customFormat="false" ht="12.75" hidden="false" customHeight="true" outlineLevel="0" collapsed="false">
      <c r="A903" s="5" t="n">
        <v>47</v>
      </c>
      <c r="B903" s="5" t="n">
        <v>401</v>
      </c>
      <c r="C903" s="5" t="n">
        <v>2861714</v>
      </c>
      <c r="D903" s="5" t="n">
        <v>0.808</v>
      </c>
      <c r="E903" s="5" t="n">
        <v>2.861714</v>
      </c>
    </row>
    <row r="904" customFormat="false" ht="12.75" hidden="false" customHeight="true" outlineLevel="0" collapsed="false">
      <c r="A904" s="5" t="n">
        <v>47</v>
      </c>
      <c r="B904" s="5" t="n">
        <v>402</v>
      </c>
      <c r="C904" s="5" t="n">
        <v>3741843</v>
      </c>
      <c r="D904" s="5" t="n">
        <v>0.946</v>
      </c>
      <c r="E904" s="5" t="n">
        <v>3.741843</v>
      </c>
    </row>
    <row r="905" customFormat="false" ht="12.75" hidden="false" customHeight="true" outlineLevel="0" collapsed="false">
      <c r="A905" s="5" t="n">
        <v>47</v>
      </c>
      <c r="B905" s="5" t="n">
        <v>403</v>
      </c>
      <c r="C905" s="5" t="n">
        <v>4755774</v>
      </c>
      <c r="D905" s="5" t="n">
        <v>1.081</v>
      </c>
      <c r="E905" s="5" t="n">
        <v>4.755774</v>
      </c>
    </row>
    <row r="906" customFormat="false" ht="12.75" hidden="false" customHeight="true" outlineLevel="0" collapsed="false">
      <c r="A906" s="5" t="n">
        <v>47</v>
      </c>
      <c r="B906" s="5" t="n">
        <v>404</v>
      </c>
      <c r="C906" s="5" t="n">
        <v>5916505</v>
      </c>
      <c r="D906" s="5" t="n">
        <v>1.236</v>
      </c>
      <c r="E906" s="5" t="n">
        <v>5.916505</v>
      </c>
    </row>
    <row r="907" customFormat="false" ht="12.75" hidden="false" customHeight="true" outlineLevel="0" collapsed="false">
      <c r="A907" s="5" t="n">
        <v>47</v>
      </c>
      <c r="B907" s="5" t="n">
        <v>405</v>
      </c>
      <c r="C907" s="5" t="n">
        <v>7230190</v>
      </c>
      <c r="D907" s="5" t="n">
        <v>1.388</v>
      </c>
      <c r="E907" s="5" t="n">
        <v>7.23019</v>
      </c>
    </row>
    <row r="908" customFormat="false" ht="12.75" hidden="false" customHeight="true" outlineLevel="0" collapsed="false">
      <c r="A908" s="5" t="n">
        <v>47</v>
      </c>
      <c r="B908" s="5" t="n">
        <v>406</v>
      </c>
      <c r="C908" s="5" t="n">
        <v>8696478</v>
      </c>
      <c r="D908" s="5" t="n">
        <v>1.541</v>
      </c>
      <c r="E908" s="5" t="n">
        <v>8.696478</v>
      </c>
    </row>
    <row r="909" customFormat="false" ht="12.75" hidden="false" customHeight="true" outlineLevel="0" collapsed="false">
      <c r="A909" s="5" t="n">
        <v>47</v>
      </c>
      <c r="B909" s="5" t="n">
        <v>407</v>
      </c>
      <c r="C909" s="5" t="n">
        <v>10315905</v>
      </c>
      <c r="D909" s="5" t="n">
        <v>1.694</v>
      </c>
      <c r="E909" s="5" t="n">
        <v>10.315905</v>
      </c>
    </row>
    <row r="910" customFormat="false" ht="12.75" hidden="false" customHeight="true" outlineLevel="0" collapsed="false">
      <c r="A910" s="5" t="n">
        <v>47</v>
      </c>
      <c r="B910" s="5" t="n">
        <v>408</v>
      </c>
      <c r="C910" s="5" t="n">
        <v>12096693</v>
      </c>
      <c r="D910" s="5" t="n">
        <v>1.867</v>
      </c>
      <c r="E910" s="5" t="n">
        <v>12.096693</v>
      </c>
    </row>
    <row r="911" customFormat="false" ht="12.75" hidden="false" customHeight="true" outlineLevel="0" collapsed="false">
      <c r="A911" s="5" t="n">
        <v>47</v>
      </c>
      <c r="B911" s="5" t="n">
        <v>409</v>
      </c>
      <c r="C911" s="5" t="n">
        <v>14048885</v>
      </c>
      <c r="D911" s="5" t="n">
        <v>2.034</v>
      </c>
      <c r="E911" s="5" t="n">
        <v>14.048885</v>
      </c>
    </row>
    <row r="912" customFormat="false" ht="12.75" hidden="false" customHeight="true" outlineLevel="0" collapsed="false">
      <c r="A912" s="5" t="n">
        <v>47</v>
      </c>
      <c r="B912" s="5" t="n">
        <v>410</v>
      </c>
      <c r="C912" s="5" t="n">
        <v>16160723</v>
      </c>
      <c r="D912" s="5" t="n">
        <v>2.187</v>
      </c>
      <c r="E912" s="5" t="n">
        <v>16.160723</v>
      </c>
    </row>
    <row r="913" customFormat="false" ht="12.75" hidden="false" customHeight="true" outlineLevel="0" collapsed="false">
      <c r="A913" s="5" t="n">
        <v>47</v>
      </c>
      <c r="B913" s="5" t="n">
        <v>411</v>
      </c>
      <c r="C913" s="5" t="n">
        <v>18422784</v>
      </c>
      <c r="D913" s="5" t="n">
        <v>2.34</v>
      </c>
      <c r="E913" s="5" t="n">
        <v>18.422784</v>
      </c>
    </row>
    <row r="914" customFormat="false" ht="12.75" hidden="false" customHeight="true" outlineLevel="0" collapsed="false">
      <c r="A914" s="5" t="n">
        <v>47</v>
      </c>
      <c r="B914" s="5" t="n">
        <v>412</v>
      </c>
      <c r="C914" s="5" t="n">
        <v>20850835</v>
      </c>
      <c r="D914" s="5" t="n">
        <v>2.513</v>
      </c>
      <c r="E914" s="5" t="n">
        <v>20.850835</v>
      </c>
    </row>
    <row r="915" customFormat="false" ht="12.75" hidden="false" customHeight="true" outlineLevel="0" collapsed="false">
      <c r="A915" s="5" t="n">
        <v>47</v>
      </c>
      <c r="B915" s="5" t="n">
        <v>413</v>
      </c>
      <c r="C915" s="5" t="n">
        <v>23457252</v>
      </c>
      <c r="D915" s="5" t="n">
        <v>2.706</v>
      </c>
      <c r="E915" s="5" t="n">
        <v>23.457252</v>
      </c>
    </row>
    <row r="916" customFormat="false" ht="12.75" hidden="false" customHeight="true" outlineLevel="0" collapsed="false">
      <c r="A916" s="5" t="n">
        <v>47</v>
      </c>
      <c r="B916" s="5" t="n">
        <v>414</v>
      </c>
      <c r="C916" s="5" t="n">
        <v>26278428</v>
      </c>
      <c r="D916" s="5" t="n">
        <v>2.928</v>
      </c>
      <c r="E916" s="5" t="n">
        <v>26.278428</v>
      </c>
    </row>
    <row r="917" customFormat="false" ht="12.75" hidden="false" customHeight="true" outlineLevel="0" collapsed="false">
      <c r="A917" s="5" t="n">
        <v>47</v>
      </c>
      <c r="B917" s="5" t="n">
        <v>415</v>
      </c>
      <c r="C917" s="5" t="n">
        <v>29319041</v>
      </c>
      <c r="D917" s="5" t="n">
        <v>3.148</v>
      </c>
      <c r="E917" s="5" t="n">
        <v>29.319041</v>
      </c>
    </row>
    <row r="918" customFormat="false" ht="12.75" hidden="false" customHeight="true" outlineLevel="0" collapsed="false">
      <c r="A918" s="5" t="n">
        <v>47</v>
      </c>
      <c r="B918" s="5" t="n">
        <v>416</v>
      </c>
      <c r="C918" s="5" t="n">
        <v>32575482</v>
      </c>
      <c r="D918" s="5" t="n">
        <v>3.36</v>
      </c>
      <c r="E918" s="5" t="n">
        <v>32.575482</v>
      </c>
    </row>
    <row r="919" customFormat="false" ht="12.75" hidden="false" customHeight="true" outlineLevel="0" collapsed="false">
      <c r="A919" s="5" t="n">
        <v>47</v>
      </c>
      <c r="B919" s="5" t="n">
        <v>417</v>
      </c>
      <c r="C919" s="5" t="n">
        <v>36040875</v>
      </c>
      <c r="D919" s="5" t="n">
        <v>3.569</v>
      </c>
      <c r="E919" s="5" t="n">
        <v>36.040875</v>
      </c>
    </row>
    <row r="920" customFormat="false" ht="12.75" hidden="false" customHeight="true" outlineLevel="0" collapsed="false">
      <c r="A920" s="5" t="n">
        <v>47</v>
      </c>
      <c r="B920" s="5" t="n">
        <v>418</v>
      </c>
      <c r="C920" s="5" t="n">
        <v>39716237</v>
      </c>
      <c r="D920" s="5" t="n">
        <v>3.781</v>
      </c>
      <c r="E920" s="5" t="n">
        <v>39.716237</v>
      </c>
    </row>
    <row r="921" customFormat="false" ht="12.75" hidden="false" customHeight="true" outlineLevel="0" collapsed="false">
      <c r="A921" s="5" t="n">
        <v>47</v>
      </c>
      <c r="B921" s="5" t="n">
        <v>419</v>
      </c>
      <c r="C921" s="5" t="n">
        <v>43604137</v>
      </c>
      <c r="D921" s="5" t="n">
        <v>3.995</v>
      </c>
      <c r="E921" s="5" t="n">
        <v>43.604137</v>
      </c>
    </row>
    <row r="922" customFormat="false" ht="12.75" hidden="false" customHeight="true" outlineLevel="0" collapsed="false">
      <c r="A922" s="5" t="n">
        <v>47</v>
      </c>
      <c r="B922" s="5" t="n">
        <v>419.42</v>
      </c>
      <c r="C922" s="5" t="n">
        <v>45300927</v>
      </c>
      <c r="D922" s="5" t="n">
        <v>4.085</v>
      </c>
      <c r="E922" s="5" t="n">
        <v>45.300927</v>
      </c>
    </row>
    <row r="923" customFormat="false" ht="12.75" hidden="false" customHeight="true" outlineLevel="0" collapsed="false">
      <c r="A923" s="5" t="n">
        <v>47</v>
      </c>
      <c r="B923" s="5" t="n">
        <v>420</v>
      </c>
      <c r="C923" s="5" t="n">
        <v>47850000</v>
      </c>
      <c r="D923" s="5" t="n">
        <v>4.178</v>
      </c>
      <c r="E923" s="5" t="n">
        <v>47.85</v>
      </c>
    </row>
    <row r="924" customFormat="false" ht="12.75" hidden="false" customHeight="true" outlineLevel="0" collapsed="false">
      <c r="A924" s="5" t="n">
        <v>47</v>
      </c>
      <c r="B924" s="5" t="n">
        <v>421</v>
      </c>
      <c r="C924" s="5" t="n">
        <v>52270000</v>
      </c>
      <c r="D924" s="5" t="n">
        <v>4.383</v>
      </c>
      <c r="E924" s="5" t="n">
        <v>52.27</v>
      </c>
    </row>
    <row r="925" customFormat="false" ht="12.75" hidden="false" customHeight="true" outlineLevel="0" collapsed="false">
      <c r="A925" s="5" t="n">
        <v>47</v>
      </c>
      <c r="B925" s="5" t="n">
        <v>422</v>
      </c>
      <c r="C925" s="5" t="n">
        <v>56950000</v>
      </c>
      <c r="D925" s="5" t="n">
        <v>4.588</v>
      </c>
      <c r="E925" s="5" t="n">
        <v>56.95</v>
      </c>
    </row>
    <row r="926" customFormat="false" ht="12.75" hidden="false" customHeight="true" outlineLevel="0" collapsed="false">
      <c r="A926" s="5" t="n">
        <v>47</v>
      </c>
      <c r="B926" s="5" t="n">
        <v>423</v>
      </c>
      <c r="C926" s="5" t="n">
        <v>61880000</v>
      </c>
      <c r="D926" s="5" t="n">
        <v>4.793</v>
      </c>
      <c r="E926" s="5" t="n">
        <v>61.88</v>
      </c>
    </row>
    <row r="927" customFormat="false" ht="12.75" hidden="false" customHeight="true" outlineLevel="0" collapsed="false">
      <c r="A927" s="5" t="n">
        <v>47</v>
      </c>
      <c r="B927" s="5" t="n">
        <v>424</v>
      </c>
      <c r="C927" s="5" t="n">
        <v>67080000</v>
      </c>
      <c r="D927" s="5" t="n">
        <v>4.996</v>
      </c>
      <c r="E927" s="5" t="n">
        <v>67.08</v>
      </c>
    </row>
    <row r="928" customFormat="false" ht="12.75" hidden="false" customHeight="true" outlineLevel="0" collapsed="false">
      <c r="A928" s="5" t="n">
        <v>47</v>
      </c>
      <c r="B928" s="5" t="n">
        <v>425</v>
      </c>
      <c r="C928" s="5" t="n">
        <v>72552000</v>
      </c>
      <c r="D928" s="5" t="n">
        <v>5.197</v>
      </c>
      <c r="E928" s="5" t="n">
        <v>72.552</v>
      </c>
    </row>
    <row r="929" customFormat="false" ht="12.75" hidden="false" customHeight="true" outlineLevel="0" collapsed="false">
      <c r="A929" s="5" t="n">
        <v>48</v>
      </c>
      <c r="B929" s="5" t="n">
        <v>90</v>
      </c>
      <c r="C929" s="5" t="n">
        <v>0</v>
      </c>
      <c r="D929" s="5" t="n">
        <v>0</v>
      </c>
      <c r="E929" s="5" t="n">
        <v>0</v>
      </c>
    </row>
    <row r="930" customFormat="false" ht="12.75" hidden="false" customHeight="true" outlineLevel="0" collapsed="false">
      <c r="A930" s="5" t="n">
        <v>48</v>
      </c>
      <c r="B930" s="5" t="n">
        <v>91</v>
      </c>
      <c r="C930" s="5" t="n">
        <v>4000</v>
      </c>
      <c r="D930" s="5" t="n">
        <v>0.008</v>
      </c>
      <c r="E930" s="5" t="n">
        <v>0.004</v>
      </c>
    </row>
    <row r="931" customFormat="false" ht="12.75" hidden="false" customHeight="true" outlineLevel="0" collapsed="false">
      <c r="A931" s="5" t="n">
        <v>48</v>
      </c>
      <c r="B931" s="5" t="n">
        <v>92</v>
      </c>
      <c r="C931" s="5" t="n">
        <v>20000</v>
      </c>
      <c r="D931" s="5" t="n">
        <v>0.03</v>
      </c>
      <c r="E931" s="5" t="n">
        <v>0.02</v>
      </c>
    </row>
    <row r="932" customFormat="false" ht="12.75" hidden="false" customHeight="true" outlineLevel="0" collapsed="false">
      <c r="A932" s="5" t="n">
        <v>48</v>
      </c>
      <c r="B932" s="5" t="n">
        <v>93</v>
      </c>
      <c r="C932" s="5" t="n">
        <v>80000</v>
      </c>
      <c r="D932" s="5" t="n">
        <v>0.08</v>
      </c>
      <c r="E932" s="5" t="n">
        <v>0.08</v>
      </c>
    </row>
    <row r="933" customFormat="false" ht="12.75" hidden="false" customHeight="true" outlineLevel="0" collapsed="false">
      <c r="A933" s="5" t="n">
        <v>48</v>
      </c>
      <c r="B933" s="5" t="n">
        <v>94</v>
      </c>
      <c r="C933" s="5" t="n">
        <v>210000</v>
      </c>
      <c r="D933" s="5" t="n">
        <v>0.17</v>
      </c>
      <c r="E933" s="5" t="n">
        <v>0.21</v>
      </c>
    </row>
    <row r="934" customFormat="false" ht="12.75" hidden="false" customHeight="true" outlineLevel="0" collapsed="false">
      <c r="A934" s="5" t="n">
        <v>48</v>
      </c>
      <c r="B934" s="5" t="n">
        <v>95</v>
      </c>
      <c r="C934" s="5" t="n">
        <v>470000</v>
      </c>
      <c r="D934" s="5" t="n">
        <v>0.35</v>
      </c>
      <c r="E934" s="5" t="n">
        <v>0.47</v>
      </c>
    </row>
    <row r="935" customFormat="false" ht="12.75" hidden="false" customHeight="true" outlineLevel="0" collapsed="false">
      <c r="A935" s="5" t="n">
        <v>48</v>
      </c>
      <c r="B935" s="5" t="n">
        <v>96</v>
      </c>
      <c r="C935" s="5" t="n">
        <v>910000</v>
      </c>
      <c r="D935" s="5" t="n">
        <v>0.52</v>
      </c>
      <c r="E935" s="5" t="n">
        <v>0.91</v>
      </c>
    </row>
    <row r="936" customFormat="false" ht="12.75" hidden="false" customHeight="true" outlineLevel="0" collapsed="false">
      <c r="A936" s="5" t="n">
        <v>48</v>
      </c>
      <c r="B936" s="5" t="n">
        <v>97</v>
      </c>
      <c r="C936" s="5" t="n">
        <v>1500000</v>
      </c>
      <c r="D936" s="5" t="n">
        <v>0.65</v>
      </c>
      <c r="E936" s="5" t="n">
        <v>1.5</v>
      </c>
    </row>
    <row r="937" customFormat="false" ht="12.75" hidden="false" customHeight="true" outlineLevel="0" collapsed="false">
      <c r="A937" s="5" t="n">
        <v>48</v>
      </c>
      <c r="B937" s="5" t="n">
        <v>98</v>
      </c>
      <c r="C937" s="5" t="n">
        <v>2210000</v>
      </c>
      <c r="D937" s="5" t="n">
        <v>0.78</v>
      </c>
      <c r="E937" s="5" t="n">
        <v>2.21</v>
      </c>
    </row>
    <row r="938" customFormat="false" ht="12.75" hidden="false" customHeight="true" outlineLevel="0" collapsed="false">
      <c r="A938" s="5" t="n">
        <v>48</v>
      </c>
      <c r="B938" s="5" t="n">
        <v>99</v>
      </c>
      <c r="C938" s="5" t="n">
        <v>3060000</v>
      </c>
      <c r="D938" s="5" t="n">
        <v>0.92</v>
      </c>
      <c r="E938" s="5" t="n">
        <v>3.06</v>
      </c>
    </row>
    <row r="939" customFormat="false" ht="12.75" hidden="false" customHeight="true" outlineLevel="0" collapsed="false">
      <c r="A939" s="5" t="n">
        <v>48</v>
      </c>
      <c r="B939" s="5" t="n">
        <v>100</v>
      </c>
      <c r="C939" s="5" t="n">
        <v>4070000</v>
      </c>
      <c r="D939" s="5" t="n">
        <v>1.08</v>
      </c>
      <c r="E939" s="5" t="n">
        <v>4.07</v>
      </c>
    </row>
    <row r="940" customFormat="false" ht="12.75" hidden="false" customHeight="true" outlineLevel="0" collapsed="false">
      <c r="A940" s="5" t="n">
        <v>48</v>
      </c>
      <c r="B940" s="5" t="n">
        <v>100.2</v>
      </c>
      <c r="C940" s="5" t="n">
        <v>5150000</v>
      </c>
      <c r="D940" s="5" t="n">
        <v>1.09</v>
      </c>
      <c r="E940" s="5" t="n">
        <v>5.15</v>
      </c>
    </row>
    <row r="941" customFormat="false" ht="12.75" hidden="false" customHeight="true" outlineLevel="0" collapsed="false">
      <c r="A941" s="5" t="n">
        <v>49</v>
      </c>
      <c r="B941" s="5" t="n">
        <v>70.11</v>
      </c>
      <c r="C941" s="5" t="n">
        <v>0</v>
      </c>
      <c r="D941" s="5" t="n">
        <v>0</v>
      </c>
      <c r="E941" s="5" t="n">
        <v>0</v>
      </c>
    </row>
    <row r="942" customFormat="false" ht="12.75" hidden="false" customHeight="true" outlineLevel="0" collapsed="false">
      <c r="A942" s="5" t="n">
        <v>49</v>
      </c>
      <c r="B942" s="5" t="n">
        <v>70.5</v>
      </c>
      <c r="C942" s="5" t="n">
        <v>4</v>
      </c>
      <c r="D942" s="5" t="n">
        <v>0</v>
      </c>
      <c r="E942" s="5" t="n">
        <v>4E-006</v>
      </c>
    </row>
    <row r="943" customFormat="false" ht="12.75" hidden="false" customHeight="true" outlineLevel="0" collapsed="false">
      <c r="A943" s="5" t="n">
        <v>49</v>
      </c>
      <c r="B943" s="5" t="n">
        <v>71</v>
      </c>
      <c r="C943" s="5" t="n">
        <v>42</v>
      </c>
      <c r="D943" s="5" t="n">
        <v>0.0001</v>
      </c>
      <c r="E943" s="5" t="n">
        <v>4.2E-005</v>
      </c>
    </row>
    <row r="944" customFormat="false" ht="12.75" hidden="false" customHeight="true" outlineLevel="0" collapsed="false">
      <c r="A944" s="5" t="n">
        <v>49</v>
      </c>
      <c r="B944" s="5" t="n">
        <v>71.5</v>
      </c>
      <c r="C944" s="5" t="n">
        <v>139</v>
      </c>
      <c r="D944" s="5" t="n">
        <v>0.0003</v>
      </c>
      <c r="E944" s="5" t="n">
        <v>0.000139</v>
      </c>
    </row>
    <row r="945" customFormat="false" ht="12.75" hidden="false" customHeight="true" outlineLevel="0" collapsed="false">
      <c r="A945" s="5" t="n">
        <v>49</v>
      </c>
      <c r="B945" s="5" t="n">
        <v>72</v>
      </c>
      <c r="C945" s="5" t="n">
        <v>451</v>
      </c>
      <c r="D945" s="5" t="n">
        <v>0.0014</v>
      </c>
      <c r="E945" s="5" t="n">
        <v>0.000451</v>
      </c>
    </row>
    <row r="946" customFormat="false" ht="12.75" hidden="false" customHeight="true" outlineLevel="0" collapsed="false">
      <c r="A946" s="5" t="n">
        <v>49</v>
      </c>
      <c r="B946" s="5" t="n">
        <v>72.5</v>
      </c>
      <c r="C946" s="5" t="n">
        <v>2302</v>
      </c>
      <c r="D946" s="5" t="n">
        <v>0.0068</v>
      </c>
      <c r="E946" s="5" t="n">
        <v>0.002302</v>
      </c>
    </row>
    <row r="947" customFormat="false" ht="12.75" hidden="false" customHeight="true" outlineLevel="0" collapsed="false">
      <c r="A947" s="5" t="n">
        <v>49</v>
      </c>
      <c r="B947" s="5" t="n">
        <v>73</v>
      </c>
      <c r="C947" s="5" t="n">
        <v>7525</v>
      </c>
      <c r="D947" s="5" t="n">
        <v>0.0148</v>
      </c>
      <c r="E947" s="5" t="n">
        <v>0.007525</v>
      </c>
    </row>
    <row r="948" customFormat="false" ht="12.75" hidden="false" customHeight="true" outlineLevel="0" collapsed="false">
      <c r="A948" s="5" t="n">
        <v>49</v>
      </c>
      <c r="B948" s="5" t="n">
        <v>73.5</v>
      </c>
      <c r="C948" s="5" t="n">
        <v>17498</v>
      </c>
      <c r="D948" s="5" t="n">
        <v>0.0253</v>
      </c>
      <c r="E948" s="5" t="n">
        <v>0.017498</v>
      </c>
    </row>
    <row r="949" customFormat="false" ht="12.75" hidden="false" customHeight="true" outlineLevel="0" collapsed="false">
      <c r="A949" s="5" t="n">
        <v>49</v>
      </c>
      <c r="B949" s="5" t="n">
        <v>74</v>
      </c>
      <c r="C949" s="5" t="n">
        <v>33226</v>
      </c>
      <c r="D949" s="5" t="n">
        <v>0.0383</v>
      </c>
      <c r="E949" s="5" t="n">
        <v>0.033226</v>
      </c>
    </row>
    <row r="950" customFormat="false" ht="12.75" hidden="false" customHeight="true" outlineLevel="0" collapsed="false">
      <c r="A950" s="5" t="n">
        <v>49</v>
      </c>
      <c r="B950" s="5" t="n">
        <v>74.5</v>
      </c>
      <c r="C950" s="5" t="n">
        <v>56945</v>
      </c>
      <c r="D950" s="5" t="n">
        <v>0.0576</v>
      </c>
      <c r="E950" s="5" t="n">
        <v>0.056945</v>
      </c>
    </row>
    <row r="951" customFormat="false" ht="12.75" hidden="false" customHeight="true" outlineLevel="0" collapsed="false">
      <c r="A951" s="5" t="n">
        <v>49</v>
      </c>
      <c r="B951" s="5" t="n">
        <v>75</v>
      </c>
      <c r="C951" s="5" t="n">
        <v>91854</v>
      </c>
      <c r="D951" s="5" t="n">
        <v>0.0833</v>
      </c>
      <c r="E951" s="5" t="n">
        <v>0.091854</v>
      </c>
    </row>
    <row r="952" customFormat="false" ht="12.75" hidden="false" customHeight="true" outlineLevel="0" collapsed="false">
      <c r="A952" s="5" t="n">
        <v>49</v>
      </c>
      <c r="B952" s="5" t="n">
        <v>75.5</v>
      </c>
      <c r="C952" s="5" t="n">
        <v>142896</v>
      </c>
      <c r="D952" s="5" t="n">
        <v>0.122</v>
      </c>
      <c r="E952" s="5" t="n">
        <v>0.142896</v>
      </c>
    </row>
    <row r="953" customFormat="false" ht="12.75" hidden="false" customHeight="true" outlineLevel="0" collapsed="false">
      <c r="A953" s="5" t="n">
        <v>49</v>
      </c>
      <c r="B953" s="5" t="n">
        <v>76</v>
      </c>
      <c r="C953" s="5" t="n">
        <v>215445</v>
      </c>
      <c r="D953" s="5" t="n">
        <v>0.1703</v>
      </c>
      <c r="E953" s="5" t="n">
        <v>0.215445</v>
      </c>
    </row>
    <row r="954" customFormat="false" ht="12.75" hidden="false" customHeight="true" outlineLevel="0" collapsed="false">
      <c r="A954" s="5" t="n">
        <v>49</v>
      </c>
      <c r="B954" s="5" t="n">
        <v>76.5</v>
      </c>
      <c r="C954" s="5" t="n">
        <v>317230</v>
      </c>
      <c r="D954" s="5" t="n">
        <v>0.2372</v>
      </c>
      <c r="E954" s="5" t="n">
        <v>0.31723</v>
      </c>
    </row>
    <row r="955" customFormat="false" ht="12.75" hidden="false" customHeight="true" outlineLevel="0" collapsed="false">
      <c r="A955" s="5" t="n">
        <v>49</v>
      </c>
      <c r="B955" s="5" t="n">
        <v>77</v>
      </c>
      <c r="C955" s="5" t="n">
        <v>457688</v>
      </c>
      <c r="D955" s="5" t="n">
        <v>0.326</v>
      </c>
      <c r="E955" s="5" t="n">
        <v>0.457688</v>
      </c>
    </row>
    <row r="956" customFormat="false" ht="12.75" hidden="false" customHeight="true" outlineLevel="0" collapsed="false">
      <c r="A956" s="5" t="n">
        <v>49</v>
      </c>
      <c r="B956" s="5" t="n">
        <v>77.5</v>
      </c>
      <c r="C956" s="5" t="n">
        <v>648048</v>
      </c>
      <c r="D956" s="5" t="n">
        <v>0.439</v>
      </c>
      <c r="E956" s="5" t="n">
        <v>0.648048</v>
      </c>
    </row>
    <row r="957" customFormat="false" ht="12.75" hidden="false" customHeight="true" outlineLevel="0" collapsed="false">
      <c r="A957" s="5" t="n">
        <v>49</v>
      </c>
      <c r="B957" s="5" t="n">
        <v>78</v>
      </c>
      <c r="C957" s="5" t="n">
        <v>902924</v>
      </c>
      <c r="D957" s="5" t="n">
        <v>0.5974</v>
      </c>
      <c r="E957" s="5" t="n">
        <v>0.902924</v>
      </c>
    </row>
    <row r="958" customFormat="false" ht="12.75" hidden="false" customHeight="true" outlineLevel="0" collapsed="false">
      <c r="A958" s="5" t="n">
        <v>49</v>
      </c>
      <c r="B958" s="5" t="n">
        <v>78.5</v>
      </c>
      <c r="C958" s="5" t="n">
        <v>1251872</v>
      </c>
      <c r="D958" s="5" t="n">
        <v>0.7856</v>
      </c>
      <c r="E958" s="5" t="n">
        <v>1.251872</v>
      </c>
    </row>
    <row r="959" customFormat="false" ht="12.75" hidden="false" customHeight="true" outlineLevel="0" collapsed="false">
      <c r="A959" s="5" t="n">
        <v>49</v>
      </c>
      <c r="B959" s="5" t="n">
        <v>79</v>
      </c>
      <c r="C959" s="5" t="n">
        <v>1703196</v>
      </c>
      <c r="D959" s="5" t="n">
        <v>0.997</v>
      </c>
      <c r="E959" s="5" t="n">
        <v>1.703196</v>
      </c>
    </row>
    <row r="960" customFormat="false" ht="12.75" hidden="false" customHeight="true" outlineLevel="0" collapsed="false">
      <c r="A960" s="5" t="n">
        <v>49</v>
      </c>
      <c r="B960" s="5" t="n">
        <v>79.5</v>
      </c>
      <c r="C960" s="5" t="n">
        <v>2265118</v>
      </c>
      <c r="D960" s="5" t="n">
        <v>1.2489</v>
      </c>
      <c r="E960" s="5" t="n">
        <v>2.265118</v>
      </c>
    </row>
    <row r="961" customFormat="false" ht="12.75" hidden="false" customHeight="true" outlineLevel="0" collapsed="false">
      <c r="A961" s="5" t="n">
        <v>49</v>
      </c>
      <c r="B961" s="5" t="n">
        <v>80</v>
      </c>
      <c r="C961" s="5" t="n">
        <v>2967691</v>
      </c>
      <c r="D961" s="5" t="n">
        <v>1.5479</v>
      </c>
      <c r="E961" s="5" t="n">
        <v>2.967691</v>
      </c>
    </row>
    <row r="962" customFormat="false" ht="12.75" hidden="false" customHeight="true" outlineLevel="0" collapsed="false">
      <c r="A962" s="5" t="n">
        <v>49</v>
      </c>
      <c r="B962" s="5" t="n">
        <v>80.5</v>
      </c>
      <c r="C962" s="5" t="n">
        <v>3832218</v>
      </c>
      <c r="D962" s="5" t="n">
        <v>1.8822</v>
      </c>
      <c r="E962" s="5" t="n">
        <v>3.832218</v>
      </c>
    </row>
    <row r="963" customFormat="false" ht="12.75" hidden="false" customHeight="true" outlineLevel="0" collapsed="false">
      <c r="A963" s="5" t="n">
        <v>49</v>
      </c>
      <c r="B963" s="5" t="n">
        <v>81</v>
      </c>
      <c r="C963" s="5" t="n">
        <v>4861276</v>
      </c>
      <c r="D963" s="5" t="n">
        <v>2.2108</v>
      </c>
      <c r="E963" s="5" t="n">
        <v>4.861276</v>
      </c>
    </row>
    <row r="964" customFormat="false" ht="12.75" hidden="false" customHeight="true" outlineLevel="0" collapsed="false">
      <c r="A964" s="5" t="n">
        <v>49</v>
      </c>
      <c r="B964" s="5" t="n">
        <v>81.5</v>
      </c>
      <c r="C964" s="5" t="n">
        <v>6056576</v>
      </c>
      <c r="D964" s="5" t="n">
        <v>2.5521</v>
      </c>
      <c r="E964" s="5" t="n">
        <v>6.056576</v>
      </c>
    </row>
    <row r="965" customFormat="false" ht="12.75" hidden="false" customHeight="true" outlineLevel="0" collapsed="false">
      <c r="A965" s="5" t="n">
        <v>49</v>
      </c>
      <c r="B965" s="5" t="n">
        <v>82</v>
      </c>
      <c r="C965" s="5" t="n">
        <v>7419856</v>
      </c>
      <c r="D965" s="5" t="n">
        <v>2.8842</v>
      </c>
      <c r="E965" s="5" t="n">
        <v>7.419856</v>
      </c>
    </row>
    <row r="966" customFormat="false" ht="12.75" hidden="false" customHeight="true" outlineLevel="0" collapsed="false">
      <c r="A966" s="5" t="n">
        <v>49</v>
      </c>
      <c r="B966" s="5" t="n">
        <v>82.5</v>
      </c>
      <c r="C966" s="5" t="n">
        <v>8948893</v>
      </c>
      <c r="D966" s="5" t="n">
        <v>3.2167</v>
      </c>
      <c r="E966" s="5" t="n">
        <v>8.948893</v>
      </c>
    </row>
    <row r="967" customFormat="false" ht="12.75" hidden="false" customHeight="true" outlineLevel="0" collapsed="false">
      <c r="A967" s="5" t="n">
        <v>49</v>
      </c>
      <c r="B967" s="5" t="n">
        <v>83</v>
      </c>
      <c r="C967" s="5" t="n">
        <v>10644130</v>
      </c>
      <c r="D967" s="5" t="n">
        <v>3.5397</v>
      </c>
      <c r="E967" s="5" t="n">
        <v>10.64413</v>
      </c>
    </row>
    <row r="968" customFormat="false" ht="12.75" hidden="false" customHeight="true" outlineLevel="0" collapsed="false">
      <c r="A968" s="5" t="n">
        <v>49</v>
      </c>
      <c r="B968" s="5" t="n">
        <v>83.5</v>
      </c>
      <c r="C968" s="5" t="n">
        <v>12492266</v>
      </c>
      <c r="D968" s="5" t="n">
        <v>3.8397</v>
      </c>
      <c r="E968" s="5" t="n">
        <v>12.492266</v>
      </c>
    </row>
    <row r="969" customFormat="false" ht="12.75" hidden="false" customHeight="true" outlineLevel="0" collapsed="false">
      <c r="A969" s="5" t="n">
        <v>49</v>
      </c>
      <c r="B969" s="5" t="n">
        <v>84</v>
      </c>
      <c r="C969" s="5" t="n">
        <v>14486369</v>
      </c>
      <c r="D969" s="5" t="n">
        <v>4.1316</v>
      </c>
      <c r="E969" s="5" t="n">
        <v>14.486369</v>
      </c>
    </row>
    <row r="970" customFormat="false" ht="12.75" hidden="false" customHeight="true" outlineLevel="0" collapsed="false">
      <c r="A970" s="5" t="n">
        <v>49</v>
      </c>
      <c r="B970" s="5" t="n">
        <v>84.5</v>
      </c>
      <c r="C970" s="5" t="n">
        <v>16629233</v>
      </c>
      <c r="D970" s="5" t="n">
        <v>4.4282</v>
      </c>
      <c r="E970" s="5" t="n">
        <v>16.629233</v>
      </c>
    </row>
    <row r="971" customFormat="false" ht="12.75" hidden="false" customHeight="true" outlineLevel="0" collapsed="false">
      <c r="A971" s="5" t="n">
        <v>49</v>
      </c>
      <c r="B971" s="5" t="n">
        <v>85</v>
      </c>
      <c r="C971" s="5" t="n">
        <v>18925025</v>
      </c>
      <c r="D971" s="5" t="n">
        <v>4.7431</v>
      </c>
      <c r="E971" s="5" t="n">
        <v>18.925025</v>
      </c>
    </row>
    <row r="972" customFormat="false" ht="12.75" hidden="false" customHeight="true" outlineLevel="0" collapsed="false">
      <c r="A972" s="5" t="n">
        <v>49</v>
      </c>
      <c r="B972" s="5" t="n">
        <v>85.5</v>
      </c>
      <c r="C972" s="5" t="n">
        <v>21390115</v>
      </c>
      <c r="D972" s="5" t="n">
        <v>5.0563</v>
      </c>
      <c r="E972" s="5" t="n">
        <v>21.390115</v>
      </c>
    </row>
    <row r="973" customFormat="false" ht="12.75" hidden="false" customHeight="true" outlineLevel="0" collapsed="false">
      <c r="A973" s="5" t="n">
        <v>49</v>
      </c>
      <c r="B973" s="5" t="n">
        <v>86</v>
      </c>
      <c r="C973" s="5" t="n">
        <v>23986228</v>
      </c>
      <c r="D973" s="5" t="n">
        <v>5.3571</v>
      </c>
      <c r="E973" s="5" t="n">
        <v>23.986228</v>
      </c>
    </row>
    <row r="974" customFormat="false" ht="12.75" hidden="false" customHeight="true" outlineLevel="0" collapsed="false">
      <c r="A974" s="5" t="n">
        <v>49</v>
      </c>
      <c r="B974" s="5" t="n">
        <v>86.5</v>
      </c>
      <c r="C974" s="5" t="n">
        <v>26742334</v>
      </c>
      <c r="D974" s="5" t="n">
        <v>5.6735</v>
      </c>
      <c r="E974" s="5" t="n">
        <v>26.742334</v>
      </c>
    </row>
    <row r="975" customFormat="false" ht="12.75" hidden="false" customHeight="true" outlineLevel="0" collapsed="false">
      <c r="A975" s="5" t="n">
        <v>49</v>
      </c>
      <c r="B975" s="5" t="n">
        <v>87</v>
      </c>
      <c r="C975" s="5" t="n">
        <v>29664094</v>
      </c>
      <c r="D975" s="5" t="n">
        <v>6.0046</v>
      </c>
      <c r="E975" s="5" t="n">
        <v>29.664094</v>
      </c>
    </row>
    <row r="976" customFormat="false" ht="12.75" hidden="false" customHeight="true" outlineLevel="0" collapsed="false">
      <c r="A976" s="5" t="n">
        <v>49</v>
      </c>
      <c r="B976" s="5" t="n">
        <v>87.5</v>
      </c>
      <c r="C976" s="5" t="n">
        <v>32754697</v>
      </c>
      <c r="D976" s="5" t="n">
        <v>6.3473</v>
      </c>
      <c r="E976" s="5" t="n">
        <v>32.754697</v>
      </c>
    </row>
    <row r="977" customFormat="false" ht="12.75" hidden="false" customHeight="true" outlineLevel="0" collapsed="false">
      <c r="A977" s="5" t="n">
        <v>49</v>
      </c>
      <c r="B977" s="5" t="n">
        <v>88</v>
      </c>
      <c r="C977" s="5" t="n">
        <v>36027166</v>
      </c>
      <c r="D977" s="5" t="n">
        <v>6.6979</v>
      </c>
      <c r="E977" s="5" t="n">
        <v>36.027166</v>
      </c>
    </row>
    <row r="978" customFormat="false" ht="12.75" hidden="false" customHeight="true" outlineLevel="0" collapsed="false">
      <c r="A978" s="5" t="n">
        <v>49</v>
      </c>
      <c r="B978" s="5" t="n">
        <v>88.5</v>
      </c>
      <c r="C978" s="5" t="n">
        <v>39459667</v>
      </c>
      <c r="D978" s="5" t="n">
        <v>6.9973</v>
      </c>
      <c r="E978" s="5" t="n">
        <v>39.459667</v>
      </c>
    </row>
    <row r="979" customFormat="false" ht="12.75" hidden="false" customHeight="true" outlineLevel="0" collapsed="false">
      <c r="A979" s="5" t="n">
        <v>49</v>
      </c>
      <c r="B979" s="5" t="n">
        <v>89</v>
      </c>
      <c r="C979" s="5" t="n">
        <v>43044449</v>
      </c>
      <c r="D979" s="5" t="n">
        <v>7.3301</v>
      </c>
      <c r="E979" s="5" t="n">
        <v>43.044449</v>
      </c>
    </row>
    <row r="980" customFormat="false" ht="12.75" hidden="false" customHeight="true" outlineLevel="0" collapsed="false">
      <c r="A980" s="5" t="n">
        <v>49</v>
      </c>
      <c r="B980" s="5" t="n">
        <v>89.5</v>
      </c>
      <c r="C980" s="5" t="n">
        <v>46773798</v>
      </c>
      <c r="D980" s="5" t="n">
        <v>7.5815</v>
      </c>
      <c r="E980" s="5" t="n">
        <v>46.773798</v>
      </c>
    </row>
    <row r="981" customFormat="false" ht="12.75" hidden="false" customHeight="true" outlineLevel="0" collapsed="false">
      <c r="A981" s="5" t="n">
        <v>49</v>
      </c>
      <c r="B981" s="5" t="n">
        <v>90</v>
      </c>
      <c r="C981" s="5" t="n">
        <v>50625833</v>
      </c>
      <c r="D981" s="5" t="n">
        <v>7.8265</v>
      </c>
      <c r="E981" s="5" t="n">
        <v>50.625833</v>
      </c>
    </row>
    <row r="982" customFormat="false" ht="12.75" hidden="false" customHeight="true" outlineLevel="0" collapsed="false">
      <c r="A982" s="5" t="n">
        <v>49</v>
      </c>
      <c r="B982" s="5" t="n">
        <v>90.11</v>
      </c>
      <c r="C982" s="5" t="n">
        <v>51489700</v>
      </c>
      <c r="D982" s="5" t="n">
        <v>7.8802</v>
      </c>
      <c r="E982" s="5" t="n">
        <v>51.4897</v>
      </c>
    </row>
    <row r="983" customFormat="false" ht="12.75" hidden="false" customHeight="true" outlineLevel="0" collapsed="false">
      <c r="A983" s="5" t="n">
        <v>49</v>
      </c>
      <c r="B983" s="5" t="n">
        <v>90.5</v>
      </c>
      <c r="C983" s="5" t="n">
        <v>54700000</v>
      </c>
      <c r="D983" s="5" t="n">
        <v>8.22</v>
      </c>
      <c r="E983" s="5" t="n">
        <v>54.7</v>
      </c>
    </row>
    <row r="984" customFormat="false" ht="12.75" hidden="false" customHeight="true" outlineLevel="0" collapsed="false">
      <c r="A984" s="5" t="n">
        <v>49</v>
      </c>
      <c r="B984" s="5" t="n">
        <v>91</v>
      </c>
      <c r="C984" s="5" t="n">
        <v>59000000</v>
      </c>
      <c r="D984" s="5" t="n">
        <v>8.5</v>
      </c>
      <c r="E984" s="5" t="n">
        <v>59</v>
      </c>
    </row>
    <row r="985" customFormat="false" ht="12.75" hidden="false" customHeight="true" outlineLevel="0" collapsed="false">
      <c r="A985" s="5" t="n">
        <v>49</v>
      </c>
      <c r="B985" s="5" t="n">
        <v>91.5</v>
      </c>
      <c r="C985" s="5" t="n">
        <v>63300000</v>
      </c>
      <c r="D985" s="5" t="n">
        <v>8.8</v>
      </c>
      <c r="E985" s="5" t="n">
        <v>63.3</v>
      </c>
    </row>
    <row r="986" customFormat="false" ht="12.75" hidden="false" customHeight="true" outlineLevel="0" collapsed="false">
      <c r="A986" s="5" t="n">
        <v>49</v>
      </c>
      <c r="B986" s="5" t="n">
        <v>92</v>
      </c>
      <c r="C986" s="5" t="n">
        <v>67700000</v>
      </c>
      <c r="D986" s="5" t="n">
        <v>9.07</v>
      </c>
      <c r="E986" s="5" t="n">
        <v>67.7</v>
      </c>
    </row>
    <row r="987" customFormat="false" ht="12.75" hidden="false" customHeight="true" outlineLevel="0" collapsed="false">
      <c r="A987" s="5" t="n">
        <v>49</v>
      </c>
      <c r="B987" s="5" t="n">
        <v>92.5</v>
      </c>
      <c r="C987" s="5" t="n">
        <v>72200000</v>
      </c>
      <c r="D987" s="5" t="n">
        <v>9.35</v>
      </c>
      <c r="E987" s="5" t="n">
        <v>72.2</v>
      </c>
    </row>
    <row r="988" customFormat="false" ht="12.75" hidden="false" customHeight="true" outlineLevel="0" collapsed="false">
      <c r="A988" s="5" t="n">
        <v>49</v>
      </c>
      <c r="B988" s="5" t="n">
        <v>93</v>
      </c>
      <c r="C988" s="5" t="n">
        <v>77000000</v>
      </c>
      <c r="D988" s="5" t="n">
        <v>9.6</v>
      </c>
      <c r="E988" s="5" t="n">
        <v>77</v>
      </c>
    </row>
    <row r="989" customFormat="false" ht="12.75" hidden="false" customHeight="true" outlineLevel="0" collapsed="false">
      <c r="A989" s="5" t="n">
        <v>49</v>
      </c>
      <c r="B989" s="5" t="n">
        <v>93.5</v>
      </c>
      <c r="C989" s="5" t="n">
        <v>82000000</v>
      </c>
      <c r="D989" s="5" t="n">
        <v>9.85</v>
      </c>
      <c r="E989" s="5" t="n">
        <v>82</v>
      </c>
    </row>
    <row r="990" customFormat="false" ht="12.75" hidden="false" customHeight="true" outlineLevel="0" collapsed="false">
      <c r="A990" s="5" t="n">
        <v>49</v>
      </c>
      <c r="B990" s="5" t="n">
        <v>94</v>
      </c>
      <c r="C990" s="5" t="n">
        <v>86700000</v>
      </c>
      <c r="D990" s="5" t="n">
        <v>10.08</v>
      </c>
      <c r="E990" s="5" t="n">
        <v>86.7</v>
      </c>
    </row>
    <row r="991" customFormat="false" ht="12.75" hidden="false" customHeight="true" outlineLevel="0" collapsed="false">
      <c r="A991" s="5" t="n">
        <v>49</v>
      </c>
      <c r="B991" s="5" t="n">
        <v>94.5</v>
      </c>
      <c r="C991" s="5" t="n">
        <v>91900000</v>
      </c>
      <c r="D991" s="5" t="n">
        <v>10.28</v>
      </c>
      <c r="E991" s="5" t="n">
        <v>91.9</v>
      </c>
    </row>
    <row r="992" customFormat="false" ht="12.75" hidden="false" customHeight="true" outlineLevel="0" collapsed="false">
      <c r="A992" s="5" t="n">
        <v>49</v>
      </c>
      <c r="B992" s="5" t="n">
        <v>95</v>
      </c>
      <c r="C992" s="5" t="n">
        <v>96800000</v>
      </c>
      <c r="D992" s="5" t="n">
        <v>10.49</v>
      </c>
      <c r="E992" s="5" t="n">
        <v>96.8</v>
      </c>
    </row>
    <row r="993" customFormat="false" ht="12.75" hidden="false" customHeight="true" outlineLevel="0" collapsed="false">
      <c r="A993" s="5" t="n">
        <v>49</v>
      </c>
      <c r="B993" s="5" t="n">
        <v>96</v>
      </c>
      <c r="C993" s="5" t="n">
        <v>107000000</v>
      </c>
      <c r="D993" s="5" t="n">
        <v>10.83</v>
      </c>
      <c r="E993" s="5" t="n">
        <v>107</v>
      </c>
    </row>
    <row r="994" customFormat="false" ht="12.75" hidden="false" customHeight="true" outlineLevel="0" collapsed="false">
      <c r="A994" s="5" t="n">
        <v>49</v>
      </c>
      <c r="B994" s="5" t="n">
        <v>97</v>
      </c>
      <c r="C994" s="5" t="n">
        <v>118000000</v>
      </c>
      <c r="D994" s="5" t="n">
        <v>11.2</v>
      </c>
      <c r="E994" s="5" t="n">
        <v>118</v>
      </c>
    </row>
    <row r="995" customFormat="false" ht="12.75" hidden="false" customHeight="true" outlineLevel="0" collapsed="false">
      <c r="A995" s="5" t="n">
        <v>50</v>
      </c>
      <c r="B995" s="5" t="n">
        <v>79</v>
      </c>
      <c r="C995" s="5" t="n">
        <v>0</v>
      </c>
      <c r="D995" s="5" t="n">
        <v>0</v>
      </c>
      <c r="E995" s="5" t="n">
        <v>0</v>
      </c>
    </row>
    <row r="996" customFormat="false" ht="12.75" hidden="false" customHeight="true" outlineLevel="0" collapsed="false">
      <c r="A996" s="5" t="n">
        <v>50</v>
      </c>
      <c r="B996" s="5" t="n">
        <v>80</v>
      </c>
      <c r="C996" s="5" t="n">
        <v>140000</v>
      </c>
      <c r="D996" s="5" t="n">
        <v>0.1</v>
      </c>
      <c r="E996" s="5" t="n">
        <v>0.14</v>
      </c>
    </row>
    <row r="997" customFormat="false" ht="12.75" hidden="false" customHeight="true" outlineLevel="0" collapsed="false">
      <c r="A997" s="5" t="n">
        <v>50</v>
      </c>
      <c r="B997" s="5" t="n">
        <v>81</v>
      </c>
      <c r="C997" s="5" t="n">
        <v>300000</v>
      </c>
      <c r="D997" s="5" t="n">
        <v>0.21</v>
      </c>
      <c r="E997" s="5" t="n">
        <v>0.3</v>
      </c>
    </row>
    <row r="998" customFormat="false" ht="12.75" hidden="false" customHeight="true" outlineLevel="0" collapsed="false">
      <c r="A998" s="5" t="n">
        <v>50</v>
      </c>
      <c r="B998" s="5" t="n">
        <v>82</v>
      </c>
      <c r="C998" s="5" t="n">
        <v>550000</v>
      </c>
      <c r="D998" s="5" t="n">
        <v>0.3</v>
      </c>
      <c r="E998" s="5" t="n">
        <v>0.55</v>
      </c>
    </row>
    <row r="999" customFormat="false" ht="12.75" hidden="false" customHeight="true" outlineLevel="0" collapsed="false">
      <c r="A999" s="5" t="n">
        <v>50</v>
      </c>
      <c r="B999" s="5" t="n">
        <v>83</v>
      </c>
      <c r="C999" s="5" t="n">
        <v>1080000</v>
      </c>
      <c r="D999" s="5" t="n">
        <v>0.75</v>
      </c>
      <c r="E999" s="5" t="n">
        <v>1.08</v>
      </c>
    </row>
    <row r="1000" customFormat="false" ht="12.75" hidden="false" customHeight="true" outlineLevel="0" collapsed="false">
      <c r="A1000" s="5" t="n">
        <v>50</v>
      </c>
      <c r="B1000" s="5" t="n">
        <v>84</v>
      </c>
      <c r="C1000" s="5" t="n">
        <v>1940000</v>
      </c>
      <c r="D1000" s="5" t="n">
        <v>0.95</v>
      </c>
      <c r="E1000" s="5" t="n">
        <v>1.94</v>
      </c>
    </row>
    <row r="1001" customFormat="false" ht="12.75" hidden="false" customHeight="true" outlineLevel="0" collapsed="false">
      <c r="A1001" s="5" t="n">
        <v>50</v>
      </c>
      <c r="B1001" s="5" t="n">
        <v>85</v>
      </c>
      <c r="C1001" s="5" t="n">
        <v>3050000</v>
      </c>
      <c r="D1001" s="5" t="n">
        <v>1.26</v>
      </c>
      <c r="E1001" s="5" t="n">
        <v>3.05</v>
      </c>
    </row>
    <row r="1002" customFormat="false" ht="12.75" hidden="false" customHeight="true" outlineLevel="0" collapsed="false">
      <c r="A1002" s="5" t="n">
        <v>50</v>
      </c>
      <c r="B1002" s="5" t="n">
        <v>86</v>
      </c>
      <c r="C1002" s="5" t="n">
        <v>4400000</v>
      </c>
      <c r="D1002" s="5" t="n">
        <v>1.41</v>
      </c>
      <c r="E1002" s="5" t="n">
        <v>4.4</v>
      </c>
    </row>
    <row r="1003" customFormat="false" ht="12.75" hidden="false" customHeight="true" outlineLevel="0" collapsed="false">
      <c r="A1003" s="5" t="n">
        <v>50</v>
      </c>
      <c r="B1003" s="5" t="n">
        <v>87</v>
      </c>
      <c r="C1003" s="5" t="n">
        <v>6000000</v>
      </c>
      <c r="D1003" s="5" t="n">
        <v>1.78</v>
      </c>
      <c r="E1003" s="5" t="n">
        <v>6</v>
      </c>
    </row>
    <row r="1004" customFormat="false" ht="12.75" hidden="false" customHeight="true" outlineLevel="0" collapsed="false">
      <c r="A1004" s="5" t="n">
        <v>50</v>
      </c>
      <c r="B1004" s="5" t="n">
        <v>88</v>
      </c>
      <c r="C1004" s="5" t="n">
        <v>7900000</v>
      </c>
      <c r="D1004" s="5" t="n">
        <v>2.01</v>
      </c>
      <c r="E1004" s="5" t="n">
        <v>7.9</v>
      </c>
    </row>
    <row r="1005" customFormat="false" ht="12.75" hidden="false" customHeight="true" outlineLevel="0" collapsed="false">
      <c r="A1005" s="5" t="n">
        <v>50</v>
      </c>
      <c r="B1005" s="5" t="n">
        <v>89</v>
      </c>
      <c r="C1005" s="5" t="n">
        <v>10080000</v>
      </c>
      <c r="D1005" s="5" t="n">
        <v>2.35</v>
      </c>
      <c r="E1005" s="5" t="n">
        <v>10.08</v>
      </c>
    </row>
    <row r="1006" customFormat="false" ht="12.75" hidden="false" customHeight="true" outlineLevel="0" collapsed="false">
      <c r="A1006" s="5" t="n">
        <v>50</v>
      </c>
      <c r="B1006" s="5" t="n">
        <v>90</v>
      </c>
      <c r="C1006" s="5" t="n">
        <v>12940000</v>
      </c>
      <c r="D1006" s="5" t="n">
        <v>3.35</v>
      </c>
      <c r="E1006" s="5" t="n">
        <v>12.94</v>
      </c>
    </row>
    <row r="1007" customFormat="false" ht="12.75" hidden="false" customHeight="true" outlineLevel="0" collapsed="false">
      <c r="A1007" s="5" t="n">
        <v>50</v>
      </c>
      <c r="B1007" s="5" t="n">
        <v>91</v>
      </c>
      <c r="C1007" s="5" t="n">
        <v>16470000</v>
      </c>
      <c r="D1007" s="5" t="n">
        <v>3.69</v>
      </c>
      <c r="E1007" s="5" t="n">
        <v>16.47</v>
      </c>
    </row>
    <row r="1008" customFormat="false" ht="12.75" hidden="false" customHeight="true" outlineLevel="0" collapsed="false">
      <c r="A1008" s="5" t="n">
        <v>50</v>
      </c>
      <c r="B1008" s="5" t="n">
        <v>92</v>
      </c>
      <c r="C1008" s="5" t="n">
        <v>20220000</v>
      </c>
      <c r="D1008" s="5" t="n">
        <v>3.81</v>
      </c>
      <c r="E1008" s="5" t="n">
        <v>20.22</v>
      </c>
    </row>
    <row r="1009" customFormat="false" ht="12.75" hidden="false" customHeight="true" outlineLevel="0" collapsed="false">
      <c r="A1009" s="5" t="n">
        <v>50</v>
      </c>
      <c r="B1009" s="5" t="n">
        <v>93</v>
      </c>
      <c r="C1009" s="5" t="n">
        <v>24340000</v>
      </c>
      <c r="D1009" s="5" t="n">
        <v>4.4</v>
      </c>
      <c r="E1009" s="5" t="n">
        <v>24.34</v>
      </c>
    </row>
    <row r="1010" customFormat="false" ht="12.75" hidden="false" customHeight="true" outlineLevel="0" collapsed="false">
      <c r="A1010" s="5" t="n">
        <v>50</v>
      </c>
      <c r="B1010" s="5" t="n">
        <v>94</v>
      </c>
      <c r="C1010" s="5" t="n">
        <v>29000000</v>
      </c>
      <c r="D1010" s="5" t="n">
        <v>5</v>
      </c>
      <c r="E1010" s="5" t="n">
        <v>29</v>
      </c>
    </row>
    <row r="1011" customFormat="false" ht="12.75" hidden="false" customHeight="true" outlineLevel="0" collapsed="false">
      <c r="A1011" s="5" t="n">
        <v>50</v>
      </c>
      <c r="B1011" s="5" t="n">
        <v>95</v>
      </c>
      <c r="C1011" s="5" t="n">
        <v>34500000</v>
      </c>
      <c r="D1011" s="5" t="n">
        <v>5.55</v>
      </c>
      <c r="E1011" s="5" t="n">
        <v>34.5</v>
      </c>
    </row>
    <row r="1012" customFormat="false" ht="12.75" hidden="false" customHeight="true" outlineLevel="0" collapsed="false">
      <c r="A1012" s="5" t="n">
        <v>51</v>
      </c>
      <c r="B1012" s="5" t="n">
        <v>99.59</v>
      </c>
      <c r="C1012" s="5" t="n">
        <v>0</v>
      </c>
      <c r="D1012" s="5" t="n">
        <v>0</v>
      </c>
      <c r="E1012" s="5" t="n">
        <v>0</v>
      </c>
    </row>
    <row r="1013" customFormat="false" ht="12.75" hidden="false" customHeight="true" outlineLevel="0" collapsed="false">
      <c r="A1013" s="5" t="n">
        <v>51</v>
      </c>
      <c r="B1013" s="5" t="n">
        <v>99.79</v>
      </c>
      <c r="C1013" s="5" t="n">
        <v>4</v>
      </c>
      <c r="D1013" s="5" t="n">
        <v>0</v>
      </c>
      <c r="E1013" s="5" t="n">
        <v>4E-006</v>
      </c>
    </row>
    <row r="1014" customFormat="false" ht="12.75" hidden="false" customHeight="true" outlineLevel="0" collapsed="false">
      <c r="A1014" s="5" t="n">
        <v>51</v>
      </c>
      <c r="B1014" s="5" t="n">
        <v>100.29</v>
      </c>
      <c r="C1014" s="5" t="n">
        <v>4569</v>
      </c>
      <c r="D1014" s="5" t="n">
        <v>0.029</v>
      </c>
      <c r="E1014" s="5" t="n">
        <v>0.004569</v>
      </c>
    </row>
    <row r="1015" customFormat="false" ht="12.75" hidden="false" customHeight="true" outlineLevel="0" collapsed="false">
      <c r="A1015" s="5" t="n">
        <v>51</v>
      </c>
      <c r="B1015" s="5" t="n">
        <v>100.79</v>
      </c>
      <c r="C1015" s="5" t="n">
        <v>36086</v>
      </c>
      <c r="D1015" s="5" t="n">
        <v>0.1</v>
      </c>
      <c r="E1015" s="5" t="n">
        <v>0.036086</v>
      </c>
    </row>
    <row r="1016" customFormat="false" ht="12.75" hidden="false" customHeight="true" outlineLevel="0" collapsed="false">
      <c r="A1016" s="5" t="n">
        <v>51</v>
      </c>
      <c r="B1016" s="5" t="n">
        <v>101.29</v>
      </c>
      <c r="C1016" s="5" t="n">
        <v>120212</v>
      </c>
      <c r="D1016" s="5" t="n">
        <v>0.255</v>
      </c>
      <c r="E1016" s="5" t="n">
        <v>0.120212</v>
      </c>
    </row>
    <row r="1017" customFormat="false" ht="12.75" hidden="false" customHeight="true" outlineLevel="0" collapsed="false">
      <c r="A1017" s="5" t="n">
        <v>51</v>
      </c>
      <c r="B1017" s="5" t="n">
        <v>101.79</v>
      </c>
      <c r="C1017" s="5" t="n">
        <v>296660</v>
      </c>
      <c r="D1017" s="5" t="n">
        <v>0.439</v>
      </c>
      <c r="E1017" s="5" t="n">
        <v>0.29666</v>
      </c>
    </row>
    <row r="1018" customFormat="false" ht="12.75" hidden="false" customHeight="true" outlineLevel="0" collapsed="false">
      <c r="A1018" s="5" t="n">
        <v>51</v>
      </c>
      <c r="B1018" s="5" t="n">
        <v>102.29</v>
      </c>
      <c r="C1018" s="5" t="n">
        <v>569922</v>
      </c>
      <c r="D1018" s="5" t="n">
        <v>0.682</v>
      </c>
      <c r="E1018" s="5" t="n">
        <v>0.569922</v>
      </c>
    </row>
    <row r="1019" customFormat="false" ht="12.75" hidden="false" customHeight="true" outlineLevel="0" collapsed="false">
      <c r="A1019" s="5" t="n">
        <v>51</v>
      </c>
      <c r="B1019" s="5" t="n">
        <v>102.79</v>
      </c>
      <c r="C1019" s="5" t="n">
        <v>982935</v>
      </c>
      <c r="D1019" s="5" t="n">
        <v>0.967</v>
      </c>
      <c r="E1019" s="5" t="n">
        <v>0.982935</v>
      </c>
    </row>
    <row r="1020" customFormat="false" ht="12.75" hidden="false" customHeight="true" outlineLevel="0" collapsed="false">
      <c r="A1020" s="5" t="n">
        <v>51</v>
      </c>
      <c r="B1020" s="5" t="n">
        <v>103.29</v>
      </c>
      <c r="C1020" s="5" t="n">
        <v>1566462</v>
      </c>
      <c r="D1020" s="5" t="n">
        <v>1.364</v>
      </c>
      <c r="E1020" s="5" t="n">
        <v>1.566462</v>
      </c>
    </row>
    <row r="1021" customFormat="false" ht="12.75" hidden="false" customHeight="true" outlineLevel="0" collapsed="false">
      <c r="A1021" s="5" t="n">
        <v>51</v>
      </c>
      <c r="B1021" s="5" t="n">
        <v>103.79</v>
      </c>
      <c r="C1021" s="5" t="n">
        <v>2324233</v>
      </c>
      <c r="D1021" s="5" t="n">
        <v>1.697</v>
      </c>
      <c r="E1021" s="5" t="n">
        <v>2.324233</v>
      </c>
    </row>
    <row r="1022" customFormat="false" ht="12.75" hidden="false" customHeight="true" outlineLevel="0" collapsed="false">
      <c r="A1022" s="5" t="n">
        <v>51</v>
      </c>
      <c r="B1022" s="5" t="n">
        <v>104.29</v>
      </c>
      <c r="C1022" s="5" t="n">
        <v>3270287</v>
      </c>
      <c r="D1022" s="5" t="n">
        <v>2.079</v>
      </c>
      <c r="E1022" s="5" t="n">
        <v>3.270287</v>
      </c>
    </row>
    <row r="1023" customFormat="false" ht="12.75" hidden="false" customHeight="true" outlineLevel="0" collapsed="false">
      <c r="A1023" s="5" t="n">
        <v>51</v>
      </c>
      <c r="B1023" s="5" t="n">
        <v>104.79</v>
      </c>
      <c r="C1023" s="5" t="n">
        <v>4390786</v>
      </c>
      <c r="D1023" s="5" t="n">
        <v>2.4</v>
      </c>
      <c r="E1023" s="5" t="n">
        <v>4.390786</v>
      </c>
    </row>
    <row r="1024" customFormat="false" ht="12.75" hidden="false" customHeight="true" outlineLevel="0" collapsed="false">
      <c r="A1024" s="5" t="n">
        <v>51</v>
      </c>
      <c r="B1024" s="5" t="n">
        <v>105.29</v>
      </c>
      <c r="C1024" s="5" t="n">
        <v>5691598</v>
      </c>
      <c r="D1024" s="5" t="n">
        <v>2.8</v>
      </c>
      <c r="E1024" s="5" t="n">
        <v>5.691598</v>
      </c>
    </row>
    <row r="1025" customFormat="false" ht="12.75" hidden="false" customHeight="true" outlineLevel="0" collapsed="false">
      <c r="A1025" s="5" t="n">
        <v>51</v>
      </c>
      <c r="B1025" s="5" t="n">
        <v>105.79</v>
      </c>
      <c r="C1025" s="5" t="n">
        <v>7183821</v>
      </c>
      <c r="D1025" s="5" t="n">
        <v>3.188</v>
      </c>
      <c r="E1025" s="5" t="n">
        <v>7.183821</v>
      </c>
    </row>
    <row r="1026" customFormat="false" ht="12.75" hidden="false" customHeight="true" outlineLevel="0" collapsed="false">
      <c r="A1026" s="5" t="n">
        <v>51</v>
      </c>
      <c r="B1026" s="5" t="n">
        <v>106.29</v>
      </c>
      <c r="C1026" s="5" t="n">
        <v>8878414</v>
      </c>
      <c r="D1026" s="5" t="n">
        <v>3.587</v>
      </c>
      <c r="E1026" s="5" t="n">
        <v>8.878414</v>
      </c>
    </row>
    <row r="1027" customFormat="false" ht="12.75" hidden="false" customHeight="true" outlineLevel="0" collapsed="false">
      <c r="A1027" s="5" t="n">
        <v>51</v>
      </c>
      <c r="B1027" s="5" t="n">
        <v>106.79</v>
      </c>
      <c r="C1027" s="5" t="n">
        <v>10791066</v>
      </c>
      <c r="D1027" s="5" t="n">
        <v>4.115</v>
      </c>
      <c r="E1027" s="5" t="n">
        <v>10.791066</v>
      </c>
    </row>
    <row r="1028" customFormat="false" ht="12.75" hidden="false" customHeight="true" outlineLevel="0" collapsed="false">
      <c r="A1028" s="5" t="n">
        <v>51</v>
      </c>
      <c r="B1028" s="5" t="n">
        <v>107</v>
      </c>
      <c r="C1028" s="5" t="n">
        <v>14390000</v>
      </c>
      <c r="D1028" s="5" t="n">
        <v>4.57</v>
      </c>
      <c r="E1028" s="5" t="n">
        <v>14.39</v>
      </c>
    </row>
    <row r="1029" customFormat="false" ht="12.75" hidden="false" customHeight="true" outlineLevel="0" collapsed="false">
      <c r="A1029" s="5" t="n">
        <v>51</v>
      </c>
      <c r="B1029" s="5" t="n">
        <v>108</v>
      </c>
      <c r="C1029" s="5" t="n">
        <v>19490000</v>
      </c>
      <c r="D1029" s="5" t="n">
        <v>5.47</v>
      </c>
      <c r="E1029" s="5" t="n">
        <v>19.49</v>
      </c>
    </row>
    <row r="1030" customFormat="false" ht="12.75" hidden="false" customHeight="true" outlineLevel="0" collapsed="false">
      <c r="A1030" s="5" t="n">
        <v>51</v>
      </c>
      <c r="B1030" s="5" t="n">
        <v>109</v>
      </c>
      <c r="C1030" s="5" t="n">
        <v>25520000</v>
      </c>
      <c r="D1030" s="5" t="n">
        <v>6.4</v>
      </c>
      <c r="E1030" s="5" t="n">
        <v>25.52</v>
      </c>
    </row>
    <row r="1031" customFormat="false" ht="12.75" hidden="false" customHeight="true" outlineLevel="0" collapsed="false">
      <c r="A1031" s="5" t="n">
        <v>51</v>
      </c>
      <c r="B1031" s="5" t="n">
        <v>110</v>
      </c>
      <c r="C1031" s="5" t="n">
        <v>32430000</v>
      </c>
      <c r="D1031" s="5" t="n">
        <v>7.25</v>
      </c>
      <c r="E1031" s="5" t="n">
        <v>32.43</v>
      </c>
    </row>
    <row r="1032" customFormat="false" ht="12.75" hidden="false" customHeight="true" outlineLevel="0" collapsed="false">
      <c r="A1032" s="5" t="n">
        <v>51</v>
      </c>
      <c r="B1032" s="5" t="n">
        <v>111</v>
      </c>
      <c r="C1032" s="5" t="n">
        <v>40170000</v>
      </c>
      <c r="D1032" s="5" t="n">
        <v>8.07</v>
      </c>
      <c r="E1032" s="5" t="n">
        <v>40.17</v>
      </c>
    </row>
    <row r="1033" customFormat="false" ht="12.75" hidden="false" customHeight="true" outlineLevel="0" collapsed="false">
      <c r="A1033" s="5" t="n">
        <v>51</v>
      </c>
      <c r="B1033" s="5" t="n">
        <v>112</v>
      </c>
      <c r="C1033" s="5" t="n">
        <v>50130000</v>
      </c>
      <c r="D1033" s="5" t="n">
        <v>9.23</v>
      </c>
      <c r="E1033" s="5" t="n">
        <v>50.13</v>
      </c>
    </row>
    <row r="1034" customFormat="false" ht="12.75" hidden="false" customHeight="true" outlineLevel="0" collapsed="false">
      <c r="A1034" s="5" t="n">
        <v>51</v>
      </c>
      <c r="B1034" s="5" t="n">
        <v>113</v>
      </c>
      <c r="C1034" s="5" t="n">
        <v>60500000</v>
      </c>
      <c r="D1034" s="5" t="n">
        <v>10.15</v>
      </c>
      <c r="E1034" s="5" t="n">
        <v>60.5</v>
      </c>
    </row>
    <row r="1035" customFormat="false" ht="12.75" hidden="false" customHeight="true" outlineLevel="0" collapsed="false">
      <c r="A1035" s="5" t="n">
        <v>52</v>
      </c>
      <c r="B1035" s="5" t="n">
        <v>88.02</v>
      </c>
      <c r="C1035" s="5" t="n">
        <v>0</v>
      </c>
      <c r="D1035" s="5" t="n">
        <v>0</v>
      </c>
      <c r="E1035" s="5" t="n">
        <v>0</v>
      </c>
    </row>
    <row r="1036" customFormat="false" ht="12.75" hidden="false" customHeight="true" outlineLevel="0" collapsed="false">
      <c r="A1036" s="5" t="n">
        <v>52</v>
      </c>
      <c r="B1036" s="5" t="n">
        <v>89</v>
      </c>
      <c r="C1036" s="5" t="n">
        <v>643</v>
      </c>
      <c r="D1036" s="5" t="n">
        <v>0.0015</v>
      </c>
      <c r="E1036" s="5" t="n">
        <v>0.000643</v>
      </c>
    </row>
    <row r="1037" customFormat="false" ht="12.75" hidden="false" customHeight="true" outlineLevel="0" collapsed="false">
      <c r="A1037" s="5" t="n">
        <v>52</v>
      </c>
      <c r="B1037" s="5" t="n">
        <v>90</v>
      </c>
      <c r="C1037" s="5" t="n">
        <v>5098</v>
      </c>
      <c r="D1037" s="5" t="n">
        <v>0.0103</v>
      </c>
      <c r="E1037" s="5" t="n">
        <v>0.005098</v>
      </c>
    </row>
    <row r="1038" customFormat="false" ht="12.75" hidden="false" customHeight="true" outlineLevel="0" collapsed="false">
      <c r="A1038" s="5" t="n">
        <v>52</v>
      </c>
      <c r="B1038" s="5" t="n">
        <v>91</v>
      </c>
      <c r="C1038" s="5" t="n">
        <v>26450</v>
      </c>
      <c r="D1038" s="5" t="n">
        <v>0.0362</v>
      </c>
      <c r="E1038" s="5" t="n">
        <v>0.02645</v>
      </c>
    </row>
    <row r="1039" customFormat="false" ht="12.75" hidden="false" customHeight="true" outlineLevel="0" collapsed="false">
      <c r="A1039" s="5" t="n">
        <v>52</v>
      </c>
      <c r="B1039" s="5" t="n">
        <v>92</v>
      </c>
      <c r="C1039" s="5" t="n">
        <v>96879</v>
      </c>
      <c r="D1039" s="5" t="n">
        <v>0.1222</v>
      </c>
      <c r="E1039" s="5" t="n">
        <v>0.096879</v>
      </c>
    </row>
    <row r="1040" customFormat="false" ht="12.75" hidden="false" customHeight="true" outlineLevel="0" collapsed="false">
      <c r="A1040" s="5" t="n">
        <v>52</v>
      </c>
      <c r="B1040" s="5" t="n">
        <v>93</v>
      </c>
      <c r="C1040" s="5" t="n">
        <v>402704</v>
      </c>
      <c r="D1040" s="5" t="n">
        <v>0.6068</v>
      </c>
      <c r="E1040" s="5" t="n">
        <v>0.402704</v>
      </c>
    </row>
    <row r="1041" customFormat="false" ht="12.75" hidden="false" customHeight="true" outlineLevel="0" collapsed="false">
      <c r="A1041" s="5" t="n">
        <v>52</v>
      </c>
      <c r="B1041" s="5" t="n">
        <v>94</v>
      </c>
      <c r="C1041" s="5" t="n">
        <v>1536981</v>
      </c>
      <c r="D1041" s="5" t="n">
        <v>1.6722</v>
      </c>
      <c r="E1041" s="5" t="n">
        <v>1.536981</v>
      </c>
    </row>
    <row r="1042" customFormat="false" ht="12.75" hidden="false" customHeight="true" outlineLevel="0" collapsed="false">
      <c r="A1042" s="5" t="n">
        <v>52</v>
      </c>
      <c r="B1042" s="5" t="n">
        <v>95</v>
      </c>
      <c r="C1042" s="5" t="n">
        <v>3845224</v>
      </c>
      <c r="D1042" s="5" t="n">
        <v>2.9819</v>
      </c>
      <c r="E1042" s="5" t="n">
        <v>3.845224</v>
      </c>
    </row>
    <row r="1043" customFormat="false" ht="12.75" hidden="false" customHeight="true" outlineLevel="0" collapsed="false">
      <c r="A1043" s="5" t="n">
        <v>52</v>
      </c>
      <c r="B1043" s="5" t="n">
        <v>96</v>
      </c>
      <c r="C1043" s="5" t="n">
        <v>7686680</v>
      </c>
      <c r="D1043" s="5" t="n">
        <v>4.7001</v>
      </c>
      <c r="E1043" s="5" t="n">
        <v>7.68668</v>
      </c>
    </row>
    <row r="1044" customFormat="false" ht="12.75" hidden="false" customHeight="true" outlineLevel="0" collapsed="false">
      <c r="A1044" s="5" t="n">
        <v>52</v>
      </c>
      <c r="B1044" s="5" t="n">
        <v>97</v>
      </c>
      <c r="C1044" s="5" t="n">
        <v>13053663</v>
      </c>
      <c r="D1044" s="5" t="n">
        <v>5.7249</v>
      </c>
      <c r="E1044" s="5" t="n">
        <v>13.053663</v>
      </c>
    </row>
    <row r="1045" customFormat="false" ht="12.75" hidden="false" customHeight="true" outlineLevel="0" collapsed="false">
      <c r="A1045" s="5" t="n">
        <v>52</v>
      </c>
      <c r="B1045" s="5" t="n">
        <v>97.72</v>
      </c>
      <c r="C1045" s="5" t="n">
        <v>17232566</v>
      </c>
      <c r="D1045" s="5" t="n">
        <v>5.8805</v>
      </c>
      <c r="E1045" s="5" t="n">
        <v>17.232566</v>
      </c>
    </row>
    <row r="1046" customFormat="false" ht="12.75" hidden="false" customHeight="true" outlineLevel="0" collapsed="false">
      <c r="A1046" s="5" t="n">
        <v>52</v>
      </c>
      <c r="B1046" s="5" t="n">
        <v>98</v>
      </c>
      <c r="C1046" s="5" t="n">
        <v>19416556</v>
      </c>
      <c r="D1046" s="5" t="n">
        <v>6.6645</v>
      </c>
      <c r="E1046" s="5" t="n">
        <v>19.416556</v>
      </c>
    </row>
    <row r="1047" customFormat="false" ht="12.75" hidden="false" customHeight="true" outlineLevel="0" collapsed="false">
      <c r="A1047" s="5" t="n">
        <v>52</v>
      </c>
      <c r="B1047" s="5" t="n">
        <v>99</v>
      </c>
      <c r="C1047" s="5" t="n">
        <v>36436556</v>
      </c>
      <c r="D1047" s="5" t="n">
        <v>10.2145</v>
      </c>
      <c r="E1047" s="5" t="n">
        <v>36.436556</v>
      </c>
    </row>
    <row r="1048" customFormat="false" ht="12.75" hidden="false" customHeight="true" outlineLevel="0" collapsed="false">
      <c r="A1048" s="5" t="n">
        <v>52</v>
      </c>
      <c r="B1048" s="5" t="n">
        <v>100</v>
      </c>
      <c r="C1048" s="5" t="n">
        <v>54055556</v>
      </c>
      <c r="D1048" s="5" t="n">
        <v>13.8645</v>
      </c>
      <c r="E1048" s="5" t="n">
        <v>54.055556</v>
      </c>
    </row>
    <row r="1049" customFormat="false" ht="12.75" hidden="false" customHeight="true" outlineLevel="0" collapsed="false">
      <c r="A1049" s="5" t="n">
        <v>52</v>
      </c>
      <c r="B1049" s="5" t="n">
        <v>101</v>
      </c>
      <c r="C1049" s="5" t="n">
        <v>75306556</v>
      </c>
      <c r="D1049" s="5" t="n">
        <v>17.4645</v>
      </c>
      <c r="E1049" s="5" t="n">
        <v>75.306556</v>
      </c>
    </row>
    <row r="1050" customFormat="false" ht="12.75" hidden="false" customHeight="true" outlineLevel="0" collapsed="false">
      <c r="A1050" s="5" t="n">
        <v>52</v>
      </c>
      <c r="B1050" s="5" t="n">
        <v>101.57</v>
      </c>
      <c r="C1050" s="5" t="n">
        <v>89516556</v>
      </c>
      <c r="D1050" s="5" t="n">
        <v>19.6045</v>
      </c>
      <c r="E1050" s="5" t="n">
        <v>89.516556</v>
      </c>
    </row>
    <row r="1051" customFormat="false" ht="12.75" hidden="false" customHeight="true" outlineLevel="0" collapsed="false">
      <c r="A1051" s="5" t="n">
        <v>52</v>
      </c>
      <c r="B1051" s="5" t="n">
        <v>102</v>
      </c>
      <c r="C1051" s="5" t="n">
        <v>100241556</v>
      </c>
      <c r="D1051" s="5" t="n">
        <v>21.2145</v>
      </c>
      <c r="E1051" s="5" t="n">
        <v>100.241556</v>
      </c>
    </row>
    <row r="1052" customFormat="false" ht="12.75" hidden="false" customHeight="true" outlineLevel="0" collapsed="false">
      <c r="A1052" s="5" t="n">
        <v>52</v>
      </c>
      <c r="B1052" s="5" t="n">
        <v>102.08</v>
      </c>
      <c r="C1052" s="5" t="n">
        <v>101641000</v>
      </c>
      <c r="D1052" s="5" t="n">
        <v>21.6445</v>
      </c>
      <c r="E1052" s="5" t="n">
        <v>101.641</v>
      </c>
    </row>
    <row r="1053" customFormat="false" ht="12.75" hidden="false" customHeight="true" outlineLevel="0" collapsed="false">
      <c r="A1053" s="5" t="n">
        <v>52</v>
      </c>
      <c r="B1053" s="5" t="n">
        <v>102.5</v>
      </c>
      <c r="C1053" s="5" t="n">
        <v>114306556</v>
      </c>
      <c r="D1053" s="5" t="n">
        <v>23.9145</v>
      </c>
      <c r="E1053" s="5" t="n">
        <v>114.306556</v>
      </c>
    </row>
    <row r="1054" customFormat="false" ht="12.75" hidden="false" customHeight="true" outlineLevel="0" collapsed="false">
      <c r="A1054" s="5" t="n">
        <v>52</v>
      </c>
      <c r="B1054" s="5" t="n">
        <v>103</v>
      </c>
      <c r="C1054" s="5" t="n">
        <v>116616556</v>
      </c>
      <c r="D1054" s="5" t="n">
        <v>26.4145</v>
      </c>
      <c r="E1054" s="5" t="n">
        <v>116.616556</v>
      </c>
    </row>
    <row r="1055" customFormat="false" ht="12.75" hidden="false" customHeight="true" outlineLevel="0" collapsed="false">
      <c r="A1055" s="5" t="n">
        <v>53</v>
      </c>
      <c r="B1055" s="5" t="n">
        <v>285.05</v>
      </c>
      <c r="C1055" s="5" t="n">
        <v>0</v>
      </c>
      <c r="D1055" s="5" t="n">
        <v>0</v>
      </c>
      <c r="E1055" s="5" t="n">
        <v>0</v>
      </c>
    </row>
    <row r="1056" customFormat="false" ht="12.75" hidden="false" customHeight="true" outlineLevel="0" collapsed="false">
      <c r="A1056" s="5" t="n">
        <v>53</v>
      </c>
      <c r="B1056" s="5" t="n">
        <v>286</v>
      </c>
      <c r="C1056" s="5" t="n">
        <v>198</v>
      </c>
      <c r="D1056" s="5" t="n">
        <v>0.000544</v>
      </c>
      <c r="E1056" s="5" t="n">
        <v>0.000198</v>
      </c>
    </row>
    <row r="1057" customFormat="false" ht="12.75" hidden="false" customHeight="true" outlineLevel="0" collapsed="false">
      <c r="A1057" s="5" t="n">
        <v>53</v>
      </c>
      <c r="B1057" s="5" t="n">
        <v>287</v>
      </c>
      <c r="C1057" s="5" t="n">
        <v>10189</v>
      </c>
      <c r="D1057" s="5" t="n">
        <v>0.040658</v>
      </c>
      <c r="E1057" s="5" t="n">
        <v>0.010189</v>
      </c>
    </row>
    <row r="1058" customFormat="false" ht="12.75" hidden="false" customHeight="true" outlineLevel="0" collapsed="false">
      <c r="A1058" s="5" t="n">
        <v>53</v>
      </c>
      <c r="B1058" s="5" t="n">
        <v>288</v>
      </c>
      <c r="C1058" s="5" t="n">
        <v>83302</v>
      </c>
      <c r="D1058" s="5" t="n">
        <v>0.12686</v>
      </c>
      <c r="E1058" s="5" t="n">
        <v>0.083302</v>
      </c>
    </row>
    <row r="1059" customFormat="false" ht="12.75" hidden="false" customHeight="true" outlineLevel="0" collapsed="false">
      <c r="A1059" s="5" t="n">
        <v>53</v>
      </c>
      <c r="B1059" s="5" t="n">
        <v>289</v>
      </c>
      <c r="C1059" s="5" t="n">
        <v>268065</v>
      </c>
      <c r="D1059" s="5" t="n">
        <v>0.258166</v>
      </c>
      <c r="E1059" s="5" t="n">
        <v>0.268065</v>
      </c>
    </row>
    <row r="1060" customFormat="false" ht="12.75" hidden="false" customHeight="true" outlineLevel="0" collapsed="false">
      <c r="A1060" s="5" t="n">
        <v>53</v>
      </c>
      <c r="B1060" s="5" t="n">
        <v>290</v>
      </c>
      <c r="C1060" s="5" t="n">
        <v>671644</v>
      </c>
      <c r="D1060" s="5" t="n">
        <v>0.703069</v>
      </c>
      <c r="E1060" s="5" t="n">
        <v>0.671644</v>
      </c>
    </row>
    <row r="1061" customFormat="false" ht="12.75" hidden="false" customHeight="true" outlineLevel="0" collapsed="false">
      <c r="A1061" s="5" t="n">
        <v>53</v>
      </c>
      <c r="B1061" s="5" t="n">
        <v>291</v>
      </c>
      <c r="C1061" s="5" t="n">
        <v>1722475</v>
      </c>
      <c r="D1061" s="5" t="n">
        <v>1.350462</v>
      </c>
      <c r="E1061" s="5" t="n">
        <v>1.722475</v>
      </c>
    </row>
    <row r="1062" customFormat="false" ht="12.75" hidden="false" customHeight="true" outlineLevel="0" collapsed="false">
      <c r="A1062" s="5" t="n">
        <v>53</v>
      </c>
      <c r="B1062" s="5" t="n">
        <v>292</v>
      </c>
      <c r="C1062" s="5" t="n">
        <v>3366020</v>
      </c>
      <c r="D1062" s="5" t="n">
        <v>1.963018</v>
      </c>
      <c r="E1062" s="5" t="n">
        <v>3.36602</v>
      </c>
    </row>
    <row r="1063" customFormat="false" ht="12.75" hidden="false" customHeight="true" outlineLevel="0" collapsed="false">
      <c r="A1063" s="5" t="n">
        <v>53</v>
      </c>
      <c r="B1063" s="5" t="n">
        <v>293</v>
      </c>
      <c r="C1063" s="5" t="n">
        <v>5641415</v>
      </c>
      <c r="D1063" s="5" t="n">
        <v>2.609934</v>
      </c>
      <c r="E1063" s="5" t="n">
        <v>5.641415</v>
      </c>
    </row>
    <row r="1064" customFormat="false" ht="12.75" hidden="false" customHeight="true" outlineLevel="0" collapsed="false">
      <c r="A1064" s="5" t="n">
        <v>53</v>
      </c>
      <c r="B1064" s="5" t="n">
        <v>294</v>
      </c>
      <c r="C1064" s="5" t="n">
        <v>8623934</v>
      </c>
      <c r="D1064" s="5" t="n">
        <v>3.399811</v>
      </c>
      <c r="E1064" s="5" t="n">
        <v>8.623934</v>
      </c>
    </row>
    <row r="1065" customFormat="false" ht="12.75" hidden="false" customHeight="true" outlineLevel="0" collapsed="false">
      <c r="A1065" s="5" t="n">
        <v>53</v>
      </c>
      <c r="B1065" s="5" t="n">
        <v>295</v>
      </c>
      <c r="C1065" s="5" t="n">
        <v>12352489</v>
      </c>
      <c r="D1065" s="5" t="n">
        <v>4.156619</v>
      </c>
      <c r="E1065" s="5" t="n">
        <v>12.352489</v>
      </c>
    </row>
    <row r="1066" customFormat="false" ht="12.75" hidden="false" customHeight="true" outlineLevel="0" collapsed="false">
      <c r="A1066" s="5" t="n">
        <v>53</v>
      </c>
      <c r="B1066" s="5" t="n">
        <v>296</v>
      </c>
      <c r="C1066" s="5" t="n">
        <v>16611596</v>
      </c>
      <c r="D1066" s="5" t="n">
        <v>5.072931</v>
      </c>
      <c r="E1066" s="5" t="n">
        <v>16.611596</v>
      </c>
    </row>
    <row r="1067" customFormat="false" ht="12.75" hidden="false" customHeight="true" outlineLevel="0" collapsed="false">
      <c r="A1067" s="5" t="n">
        <v>53</v>
      </c>
      <c r="B1067" s="5" t="n">
        <v>297</v>
      </c>
      <c r="C1067" s="5" t="n">
        <v>21598445</v>
      </c>
      <c r="D1067" s="5" t="n">
        <v>6.21629</v>
      </c>
      <c r="E1067" s="5" t="n">
        <v>21.598445</v>
      </c>
    </row>
    <row r="1068" customFormat="false" ht="12.75" hidden="false" customHeight="true" outlineLevel="0" collapsed="false">
      <c r="A1068" s="5" t="n">
        <v>53</v>
      </c>
      <c r="B1068" s="5" t="n">
        <v>298</v>
      </c>
      <c r="C1068" s="5" t="n">
        <v>27712471</v>
      </c>
      <c r="D1068" s="5" t="n">
        <v>7.495559</v>
      </c>
      <c r="E1068" s="5" t="n">
        <v>27.712471</v>
      </c>
    </row>
    <row r="1069" customFormat="false" ht="12.75" hidden="false" customHeight="true" outlineLevel="0" collapsed="false">
      <c r="A1069" s="5" t="n">
        <v>53</v>
      </c>
      <c r="B1069" s="5" t="n">
        <v>298.43</v>
      </c>
      <c r="C1069" s="5" t="n">
        <v>31063319</v>
      </c>
      <c r="D1069" s="5" t="n">
        <v>8.283316</v>
      </c>
      <c r="E1069" s="5" t="n">
        <v>31.063319</v>
      </c>
    </row>
    <row r="1070" customFormat="false" ht="12.75" hidden="false" customHeight="true" outlineLevel="0" collapsed="false">
      <c r="A1070" s="5" t="n">
        <v>53</v>
      </c>
      <c r="B1070" s="5" t="n">
        <v>299</v>
      </c>
      <c r="C1070" s="5" t="n">
        <v>36118541</v>
      </c>
      <c r="D1070" s="5" t="n">
        <v>9.454304</v>
      </c>
      <c r="E1070" s="5" t="n">
        <v>36.118541</v>
      </c>
    </row>
    <row r="1071" customFormat="false" ht="12.75" hidden="false" customHeight="true" outlineLevel="0" collapsed="false">
      <c r="A1071" s="5" t="n">
        <v>53</v>
      </c>
      <c r="B1071" s="5" t="n">
        <v>300</v>
      </c>
      <c r="C1071" s="5" t="n">
        <v>46621015</v>
      </c>
      <c r="D1071" s="5" t="n">
        <v>11.550646</v>
      </c>
      <c r="E1071" s="5" t="n">
        <v>46.621015</v>
      </c>
    </row>
    <row r="1072" customFormat="false" ht="12.75" hidden="false" customHeight="true" outlineLevel="0" collapsed="false">
      <c r="A1072" s="5" t="n">
        <v>53</v>
      </c>
      <c r="B1072" s="5" t="n">
        <v>301</v>
      </c>
      <c r="C1072" s="5" t="n">
        <v>59601829</v>
      </c>
      <c r="D1072" s="5" t="n">
        <v>14.410982</v>
      </c>
      <c r="E1072" s="5" t="n">
        <v>59.601829</v>
      </c>
    </row>
    <row r="1073" customFormat="false" ht="12.75" hidden="false" customHeight="true" outlineLevel="0" collapsed="false">
      <c r="A1073" s="5" t="n">
        <v>54</v>
      </c>
      <c r="B1073" s="5" t="n">
        <v>309</v>
      </c>
      <c r="C1073" s="5" t="n">
        <v>0</v>
      </c>
      <c r="D1073" s="5" t="n">
        <v>0</v>
      </c>
      <c r="E1073" s="5" t="n">
        <v>0</v>
      </c>
    </row>
    <row r="1074" customFormat="false" ht="12.75" hidden="false" customHeight="true" outlineLevel="0" collapsed="false">
      <c r="A1074" s="5" t="n">
        <v>54</v>
      </c>
      <c r="B1074" s="5" t="n">
        <v>310</v>
      </c>
      <c r="C1074" s="5" t="n">
        <v>2000</v>
      </c>
      <c r="D1074" s="5" t="n">
        <v>0.005</v>
      </c>
      <c r="E1074" s="5" t="n">
        <v>0.002</v>
      </c>
    </row>
    <row r="1075" customFormat="false" ht="12.75" hidden="false" customHeight="true" outlineLevel="0" collapsed="false">
      <c r="A1075" s="5" t="n">
        <v>54</v>
      </c>
      <c r="B1075" s="5" t="n">
        <v>311</v>
      </c>
      <c r="C1075" s="5" t="n">
        <v>10000</v>
      </c>
      <c r="D1075" s="5" t="n">
        <v>0.012</v>
      </c>
      <c r="E1075" s="5" t="n">
        <v>0.01</v>
      </c>
    </row>
    <row r="1076" customFormat="false" ht="12.75" hidden="false" customHeight="true" outlineLevel="0" collapsed="false">
      <c r="A1076" s="5" t="n">
        <v>54</v>
      </c>
      <c r="B1076" s="5" t="n">
        <v>312</v>
      </c>
      <c r="C1076" s="5" t="n">
        <v>40000</v>
      </c>
      <c r="D1076" s="5" t="n">
        <v>0.05</v>
      </c>
      <c r="E1076" s="5" t="n">
        <v>0.04</v>
      </c>
    </row>
    <row r="1077" customFormat="false" ht="12.75" hidden="false" customHeight="true" outlineLevel="0" collapsed="false">
      <c r="A1077" s="5" t="n">
        <v>54</v>
      </c>
      <c r="B1077" s="5" t="n">
        <v>313</v>
      </c>
      <c r="C1077" s="5" t="n">
        <v>130000</v>
      </c>
      <c r="D1077" s="5" t="n">
        <v>0.12</v>
      </c>
      <c r="E1077" s="5" t="n">
        <v>0.13</v>
      </c>
    </row>
    <row r="1078" customFormat="false" ht="12.75" hidden="false" customHeight="true" outlineLevel="0" collapsed="false">
      <c r="A1078" s="5" t="n">
        <v>54</v>
      </c>
      <c r="B1078" s="5" t="n">
        <v>314</v>
      </c>
      <c r="C1078" s="5" t="n">
        <v>310000</v>
      </c>
      <c r="D1078" s="5" t="n">
        <v>0.24</v>
      </c>
      <c r="E1078" s="5" t="n">
        <v>0.31</v>
      </c>
    </row>
    <row r="1079" customFormat="false" ht="12.75" hidden="false" customHeight="true" outlineLevel="0" collapsed="false">
      <c r="A1079" s="5" t="n">
        <v>54</v>
      </c>
      <c r="B1079" s="5" t="n">
        <v>315</v>
      </c>
      <c r="C1079" s="5" t="n">
        <v>630000</v>
      </c>
      <c r="D1079" s="5" t="n">
        <v>0.39</v>
      </c>
      <c r="E1079" s="5" t="n">
        <v>0.63</v>
      </c>
    </row>
    <row r="1080" customFormat="false" ht="12.75" hidden="false" customHeight="true" outlineLevel="0" collapsed="false">
      <c r="A1080" s="5" t="n">
        <v>54</v>
      </c>
      <c r="B1080" s="5" t="n">
        <v>316</v>
      </c>
      <c r="C1080" s="5" t="n">
        <v>1160000</v>
      </c>
      <c r="D1080" s="5" t="n">
        <v>0.65</v>
      </c>
      <c r="E1080" s="5" t="n">
        <v>1.16</v>
      </c>
    </row>
    <row r="1081" customFormat="false" ht="12.75" hidden="false" customHeight="true" outlineLevel="0" collapsed="false">
      <c r="A1081" s="5" t="n">
        <v>54</v>
      </c>
      <c r="B1081" s="5" t="n">
        <v>317</v>
      </c>
      <c r="C1081" s="5" t="n">
        <v>1910000</v>
      </c>
      <c r="D1081" s="5" t="n">
        <v>0.85</v>
      </c>
      <c r="E1081" s="5" t="n">
        <v>1.91</v>
      </c>
    </row>
    <row r="1082" customFormat="false" ht="12.75" hidden="false" customHeight="true" outlineLevel="0" collapsed="false">
      <c r="A1082" s="5" t="n">
        <v>54</v>
      </c>
      <c r="B1082" s="5" t="n">
        <v>318</v>
      </c>
      <c r="C1082" s="5" t="n">
        <v>2970000</v>
      </c>
      <c r="D1082" s="5" t="n">
        <v>1.25</v>
      </c>
      <c r="E1082" s="5" t="n">
        <v>2.97</v>
      </c>
    </row>
    <row r="1083" customFormat="false" ht="12.75" hidden="false" customHeight="true" outlineLevel="0" collapsed="false">
      <c r="A1083" s="5" t="n">
        <v>54</v>
      </c>
      <c r="B1083" s="5" t="n">
        <v>319</v>
      </c>
      <c r="C1083" s="5" t="n">
        <v>4390000</v>
      </c>
      <c r="D1083" s="5" t="n">
        <v>1.59</v>
      </c>
      <c r="E1083" s="5" t="n">
        <v>4.39</v>
      </c>
    </row>
    <row r="1084" customFormat="false" ht="12.75" hidden="false" customHeight="true" outlineLevel="0" collapsed="false">
      <c r="A1084" s="5" t="n">
        <v>54</v>
      </c>
      <c r="B1084" s="5" t="n">
        <v>320</v>
      </c>
      <c r="C1084" s="5" t="n">
        <v>6150000</v>
      </c>
      <c r="D1084" s="5" t="n">
        <v>1.92</v>
      </c>
      <c r="E1084" s="5" t="n">
        <v>6.15</v>
      </c>
    </row>
    <row r="1085" customFormat="false" ht="12.75" hidden="false" customHeight="true" outlineLevel="0" collapsed="false">
      <c r="A1085" s="5" t="n">
        <v>54</v>
      </c>
      <c r="B1085" s="5" t="n">
        <v>321</v>
      </c>
      <c r="C1085" s="5" t="n">
        <v>8410000</v>
      </c>
      <c r="D1085" s="5" t="n">
        <v>2.58</v>
      </c>
      <c r="E1085" s="5" t="n">
        <v>8.41</v>
      </c>
    </row>
    <row r="1086" customFormat="false" ht="12.75" hidden="false" customHeight="true" outlineLevel="0" collapsed="false">
      <c r="A1086" s="5" t="n">
        <v>54</v>
      </c>
      <c r="B1086" s="5" t="n">
        <v>322</v>
      </c>
      <c r="C1086" s="5" t="n">
        <v>11220000</v>
      </c>
      <c r="D1086" s="5" t="n">
        <v>3.04</v>
      </c>
      <c r="E1086" s="5" t="n">
        <v>11.22</v>
      </c>
    </row>
    <row r="1087" customFormat="false" ht="12.75" hidden="false" customHeight="true" outlineLevel="0" collapsed="false">
      <c r="A1087" s="5" t="n">
        <v>54</v>
      </c>
      <c r="B1087" s="5" t="n">
        <v>323</v>
      </c>
      <c r="C1087" s="5" t="n">
        <v>14360000</v>
      </c>
      <c r="D1087" s="5" t="n">
        <v>3.23</v>
      </c>
      <c r="E1087" s="5" t="n">
        <v>14.36</v>
      </c>
    </row>
    <row r="1088" customFormat="false" ht="12.75" hidden="false" customHeight="true" outlineLevel="0" collapsed="false">
      <c r="A1088" s="5" t="n">
        <v>54</v>
      </c>
      <c r="B1088" s="5" t="n">
        <v>324</v>
      </c>
      <c r="C1088" s="5" t="n">
        <v>17820000</v>
      </c>
      <c r="D1088" s="5" t="n">
        <v>3.68</v>
      </c>
      <c r="E1088" s="5" t="n">
        <v>17.82</v>
      </c>
    </row>
    <row r="1089" customFormat="false" ht="12.75" hidden="false" customHeight="true" outlineLevel="0" collapsed="false">
      <c r="A1089" s="5" t="n">
        <v>54</v>
      </c>
      <c r="B1089" s="5" t="n">
        <v>325</v>
      </c>
      <c r="C1089" s="5" t="n">
        <v>21820000</v>
      </c>
      <c r="D1089" s="5" t="n">
        <v>4.31</v>
      </c>
      <c r="E1089" s="5" t="n">
        <v>21.82</v>
      </c>
    </row>
    <row r="1090" customFormat="false" ht="12.75" hidden="false" customHeight="true" outlineLevel="0" collapsed="false">
      <c r="A1090" s="5" t="n">
        <v>54</v>
      </c>
      <c r="B1090" s="5" t="n">
        <v>326</v>
      </c>
      <c r="C1090" s="5" t="n">
        <v>26470000</v>
      </c>
      <c r="D1090" s="5" t="n">
        <v>4.98</v>
      </c>
      <c r="E1090" s="5" t="n">
        <v>26.47</v>
      </c>
    </row>
    <row r="1091" customFormat="false" ht="12.75" hidden="false" customHeight="true" outlineLevel="0" collapsed="false">
      <c r="A1091" s="5" t="n">
        <v>54</v>
      </c>
      <c r="B1091" s="5" t="n">
        <v>327</v>
      </c>
      <c r="C1091" s="5" t="n">
        <v>31550000</v>
      </c>
      <c r="D1091" s="5" t="n">
        <v>5.15</v>
      </c>
      <c r="E1091" s="5" t="n">
        <v>31.55</v>
      </c>
    </row>
    <row r="1092" customFormat="false" ht="12.75" hidden="false" customHeight="true" outlineLevel="0" collapsed="false">
      <c r="A1092" s="5" t="n">
        <v>54</v>
      </c>
      <c r="B1092" s="5" t="n">
        <v>328</v>
      </c>
      <c r="C1092" s="5" t="n">
        <v>37270000</v>
      </c>
      <c r="D1092" s="5" t="n">
        <v>6.29</v>
      </c>
      <c r="E1092" s="5" t="n">
        <v>37.27</v>
      </c>
    </row>
    <row r="1093" customFormat="false" ht="12.75" hidden="false" customHeight="true" outlineLevel="0" collapsed="false">
      <c r="A1093" s="5" t="n">
        <v>55</v>
      </c>
      <c r="B1093" s="5" t="n">
        <v>89</v>
      </c>
      <c r="C1093" s="5" t="n">
        <v>0</v>
      </c>
      <c r="D1093" s="5" t="n">
        <v>0</v>
      </c>
      <c r="E1093" s="5" t="n">
        <v>0</v>
      </c>
    </row>
    <row r="1094" customFormat="false" ht="12.75" hidden="false" customHeight="true" outlineLevel="0" collapsed="false">
      <c r="A1094" s="5" t="n">
        <v>55</v>
      </c>
      <c r="B1094" s="5" t="n">
        <v>90</v>
      </c>
      <c r="C1094" s="5" t="n">
        <v>40000</v>
      </c>
      <c r="D1094" s="5" t="n">
        <v>0.09</v>
      </c>
      <c r="E1094" s="5" t="n">
        <v>0.04</v>
      </c>
    </row>
    <row r="1095" customFormat="false" ht="12.75" hidden="false" customHeight="true" outlineLevel="0" collapsed="false">
      <c r="A1095" s="5" t="n">
        <v>55</v>
      </c>
      <c r="B1095" s="5" t="n">
        <v>91</v>
      </c>
      <c r="C1095" s="5" t="n">
        <v>90000</v>
      </c>
      <c r="D1095" s="5" t="n">
        <v>0.19</v>
      </c>
      <c r="E1095" s="5" t="n">
        <v>0.09</v>
      </c>
    </row>
    <row r="1096" customFormat="false" ht="12.75" hidden="false" customHeight="true" outlineLevel="0" collapsed="false">
      <c r="A1096" s="5" t="n">
        <v>55</v>
      </c>
      <c r="B1096" s="5" t="n">
        <v>92</v>
      </c>
      <c r="C1096" s="5" t="n">
        <v>450000</v>
      </c>
      <c r="D1096" s="5" t="n">
        <v>0.3</v>
      </c>
      <c r="E1096" s="5" t="n">
        <v>0.45</v>
      </c>
    </row>
    <row r="1097" customFormat="false" ht="12.75" hidden="false" customHeight="true" outlineLevel="0" collapsed="false">
      <c r="A1097" s="5" t="n">
        <v>55</v>
      </c>
      <c r="B1097" s="5" t="n">
        <v>93</v>
      </c>
      <c r="C1097" s="5" t="n">
        <v>1000000</v>
      </c>
      <c r="D1097" s="5" t="n">
        <v>0.6</v>
      </c>
      <c r="E1097" s="5" t="n">
        <v>1</v>
      </c>
    </row>
    <row r="1098" customFormat="false" ht="12.75" hidden="false" customHeight="true" outlineLevel="0" collapsed="false">
      <c r="A1098" s="5" t="n">
        <v>55</v>
      </c>
      <c r="B1098" s="5" t="n">
        <v>94</v>
      </c>
      <c r="C1098" s="5" t="n">
        <v>1540000</v>
      </c>
      <c r="D1098" s="5" t="n">
        <v>0.9</v>
      </c>
      <c r="E1098" s="5" t="n">
        <v>1.54</v>
      </c>
    </row>
    <row r="1099" customFormat="false" ht="12.75" hidden="false" customHeight="true" outlineLevel="0" collapsed="false">
      <c r="A1099" s="5" t="n">
        <v>55</v>
      </c>
      <c r="B1099" s="5" t="n">
        <v>95</v>
      </c>
      <c r="C1099" s="5" t="n">
        <v>2480000</v>
      </c>
      <c r="D1099" s="5" t="n">
        <v>1.23</v>
      </c>
      <c r="E1099" s="5" t="n">
        <v>2.48</v>
      </c>
    </row>
    <row r="1100" customFormat="false" ht="12.75" hidden="false" customHeight="true" outlineLevel="0" collapsed="false">
      <c r="A1100" s="5" t="n">
        <v>55</v>
      </c>
      <c r="B1100" s="5" t="n">
        <v>96</v>
      </c>
      <c r="C1100" s="5" t="n">
        <v>4080000</v>
      </c>
      <c r="D1100" s="5" t="n">
        <v>1.5</v>
      </c>
      <c r="E1100" s="5" t="n">
        <v>4.08</v>
      </c>
    </row>
    <row r="1101" customFormat="false" ht="12.75" hidden="false" customHeight="true" outlineLevel="0" collapsed="false">
      <c r="A1101" s="5" t="n">
        <v>55</v>
      </c>
      <c r="B1101" s="5" t="n">
        <v>97</v>
      </c>
      <c r="C1101" s="5" t="n">
        <v>6120000</v>
      </c>
      <c r="D1101" s="5" t="n">
        <v>1.98</v>
      </c>
      <c r="E1101" s="5" t="n">
        <v>6.12</v>
      </c>
    </row>
    <row r="1102" customFormat="false" ht="12.75" hidden="false" customHeight="true" outlineLevel="0" collapsed="false">
      <c r="A1102" s="5" t="n">
        <v>55</v>
      </c>
      <c r="B1102" s="5" t="n">
        <v>98</v>
      </c>
      <c r="C1102" s="5" t="n">
        <v>8200000</v>
      </c>
      <c r="D1102" s="5" t="n">
        <v>2.4</v>
      </c>
      <c r="E1102" s="5" t="n">
        <v>8.2</v>
      </c>
    </row>
    <row r="1103" customFormat="false" ht="12.75" hidden="false" customHeight="true" outlineLevel="0" collapsed="false">
      <c r="A1103" s="5" t="n">
        <v>55</v>
      </c>
      <c r="B1103" s="5" t="n">
        <v>99</v>
      </c>
      <c r="C1103" s="5" t="n">
        <v>9000000</v>
      </c>
      <c r="D1103" s="5" t="n">
        <v>3</v>
      </c>
      <c r="E1103" s="5" t="n">
        <v>9</v>
      </c>
    </row>
    <row r="1104" customFormat="false" ht="12.75" hidden="false" customHeight="true" outlineLevel="0" collapsed="false">
      <c r="A1104" s="5" t="n">
        <v>56</v>
      </c>
      <c r="B1104" s="5" t="n">
        <v>95</v>
      </c>
      <c r="C1104" s="5" t="n">
        <v>0</v>
      </c>
      <c r="D1104" s="5" t="n">
        <v>0</v>
      </c>
      <c r="E1104" s="5" t="n">
        <v>0</v>
      </c>
    </row>
    <row r="1105" customFormat="false" ht="12.75" hidden="false" customHeight="true" outlineLevel="0" collapsed="false">
      <c r="A1105" s="5" t="n">
        <v>56</v>
      </c>
      <c r="B1105" s="5" t="n">
        <v>96</v>
      </c>
      <c r="C1105" s="5" t="n">
        <v>4000</v>
      </c>
      <c r="D1105" s="5" t="n">
        <v>0.008</v>
      </c>
      <c r="E1105" s="5" t="n">
        <v>0.004</v>
      </c>
    </row>
    <row r="1106" customFormat="false" ht="12.75" hidden="false" customHeight="true" outlineLevel="0" collapsed="false">
      <c r="A1106" s="5" t="n">
        <v>56</v>
      </c>
      <c r="B1106" s="5" t="n">
        <v>97</v>
      </c>
      <c r="C1106" s="5" t="n">
        <v>30000</v>
      </c>
      <c r="D1106" s="5" t="n">
        <v>0.05</v>
      </c>
      <c r="E1106" s="5" t="n">
        <v>0.03</v>
      </c>
    </row>
    <row r="1107" customFormat="false" ht="12.75" hidden="false" customHeight="true" outlineLevel="0" collapsed="false">
      <c r="A1107" s="5" t="n">
        <v>56</v>
      </c>
      <c r="B1107" s="5" t="n">
        <v>98</v>
      </c>
      <c r="C1107" s="5" t="n">
        <v>130000</v>
      </c>
      <c r="D1107" s="5" t="n">
        <v>0.13</v>
      </c>
      <c r="E1107" s="5" t="n">
        <v>0.13</v>
      </c>
    </row>
    <row r="1108" customFormat="false" ht="12.75" hidden="false" customHeight="true" outlineLevel="0" collapsed="false">
      <c r="A1108" s="5" t="n">
        <v>56</v>
      </c>
      <c r="B1108" s="5" t="n">
        <v>99</v>
      </c>
      <c r="C1108" s="5" t="n">
        <v>300000</v>
      </c>
      <c r="D1108" s="5" t="n">
        <v>0.22</v>
      </c>
      <c r="E1108" s="5" t="n">
        <v>0.3</v>
      </c>
    </row>
    <row r="1109" customFormat="false" ht="12.75" hidden="false" customHeight="true" outlineLevel="0" collapsed="false">
      <c r="A1109" s="5" t="n">
        <v>56</v>
      </c>
      <c r="B1109" s="5" t="n">
        <v>100</v>
      </c>
      <c r="C1109" s="5" t="n">
        <v>600000</v>
      </c>
      <c r="D1109" s="5" t="n">
        <v>0.36</v>
      </c>
      <c r="E1109" s="5" t="n">
        <v>0.6</v>
      </c>
    </row>
    <row r="1110" customFormat="false" ht="12.75" hidden="false" customHeight="true" outlineLevel="0" collapsed="false">
      <c r="A1110" s="5" t="n">
        <v>56</v>
      </c>
      <c r="B1110" s="5" t="n">
        <v>101</v>
      </c>
      <c r="C1110" s="5" t="n">
        <v>1120000</v>
      </c>
      <c r="D1110" s="5" t="n">
        <v>0.68</v>
      </c>
      <c r="E1110" s="5" t="n">
        <v>1.12</v>
      </c>
    </row>
    <row r="1111" customFormat="false" ht="12.75" hidden="false" customHeight="true" outlineLevel="0" collapsed="false">
      <c r="A1111" s="5" t="n">
        <v>56</v>
      </c>
      <c r="B1111" s="5" t="n">
        <v>102</v>
      </c>
      <c r="C1111" s="5" t="n">
        <v>1920000</v>
      </c>
      <c r="D1111" s="5" t="n">
        <v>0.9</v>
      </c>
      <c r="E1111" s="5" t="n">
        <v>1.92</v>
      </c>
    </row>
    <row r="1112" customFormat="false" ht="12.75" hidden="false" customHeight="true" outlineLevel="0" collapsed="false">
      <c r="A1112" s="5" t="n">
        <v>56</v>
      </c>
      <c r="B1112" s="5" t="n">
        <v>103</v>
      </c>
      <c r="C1112" s="5" t="n">
        <v>2910000</v>
      </c>
      <c r="D1112" s="5" t="n">
        <v>1.08</v>
      </c>
      <c r="E1112" s="5" t="n">
        <v>2.91</v>
      </c>
    </row>
    <row r="1113" customFormat="false" ht="12.75" hidden="false" customHeight="true" outlineLevel="0" collapsed="false">
      <c r="A1113" s="5" t="n">
        <v>56</v>
      </c>
      <c r="B1113" s="5" t="n">
        <v>104</v>
      </c>
      <c r="C1113" s="5" t="n">
        <v>4130000</v>
      </c>
      <c r="D1113" s="5" t="n">
        <v>1.34</v>
      </c>
      <c r="E1113" s="5" t="n">
        <v>4.13</v>
      </c>
    </row>
    <row r="1114" customFormat="false" ht="12.75" hidden="false" customHeight="true" outlineLevel="0" collapsed="false">
      <c r="A1114" s="5" t="n">
        <v>56</v>
      </c>
      <c r="B1114" s="5" t="n">
        <v>105</v>
      </c>
      <c r="C1114" s="5" t="n">
        <v>5650000</v>
      </c>
      <c r="D1114" s="5" t="n">
        <v>1.7</v>
      </c>
      <c r="E1114" s="5" t="n">
        <v>5.65</v>
      </c>
    </row>
    <row r="1115" customFormat="false" ht="12.75" hidden="false" customHeight="true" outlineLevel="0" collapsed="false">
      <c r="A1115" s="5" t="n">
        <v>56</v>
      </c>
      <c r="B1115" s="5" t="n">
        <v>106</v>
      </c>
      <c r="C1115" s="5" t="n">
        <v>7550000</v>
      </c>
      <c r="D1115" s="5" t="n">
        <v>2.09</v>
      </c>
      <c r="E1115" s="5" t="n">
        <v>7.55</v>
      </c>
    </row>
    <row r="1116" customFormat="false" ht="12.75" hidden="false" customHeight="true" outlineLevel="0" collapsed="false">
      <c r="A1116" s="5" t="n">
        <v>56</v>
      </c>
      <c r="B1116" s="5" t="n">
        <v>107</v>
      </c>
      <c r="C1116" s="5" t="n">
        <v>9700000</v>
      </c>
      <c r="D1116" s="5" t="n">
        <v>2.53</v>
      </c>
      <c r="E1116" s="5" t="n">
        <v>9.7</v>
      </c>
    </row>
    <row r="1117" customFormat="false" ht="12.75" hidden="false" customHeight="true" outlineLevel="0" collapsed="false">
      <c r="A1117" s="5" t="n">
        <v>56</v>
      </c>
      <c r="B1117" s="5" t="n">
        <v>108</v>
      </c>
      <c r="C1117" s="5" t="n">
        <v>10000000</v>
      </c>
      <c r="D1117" s="5" t="n">
        <v>3</v>
      </c>
      <c r="E1117" s="5" t="n">
        <v>10</v>
      </c>
    </row>
    <row r="1118" customFormat="false" ht="12.75" hidden="false" customHeight="true" outlineLevel="0" collapsed="false">
      <c r="A1118" s="5" t="n">
        <v>57</v>
      </c>
      <c r="B1118" s="5" t="n">
        <v>86.3</v>
      </c>
      <c r="C1118" s="5" t="n">
        <v>0</v>
      </c>
      <c r="D1118" s="5" t="n">
        <v>0</v>
      </c>
      <c r="E1118" s="5" t="n">
        <v>0</v>
      </c>
    </row>
    <row r="1119" customFormat="false" ht="12.75" hidden="false" customHeight="true" outlineLevel="0" collapsed="false">
      <c r="A1119" s="5" t="n">
        <v>57</v>
      </c>
      <c r="B1119" s="5" t="n">
        <v>87</v>
      </c>
      <c r="C1119" s="5" t="n">
        <v>4000</v>
      </c>
      <c r="D1119" s="5" t="n">
        <v>0.01</v>
      </c>
      <c r="E1119" s="5" t="n">
        <v>0.004</v>
      </c>
    </row>
    <row r="1120" customFormat="false" ht="12.75" hidden="false" customHeight="true" outlineLevel="0" collapsed="false">
      <c r="A1120" s="5" t="n">
        <v>57</v>
      </c>
      <c r="B1120" s="5" t="n">
        <v>88</v>
      </c>
      <c r="C1120" s="5" t="n">
        <v>30000</v>
      </c>
      <c r="D1120" s="5" t="n">
        <v>0.04</v>
      </c>
      <c r="E1120" s="5" t="n">
        <v>0.03</v>
      </c>
    </row>
    <row r="1121" customFormat="false" ht="12.75" hidden="false" customHeight="true" outlineLevel="0" collapsed="false">
      <c r="A1121" s="5" t="n">
        <v>57</v>
      </c>
      <c r="B1121" s="5" t="n">
        <v>89</v>
      </c>
      <c r="C1121" s="5" t="n">
        <v>130000</v>
      </c>
      <c r="D1121" s="5" t="n">
        <v>0.15</v>
      </c>
      <c r="E1121" s="5" t="n">
        <v>0.13</v>
      </c>
    </row>
    <row r="1122" customFormat="false" ht="12.75" hidden="false" customHeight="true" outlineLevel="0" collapsed="false">
      <c r="A1122" s="5" t="n">
        <v>57</v>
      </c>
      <c r="B1122" s="5" t="n">
        <v>90</v>
      </c>
      <c r="C1122" s="5" t="n">
        <v>340000</v>
      </c>
      <c r="D1122" s="5" t="n">
        <v>0.27</v>
      </c>
      <c r="E1122" s="5" t="n">
        <v>0.34</v>
      </c>
    </row>
    <row r="1123" customFormat="false" ht="12.75" hidden="false" customHeight="true" outlineLevel="0" collapsed="false">
      <c r="A1123" s="5" t="n">
        <v>57</v>
      </c>
      <c r="B1123" s="5" t="n">
        <v>91</v>
      </c>
      <c r="C1123" s="5" t="n">
        <v>700000</v>
      </c>
      <c r="D1123" s="5" t="n">
        <v>0.44</v>
      </c>
      <c r="E1123" s="5" t="n">
        <v>0.7</v>
      </c>
    </row>
    <row r="1124" customFormat="false" ht="12.75" hidden="false" customHeight="true" outlineLevel="0" collapsed="false">
      <c r="A1124" s="5" t="n">
        <v>57</v>
      </c>
      <c r="B1124" s="5" t="n">
        <v>92</v>
      </c>
      <c r="C1124" s="5" t="n">
        <v>1250000</v>
      </c>
      <c r="D1124" s="5" t="n">
        <v>0.65</v>
      </c>
      <c r="E1124" s="5" t="n">
        <v>1.25</v>
      </c>
    </row>
    <row r="1125" customFormat="false" ht="12.75" hidden="false" customHeight="true" outlineLevel="0" collapsed="false">
      <c r="A1125" s="5" t="n">
        <v>57</v>
      </c>
      <c r="B1125" s="5" t="n">
        <v>93</v>
      </c>
      <c r="C1125" s="5" t="n">
        <v>2040000</v>
      </c>
      <c r="D1125" s="5" t="n">
        <v>0.93</v>
      </c>
      <c r="E1125" s="5" t="n">
        <v>2.04</v>
      </c>
    </row>
    <row r="1126" customFormat="false" ht="12.75" hidden="false" customHeight="true" outlineLevel="0" collapsed="false">
      <c r="A1126" s="5" t="n">
        <v>57</v>
      </c>
      <c r="B1126" s="5" t="n">
        <v>94</v>
      </c>
      <c r="C1126" s="5" t="n">
        <v>3130000</v>
      </c>
      <c r="D1126" s="5" t="n">
        <v>1.23</v>
      </c>
      <c r="E1126" s="5" t="n">
        <v>3.13</v>
      </c>
    </row>
    <row r="1127" customFormat="false" ht="12.75" hidden="false" customHeight="true" outlineLevel="0" collapsed="false">
      <c r="A1127" s="5" t="n">
        <v>57</v>
      </c>
      <c r="B1127" s="5" t="n">
        <v>95</v>
      </c>
      <c r="C1127" s="5" t="n">
        <v>4560000</v>
      </c>
      <c r="D1127" s="5" t="n">
        <v>1.63</v>
      </c>
      <c r="E1127" s="5" t="n">
        <v>4.56</v>
      </c>
    </row>
    <row r="1128" customFormat="false" ht="12.75" hidden="false" customHeight="true" outlineLevel="0" collapsed="false">
      <c r="A1128" s="5" t="n">
        <v>57</v>
      </c>
      <c r="B1128" s="5" t="n">
        <v>96</v>
      </c>
      <c r="C1128" s="5" t="n">
        <v>6400000</v>
      </c>
      <c r="D1128" s="5" t="n">
        <v>2.04</v>
      </c>
      <c r="E1128" s="5" t="n">
        <v>6.4</v>
      </c>
    </row>
    <row r="1129" customFormat="false" ht="12.75" hidden="false" customHeight="true" outlineLevel="0" collapsed="false">
      <c r="A1129" s="5" t="n">
        <v>57</v>
      </c>
      <c r="B1129" s="5" t="n">
        <v>97</v>
      </c>
      <c r="C1129" s="5" t="n">
        <v>8680000</v>
      </c>
      <c r="D1129" s="5" t="n">
        <v>2.53</v>
      </c>
      <c r="E1129" s="5" t="n">
        <v>8.68</v>
      </c>
    </row>
    <row r="1130" customFormat="false" ht="12.75" hidden="false" customHeight="true" outlineLevel="0" collapsed="false">
      <c r="A1130" s="5" t="n">
        <v>57</v>
      </c>
      <c r="B1130" s="5" t="n">
        <v>98</v>
      </c>
      <c r="C1130" s="5" t="n">
        <v>11470000</v>
      </c>
      <c r="D1130" s="5" t="n">
        <v>3.03</v>
      </c>
      <c r="E1130" s="5" t="n">
        <v>11.47</v>
      </c>
    </row>
    <row r="1131" customFormat="false" ht="12.75" hidden="false" customHeight="true" outlineLevel="0" collapsed="false">
      <c r="A1131" s="5" t="n">
        <v>57</v>
      </c>
      <c r="B1131" s="5" t="n">
        <v>99</v>
      </c>
      <c r="C1131" s="5" t="n">
        <v>14770000</v>
      </c>
      <c r="D1131" s="5" t="n">
        <v>3.55</v>
      </c>
      <c r="E1131" s="5" t="n">
        <v>14.77</v>
      </c>
    </row>
    <row r="1132" customFormat="false" ht="12.75" hidden="false" customHeight="true" outlineLevel="0" collapsed="false">
      <c r="A1132" s="5" t="n">
        <v>57</v>
      </c>
      <c r="B1132" s="5" t="n">
        <v>100</v>
      </c>
      <c r="C1132" s="5" t="n">
        <v>18530000</v>
      </c>
      <c r="D1132" s="5" t="n">
        <v>3.98</v>
      </c>
      <c r="E1132" s="5" t="n">
        <v>18.53</v>
      </c>
    </row>
    <row r="1133" customFormat="false" ht="12.75" hidden="false" customHeight="true" outlineLevel="0" collapsed="false">
      <c r="A1133" s="5" t="n">
        <v>58</v>
      </c>
      <c r="B1133" s="5" t="n">
        <v>98</v>
      </c>
      <c r="C1133" s="5" t="n">
        <v>0</v>
      </c>
      <c r="D1133" s="5" t="n">
        <v>0</v>
      </c>
      <c r="E1133" s="5" t="n">
        <v>0</v>
      </c>
    </row>
    <row r="1134" customFormat="false" ht="12.75" hidden="false" customHeight="true" outlineLevel="0" collapsed="false">
      <c r="A1134" s="5" t="n">
        <v>58</v>
      </c>
      <c r="B1134" s="5" t="n">
        <v>99</v>
      </c>
      <c r="C1134" s="5" t="n">
        <v>100000</v>
      </c>
      <c r="D1134" s="5" t="n">
        <v>0.19</v>
      </c>
      <c r="E1134" s="5" t="n">
        <v>0.1</v>
      </c>
    </row>
    <row r="1135" customFormat="false" ht="12.75" hidden="false" customHeight="true" outlineLevel="0" collapsed="false">
      <c r="A1135" s="5" t="n">
        <v>58</v>
      </c>
      <c r="B1135" s="5" t="n">
        <v>100</v>
      </c>
      <c r="C1135" s="5" t="n">
        <v>390000</v>
      </c>
      <c r="D1135" s="5" t="n">
        <v>0.63</v>
      </c>
      <c r="E1135" s="5" t="n">
        <v>0.39</v>
      </c>
    </row>
    <row r="1136" customFormat="false" ht="12.75" hidden="false" customHeight="true" outlineLevel="0" collapsed="false">
      <c r="A1136" s="5" t="n">
        <v>58</v>
      </c>
      <c r="B1136" s="5" t="n">
        <v>101</v>
      </c>
      <c r="C1136" s="5" t="n">
        <v>1200000</v>
      </c>
      <c r="D1136" s="5" t="n">
        <v>1.07</v>
      </c>
      <c r="E1136" s="5" t="n">
        <v>1.2</v>
      </c>
    </row>
    <row r="1137" customFormat="false" ht="12.75" hidden="false" customHeight="true" outlineLevel="0" collapsed="false">
      <c r="A1137" s="5" t="n">
        <v>58</v>
      </c>
      <c r="B1137" s="5" t="n">
        <v>102</v>
      </c>
      <c r="C1137" s="5" t="n">
        <v>2550000</v>
      </c>
      <c r="D1137" s="5" t="n">
        <v>1.87</v>
      </c>
      <c r="E1137" s="5" t="n">
        <v>2.55</v>
      </c>
    </row>
    <row r="1138" customFormat="false" ht="12.75" hidden="false" customHeight="true" outlineLevel="0" collapsed="false">
      <c r="A1138" s="5" t="n">
        <v>58</v>
      </c>
      <c r="B1138" s="5" t="n">
        <v>103</v>
      </c>
      <c r="C1138" s="5" t="n">
        <v>4700000</v>
      </c>
      <c r="D1138" s="5" t="n">
        <v>2.66</v>
      </c>
      <c r="E1138" s="5" t="n">
        <v>4.7</v>
      </c>
    </row>
    <row r="1139" customFormat="false" ht="12.75" hidden="false" customHeight="true" outlineLevel="0" collapsed="false">
      <c r="A1139" s="5" t="n">
        <v>58</v>
      </c>
      <c r="B1139" s="5" t="n">
        <v>104</v>
      </c>
      <c r="C1139" s="5" t="n">
        <v>7880000</v>
      </c>
      <c r="D1139" s="5" t="n">
        <v>3.68</v>
      </c>
      <c r="E1139" s="5" t="n">
        <v>7.88</v>
      </c>
    </row>
    <row r="1140" customFormat="false" ht="12.75" hidden="false" customHeight="true" outlineLevel="0" collapsed="false">
      <c r="A1140" s="5" t="n">
        <v>58</v>
      </c>
      <c r="B1140" s="5" t="n">
        <v>105</v>
      </c>
      <c r="C1140" s="5" t="n">
        <v>12080000</v>
      </c>
      <c r="D1140" s="5" t="n">
        <v>4.69</v>
      </c>
      <c r="E1140" s="5" t="n">
        <v>12.08</v>
      </c>
    </row>
    <row r="1141" customFormat="false" ht="12.75" hidden="false" customHeight="true" outlineLevel="0" collapsed="false">
      <c r="A1141" s="5" t="n">
        <v>58</v>
      </c>
      <c r="B1141" s="5" t="n">
        <v>106</v>
      </c>
      <c r="C1141" s="5" t="n">
        <v>17270000</v>
      </c>
      <c r="D1141" s="5" t="n">
        <v>5.85</v>
      </c>
      <c r="E1141" s="5" t="n">
        <v>17.27</v>
      </c>
    </row>
    <row r="1142" customFormat="false" ht="12.75" hidden="false" customHeight="true" outlineLevel="0" collapsed="false">
      <c r="A1142" s="5" t="n">
        <v>58</v>
      </c>
      <c r="B1142" s="5" t="n">
        <v>107</v>
      </c>
      <c r="C1142" s="5" t="n">
        <v>23800000</v>
      </c>
      <c r="D1142" s="5" t="n">
        <v>7.01</v>
      </c>
      <c r="E1142" s="5" t="n">
        <v>23.8</v>
      </c>
    </row>
    <row r="1143" customFormat="false" ht="12.75" hidden="false" customHeight="true" outlineLevel="0" collapsed="false">
      <c r="A1143" s="5" t="n">
        <v>58</v>
      </c>
      <c r="B1143" s="5" t="n">
        <v>108</v>
      </c>
      <c r="C1143" s="5" t="n">
        <v>31300000</v>
      </c>
      <c r="D1143" s="5" t="n">
        <v>8.89</v>
      </c>
      <c r="E1143" s="5" t="n">
        <v>31.3</v>
      </c>
    </row>
    <row r="1144" customFormat="false" ht="12.75" hidden="false" customHeight="true" outlineLevel="0" collapsed="false">
      <c r="A1144" s="5" t="n">
        <v>58</v>
      </c>
      <c r="B1144" s="5" t="n">
        <v>109</v>
      </c>
      <c r="C1144" s="5" t="n">
        <v>41430000</v>
      </c>
      <c r="D1144" s="5" t="n">
        <v>10.77</v>
      </c>
      <c r="E1144" s="5" t="n">
        <v>41.43</v>
      </c>
    </row>
    <row r="1145" customFormat="false" ht="12.75" hidden="false" customHeight="true" outlineLevel="0" collapsed="false">
      <c r="A1145" s="5" t="n">
        <v>58</v>
      </c>
      <c r="B1145" s="5" t="n">
        <v>110</v>
      </c>
      <c r="C1145" s="5" t="n">
        <v>52850000</v>
      </c>
      <c r="D1145" s="5" t="n">
        <v>12.59</v>
      </c>
      <c r="E1145" s="5" t="n">
        <v>52.85</v>
      </c>
    </row>
    <row r="1146" customFormat="false" ht="12.75" hidden="false" customHeight="true" outlineLevel="0" collapsed="false">
      <c r="A1146" s="5" t="n">
        <v>58</v>
      </c>
      <c r="B1146" s="5" t="n">
        <v>111</v>
      </c>
      <c r="C1146" s="5" t="n">
        <v>66210000</v>
      </c>
      <c r="D1146" s="5" t="n">
        <v>14.41</v>
      </c>
      <c r="E1146" s="5" t="n">
        <v>66.21</v>
      </c>
    </row>
    <row r="1147" customFormat="false" ht="12.75" hidden="false" customHeight="true" outlineLevel="0" collapsed="false">
      <c r="A1147" s="5" t="n">
        <v>59</v>
      </c>
      <c r="B1147" s="5" t="n">
        <v>86</v>
      </c>
      <c r="C1147" s="5" t="n">
        <v>0</v>
      </c>
      <c r="D1147" s="5" t="n">
        <v>0</v>
      </c>
      <c r="E1147" s="5" t="n">
        <v>0</v>
      </c>
    </row>
    <row r="1148" customFormat="false" ht="12.75" hidden="false" customHeight="true" outlineLevel="0" collapsed="false">
      <c r="A1148" s="5" t="n">
        <v>59</v>
      </c>
      <c r="B1148" s="5" t="n">
        <v>86.63</v>
      </c>
      <c r="C1148" s="5" t="n">
        <v>390549</v>
      </c>
      <c r="D1148" s="5" t="n">
        <v>0.1818</v>
      </c>
      <c r="E1148" s="5" t="n">
        <v>0.390549</v>
      </c>
    </row>
    <row r="1149" customFormat="false" ht="12.75" hidden="false" customHeight="true" outlineLevel="0" collapsed="false">
      <c r="A1149" s="5" t="n">
        <v>59</v>
      </c>
      <c r="B1149" s="5" t="n">
        <v>87</v>
      </c>
      <c r="C1149" s="5" t="n">
        <v>550549</v>
      </c>
      <c r="D1149" s="5" t="n">
        <v>2.3218</v>
      </c>
      <c r="E1149" s="5" t="n">
        <v>0.550549</v>
      </c>
    </row>
    <row r="1150" customFormat="false" ht="12.75" hidden="false" customHeight="true" outlineLevel="0" collapsed="false">
      <c r="A1150" s="5" t="n">
        <v>59</v>
      </c>
      <c r="B1150" s="5" t="n">
        <v>88</v>
      </c>
      <c r="C1150" s="5" t="n">
        <v>780549</v>
      </c>
      <c r="D1150" s="5" t="n">
        <v>2.5018</v>
      </c>
      <c r="E1150" s="5" t="n">
        <v>0.780549</v>
      </c>
    </row>
    <row r="1151" customFormat="false" ht="12.75" hidden="false" customHeight="true" outlineLevel="0" collapsed="false">
      <c r="A1151" s="5" t="n">
        <v>59</v>
      </c>
      <c r="B1151" s="5" t="n">
        <v>89</v>
      </c>
      <c r="C1151" s="5" t="n">
        <v>1190549</v>
      </c>
      <c r="D1151" s="5" t="n">
        <v>2.6818</v>
      </c>
      <c r="E1151" s="5" t="n">
        <v>1.190549</v>
      </c>
    </row>
    <row r="1152" customFormat="false" ht="12.75" hidden="false" customHeight="true" outlineLevel="0" collapsed="false">
      <c r="A1152" s="5" t="n">
        <v>59</v>
      </c>
      <c r="B1152" s="5" t="n">
        <v>90</v>
      </c>
      <c r="C1152" s="5" t="n">
        <v>1760549</v>
      </c>
      <c r="D1152" s="5" t="n">
        <v>2.8218</v>
      </c>
      <c r="E1152" s="5" t="n">
        <v>1.760549</v>
      </c>
    </row>
    <row r="1153" customFormat="false" ht="12.75" hidden="false" customHeight="true" outlineLevel="0" collapsed="false">
      <c r="A1153" s="5" t="n">
        <v>59</v>
      </c>
      <c r="B1153" s="5" t="n">
        <v>91</v>
      </c>
      <c r="C1153" s="5" t="n">
        <v>2470549</v>
      </c>
      <c r="D1153" s="5" t="n">
        <v>2.9618</v>
      </c>
      <c r="E1153" s="5" t="n">
        <v>2.470549</v>
      </c>
    </row>
    <row r="1154" customFormat="false" ht="12.75" hidden="false" customHeight="true" outlineLevel="0" collapsed="false">
      <c r="A1154" s="5" t="n">
        <v>59</v>
      </c>
      <c r="B1154" s="5" t="n">
        <v>92</v>
      </c>
      <c r="C1154" s="5" t="n">
        <v>3330549</v>
      </c>
      <c r="D1154" s="5" t="n">
        <v>3.1218</v>
      </c>
      <c r="E1154" s="5" t="n">
        <v>3.330549</v>
      </c>
    </row>
    <row r="1155" customFormat="false" ht="12.75" hidden="false" customHeight="true" outlineLevel="0" collapsed="false">
      <c r="A1155" s="5" t="n">
        <v>59</v>
      </c>
      <c r="B1155" s="5" t="n">
        <v>93</v>
      </c>
      <c r="C1155" s="5" t="n">
        <v>4350549</v>
      </c>
      <c r="D1155" s="5" t="n">
        <v>3.2818</v>
      </c>
      <c r="E1155" s="5" t="n">
        <v>4.350549</v>
      </c>
    </row>
    <row r="1156" customFormat="false" ht="12.75" hidden="false" customHeight="true" outlineLevel="0" collapsed="false">
      <c r="A1156" s="5" t="n">
        <v>59</v>
      </c>
      <c r="B1156" s="5" t="n">
        <v>94</v>
      </c>
      <c r="C1156" s="5" t="n">
        <v>5560549</v>
      </c>
      <c r="D1156" s="5" t="n">
        <v>3.4818</v>
      </c>
      <c r="E1156" s="5" t="n">
        <v>5.560549</v>
      </c>
    </row>
    <row r="1157" customFormat="false" ht="12.75" hidden="false" customHeight="true" outlineLevel="0" collapsed="false">
      <c r="A1157" s="5" t="n">
        <v>59</v>
      </c>
      <c r="B1157" s="5" t="n">
        <v>95</v>
      </c>
      <c r="C1157" s="5" t="n">
        <v>6980549</v>
      </c>
      <c r="D1157" s="5" t="n">
        <v>3.7018</v>
      </c>
      <c r="E1157" s="5" t="n">
        <v>6.980549</v>
      </c>
    </row>
    <row r="1158" customFormat="false" ht="12.75" hidden="false" customHeight="true" outlineLevel="0" collapsed="false">
      <c r="A1158" s="5" t="n">
        <v>59</v>
      </c>
      <c r="B1158" s="5" t="n">
        <v>96</v>
      </c>
      <c r="C1158" s="5" t="n">
        <v>8620549</v>
      </c>
      <c r="D1158" s="5" t="n">
        <v>3.9318</v>
      </c>
      <c r="E1158" s="5" t="n">
        <v>8.620549</v>
      </c>
    </row>
    <row r="1159" customFormat="false" ht="12.75" hidden="false" customHeight="true" outlineLevel="0" collapsed="false">
      <c r="A1159" s="5" t="n">
        <v>59</v>
      </c>
      <c r="B1159" s="5" t="n">
        <v>97</v>
      </c>
      <c r="C1159" s="5" t="n">
        <v>10500549</v>
      </c>
      <c r="D1159" s="5" t="n">
        <v>4.1818</v>
      </c>
      <c r="E1159" s="5" t="n">
        <v>10.500549</v>
      </c>
    </row>
    <row r="1160" customFormat="false" ht="12.75" hidden="false" customHeight="true" outlineLevel="0" collapsed="false">
      <c r="A1160" s="5" t="n">
        <v>59</v>
      </c>
      <c r="B1160" s="5" t="n">
        <v>98</v>
      </c>
      <c r="C1160" s="5" t="n">
        <v>12230000</v>
      </c>
      <c r="D1160" s="5" t="n">
        <v>4.5688</v>
      </c>
      <c r="E1160" s="5" t="n">
        <v>12.23</v>
      </c>
    </row>
    <row r="1161" customFormat="false" ht="12.75" hidden="false" customHeight="true" outlineLevel="0" collapsed="false">
      <c r="A1161" s="5" t="n">
        <v>59</v>
      </c>
      <c r="B1161" s="5" t="n">
        <v>99</v>
      </c>
      <c r="C1161" s="5" t="n">
        <v>14390549</v>
      </c>
      <c r="D1161" s="5" t="n">
        <v>4.7018</v>
      </c>
      <c r="E1161" s="5" t="n">
        <v>14.390549</v>
      </c>
    </row>
    <row r="1162" customFormat="false" ht="12.75" hidden="false" customHeight="true" outlineLevel="0" collapsed="false">
      <c r="A1162" s="5" t="n">
        <v>59</v>
      </c>
      <c r="B1162" s="5" t="n">
        <v>100</v>
      </c>
      <c r="C1162" s="5" t="n">
        <v>16640549</v>
      </c>
      <c r="D1162" s="5" t="n">
        <v>4.9918</v>
      </c>
      <c r="E1162" s="5" t="n">
        <v>16.640549</v>
      </c>
    </row>
    <row r="1163" customFormat="false" ht="12.75" hidden="false" customHeight="true" outlineLevel="0" collapsed="false">
      <c r="A1163" s="5" t="n">
        <v>60</v>
      </c>
      <c r="B1163" s="5" t="n">
        <v>85</v>
      </c>
      <c r="C1163" s="5" t="n">
        <v>0</v>
      </c>
      <c r="D1163" s="5" t="n">
        <v>0</v>
      </c>
      <c r="E1163" s="5" t="n">
        <v>0</v>
      </c>
    </row>
    <row r="1164" customFormat="false" ht="12.75" hidden="false" customHeight="true" outlineLevel="0" collapsed="false">
      <c r="A1164" s="5" t="n">
        <v>60</v>
      </c>
      <c r="B1164" s="5" t="n">
        <v>88</v>
      </c>
      <c r="C1164" s="5" t="n">
        <v>200000</v>
      </c>
      <c r="D1164" s="5" t="n">
        <v>0.18</v>
      </c>
      <c r="E1164" s="5" t="n">
        <v>0.2</v>
      </c>
    </row>
    <row r="1165" customFormat="false" ht="12.75" hidden="false" customHeight="true" outlineLevel="0" collapsed="false">
      <c r="A1165" s="5" t="n">
        <v>60</v>
      </c>
      <c r="B1165" s="5" t="n">
        <v>89</v>
      </c>
      <c r="C1165" s="5" t="n">
        <v>500000</v>
      </c>
      <c r="D1165" s="5" t="n">
        <v>0.3</v>
      </c>
      <c r="E1165" s="5" t="n">
        <v>0.5</v>
      </c>
    </row>
    <row r="1166" customFormat="false" ht="12.75" hidden="false" customHeight="true" outlineLevel="0" collapsed="false">
      <c r="A1166" s="5" t="n">
        <v>60</v>
      </c>
      <c r="B1166" s="5" t="n">
        <v>90</v>
      </c>
      <c r="C1166" s="5" t="n">
        <v>1000000</v>
      </c>
      <c r="D1166" s="5" t="n">
        <v>0.44</v>
      </c>
      <c r="E1166" s="5" t="n">
        <v>1</v>
      </c>
    </row>
    <row r="1167" customFormat="false" ht="12.75" hidden="false" customHeight="true" outlineLevel="0" collapsed="false">
      <c r="A1167" s="5" t="n">
        <v>60</v>
      </c>
      <c r="B1167" s="5" t="n">
        <v>91</v>
      </c>
      <c r="C1167" s="5" t="n">
        <v>1600000</v>
      </c>
      <c r="D1167" s="5" t="n">
        <v>0.62</v>
      </c>
      <c r="E1167" s="5" t="n">
        <v>1.6</v>
      </c>
    </row>
    <row r="1168" customFormat="false" ht="12.75" hidden="false" customHeight="true" outlineLevel="0" collapsed="false">
      <c r="A1168" s="5" t="n">
        <v>60</v>
      </c>
      <c r="B1168" s="5" t="n">
        <v>92</v>
      </c>
      <c r="C1168" s="5" t="n">
        <v>2300000</v>
      </c>
      <c r="D1168" s="5" t="n">
        <v>0.84</v>
      </c>
      <c r="E1168" s="5" t="n">
        <v>2.3</v>
      </c>
    </row>
    <row r="1169" customFormat="false" ht="12.75" hidden="false" customHeight="true" outlineLevel="0" collapsed="false">
      <c r="A1169" s="5" t="n">
        <v>60</v>
      </c>
      <c r="B1169" s="5" t="n">
        <v>93</v>
      </c>
      <c r="C1169" s="5" t="n">
        <v>3200000</v>
      </c>
      <c r="D1169" s="5" t="n">
        <v>1.1</v>
      </c>
      <c r="E1169" s="5" t="n">
        <v>3.2</v>
      </c>
    </row>
    <row r="1170" customFormat="false" ht="12.75" hidden="false" customHeight="true" outlineLevel="0" collapsed="false">
      <c r="A1170" s="5" t="n">
        <v>60</v>
      </c>
      <c r="B1170" s="5" t="n">
        <v>94</v>
      </c>
      <c r="C1170" s="5" t="n">
        <v>4200000</v>
      </c>
      <c r="D1170" s="5" t="n">
        <v>1.42</v>
      </c>
      <c r="E1170" s="5" t="n">
        <v>4.2</v>
      </c>
    </row>
    <row r="1171" customFormat="false" ht="12.75" hidden="false" customHeight="true" outlineLevel="0" collapsed="false">
      <c r="A1171" s="5" t="n">
        <v>60</v>
      </c>
      <c r="B1171" s="5" t="n">
        <v>95</v>
      </c>
      <c r="C1171" s="5" t="n">
        <v>5800000</v>
      </c>
      <c r="D1171" s="5" t="n">
        <v>1.78</v>
      </c>
      <c r="E1171" s="5" t="n">
        <v>5.8</v>
      </c>
    </row>
    <row r="1172" customFormat="false" ht="12.75" hidden="false" customHeight="true" outlineLevel="0" collapsed="false">
      <c r="A1172" s="5" t="n">
        <v>60</v>
      </c>
      <c r="B1172" s="5" t="n">
        <v>96</v>
      </c>
      <c r="C1172" s="5" t="n">
        <v>8000000</v>
      </c>
      <c r="D1172" s="5" t="n">
        <v>2.2</v>
      </c>
      <c r="E1172" s="5" t="n">
        <v>8</v>
      </c>
    </row>
    <row r="1173" customFormat="false" ht="12.75" hidden="false" customHeight="true" outlineLevel="0" collapsed="false">
      <c r="A1173" s="5" t="n">
        <v>60</v>
      </c>
      <c r="B1173" s="5" t="n">
        <v>97</v>
      </c>
      <c r="C1173" s="5" t="n">
        <v>10500000</v>
      </c>
      <c r="D1173" s="5" t="n">
        <v>2.62</v>
      </c>
      <c r="E1173" s="5" t="n">
        <v>10.5</v>
      </c>
    </row>
    <row r="1174" customFormat="false" ht="12.75" hidden="false" customHeight="true" outlineLevel="0" collapsed="false">
      <c r="A1174" s="5" t="n">
        <v>60</v>
      </c>
      <c r="B1174" s="5" t="n">
        <v>98</v>
      </c>
      <c r="C1174" s="5" t="n">
        <v>13200000</v>
      </c>
      <c r="D1174" s="5" t="n">
        <v>3.2</v>
      </c>
      <c r="E1174" s="5" t="n">
        <v>13.2</v>
      </c>
    </row>
    <row r="1175" customFormat="false" ht="12.75" hidden="false" customHeight="true" outlineLevel="0" collapsed="false">
      <c r="A1175" s="5" t="n">
        <v>60</v>
      </c>
      <c r="B1175" s="5" t="n">
        <v>99</v>
      </c>
      <c r="C1175" s="5" t="n">
        <v>17000000</v>
      </c>
      <c r="D1175" s="5" t="n">
        <v>3.8</v>
      </c>
      <c r="E1175" s="5" t="n">
        <v>17</v>
      </c>
    </row>
    <row r="1176" customFormat="false" ht="12.75" hidden="false" customHeight="true" outlineLevel="0" collapsed="false">
      <c r="A1176" s="5" t="n">
        <v>60</v>
      </c>
      <c r="B1176" s="5" t="n">
        <v>100</v>
      </c>
      <c r="C1176" s="5" t="n">
        <v>20000000</v>
      </c>
      <c r="D1176" s="5" t="n">
        <v>4.2</v>
      </c>
      <c r="E1176" s="5" t="n">
        <v>20</v>
      </c>
    </row>
    <row r="1177" customFormat="false" ht="12.75" hidden="false" customHeight="true" outlineLevel="0" collapsed="false">
      <c r="A1177" s="5" t="n">
        <v>61</v>
      </c>
      <c r="B1177" s="5" t="n">
        <v>132.38</v>
      </c>
      <c r="C1177" s="5" t="n">
        <v>0</v>
      </c>
      <c r="D1177" s="5" t="n">
        <v>0</v>
      </c>
      <c r="E1177" s="5" t="n">
        <v>0</v>
      </c>
    </row>
    <row r="1178" customFormat="false" ht="12.75" hidden="false" customHeight="true" outlineLevel="0" collapsed="false">
      <c r="A1178" s="5" t="n">
        <v>61</v>
      </c>
      <c r="B1178" s="5" t="n">
        <v>137.38</v>
      </c>
      <c r="C1178" s="5" t="n">
        <v>50000</v>
      </c>
      <c r="D1178" s="5" t="n">
        <v>0.02</v>
      </c>
      <c r="E1178" s="5" t="n">
        <v>0.05</v>
      </c>
    </row>
    <row r="1179" customFormat="false" ht="12.75" hidden="false" customHeight="true" outlineLevel="0" collapsed="false">
      <c r="A1179" s="5" t="n">
        <v>61</v>
      </c>
      <c r="B1179" s="5" t="n">
        <v>142.38</v>
      </c>
      <c r="C1179" s="5" t="n">
        <v>840000</v>
      </c>
      <c r="D1179" s="5" t="n">
        <v>0.29</v>
      </c>
      <c r="E1179" s="5" t="n">
        <v>0.84</v>
      </c>
    </row>
    <row r="1180" customFormat="false" ht="12.75" hidden="false" customHeight="true" outlineLevel="0" collapsed="false">
      <c r="A1180" s="5" t="n">
        <v>61</v>
      </c>
      <c r="B1180" s="5" t="n">
        <v>147.38</v>
      </c>
      <c r="C1180" s="5" t="n">
        <v>3100000</v>
      </c>
      <c r="D1180" s="5" t="n">
        <v>0.61</v>
      </c>
      <c r="E1180" s="5" t="n">
        <v>3.1</v>
      </c>
    </row>
    <row r="1181" customFormat="false" ht="12.75" hidden="false" customHeight="true" outlineLevel="0" collapsed="false">
      <c r="A1181" s="5" t="n">
        <v>61</v>
      </c>
      <c r="B1181" s="5" t="n">
        <v>152.38</v>
      </c>
      <c r="C1181" s="5" t="n">
        <v>6700000</v>
      </c>
      <c r="D1181" s="5" t="n">
        <v>0.82</v>
      </c>
      <c r="E1181" s="5" t="n">
        <v>6.7</v>
      </c>
    </row>
    <row r="1182" customFormat="false" ht="12.75" hidden="false" customHeight="true" outlineLevel="0" collapsed="false">
      <c r="A1182" s="5" t="n">
        <v>61</v>
      </c>
      <c r="B1182" s="5" t="n">
        <v>157.38</v>
      </c>
      <c r="C1182" s="5" t="n">
        <v>11220000</v>
      </c>
      <c r="D1182" s="5" t="n">
        <v>0.97</v>
      </c>
      <c r="E1182" s="5" t="n">
        <v>11.22</v>
      </c>
    </row>
    <row r="1183" customFormat="false" ht="12.75" hidden="false" customHeight="true" outlineLevel="0" collapsed="false">
      <c r="A1183" s="5" t="n">
        <v>61</v>
      </c>
      <c r="B1183" s="5" t="n">
        <v>162.38</v>
      </c>
      <c r="C1183" s="5" t="n">
        <v>16510000</v>
      </c>
      <c r="D1183" s="5" t="n">
        <v>1.14</v>
      </c>
      <c r="E1183" s="5" t="n">
        <v>16.51</v>
      </c>
    </row>
    <row r="1184" customFormat="false" ht="12.75" hidden="false" customHeight="true" outlineLevel="0" collapsed="false">
      <c r="A1184" s="5" t="n">
        <v>61</v>
      </c>
      <c r="B1184" s="5" t="n">
        <v>166.38</v>
      </c>
      <c r="C1184" s="5" t="n">
        <v>21300000</v>
      </c>
      <c r="D1184" s="5" t="n">
        <v>1.23</v>
      </c>
      <c r="E1184" s="5" t="n">
        <v>21.3</v>
      </c>
    </row>
    <row r="1185" customFormat="false" ht="12.75" hidden="false" customHeight="true" outlineLevel="0" collapsed="false">
      <c r="A1185" s="5" t="n">
        <v>61</v>
      </c>
      <c r="B1185" s="5" t="n">
        <v>167.38</v>
      </c>
      <c r="C1185" s="5" t="n">
        <v>22500000</v>
      </c>
      <c r="D1185" s="5" t="n">
        <v>1.25</v>
      </c>
      <c r="E1185" s="5" t="n">
        <v>22.5</v>
      </c>
    </row>
    <row r="1186" customFormat="false" ht="12.75" hidden="false" customHeight="true" outlineLevel="0" collapsed="false">
      <c r="A1186" s="5" t="n">
        <v>61</v>
      </c>
      <c r="B1186" s="5" t="n">
        <v>172.38</v>
      </c>
      <c r="C1186" s="5" t="n">
        <v>29170000</v>
      </c>
      <c r="D1186" s="5" t="n">
        <v>1.41</v>
      </c>
      <c r="E1186" s="5" t="n">
        <v>29.17</v>
      </c>
    </row>
    <row r="1187" customFormat="false" ht="12.75" hidden="false" customHeight="true" outlineLevel="0" collapsed="false">
      <c r="A1187" s="5" t="n">
        <v>61</v>
      </c>
      <c r="B1187" s="5" t="n">
        <v>177.38</v>
      </c>
      <c r="C1187" s="5" t="n">
        <v>36490000</v>
      </c>
      <c r="D1187" s="5" t="n">
        <v>1.51</v>
      </c>
      <c r="E1187" s="5" t="n">
        <v>36.49</v>
      </c>
    </row>
    <row r="1188" customFormat="false" ht="12.75" hidden="false" customHeight="true" outlineLevel="0" collapsed="false">
      <c r="A1188" s="5" t="n">
        <v>61</v>
      </c>
      <c r="B1188" s="5" t="n">
        <v>182.38</v>
      </c>
      <c r="C1188" s="5" t="n">
        <v>44450000</v>
      </c>
      <c r="D1188" s="5" t="n">
        <v>1.66</v>
      </c>
      <c r="E1188" s="5" t="n">
        <v>44.45</v>
      </c>
    </row>
    <row r="1189" customFormat="false" ht="12.75" hidden="false" customHeight="true" outlineLevel="0" collapsed="false">
      <c r="A1189" s="5" t="n">
        <v>62</v>
      </c>
      <c r="B1189" s="5" t="n">
        <v>77</v>
      </c>
      <c r="C1189" s="5" t="n">
        <v>0</v>
      </c>
      <c r="D1189" s="5" t="n">
        <v>0</v>
      </c>
      <c r="E1189" s="5" t="n">
        <v>0</v>
      </c>
    </row>
    <row r="1190" customFormat="false" ht="12.75" hidden="false" customHeight="true" outlineLevel="0" collapsed="false">
      <c r="A1190" s="5" t="n">
        <v>62</v>
      </c>
      <c r="B1190" s="5" t="n">
        <v>78</v>
      </c>
      <c r="C1190" s="5" t="n">
        <v>3000</v>
      </c>
      <c r="D1190" s="5" t="n">
        <v>0.006</v>
      </c>
      <c r="E1190" s="5" t="n">
        <v>0.003</v>
      </c>
    </row>
    <row r="1191" customFormat="false" ht="12.75" hidden="false" customHeight="true" outlineLevel="0" collapsed="false">
      <c r="A1191" s="5" t="n">
        <v>62</v>
      </c>
      <c r="B1191" s="5" t="n">
        <v>79</v>
      </c>
      <c r="C1191" s="5" t="n">
        <v>20000</v>
      </c>
      <c r="D1191" s="5" t="n">
        <v>0.03</v>
      </c>
      <c r="E1191" s="5" t="n">
        <v>0.02</v>
      </c>
    </row>
    <row r="1192" customFormat="false" ht="12.75" hidden="false" customHeight="true" outlineLevel="0" collapsed="false">
      <c r="A1192" s="5" t="n">
        <v>62</v>
      </c>
      <c r="B1192" s="5" t="n">
        <v>80</v>
      </c>
      <c r="C1192" s="5" t="n">
        <v>90000</v>
      </c>
      <c r="D1192" s="5" t="n">
        <v>0.1</v>
      </c>
      <c r="E1192" s="5" t="n">
        <v>0.09</v>
      </c>
    </row>
    <row r="1193" customFormat="false" ht="12.75" hidden="false" customHeight="true" outlineLevel="0" collapsed="false">
      <c r="A1193" s="5" t="n">
        <v>62</v>
      </c>
      <c r="B1193" s="5" t="n">
        <v>81</v>
      </c>
      <c r="C1193" s="5" t="n">
        <v>250000</v>
      </c>
      <c r="D1193" s="5" t="n">
        <v>0.2</v>
      </c>
      <c r="E1193" s="5" t="n">
        <v>0.25</v>
      </c>
    </row>
    <row r="1194" customFormat="false" ht="12.75" hidden="false" customHeight="true" outlineLevel="0" collapsed="false">
      <c r="A1194" s="5" t="n">
        <v>62</v>
      </c>
      <c r="B1194" s="5" t="n">
        <v>82</v>
      </c>
      <c r="C1194" s="5" t="n">
        <v>510000</v>
      </c>
      <c r="D1194" s="5" t="n">
        <v>0.31</v>
      </c>
      <c r="E1194" s="5" t="n">
        <v>0.51</v>
      </c>
    </row>
    <row r="1195" customFormat="false" ht="12.75" hidden="false" customHeight="true" outlineLevel="0" collapsed="false">
      <c r="A1195" s="5" t="n">
        <v>62</v>
      </c>
      <c r="B1195" s="5" t="n">
        <v>83</v>
      </c>
      <c r="C1195" s="5" t="n">
        <v>890000</v>
      </c>
      <c r="D1195" s="5" t="n">
        <v>0.45</v>
      </c>
      <c r="E1195" s="5" t="n">
        <v>0.89</v>
      </c>
    </row>
    <row r="1196" customFormat="false" ht="12.75" hidden="false" customHeight="true" outlineLevel="0" collapsed="false">
      <c r="A1196" s="5" t="n">
        <v>62</v>
      </c>
      <c r="B1196" s="5" t="n">
        <v>84</v>
      </c>
      <c r="C1196" s="5" t="n">
        <v>1410000</v>
      </c>
      <c r="D1196" s="5" t="n">
        <v>0.59</v>
      </c>
      <c r="E1196" s="5" t="n">
        <v>1.41</v>
      </c>
    </row>
    <row r="1197" customFormat="false" ht="12.75" hidden="false" customHeight="true" outlineLevel="0" collapsed="false">
      <c r="A1197" s="5" t="n">
        <v>62</v>
      </c>
      <c r="B1197" s="5" t="n">
        <v>85</v>
      </c>
      <c r="C1197" s="5" t="n">
        <v>2090000</v>
      </c>
      <c r="D1197" s="5" t="n">
        <v>0.74</v>
      </c>
      <c r="E1197" s="5" t="n">
        <v>2.09</v>
      </c>
    </row>
    <row r="1198" customFormat="false" ht="12.75" hidden="false" customHeight="true" outlineLevel="0" collapsed="false">
      <c r="A1198" s="5" t="n">
        <v>62</v>
      </c>
      <c r="B1198" s="5" t="n">
        <v>86</v>
      </c>
      <c r="C1198" s="5" t="n">
        <v>2930000</v>
      </c>
      <c r="D1198" s="5" t="n">
        <v>0.94</v>
      </c>
      <c r="E1198" s="5" t="n">
        <v>2.93</v>
      </c>
    </row>
    <row r="1199" customFormat="false" ht="12.75" hidden="false" customHeight="true" outlineLevel="0" collapsed="false">
      <c r="A1199" s="5" t="n">
        <v>62</v>
      </c>
      <c r="B1199" s="5" t="n">
        <v>87</v>
      </c>
      <c r="C1199" s="5" t="n">
        <v>3970000</v>
      </c>
      <c r="D1199" s="5" t="n">
        <v>1.13</v>
      </c>
      <c r="E1199" s="5" t="n">
        <v>3.97</v>
      </c>
    </row>
    <row r="1200" customFormat="false" ht="12.75" hidden="false" customHeight="true" outlineLevel="0" collapsed="false">
      <c r="A1200" s="5" t="n">
        <v>62</v>
      </c>
      <c r="B1200" s="5" t="n">
        <v>88</v>
      </c>
      <c r="C1200" s="5" t="n">
        <v>5200000</v>
      </c>
      <c r="D1200" s="5" t="n">
        <v>1.33</v>
      </c>
      <c r="E1200" s="5" t="n">
        <v>5.2</v>
      </c>
    </row>
    <row r="1201" customFormat="false" ht="12.75" hidden="false" customHeight="true" outlineLevel="0" collapsed="false">
      <c r="A1201" s="5" t="n">
        <v>62</v>
      </c>
      <c r="B1201" s="5" t="n">
        <v>89</v>
      </c>
      <c r="C1201" s="5" t="n">
        <v>6630000</v>
      </c>
      <c r="D1201" s="5" t="n">
        <v>1.53</v>
      </c>
      <c r="E1201" s="5" t="n">
        <v>6.63</v>
      </c>
    </row>
    <row r="1202" customFormat="false" ht="12.75" hidden="false" customHeight="true" outlineLevel="0" collapsed="false">
      <c r="A1202" s="5" t="n">
        <v>62</v>
      </c>
      <c r="B1202" s="5" t="n">
        <v>90</v>
      </c>
      <c r="C1202" s="5" t="n">
        <v>8270000</v>
      </c>
      <c r="D1202" s="5" t="n">
        <v>1.74</v>
      </c>
      <c r="E1202" s="5" t="n">
        <v>8.27</v>
      </c>
    </row>
    <row r="1203" customFormat="false" ht="12.75" hidden="false" customHeight="true" outlineLevel="0" collapsed="false">
      <c r="A1203" s="5" t="n">
        <v>63</v>
      </c>
      <c r="B1203" s="5" t="n">
        <v>163.51</v>
      </c>
      <c r="C1203" s="5" t="n">
        <v>0</v>
      </c>
      <c r="D1203" s="5" t="n">
        <v>0</v>
      </c>
      <c r="E1203" s="5" t="n">
        <v>0</v>
      </c>
    </row>
    <row r="1204" customFormat="false" ht="12.75" hidden="false" customHeight="true" outlineLevel="0" collapsed="false">
      <c r="A1204" s="5" t="n">
        <v>63</v>
      </c>
      <c r="B1204" s="5" t="n">
        <v>164</v>
      </c>
      <c r="C1204" s="5" t="n">
        <v>100</v>
      </c>
      <c r="D1204" s="5" t="n">
        <v>0.0007</v>
      </c>
      <c r="E1204" s="5" t="n">
        <v>0.0001</v>
      </c>
    </row>
    <row r="1205" customFormat="false" ht="12.75" hidden="false" customHeight="true" outlineLevel="0" collapsed="false">
      <c r="A1205" s="5" t="n">
        <v>63</v>
      </c>
      <c r="B1205" s="5" t="n">
        <v>165</v>
      </c>
      <c r="C1205" s="5" t="n">
        <v>5442</v>
      </c>
      <c r="D1205" s="5" t="n">
        <v>0.0128</v>
      </c>
      <c r="E1205" s="5" t="n">
        <v>0.005442</v>
      </c>
    </row>
    <row r="1206" customFormat="false" ht="12.75" hidden="false" customHeight="true" outlineLevel="0" collapsed="false">
      <c r="A1206" s="5" t="n">
        <v>63</v>
      </c>
      <c r="B1206" s="5" t="n">
        <v>166</v>
      </c>
      <c r="C1206" s="5" t="n">
        <v>78981</v>
      </c>
      <c r="D1206" s="5" t="n">
        <v>0.1998</v>
      </c>
      <c r="E1206" s="5" t="n">
        <v>0.078981</v>
      </c>
    </row>
    <row r="1207" customFormat="false" ht="12.75" hidden="false" customHeight="true" outlineLevel="0" collapsed="false">
      <c r="A1207" s="5" t="n">
        <v>63</v>
      </c>
      <c r="B1207" s="5" t="n">
        <v>167</v>
      </c>
      <c r="C1207" s="5" t="n">
        <v>566876</v>
      </c>
      <c r="D1207" s="5" t="n">
        <v>0.8175</v>
      </c>
      <c r="E1207" s="5" t="n">
        <v>0.566876</v>
      </c>
    </row>
    <row r="1208" customFormat="false" ht="12.75" hidden="false" customHeight="true" outlineLevel="0" collapsed="false">
      <c r="A1208" s="5" t="n">
        <v>63</v>
      </c>
      <c r="B1208" s="5" t="n">
        <v>168</v>
      </c>
      <c r="C1208" s="5" t="n">
        <v>1828617</v>
      </c>
      <c r="D1208" s="5" t="n">
        <v>1.7938</v>
      </c>
      <c r="E1208" s="5" t="n">
        <v>1.828617</v>
      </c>
    </row>
    <row r="1209" customFormat="false" ht="12.75" hidden="false" customHeight="true" outlineLevel="0" collapsed="false">
      <c r="A1209" s="5" t="n">
        <v>63</v>
      </c>
      <c r="B1209" s="5" t="n">
        <v>169</v>
      </c>
      <c r="C1209" s="5" t="n">
        <v>4251368</v>
      </c>
      <c r="D1209" s="5" t="n">
        <v>2.969</v>
      </c>
      <c r="E1209" s="5" t="n">
        <v>4.251368</v>
      </c>
    </row>
    <row r="1210" customFormat="false" ht="12.75" hidden="false" customHeight="true" outlineLevel="0" collapsed="false">
      <c r="A1210" s="5" t="n">
        <v>63</v>
      </c>
      <c r="B1210" s="5" t="n">
        <v>170</v>
      </c>
      <c r="C1210" s="5" t="n">
        <v>7525256</v>
      </c>
      <c r="D1210" s="5" t="n">
        <v>3.4217</v>
      </c>
      <c r="E1210" s="5" t="n">
        <v>7.525256</v>
      </c>
    </row>
    <row r="1211" customFormat="false" ht="12.75" hidden="false" customHeight="true" outlineLevel="0" collapsed="false">
      <c r="A1211" s="5" t="n">
        <v>63</v>
      </c>
      <c r="B1211" s="5" t="n">
        <v>170.62</v>
      </c>
      <c r="C1211" s="5" t="n">
        <v>9667419</v>
      </c>
      <c r="D1211" s="5" t="n">
        <v>3.485</v>
      </c>
      <c r="E1211" s="5" t="n">
        <v>9.667419</v>
      </c>
    </row>
    <row r="1212" customFormat="false" ht="12.75" hidden="false" customHeight="true" outlineLevel="0" collapsed="false">
      <c r="A1212" s="5" t="n">
        <v>63</v>
      </c>
      <c r="B1212" s="5" t="n">
        <v>171</v>
      </c>
      <c r="C1212" s="5" t="n">
        <v>11742246</v>
      </c>
      <c r="D1212" s="5" t="n">
        <v>3.9714</v>
      </c>
      <c r="E1212" s="5" t="n">
        <v>11.742246</v>
      </c>
    </row>
    <row r="1213" customFormat="false" ht="12.75" hidden="false" customHeight="true" outlineLevel="0" collapsed="false">
      <c r="A1213" s="5" t="n">
        <v>63</v>
      </c>
      <c r="B1213" s="5" t="n">
        <v>172</v>
      </c>
      <c r="C1213" s="5" t="n">
        <v>18702246</v>
      </c>
      <c r="D1213" s="5" t="n">
        <v>5.7114</v>
      </c>
      <c r="E1213" s="5" t="n">
        <v>18.702246</v>
      </c>
    </row>
    <row r="1214" customFormat="false" ht="12.75" hidden="false" customHeight="true" outlineLevel="0" collapsed="false">
      <c r="A1214" s="5" t="n">
        <v>63</v>
      </c>
      <c r="B1214" s="5" t="n">
        <v>173</v>
      </c>
      <c r="C1214" s="5" t="n">
        <v>27592246</v>
      </c>
      <c r="D1214" s="5" t="n">
        <v>7.8314</v>
      </c>
      <c r="E1214" s="5" t="n">
        <v>27.592246</v>
      </c>
    </row>
    <row r="1215" customFormat="false" ht="12.75" hidden="false" customHeight="true" outlineLevel="0" collapsed="false">
      <c r="A1215" s="5" t="n">
        <v>63</v>
      </c>
      <c r="B1215" s="5" t="n">
        <v>174</v>
      </c>
      <c r="C1215" s="5" t="n">
        <v>38602246</v>
      </c>
      <c r="D1215" s="5" t="n">
        <v>9.9314</v>
      </c>
      <c r="E1215" s="5" t="n">
        <v>38.602246</v>
      </c>
    </row>
    <row r="1216" customFormat="false" ht="12.75" hidden="false" customHeight="true" outlineLevel="0" collapsed="false">
      <c r="A1216" s="5" t="n">
        <v>63</v>
      </c>
      <c r="B1216" s="5" t="n">
        <v>175</v>
      </c>
      <c r="C1216" s="5" t="n">
        <v>52042246</v>
      </c>
      <c r="D1216" s="5" t="n">
        <v>12.7514</v>
      </c>
      <c r="E1216" s="5" t="n">
        <v>52.042246</v>
      </c>
    </row>
    <row r="1217" customFormat="false" ht="12.75" hidden="false" customHeight="true" outlineLevel="0" collapsed="false">
      <c r="A1217" s="5" t="n">
        <v>63</v>
      </c>
      <c r="B1217" s="5" t="n">
        <v>175.48</v>
      </c>
      <c r="C1217" s="5" t="n">
        <v>59837378</v>
      </c>
      <c r="D1217" s="5" t="n">
        <v>14.009</v>
      </c>
      <c r="E1217" s="5" t="n">
        <v>59.837378</v>
      </c>
    </row>
    <row r="1218" customFormat="false" ht="12.75" hidden="false" customHeight="true" outlineLevel="0" collapsed="false">
      <c r="A1218" s="5" t="n">
        <v>63</v>
      </c>
      <c r="B1218" s="5" t="n">
        <v>175.5</v>
      </c>
      <c r="C1218" s="5" t="n">
        <v>66380000</v>
      </c>
      <c r="D1218" s="5" t="n">
        <v>14.8016</v>
      </c>
      <c r="E1218" s="5" t="n">
        <v>66.38</v>
      </c>
    </row>
    <row r="1219" customFormat="false" ht="12.75" hidden="false" customHeight="true" outlineLevel="0" collapsed="false">
      <c r="A1219" s="5" t="n">
        <v>63</v>
      </c>
      <c r="B1219" s="5" t="n">
        <v>176</v>
      </c>
      <c r="C1219" s="5" t="n">
        <v>68252246</v>
      </c>
      <c r="D1219" s="5" t="n">
        <v>15.3741</v>
      </c>
      <c r="E1219" s="5" t="n">
        <v>68.252246</v>
      </c>
    </row>
    <row r="1220" customFormat="false" ht="12.75" hidden="false" customHeight="true" outlineLevel="0" collapsed="false">
      <c r="A1220" s="5" t="n">
        <v>63</v>
      </c>
      <c r="B1220" s="5" t="n">
        <v>177</v>
      </c>
      <c r="C1220" s="5" t="n">
        <v>87422246</v>
      </c>
      <c r="D1220" s="5" t="n">
        <v>18.7114</v>
      </c>
      <c r="E1220" s="5" t="n">
        <v>87.422246</v>
      </c>
    </row>
    <row r="1221" customFormat="false" ht="12.75" hidden="false" customHeight="true" outlineLevel="0" collapsed="false">
      <c r="A1221" s="5" t="n">
        <v>63</v>
      </c>
      <c r="B1221" s="5" t="n">
        <v>178</v>
      </c>
      <c r="C1221" s="5" t="n">
        <v>110102246</v>
      </c>
      <c r="D1221" s="5" t="n">
        <v>22.4014</v>
      </c>
      <c r="E1221" s="5" t="n">
        <v>110.102246</v>
      </c>
    </row>
    <row r="1222" customFormat="false" ht="12.75" hidden="false" customHeight="true" outlineLevel="0" collapsed="false">
      <c r="A1222" s="5" t="n">
        <v>63</v>
      </c>
      <c r="B1222" s="5" t="n">
        <v>179</v>
      </c>
      <c r="C1222" s="5" t="n">
        <v>136402246</v>
      </c>
      <c r="D1222" s="5" t="n">
        <v>25.9514</v>
      </c>
      <c r="E1222" s="5" t="n">
        <v>136.402246</v>
      </c>
    </row>
    <row r="1223" customFormat="false" ht="12.75" hidden="false" customHeight="true" outlineLevel="0" collapsed="false">
      <c r="A1223" s="5" t="n">
        <v>63</v>
      </c>
      <c r="B1223" s="5" t="n">
        <v>180</v>
      </c>
      <c r="C1223" s="5" t="n">
        <v>166272246</v>
      </c>
      <c r="D1223" s="5" t="n">
        <v>29.5314</v>
      </c>
      <c r="E1223" s="5" t="n">
        <v>166.272246</v>
      </c>
    </row>
    <row r="1224" customFormat="false" ht="12.75" hidden="false" customHeight="true" outlineLevel="0" collapsed="false">
      <c r="A1224" s="5" t="n">
        <v>64</v>
      </c>
      <c r="B1224" s="5" t="n">
        <v>95</v>
      </c>
      <c r="C1224" s="5" t="n">
        <v>0</v>
      </c>
      <c r="D1224" s="5" t="n">
        <v>0</v>
      </c>
      <c r="E1224" s="5" t="n">
        <v>0</v>
      </c>
    </row>
    <row r="1225" customFormat="false" ht="12.75" hidden="false" customHeight="true" outlineLevel="0" collapsed="false">
      <c r="A1225" s="5" t="n">
        <v>64</v>
      </c>
      <c r="B1225" s="5" t="n">
        <v>96</v>
      </c>
      <c r="C1225" s="5" t="n">
        <v>150000</v>
      </c>
      <c r="D1225" s="5" t="n">
        <v>0.08</v>
      </c>
      <c r="E1225" s="5" t="n">
        <v>0.15</v>
      </c>
    </row>
    <row r="1226" customFormat="false" ht="12.75" hidden="false" customHeight="true" outlineLevel="0" collapsed="false">
      <c r="A1226" s="5" t="n">
        <v>64</v>
      </c>
      <c r="B1226" s="5" t="n">
        <v>97</v>
      </c>
      <c r="C1226" s="5" t="n">
        <v>250000</v>
      </c>
      <c r="D1226" s="5" t="n">
        <v>0.11</v>
      </c>
      <c r="E1226" s="5" t="n">
        <v>0.25</v>
      </c>
    </row>
    <row r="1227" customFormat="false" ht="12.75" hidden="false" customHeight="true" outlineLevel="0" collapsed="false">
      <c r="A1227" s="5" t="n">
        <v>64</v>
      </c>
      <c r="B1227" s="5" t="n">
        <v>98</v>
      </c>
      <c r="C1227" s="5" t="n">
        <v>450000</v>
      </c>
      <c r="D1227" s="5" t="n">
        <v>0.28</v>
      </c>
      <c r="E1227" s="5" t="n">
        <v>0.45</v>
      </c>
    </row>
    <row r="1228" customFormat="false" ht="12.75" hidden="false" customHeight="true" outlineLevel="0" collapsed="false">
      <c r="A1228" s="5" t="n">
        <v>64</v>
      </c>
      <c r="B1228" s="5" t="n">
        <v>99</v>
      </c>
      <c r="C1228" s="5" t="n">
        <v>800000</v>
      </c>
      <c r="D1228" s="5" t="n">
        <v>0.41</v>
      </c>
      <c r="E1228" s="5" t="n">
        <v>0.8</v>
      </c>
    </row>
    <row r="1229" customFormat="false" ht="12.75" hidden="false" customHeight="true" outlineLevel="0" collapsed="false">
      <c r="A1229" s="5" t="n">
        <v>64</v>
      </c>
      <c r="B1229" s="5" t="n">
        <v>100</v>
      </c>
      <c r="C1229" s="5" t="n">
        <v>1300000</v>
      </c>
      <c r="D1229" s="5" t="n">
        <v>0.58</v>
      </c>
      <c r="E1229" s="5" t="n">
        <v>1.3</v>
      </c>
    </row>
    <row r="1230" customFormat="false" ht="12.75" hidden="false" customHeight="true" outlineLevel="0" collapsed="false">
      <c r="A1230" s="5" t="n">
        <v>64</v>
      </c>
      <c r="B1230" s="5" t="n">
        <v>101</v>
      </c>
      <c r="C1230" s="5" t="n">
        <v>2000000</v>
      </c>
      <c r="D1230" s="5" t="n">
        <v>0.81</v>
      </c>
      <c r="E1230" s="5" t="n">
        <v>2</v>
      </c>
    </row>
    <row r="1231" customFormat="false" ht="12.75" hidden="false" customHeight="true" outlineLevel="0" collapsed="false">
      <c r="A1231" s="5" t="n">
        <v>64</v>
      </c>
      <c r="B1231" s="5" t="n">
        <v>102</v>
      </c>
      <c r="C1231" s="5" t="n">
        <v>2850000</v>
      </c>
      <c r="D1231" s="5" t="n">
        <v>0.88</v>
      </c>
      <c r="E1231" s="5" t="n">
        <v>2.85</v>
      </c>
    </row>
    <row r="1232" customFormat="false" ht="12.75" hidden="false" customHeight="true" outlineLevel="0" collapsed="false">
      <c r="A1232" s="5" t="n">
        <v>64</v>
      </c>
      <c r="B1232" s="5" t="n">
        <v>103</v>
      </c>
      <c r="C1232" s="5" t="n">
        <v>3850000</v>
      </c>
      <c r="D1232" s="5" t="n">
        <v>1.11</v>
      </c>
      <c r="E1232" s="5" t="n">
        <v>3.85</v>
      </c>
    </row>
    <row r="1233" customFormat="false" ht="12.75" hidden="false" customHeight="true" outlineLevel="0" collapsed="false">
      <c r="A1233" s="5" t="n">
        <v>64</v>
      </c>
      <c r="B1233" s="5" t="n">
        <v>104</v>
      </c>
      <c r="C1233" s="5" t="n">
        <v>5150000</v>
      </c>
      <c r="D1233" s="5" t="n">
        <v>1.48</v>
      </c>
      <c r="E1233" s="5" t="n">
        <v>5.15</v>
      </c>
    </row>
    <row r="1234" customFormat="false" ht="12.75" hidden="false" customHeight="true" outlineLevel="0" collapsed="false">
      <c r="A1234" s="5" t="n">
        <v>64</v>
      </c>
      <c r="B1234" s="5" t="n">
        <v>104.5</v>
      </c>
      <c r="C1234" s="5" t="n">
        <v>6000000</v>
      </c>
      <c r="D1234" s="5" t="n">
        <v>1.54</v>
      </c>
      <c r="E1234" s="5" t="n">
        <v>6</v>
      </c>
    </row>
    <row r="1235" customFormat="false" ht="12.75" hidden="false" customHeight="true" outlineLevel="0" collapsed="false">
      <c r="A1235" s="5" t="n">
        <v>64</v>
      </c>
      <c r="B1235" s="5" t="n">
        <v>105</v>
      </c>
      <c r="C1235" s="5" t="n">
        <v>6700000</v>
      </c>
      <c r="D1235" s="5" t="n">
        <v>1.61</v>
      </c>
      <c r="E1235" s="5" t="n">
        <v>6.7</v>
      </c>
    </row>
    <row r="1236" customFormat="false" ht="12.75" hidden="false" customHeight="true" outlineLevel="0" collapsed="false">
      <c r="A1236" s="5" t="n">
        <v>64</v>
      </c>
      <c r="B1236" s="5" t="n">
        <v>106</v>
      </c>
      <c r="C1236" s="5" t="n">
        <v>8500000</v>
      </c>
      <c r="D1236" s="5" t="n">
        <v>1.98</v>
      </c>
      <c r="E1236" s="5" t="n">
        <v>8.5</v>
      </c>
    </row>
    <row r="1237" customFormat="false" ht="12.75" hidden="false" customHeight="true" outlineLevel="0" collapsed="false">
      <c r="A1237" s="5" t="n">
        <v>64</v>
      </c>
      <c r="B1237" s="5" t="n">
        <v>107</v>
      </c>
      <c r="C1237" s="5" t="n">
        <v>10600000</v>
      </c>
      <c r="D1237" s="5" t="n">
        <v>2.22</v>
      </c>
      <c r="E1237" s="5" t="n">
        <v>10.6</v>
      </c>
    </row>
    <row r="1238" customFormat="false" ht="12.75" hidden="false" customHeight="true" outlineLevel="0" collapsed="false">
      <c r="A1238" s="5" t="n">
        <v>65</v>
      </c>
      <c r="B1238" s="5" t="n">
        <v>82.97</v>
      </c>
      <c r="C1238" s="5" t="n">
        <v>0</v>
      </c>
      <c r="D1238" s="5" t="n">
        <v>0</v>
      </c>
      <c r="E1238" s="5" t="n">
        <v>0</v>
      </c>
    </row>
    <row r="1239" customFormat="false" ht="12.75" hidden="false" customHeight="true" outlineLevel="0" collapsed="false">
      <c r="A1239" s="5" t="n">
        <v>65</v>
      </c>
      <c r="B1239" s="5" t="n">
        <v>83</v>
      </c>
      <c r="C1239" s="5" t="n">
        <v>232000</v>
      </c>
      <c r="D1239" s="5" t="n">
        <v>0.158</v>
      </c>
      <c r="E1239" s="5" t="n">
        <v>0.232</v>
      </c>
    </row>
    <row r="1240" customFormat="false" ht="12.75" hidden="false" customHeight="true" outlineLevel="0" collapsed="false">
      <c r="A1240" s="5" t="n">
        <v>65</v>
      </c>
      <c r="B1240" s="5" t="n">
        <v>84</v>
      </c>
      <c r="C1240" s="5" t="n">
        <v>398000</v>
      </c>
      <c r="D1240" s="5" t="n">
        <v>0.173</v>
      </c>
      <c r="E1240" s="5" t="n">
        <v>0.398</v>
      </c>
    </row>
    <row r="1241" customFormat="false" ht="12.75" hidden="false" customHeight="true" outlineLevel="0" collapsed="false">
      <c r="A1241" s="5" t="n">
        <v>65</v>
      </c>
      <c r="B1241" s="5" t="n">
        <v>85</v>
      </c>
      <c r="C1241" s="5" t="n">
        <v>597000</v>
      </c>
      <c r="D1241" s="5" t="n">
        <v>0.224</v>
      </c>
      <c r="E1241" s="5" t="n">
        <v>0.597</v>
      </c>
    </row>
    <row r="1242" customFormat="false" ht="12.75" hidden="false" customHeight="true" outlineLevel="0" collapsed="false">
      <c r="A1242" s="5" t="n">
        <v>65</v>
      </c>
      <c r="B1242" s="5" t="n">
        <v>86</v>
      </c>
      <c r="C1242" s="5" t="n">
        <v>948000</v>
      </c>
      <c r="D1242" s="5" t="n">
        <v>0.478</v>
      </c>
      <c r="E1242" s="5" t="n">
        <v>0.948</v>
      </c>
    </row>
    <row r="1243" customFormat="false" ht="12.75" hidden="false" customHeight="true" outlineLevel="0" collapsed="false">
      <c r="A1243" s="5" t="n">
        <v>65</v>
      </c>
      <c r="B1243" s="5" t="n">
        <v>87</v>
      </c>
      <c r="C1243" s="5" t="n">
        <v>1593000</v>
      </c>
      <c r="D1243" s="5" t="n">
        <v>0.81</v>
      </c>
      <c r="E1243" s="5" t="n">
        <v>1.593</v>
      </c>
    </row>
    <row r="1244" customFormat="false" ht="12.75" hidden="false" customHeight="true" outlineLevel="0" collapsed="false">
      <c r="A1244" s="5" t="n">
        <v>65</v>
      </c>
      <c r="B1244" s="5" t="n">
        <v>88</v>
      </c>
      <c r="C1244" s="5" t="n">
        <v>2523000</v>
      </c>
      <c r="D1244" s="5" t="n">
        <v>1.05</v>
      </c>
      <c r="E1244" s="5" t="n">
        <v>2.523</v>
      </c>
    </row>
    <row r="1245" customFormat="false" ht="12.75" hidden="false" customHeight="true" outlineLevel="0" collapsed="false">
      <c r="A1245" s="5" t="n">
        <v>65</v>
      </c>
      <c r="B1245" s="5" t="n">
        <v>89</v>
      </c>
      <c r="C1245" s="5" t="n">
        <v>3895000</v>
      </c>
      <c r="D1245" s="5" t="n">
        <v>1.693</v>
      </c>
      <c r="E1245" s="5" t="n">
        <v>3.895</v>
      </c>
    </row>
    <row r="1246" customFormat="false" ht="12.75" hidden="false" customHeight="true" outlineLevel="0" collapsed="false">
      <c r="A1246" s="5" t="n">
        <v>65</v>
      </c>
      <c r="B1246" s="5" t="n">
        <v>90</v>
      </c>
      <c r="C1246" s="5" t="n">
        <v>5809000</v>
      </c>
      <c r="D1246" s="5" t="n">
        <v>2.134</v>
      </c>
      <c r="E1246" s="5" t="n">
        <v>5.809</v>
      </c>
    </row>
    <row r="1247" customFormat="false" ht="12.75" hidden="false" customHeight="true" outlineLevel="0" collapsed="false">
      <c r="A1247" s="5" t="n">
        <v>65</v>
      </c>
      <c r="B1247" s="5" t="n">
        <v>91</v>
      </c>
      <c r="C1247" s="5" t="n">
        <v>8139000</v>
      </c>
      <c r="D1247" s="5" t="n">
        <v>2.526</v>
      </c>
      <c r="E1247" s="5" t="n">
        <v>8.139</v>
      </c>
    </row>
    <row r="1248" customFormat="false" ht="12.75" hidden="false" customHeight="true" outlineLevel="0" collapsed="false">
      <c r="A1248" s="5" t="n">
        <v>65</v>
      </c>
      <c r="B1248" s="5" t="n">
        <v>92</v>
      </c>
      <c r="C1248" s="5" t="n">
        <v>10797000</v>
      </c>
      <c r="D1248" s="5" t="n">
        <v>2.789</v>
      </c>
      <c r="E1248" s="5" t="n">
        <v>10.797</v>
      </c>
    </row>
    <row r="1249" customFormat="false" ht="12.75" hidden="false" customHeight="true" outlineLevel="0" collapsed="false">
      <c r="A1249" s="5" t="n">
        <v>65</v>
      </c>
      <c r="B1249" s="5" t="n">
        <v>93</v>
      </c>
      <c r="C1249" s="5" t="n">
        <v>13655000</v>
      </c>
      <c r="D1249" s="5" t="n">
        <v>2.926</v>
      </c>
      <c r="E1249" s="5" t="n">
        <v>13.655</v>
      </c>
    </row>
    <row r="1250" customFormat="false" ht="12.75" hidden="false" customHeight="true" outlineLevel="0" collapsed="false">
      <c r="A1250" s="5" t="n">
        <v>65</v>
      </c>
      <c r="B1250" s="5" t="n">
        <v>94</v>
      </c>
      <c r="C1250" s="5" t="n">
        <v>16680000</v>
      </c>
      <c r="D1250" s="5" t="n">
        <v>3.122</v>
      </c>
      <c r="E1250" s="5" t="n">
        <v>16.68</v>
      </c>
    </row>
    <row r="1251" customFormat="false" ht="12.75" hidden="false" customHeight="true" outlineLevel="0" collapsed="false">
      <c r="A1251" s="5" t="n">
        <v>65</v>
      </c>
      <c r="B1251" s="5" t="n">
        <v>95</v>
      </c>
      <c r="C1251" s="5" t="n">
        <v>20620000</v>
      </c>
      <c r="D1251" s="5" t="n">
        <v>4.756</v>
      </c>
      <c r="E1251" s="5" t="n">
        <v>20.62</v>
      </c>
    </row>
    <row r="1252" customFormat="false" ht="12.75" hidden="false" customHeight="true" outlineLevel="0" collapsed="false">
      <c r="A1252" s="5" t="n">
        <v>65</v>
      </c>
      <c r="B1252" s="5" t="n">
        <v>96</v>
      </c>
      <c r="C1252" s="5" t="n">
        <v>26234000</v>
      </c>
      <c r="D1252" s="5" t="n">
        <v>6.471</v>
      </c>
      <c r="E1252" s="5" t="n">
        <v>26.234</v>
      </c>
    </row>
    <row r="1253" customFormat="false" ht="12.75" hidden="false" customHeight="true" outlineLevel="0" collapsed="false">
      <c r="A1253" s="5" t="n">
        <v>65</v>
      </c>
      <c r="B1253" s="5" t="n">
        <v>97</v>
      </c>
      <c r="C1253" s="5" t="n">
        <v>30000000</v>
      </c>
      <c r="D1253" s="5" t="n">
        <v>10</v>
      </c>
      <c r="E1253" s="5" t="n">
        <v>30</v>
      </c>
    </row>
    <row r="1254" customFormat="false" ht="12.75" hidden="false" customHeight="true" outlineLevel="0" collapsed="false">
      <c r="A1254" s="5" t="n">
        <v>66</v>
      </c>
      <c r="B1254" s="5" t="n">
        <v>89.23</v>
      </c>
      <c r="C1254" s="5" t="n">
        <v>0</v>
      </c>
      <c r="D1254" s="5" t="n">
        <v>0</v>
      </c>
      <c r="E1254" s="5" t="n">
        <v>0</v>
      </c>
    </row>
    <row r="1255" customFormat="false" ht="12.75" hidden="false" customHeight="true" outlineLevel="0" collapsed="false">
      <c r="A1255" s="5" t="n">
        <v>66</v>
      </c>
      <c r="B1255" s="5" t="n">
        <v>90</v>
      </c>
      <c r="C1255" s="5" t="n">
        <v>1</v>
      </c>
      <c r="D1255" s="5" t="n">
        <v>0</v>
      </c>
      <c r="E1255" s="5" t="n">
        <v>1E-006</v>
      </c>
    </row>
    <row r="1256" customFormat="false" ht="12.75" hidden="false" customHeight="true" outlineLevel="0" collapsed="false">
      <c r="A1256" s="5" t="n">
        <v>66</v>
      </c>
      <c r="B1256" s="5" t="n">
        <v>91</v>
      </c>
      <c r="C1256" s="5" t="n">
        <v>10</v>
      </c>
      <c r="D1256" s="5" t="n">
        <v>0</v>
      </c>
      <c r="E1256" s="5" t="n">
        <v>1E-005</v>
      </c>
    </row>
    <row r="1257" customFormat="false" ht="12.75" hidden="false" customHeight="true" outlineLevel="0" collapsed="false">
      <c r="A1257" s="5" t="n">
        <v>66</v>
      </c>
      <c r="B1257" s="5" t="n">
        <v>92</v>
      </c>
      <c r="C1257" s="5" t="n">
        <v>100</v>
      </c>
      <c r="D1257" s="5" t="n">
        <v>0.0002</v>
      </c>
      <c r="E1257" s="5" t="n">
        <v>0.0001</v>
      </c>
    </row>
    <row r="1258" customFormat="false" ht="12.75" hidden="false" customHeight="true" outlineLevel="0" collapsed="false">
      <c r="A1258" s="5" t="n">
        <v>66</v>
      </c>
      <c r="B1258" s="5" t="n">
        <v>93</v>
      </c>
      <c r="C1258" s="5" t="n">
        <v>700</v>
      </c>
      <c r="D1258" s="5" t="n">
        <v>0.001</v>
      </c>
      <c r="E1258" s="5" t="n">
        <v>0.0007</v>
      </c>
    </row>
    <row r="1259" customFormat="false" ht="12.75" hidden="false" customHeight="true" outlineLevel="0" collapsed="false">
      <c r="A1259" s="5" t="n">
        <v>66</v>
      </c>
      <c r="B1259" s="5" t="n">
        <v>94</v>
      </c>
      <c r="C1259" s="5" t="n">
        <v>11000</v>
      </c>
      <c r="D1259" s="5" t="n">
        <v>0.027</v>
      </c>
      <c r="E1259" s="5" t="n">
        <v>0.011</v>
      </c>
    </row>
    <row r="1260" customFormat="false" ht="12.75" hidden="false" customHeight="true" outlineLevel="0" collapsed="false">
      <c r="A1260" s="5" t="n">
        <v>66</v>
      </c>
      <c r="B1260" s="5" t="n">
        <v>95</v>
      </c>
      <c r="C1260" s="5" t="n">
        <v>107000</v>
      </c>
      <c r="D1260" s="5" t="n">
        <v>0.194</v>
      </c>
      <c r="E1260" s="5" t="n">
        <v>0.107</v>
      </c>
    </row>
    <row r="1261" customFormat="false" ht="12.75" hidden="false" customHeight="true" outlineLevel="0" collapsed="false">
      <c r="A1261" s="5" t="n">
        <v>66</v>
      </c>
      <c r="B1261" s="5" t="n">
        <v>96</v>
      </c>
      <c r="C1261" s="5" t="n">
        <v>478000</v>
      </c>
      <c r="D1261" s="5" t="n">
        <v>0.555</v>
      </c>
      <c r="E1261" s="5" t="n">
        <v>0.478</v>
      </c>
    </row>
    <row r="1262" customFormat="false" ht="12.75" hidden="false" customHeight="true" outlineLevel="0" collapsed="false">
      <c r="A1262" s="5" t="n">
        <v>66</v>
      </c>
      <c r="B1262" s="5" t="n">
        <v>97</v>
      </c>
      <c r="C1262" s="5" t="n">
        <v>1180000</v>
      </c>
      <c r="D1262" s="5" t="n">
        <v>0.783</v>
      </c>
      <c r="E1262" s="5" t="n">
        <v>1.18</v>
      </c>
    </row>
    <row r="1263" customFormat="false" ht="12.75" hidden="false" customHeight="true" outlineLevel="0" collapsed="false">
      <c r="A1263" s="5" t="n">
        <v>66</v>
      </c>
      <c r="B1263" s="5" t="n">
        <v>97.5</v>
      </c>
      <c r="C1263" s="5" t="n">
        <v>1578000</v>
      </c>
      <c r="D1263" s="5" t="n">
        <v>0.809</v>
      </c>
      <c r="E1263" s="5" t="n">
        <v>1.578</v>
      </c>
    </row>
    <row r="1264" customFormat="false" ht="12.75" hidden="false" customHeight="true" outlineLevel="0" collapsed="false">
      <c r="A1264" s="5" t="n">
        <v>66</v>
      </c>
      <c r="B1264" s="5" t="n">
        <v>98</v>
      </c>
      <c r="C1264" s="5" t="n">
        <v>2448000</v>
      </c>
      <c r="D1264" s="5" t="n">
        <v>0.949</v>
      </c>
      <c r="E1264" s="5" t="n">
        <v>2.448</v>
      </c>
    </row>
    <row r="1265" customFormat="false" ht="12.75" hidden="false" customHeight="true" outlineLevel="0" collapsed="false">
      <c r="A1265" s="5" t="n">
        <v>66</v>
      </c>
      <c r="B1265" s="5" t="n">
        <v>99</v>
      </c>
      <c r="C1265" s="5" t="n">
        <v>4400000</v>
      </c>
      <c r="D1265" s="5" t="n">
        <v>1.169</v>
      </c>
      <c r="E1265" s="5" t="n">
        <v>4.4</v>
      </c>
    </row>
    <row r="1266" customFormat="false" ht="12.75" hidden="false" customHeight="true" outlineLevel="0" collapsed="false">
      <c r="A1266" s="5" t="n">
        <v>66</v>
      </c>
      <c r="B1266" s="5" t="n">
        <v>100</v>
      </c>
      <c r="C1266" s="5" t="n">
        <v>6600000</v>
      </c>
      <c r="D1266" s="5" t="n">
        <v>1.449</v>
      </c>
      <c r="E1266" s="5" t="n">
        <v>6.6</v>
      </c>
    </row>
    <row r="1267" customFormat="false" ht="12.75" hidden="false" customHeight="true" outlineLevel="0" collapsed="false">
      <c r="A1267" s="5" t="n">
        <v>66</v>
      </c>
      <c r="B1267" s="5" t="n">
        <v>101</v>
      </c>
      <c r="C1267" s="5" t="n">
        <v>8910000</v>
      </c>
      <c r="D1267" s="5" t="n">
        <v>1.629</v>
      </c>
      <c r="E1267" s="5" t="n">
        <v>8.91</v>
      </c>
    </row>
    <row r="1268" customFormat="false" ht="12.75" hidden="false" customHeight="true" outlineLevel="0" collapsed="false">
      <c r="A1268" s="5" t="n">
        <v>67</v>
      </c>
      <c r="B1268" s="5" t="n">
        <v>103.48</v>
      </c>
      <c r="C1268" s="5" t="n">
        <v>22000</v>
      </c>
      <c r="D1268" s="5" t="n">
        <v>0.3</v>
      </c>
      <c r="E1268" s="5" t="n">
        <v>0.022</v>
      </c>
    </row>
    <row r="1269" customFormat="false" ht="12.75" hidden="false" customHeight="true" outlineLevel="0" collapsed="false">
      <c r="A1269" s="5" t="n">
        <v>67</v>
      </c>
      <c r="B1269" s="5" t="n">
        <v>104</v>
      </c>
      <c r="C1269" s="5" t="n">
        <v>200000</v>
      </c>
      <c r="D1269" s="5" t="n">
        <v>0.5</v>
      </c>
      <c r="E1269" s="5" t="n">
        <v>0.2</v>
      </c>
    </row>
    <row r="1270" customFormat="false" ht="12.75" hidden="false" customHeight="true" outlineLevel="0" collapsed="false">
      <c r="A1270" s="5" t="n">
        <v>67</v>
      </c>
      <c r="B1270" s="5" t="n">
        <v>105</v>
      </c>
      <c r="C1270" s="5" t="n">
        <v>300000</v>
      </c>
      <c r="D1270" s="5" t="n">
        <v>0.7</v>
      </c>
      <c r="E1270" s="5" t="n">
        <v>0.3</v>
      </c>
    </row>
    <row r="1271" customFormat="false" ht="12.75" hidden="false" customHeight="true" outlineLevel="0" collapsed="false">
      <c r="A1271" s="5" t="n">
        <v>67</v>
      </c>
      <c r="B1271" s="5" t="n">
        <v>106</v>
      </c>
      <c r="C1271" s="5" t="n">
        <v>700000</v>
      </c>
      <c r="D1271" s="5" t="n">
        <v>0.8</v>
      </c>
      <c r="E1271" s="5" t="n">
        <v>0.7</v>
      </c>
    </row>
    <row r="1272" customFormat="false" ht="12.75" hidden="false" customHeight="true" outlineLevel="0" collapsed="false">
      <c r="A1272" s="5" t="n">
        <v>67</v>
      </c>
      <c r="B1272" s="5" t="n">
        <v>107</v>
      </c>
      <c r="C1272" s="5" t="n">
        <v>903000</v>
      </c>
      <c r="D1272" s="5" t="n">
        <v>0.9</v>
      </c>
      <c r="E1272" s="5" t="n">
        <v>0.903</v>
      </c>
    </row>
    <row r="1273" customFormat="false" ht="12.75" hidden="false" customHeight="true" outlineLevel="0" collapsed="false">
      <c r="A1273" s="5" t="n">
        <v>67</v>
      </c>
      <c r="B1273" s="5" t="n">
        <v>108</v>
      </c>
      <c r="C1273" s="5" t="n">
        <v>1800000</v>
      </c>
      <c r="D1273" s="5" t="n">
        <v>1.1753</v>
      </c>
      <c r="E1273" s="5" t="n">
        <v>1.8</v>
      </c>
    </row>
    <row r="1274" customFormat="false" ht="12.75" hidden="false" customHeight="true" outlineLevel="0" collapsed="false">
      <c r="A1274" s="5" t="n">
        <v>67</v>
      </c>
      <c r="B1274" s="5" t="n">
        <v>109</v>
      </c>
      <c r="C1274" s="5" t="n">
        <v>3350000</v>
      </c>
      <c r="D1274" s="5" t="n">
        <v>1.4505</v>
      </c>
      <c r="E1274" s="5" t="n">
        <v>3.35</v>
      </c>
    </row>
    <row r="1275" customFormat="false" ht="12.75" hidden="false" customHeight="true" outlineLevel="0" collapsed="false">
      <c r="A1275" s="5" t="n">
        <v>67</v>
      </c>
      <c r="B1275" s="5" t="n">
        <v>110</v>
      </c>
      <c r="C1275" s="5" t="n">
        <v>4701000</v>
      </c>
      <c r="D1275" s="5" t="n">
        <v>1.68</v>
      </c>
      <c r="E1275" s="5" t="n">
        <v>4.701</v>
      </c>
    </row>
    <row r="1276" customFormat="false" ht="12.75" hidden="false" customHeight="true" outlineLevel="0" collapsed="false">
      <c r="A1276" s="5" t="n">
        <v>67</v>
      </c>
      <c r="B1276" s="5" t="n">
        <v>111</v>
      </c>
      <c r="C1276" s="5" t="n">
        <v>6337500</v>
      </c>
      <c r="D1276" s="5" t="n">
        <v>1.9095</v>
      </c>
      <c r="E1276" s="5" t="n">
        <v>6.3375</v>
      </c>
    </row>
    <row r="1277" customFormat="false" ht="12.75" hidden="false" customHeight="true" outlineLevel="0" collapsed="false">
      <c r="A1277" s="5" t="n">
        <v>67</v>
      </c>
      <c r="B1277" s="5" t="n">
        <v>112</v>
      </c>
      <c r="C1277" s="5" t="n">
        <v>8520000</v>
      </c>
      <c r="D1277" s="5" t="n">
        <v>2.4998</v>
      </c>
      <c r="E1277" s="5" t="n">
        <v>8.52</v>
      </c>
    </row>
    <row r="1278" customFormat="false" ht="12.75" hidden="false" customHeight="true" outlineLevel="0" collapsed="false">
      <c r="A1278" s="5" t="n">
        <v>67</v>
      </c>
      <c r="B1278" s="5" t="n">
        <v>113</v>
      </c>
      <c r="C1278" s="5" t="n">
        <v>11349500</v>
      </c>
      <c r="D1278" s="5" t="n">
        <v>3.09</v>
      </c>
      <c r="E1278" s="5" t="n">
        <v>11.3495</v>
      </c>
    </row>
    <row r="1279" customFormat="false" ht="12.75" hidden="false" customHeight="true" outlineLevel="0" collapsed="false">
      <c r="A1279" s="5" t="n">
        <v>67</v>
      </c>
      <c r="B1279" s="5" t="n">
        <v>114</v>
      </c>
      <c r="C1279" s="5" t="n">
        <v>14700000</v>
      </c>
      <c r="D1279" s="5" t="n">
        <v>3.62</v>
      </c>
      <c r="E1279" s="5" t="n">
        <v>14.7</v>
      </c>
    </row>
    <row r="1280" customFormat="false" ht="12.75" hidden="false" customHeight="true" outlineLevel="0" collapsed="false">
      <c r="A1280" s="5" t="n">
        <v>67</v>
      </c>
      <c r="B1280" s="5" t="n">
        <v>115</v>
      </c>
      <c r="C1280" s="5" t="n">
        <v>18387500</v>
      </c>
      <c r="D1280" s="5" t="n">
        <v>4.15</v>
      </c>
      <c r="E1280" s="5" t="n">
        <v>18.3875</v>
      </c>
    </row>
    <row r="1281" customFormat="false" ht="12.75" hidden="false" customHeight="true" outlineLevel="0" collapsed="false">
      <c r="A1281" s="5" t="n">
        <v>67</v>
      </c>
      <c r="B1281" s="5" t="n">
        <v>116</v>
      </c>
      <c r="C1281" s="5" t="n">
        <v>23000000</v>
      </c>
      <c r="D1281" s="5" t="n">
        <v>5.2</v>
      </c>
      <c r="E1281" s="5" t="n">
        <v>23</v>
      </c>
    </row>
    <row r="1282" customFormat="false" ht="12.75" hidden="false" customHeight="true" outlineLevel="0" collapsed="false">
      <c r="A1282" s="5" t="n">
        <v>67</v>
      </c>
      <c r="B1282" s="5" t="n">
        <v>117</v>
      </c>
      <c r="C1282" s="5" t="n">
        <v>28667000</v>
      </c>
      <c r="D1282" s="5" t="n">
        <v>6.25</v>
      </c>
      <c r="E1282" s="5" t="n">
        <v>28.667</v>
      </c>
    </row>
    <row r="1283" customFormat="false" ht="12.75" hidden="false" customHeight="true" outlineLevel="0" collapsed="false">
      <c r="A1283" s="5" t="n">
        <v>67</v>
      </c>
      <c r="B1283" s="5" t="n">
        <v>118</v>
      </c>
      <c r="C1283" s="5" t="n">
        <v>35500000</v>
      </c>
      <c r="D1283" s="5" t="n">
        <v>7.25</v>
      </c>
      <c r="E1283" s="5" t="n">
        <v>35.5</v>
      </c>
    </row>
    <row r="1284" customFormat="false" ht="12.75" hidden="false" customHeight="true" outlineLevel="0" collapsed="false">
      <c r="A1284" s="5" t="n">
        <v>67</v>
      </c>
      <c r="B1284" s="5" t="n">
        <v>119</v>
      </c>
      <c r="C1284" s="5" t="n">
        <v>43250000</v>
      </c>
      <c r="D1284" s="5" t="n">
        <v>8.25</v>
      </c>
      <c r="E1284" s="5" t="n">
        <v>43.25</v>
      </c>
    </row>
    <row r="1285" customFormat="false" ht="12.75" hidden="false" customHeight="true" outlineLevel="0" collapsed="false">
      <c r="A1285" s="5" t="n">
        <v>67</v>
      </c>
      <c r="B1285" s="5" t="n">
        <v>120</v>
      </c>
      <c r="C1285" s="5" t="n">
        <v>52000000</v>
      </c>
      <c r="D1285" s="5" t="n">
        <v>9.5953</v>
      </c>
      <c r="E1285" s="5" t="n">
        <v>52</v>
      </c>
    </row>
    <row r="1286" customFormat="false" ht="12.75" hidden="false" customHeight="true" outlineLevel="0" collapsed="false">
      <c r="A1286" s="5" t="n">
        <v>67</v>
      </c>
      <c r="B1286" s="5" t="n">
        <v>121</v>
      </c>
      <c r="C1286" s="5" t="n">
        <v>62360000</v>
      </c>
      <c r="D1286" s="5" t="n">
        <v>10.9405</v>
      </c>
      <c r="E1286" s="5" t="n">
        <v>62.36</v>
      </c>
    </row>
    <row r="1287" customFormat="false" ht="12.75" hidden="false" customHeight="true" outlineLevel="0" collapsed="false">
      <c r="A1287" s="5" t="n">
        <v>68</v>
      </c>
      <c r="B1287" s="5" t="n">
        <v>83.2</v>
      </c>
      <c r="C1287" s="5" t="n">
        <v>0</v>
      </c>
      <c r="D1287" s="5" t="n">
        <v>0</v>
      </c>
      <c r="E1287" s="5" t="n">
        <v>0</v>
      </c>
    </row>
    <row r="1288" customFormat="false" ht="12.75" hidden="false" customHeight="true" outlineLevel="0" collapsed="false">
      <c r="A1288" s="5" t="n">
        <v>68</v>
      </c>
      <c r="B1288" s="5" t="n">
        <v>83.5</v>
      </c>
      <c r="C1288" s="5" t="n">
        <v>30</v>
      </c>
      <c r="D1288" s="5" t="n">
        <v>0.0003</v>
      </c>
      <c r="E1288" s="5" t="n">
        <v>3E-005</v>
      </c>
    </row>
    <row r="1289" customFormat="false" ht="12.75" hidden="false" customHeight="true" outlineLevel="0" collapsed="false">
      <c r="A1289" s="5" t="n">
        <v>68</v>
      </c>
      <c r="B1289" s="5" t="n">
        <v>84</v>
      </c>
      <c r="C1289" s="5" t="n">
        <v>463</v>
      </c>
      <c r="D1289" s="5" t="n">
        <v>0.0016</v>
      </c>
      <c r="E1289" s="5" t="n">
        <v>0.000463</v>
      </c>
    </row>
    <row r="1290" customFormat="false" ht="12.75" hidden="false" customHeight="true" outlineLevel="0" collapsed="false">
      <c r="A1290" s="5" t="n">
        <v>68</v>
      </c>
      <c r="B1290" s="5" t="n">
        <v>84.5</v>
      </c>
      <c r="C1290" s="5" t="n">
        <v>1855</v>
      </c>
      <c r="D1290" s="5" t="n">
        <v>0.0043</v>
      </c>
      <c r="E1290" s="5" t="n">
        <v>0.001855</v>
      </c>
    </row>
    <row r="1291" customFormat="false" ht="12.75" hidden="false" customHeight="true" outlineLevel="0" collapsed="false">
      <c r="A1291" s="5" t="n">
        <v>68</v>
      </c>
      <c r="B1291" s="5" t="n">
        <v>85</v>
      </c>
      <c r="C1291" s="5" t="n">
        <v>6355</v>
      </c>
      <c r="D1291" s="5" t="n">
        <v>0.0159</v>
      </c>
      <c r="E1291" s="5" t="n">
        <v>0.006355</v>
      </c>
    </row>
    <row r="1292" customFormat="false" ht="12.75" hidden="false" customHeight="true" outlineLevel="0" collapsed="false">
      <c r="A1292" s="5" t="n">
        <v>68</v>
      </c>
      <c r="B1292" s="5" t="n">
        <v>85.5</v>
      </c>
      <c r="C1292" s="5" t="n">
        <v>18573</v>
      </c>
      <c r="D1292" s="5" t="n">
        <v>0.0335</v>
      </c>
      <c r="E1292" s="5" t="n">
        <v>0.018573</v>
      </c>
    </row>
    <row r="1293" customFormat="false" ht="12.75" hidden="false" customHeight="true" outlineLevel="0" collapsed="false">
      <c r="A1293" s="5" t="n">
        <v>68</v>
      </c>
      <c r="B1293" s="5" t="n">
        <v>86</v>
      </c>
      <c r="C1293" s="5" t="n">
        <v>38742</v>
      </c>
      <c r="D1293" s="5" t="n">
        <v>0.0508</v>
      </c>
      <c r="E1293" s="5" t="n">
        <v>0.038742</v>
      </c>
    </row>
    <row r="1294" customFormat="false" ht="12.75" hidden="false" customHeight="true" outlineLevel="0" collapsed="false">
      <c r="A1294" s="5" t="n">
        <v>68</v>
      </c>
      <c r="B1294" s="5" t="n">
        <v>86.5</v>
      </c>
      <c r="C1294" s="5" t="n">
        <v>73468</v>
      </c>
      <c r="D1294" s="5" t="n">
        <v>0.0788</v>
      </c>
      <c r="E1294" s="5" t="n">
        <v>0.073468</v>
      </c>
    </row>
    <row r="1295" customFormat="false" ht="12.75" hidden="false" customHeight="true" outlineLevel="0" collapsed="false">
      <c r="A1295" s="5" t="n">
        <v>68</v>
      </c>
      <c r="B1295" s="5" t="n">
        <v>87</v>
      </c>
      <c r="C1295" s="5" t="n">
        <v>119674</v>
      </c>
      <c r="D1295" s="5" t="n">
        <v>0.1042</v>
      </c>
      <c r="E1295" s="5" t="n">
        <v>0.119674</v>
      </c>
    </row>
    <row r="1296" customFormat="false" ht="12.75" hidden="false" customHeight="true" outlineLevel="0" collapsed="false">
      <c r="A1296" s="5" t="n">
        <v>68</v>
      </c>
      <c r="B1296" s="5" t="n">
        <v>87.5</v>
      </c>
      <c r="C1296" s="5" t="n">
        <v>180885</v>
      </c>
      <c r="D1296" s="5" t="n">
        <v>0.1333</v>
      </c>
      <c r="E1296" s="5" t="n">
        <v>0.180885</v>
      </c>
    </row>
    <row r="1297" customFormat="false" ht="12.75" hidden="false" customHeight="true" outlineLevel="0" collapsed="false">
      <c r="A1297" s="5" t="n">
        <v>68</v>
      </c>
      <c r="B1297" s="5" t="n">
        <v>88</v>
      </c>
      <c r="C1297" s="5" t="n">
        <v>252083</v>
      </c>
      <c r="D1297" s="5" t="n">
        <v>0.1583</v>
      </c>
      <c r="E1297" s="5" t="n">
        <v>0.252083</v>
      </c>
    </row>
    <row r="1298" customFormat="false" ht="12.75" hidden="false" customHeight="true" outlineLevel="0" collapsed="false">
      <c r="A1298" s="5" t="n">
        <v>68</v>
      </c>
      <c r="B1298" s="5" t="n">
        <v>88.5</v>
      </c>
      <c r="C1298" s="5" t="n">
        <v>339940</v>
      </c>
      <c r="D1298" s="5" t="n">
        <v>0.1897</v>
      </c>
      <c r="E1298" s="5" t="n">
        <v>0.33994</v>
      </c>
    </row>
    <row r="1299" customFormat="false" ht="12.75" hidden="false" customHeight="true" outlineLevel="0" collapsed="false">
      <c r="A1299" s="5" t="n">
        <v>68</v>
      </c>
      <c r="B1299" s="5" t="n">
        <v>89</v>
      </c>
      <c r="C1299" s="5" t="n">
        <v>445443</v>
      </c>
      <c r="D1299" s="5" t="n">
        <v>0.2286</v>
      </c>
      <c r="E1299" s="5" t="n">
        <v>0.445443</v>
      </c>
    </row>
    <row r="1300" customFormat="false" ht="12.75" hidden="false" customHeight="true" outlineLevel="0" collapsed="false">
      <c r="A1300" s="5" t="n">
        <v>68</v>
      </c>
      <c r="B1300" s="5" t="n">
        <v>89.5</v>
      </c>
      <c r="C1300" s="5" t="n">
        <v>575220</v>
      </c>
      <c r="D1300" s="5" t="n">
        <v>0.2822</v>
      </c>
      <c r="E1300" s="5" t="n">
        <v>0.57522</v>
      </c>
    </row>
    <row r="1301" customFormat="false" ht="12.75" hidden="false" customHeight="true" outlineLevel="0" collapsed="false">
      <c r="A1301" s="5" t="n">
        <v>68</v>
      </c>
      <c r="B1301" s="5" t="n">
        <v>90</v>
      </c>
      <c r="C1301" s="5" t="n">
        <v>727198</v>
      </c>
      <c r="D1301" s="5" t="n">
        <v>0.3453</v>
      </c>
      <c r="E1301" s="5" t="n">
        <v>0.727198</v>
      </c>
    </row>
    <row r="1302" customFormat="false" ht="12.75" hidden="false" customHeight="true" outlineLevel="0" collapsed="false">
      <c r="A1302" s="5" t="n">
        <v>68</v>
      </c>
      <c r="B1302" s="5" t="n">
        <v>90.5</v>
      </c>
      <c r="C1302" s="5" t="n">
        <v>929393</v>
      </c>
      <c r="D1302" s="5" t="n">
        <v>0.4117</v>
      </c>
      <c r="E1302" s="5" t="n">
        <v>0.929393</v>
      </c>
    </row>
    <row r="1303" customFormat="false" ht="12.75" hidden="false" customHeight="true" outlineLevel="0" collapsed="false">
      <c r="A1303" s="5" t="n">
        <v>68</v>
      </c>
      <c r="B1303" s="5" t="n">
        <v>91</v>
      </c>
      <c r="C1303" s="5" t="n">
        <v>1151233</v>
      </c>
      <c r="D1303" s="5" t="n">
        <v>0.4754</v>
      </c>
      <c r="E1303" s="5" t="n">
        <v>1.151233</v>
      </c>
    </row>
    <row r="1304" customFormat="false" ht="12.75" hidden="false" customHeight="true" outlineLevel="0" collapsed="false">
      <c r="A1304" s="5" t="n">
        <v>68</v>
      </c>
      <c r="B1304" s="5" t="n">
        <v>91.5</v>
      </c>
      <c r="C1304" s="5" t="n">
        <v>1411249</v>
      </c>
      <c r="D1304" s="5" t="n">
        <v>0.5499</v>
      </c>
      <c r="E1304" s="5" t="n">
        <v>1.411249</v>
      </c>
    </row>
    <row r="1305" customFormat="false" ht="12.75" hidden="false" customHeight="true" outlineLevel="0" collapsed="false">
      <c r="A1305" s="5" t="n">
        <v>68</v>
      </c>
      <c r="B1305" s="5" t="n">
        <v>92</v>
      </c>
      <c r="C1305" s="5" t="n">
        <v>1710509</v>
      </c>
      <c r="D1305" s="5" t="n">
        <v>0.6374</v>
      </c>
      <c r="E1305" s="5" t="n">
        <v>1.710509</v>
      </c>
    </row>
    <row r="1306" customFormat="false" ht="12.75" hidden="false" customHeight="true" outlineLevel="0" collapsed="false">
      <c r="A1306" s="5" t="n">
        <v>68</v>
      </c>
      <c r="B1306" s="5" t="n">
        <v>92.5</v>
      </c>
      <c r="C1306" s="5" t="n">
        <v>2048381</v>
      </c>
      <c r="D1306" s="5" t="n">
        <v>0.7168</v>
      </c>
      <c r="E1306" s="5" t="n">
        <v>2.048381</v>
      </c>
    </row>
    <row r="1307" customFormat="false" ht="12.75" hidden="false" customHeight="true" outlineLevel="0" collapsed="false">
      <c r="A1307" s="5" t="n">
        <v>68</v>
      </c>
      <c r="B1307" s="5" t="n">
        <v>93</v>
      </c>
      <c r="C1307" s="5" t="n">
        <v>2430752</v>
      </c>
      <c r="D1307" s="5" t="n">
        <v>0.7948</v>
      </c>
      <c r="E1307" s="5" t="n">
        <v>2.430752</v>
      </c>
    </row>
    <row r="1308" customFormat="false" ht="12.75" hidden="false" customHeight="true" outlineLevel="0" collapsed="false">
      <c r="A1308" s="5" t="n">
        <v>68</v>
      </c>
      <c r="B1308" s="5" t="n">
        <v>93.5</v>
      </c>
      <c r="C1308" s="5" t="n">
        <v>2850413</v>
      </c>
      <c r="D1308" s="5" t="n">
        <v>0.8731</v>
      </c>
      <c r="E1308" s="5" t="n">
        <v>2.850413</v>
      </c>
    </row>
    <row r="1309" customFormat="false" ht="12.75" hidden="false" customHeight="true" outlineLevel="0" collapsed="false">
      <c r="A1309" s="5" t="n">
        <v>68</v>
      </c>
      <c r="B1309" s="5" t="n">
        <v>94</v>
      </c>
      <c r="C1309" s="5" t="n">
        <v>3306075</v>
      </c>
      <c r="D1309" s="5" t="n">
        <v>0.9429</v>
      </c>
      <c r="E1309" s="5" t="n">
        <v>3.306075</v>
      </c>
    </row>
    <row r="1310" customFormat="false" ht="12.75" hidden="false" customHeight="true" outlineLevel="0" collapsed="false">
      <c r="A1310" s="5" t="n">
        <v>68</v>
      </c>
      <c r="B1310" s="5" t="n">
        <v>94.5</v>
      </c>
      <c r="C1310" s="5" t="n">
        <v>3794650</v>
      </c>
      <c r="D1310" s="5" t="n">
        <v>1.0119</v>
      </c>
      <c r="E1310" s="5" t="n">
        <v>3.79465</v>
      </c>
    </row>
    <row r="1311" customFormat="false" ht="12.75" hidden="false" customHeight="true" outlineLevel="0" collapsed="false">
      <c r="A1311" s="5" t="n">
        <v>68</v>
      </c>
      <c r="B1311" s="5" t="n">
        <v>95</v>
      </c>
      <c r="C1311" s="5" t="n">
        <v>4300000</v>
      </c>
      <c r="D1311" s="5" t="n">
        <v>1.0971</v>
      </c>
      <c r="E1311" s="5" t="n">
        <v>4.3</v>
      </c>
    </row>
    <row r="1312" customFormat="false" ht="12.75" hidden="false" customHeight="true" outlineLevel="0" collapsed="false">
      <c r="A1312" s="5" t="n">
        <v>68</v>
      </c>
      <c r="B1312" s="5" t="n">
        <v>96</v>
      </c>
      <c r="C1312" s="5" t="n">
        <v>5358679</v>
      </c>
      <c r="D1312" s="5" t="n">
        <v>1.2513</v>
      </c>
      <c r="E1312" s="5" t="n">
        <v>5.358679</v>
      </c>
    </row>
    <row r="1313" customFormat="false" ht="12.75" hidden="false" customHeight="true" outlineLevel="0" collapsed="false">
      <c r="A1313" s="5" t="n">
        <v>69</v>
      </c>
      <c r="B1313" s="5" t="n">
        <v>674.49</v>
      </c>
      <c r="C1313" s="5" t="n">
        <v>0</v>
      </c>
      <c r="D1313" s="5" t="n">
        <v>0</v>
      </c>
      <c r="E1313" s="5" t="n">
        <v>0</v>
      </c>
    </row>
    <row r="1314" customFormat="false" ht="12.75" hidden="false" customHeight="true" outlineLevel="0" collapsed="false">
      <c r="A1314" s="5" t="n">
        <v>69</v>
      </c>
      <c r="B1314" s="5" t="n">
        <v>675.3</v>
      </c>
      <c r="C1314" s="5" t="n">
        <v>200</v>
      </c>
      <c r="D1314" s="5" t="n">
        <v>0.0006</v>
      </c>
      <c r="E1314" s="5" t="n">
        <v>0.0002</v>
      </c>
    </row>
    <row r="1315" customFormat="false" ht="12.75" hidden="false" customHeight="true" outlineLevel="0" collapsed="false">
      <c r="A1315" s="5" t="n">
        <v>69</v>
      </c>
      <c r="B1315" s="5" t="n">
        <v>676.3</v>
      </c>
      <c r="C1315" s="5" t="n">
        <v>1900</v>
      </c>
      <c r="D1315" s="5" t="n">
        <v>0.003</v>
      </c>
      <c r="E1315" s="5" t="n">
        <v>0.0019</v>
      </c>
    </row>
    <row r="1316" customFormat="false" ht="12.75" hidden="false" customHeight="true" outlineLevel="0" collapsed="false">
      <c r="A1316" s="5" t="n">
        <v>69</v>
      </c>
      <c r="B1316" s="5" t="n">
        <v>677.3</v>
      </c>
      <c r="C1316" s="5" t="n">
        <v>10000</v>
      </c>
      <c r="D1316" s="5" t="n">
        <v>0.015</v>
      </c>
      <c r="E1316" s="5" t="n">
        <v>0.01</v>
      </c>
    </row>
    <row r="1317" customFormat="false" ht="12.75" hidden="false" customHeight="true" outlineLevel="0" collapsed="false">
      <c r="A1317" s="5" t="n">
        <v>69</v>
      </c>
      <c r="B1317" s="5" t="n">
        <v>678.3</v>
      </c>
      <c r="C1317" s="5" t="n">
        <v>36000</v>
      </c>
      <c r="D1317" s="5" t="n">
        <v>0.04</v>
      </c>
      <c r="E1317" s="5" t="n">
        <v>0.036</v>
      </c>
    </row>
    <row r="1318" customFormat="false" ht="12.75" hidden="false" customHeight="true" outlineLevel="0" collapsed="false">
      <c r="A1318" s="5" t="n">
        <v>69</v>
      </c>
      <c r="B1318" s="5" t="n">
        <v>679.3</v>
      </c>
      <c r="C1318" s="5" t="n">
        <v>92000</v>
      </c>
      <c r="D1318" s="5" t="n">
        <v>0.08</v>
      </c>
      <c r="E1318" s="5" t="n">
        <v>0.092</v>
      </c>
    </row>
    <row r="1319" customFormat="false" ht="12.75" hidden="false" customHeight="true" outlineLevel="0" collapsed="false">
      <c r="A1319" s="5" t="n">
        <v>69</v>
      </c>
      <c r="B1319" s="5" t="n">
        <v>680.3</v>
      </c>
      <c r="C1319" s="5" t="n">
        <v>200000</v>
      </c>
      <c r="D1319" s="5" t="n">
        <v>0.14</v>
      </c>
      <c r="E1319" s="5" t="n">
        <v>0.2</v>
      </c>
    </row>
    <row r="1320" customFormat="false" ht="12.75" hidden="false" customHeight="true" outlineLevel="0" collapsed="false">
      <c r="A1320" s="5" t="n">
        <v>69</v>
      </c>
      <c r="B1320" s="5" t="n">
        <v>681.3</v>
      </c>
      <c r="C1320" s="5" t="n">
        <v>385000</v>
      </c>
      <c r="D1320" s="5" t="n">
        <v>0.23</v>
      </c>
      <c r="E1320" s="5" t="n">
        <v>0.385</v>
      </c>
    </row>
    <row r="1321" customFormat="false" ht="12.75" hidden="false" customHeight="true" outlineLevel="0" collapsed="false">
      <c r="A1321" s="5" t="n">
        <v>69</v>
      </c>
      <c r="B1321" s="5" t="n">
        <v>682.3</v>
      </c>
      <c r="C1321" s="5" t="n">
        <v>664000</v>
      </c>
      <c r="D1321" s="5" t="n">
        <v>0.33</v>
      </c>
      <c r="E1321" s="5" t="n">
        <v>0.664</v>
      </c>
    </row>
    <row r="1322" customFormat="false" ht="12.75" hidden="false" customHeight="true" outlineLevel="0" collapsed="false">
      <c r="A1322" s="5" t="n">
        <v>69</v>
      </c>
      <c r="B1322" s="5" t="n">
        <v>683.3</v>
      </c>
      <c r="C1322" s="5" t="n">
        <v>1051000</v>
      </c>
      <c r="D1322" s="5" t="n">
        <v>0.44</v>
      </c>
      <c r="E1322" s="5" t="n">
        <v>1.051</v>
      </c>
    </row>
    <row r="1323" customFormat="false" ht="12.75" hidden="false" customHeight="true" outlineLevel="0" collapsed="false">
      <c r="A1323" s="5" t="n">
        <v>69</v>
      </c>
      <c r="B1323" s="5" t="n">
        <v>684.3</v>
      </c>
      <c r="C1323" s="5" t="n">
        <v>1537000</v>
      </c>
      <c r="D1323" s="5" t="n">
        <v>0.54</v>
      </c>
      <c r="E1323" s="5" t="n">
        <v>1.537</v>
      </c>
    </row>
    <row r="1324" customFormat="false" ht="12.75" hidden="false" customHeight="true" outlineLevel="0" collapsed="false">
      <c r="A1324" s="5" t="n">
        <v>69</v>
      </c>
      <c r="B1324" s="5" t="n">
        <v>685.3</v>
      </c>
      <c r="C1324" s="5" t="n">
        <v>2116000</v>
      </c>
      <c r="D1324" s="5" t="n">
        <v>0.62</v>
      </c>
      <c r="E1324" s="5" t="n">
        <v>2.116</v>
      </c>
    </row>
    <row r="1325" customFormat="false" ht="12.75" hidden="false" customHeight="true" outlineLevel="0" collapsed="false">
      <c r="A1325" s="5" t="n">
        <v>69</v>
      </c>
      <c r="B1325" s="5" t="n">
        <v>686.3</v>
      </c>
      <c r="C1325" s="5" t="n">
        <v>2786000</v>
      </c>
      <c r="D1325" s="5" t="n">
        <v>0.73</v>
      </c>
      <c r="E1325" s="5" t="n">
        <v>2.786</v>
      </c>
    </row>
    <row r="1326" customFormat="false" ht="12.75" hidden="false" customHeight="true" outlineLevel="0" collapsed="false">
      <c r="A1326" s="5" t="n">
        <v>69</v>
      </c>
      <c r="B1326" s="5" t="n">
        <v>687.3</v>
      </c>
      <c r="C1326" s="5" t="n">
        <v>3570000</v>
      </c>
      <c r="D1326" s="5" t="n">
        <v>0.84</v>
      </c>
      <c r="E1326" s="5" t="n">
        <v>3.57</v>
      </c>
    </row>
    <row r="1327" customFormat="false" ht="12.75" hidden="false" customHeight="true" outlineLevel="0" collapsed="false">
      <c r="A1327" s="5" t="n">
        <v>69</v>
      </c>
      <c r="B1327" s="5" t="n">
        <v>688.3</v>
      </c>
      <c r="C1327" s="5" t="n">
        <v>4466000</v>
      </c>
      <c r="D1327" s="5" t="n">
        <v>0.95</v>
      </c>
      <c r="E1327" s="5" t="n">
        <v>4.466</v>
      </c>
    </row>
    <row r="1328" customFormat="false" ht="12.75" hidden="false" customHeight="true" outlineLevel="0" collapsed="false">
      <c r="A1328" s="5" t="n">
        <v>69</v>
      </c>
      <c r="B1328" s="5" t="n">
        <v>689.3</v>
      </c>
      <c r="C1328" s="5" t="n">
        <v>5475000</v>
      </c>
      <c r="D1328" s="5" t="n">
        <v>1.06</v>
      </c>
      <c r="E1328" s="5" t="n">
        <v>5.475</v>
      </c>
    </row>
    <row r="1329" customFormat="false" ht="12.75" hidden="false" customHeight="true" outlineLevel="0" collapsed="false">
      <c r="A1329" s="5" t="n">
        <v>69</v>
      </c>
      <c r="B1329" s="5" t="n">
        <v>690.3</v>
      </c>
      <c r="C1329" s="5" t="n">
        <v>6590000</v>
      </c>
      <c r="D1329" s="5" t="n">
        <v>1.17</v>
      </c>
      <c r="E1329" s="5" t="n">
        <v>6.59</v>
      </c>
    </row>
    <row r="1330" customFormat="false" ht="12.75" hidden="false" customHeight="true" outlineLevel="0" collapsed="false">
      <c r="A1330" s="5" t="n">
        <v>69</v>
      </c>
      <c r="B1330" s="5" t="n">
        <v>691.3</v>
      </c>
      <c r="C1330" s="5" t="n">
        <v>7810000</v>
      </c>
      <c r="D1330" s="5" t="n">
        <v>1.28</v>
      </c>
      <c r="E1330" s="5" t="n">
        <v>7.81</v>
      </c>
    </row>
    <row r="1331" customFormat="false" ht="12.75" hidden="false" customHeight="true" outlineLevel="0" collapsed="false">
      <c r="A1331" s="5" t="n">
        <v>69</v>
      </c>
      <c r="B1331" s="5" t="n">
        <v>692.3</v>
      </c>
      <c r="C1331" s="5" t="n">
        <v>9146000</v>
      </c>
      <c r="D1331" s="5" t="n">
        <v>1.4</v>
      </c>
      <c r="E1331" s="5" t="n">
        <v>9.146</v>
      </c>
    </row>
    <row r="1332" customFormat="false" ht="12.75" hidden="false" customHeight="true" outlineLevel="0" collapsed="false">
      <c r="A1332" s="5" t="n">
        <v>69</v>
      </c>
      <c r="B1332" s="5" t="n">
        <v>693.3</v>
      </c>
      <c r="C1332" s="5" t="n">
        <v>10720000</v>
      </c>
      <c r="D1332" s="5" t="n">
        <v>1.55</v>
      </c>
      <c r="E1332" s="5" t="n">
        <v>10.72</v>
      </c>
    </row>
    <row r="1333" customFormat="false" ht="12.75" hidden="false" customHeight="true" outlineLevel="0" collapsed="false">
      <c r="A1333" s="5" t="n">
        <v>69</v>
      </c>
      <c r="B1333" s="5" t="n">
        <v>694.3</v>
      </c>
      <c r="C1333" s="5" t="n">
        <v>12270000</v>
      </c>
      <c r="D1333" s="5" t="n">
        <v>1.76</v>
      </c>
      <c r="E1333" s="5" t="n">
        <v>12.27</v>
      </c>
    </row>
    <row r="1334" customFormat="false" ht="12.75" hidden="false" customHeight="true" outlineLevel="0" collapsed="false">
      <c r="A1334" s="5" t="n">
        <v>69</v>
      </c>
      <c r="B1334" s="5" t="n">
        <v>695.3</v>
      </c>
      <c r="C1334" s="5" t="n">
        <v>14140000</v>
      </c>
      <c r="D1334" s="5" t="n">
        <v>2</v>
      </c>
      <c r="E1334" s="5" t="n">
        <v>14.14</v>
      </c>
    </row>
    <row r="1335" customFormat="false" ht="12.75" hidden="false" customHeight="true" outlineLevel="0" collapsed="false">
      <c r="A1335" s="5" t="n">
        <v>69</v>
      </c>
      <c r="B1335" s="5" t="n">
        <v>696.3</v>
      </c>
      <c r="C1335" s="5" t="n">
        <v>16290000</v>
      </c>
      <c r="D1335" s="5" t="n">
        <v>2.28</v>
      </c>
      <c r="E1335" s="5" t="n">
        <v>16.29</v>
      </c>
    </row>
    <row r="1336" customFormat="false" ht="12.75" hidden="false" customHeight="true" outlineLevel="0" collapsed="false">
      <c r="A1336" s="5" t="n">
        <v>69</v>
      </c>
      <c r="B1336" s="5" t="n">
        <v>697.3</v>
      </c>
      <c r="C1336" s="5" t="n">
        <v>18700000</v>
      </c>
      <c r="D1336" s="5" t="n">
        <v>2.54</v>
      </c>
      <c r="E1336" s="5" t="n">
        <v>18.7</v>
      </c>
    </row>
    <row r="1337" customFormat="false" ht="12.75" hidden="false" customHeight="true" outlineLevel="0" collapsed="false">
      <c r="A1337" s="5" t="n">
        <v>69</v>
      </c>
      <c r="B1337" s="5" t="n">
        <v>698.3</v>
      </c>
      <c r="C1337" s="5" t="n">
        <v>21400000</v>
      </c>
      <c r="D1337" s="5" t="n">
        <v>2.83</v>
      </c>
      <c r="E1337" s="5" t="n">
        <v>21.4</v>
      </c>
    </row>
    <row r="1338" customFormat="false" ht="12.75" hidden="false" customHeight="true" outlineLevel="0" collapsed="false">
      <c r="A1338" s="5" t="n">
        <v>69</v>
      </c>
      <c r="B1338" s="5" t="n">
        <v>699.3</v>
      </c>
      <c r="C1338" s="5" t="n">
        <v>24370000</v>
      </c>
      <c r="D1338" s="5" t="n">
        <v>3.17</v>
      </c>
      <c r="E1338" s="5" t="n">
        <v>24.37</v>
      </c>
    </row>
    <row r="1339" customFormat="false" ht="12.75" hidden="false" customHeight="true" outlineLevel="0" collapsed="false">
      <c r="A1339" s="5" t="n">
        <v>69</v>
      </c>
      <c r="B1339" s="5" t="n">
        <v>700.3</v>
      </c>
      <c r="C1339" s="5" t="n">
        <v>27800000</v>
      </c>
      <c r="D1339" s="5" t="n">
        <v>3.54</v>
      </c>
      <c r="E1339" s="5" t="n">
        <v>27.8</v>
      </c>
    </row>
    <row r="1340" customFormat="false" ht="12.75" hidden="false" customHeight="true" outlineLevel="0" collapsed="false">
      <c r="A1340" s="5" t="n">
        <v>69</v>
      </c>
      <c r="B1340" s="5" t="n">
        <v>701.3</v>
      </c>
      <c r="C1340" s="5" t="n">
        <v>31500000</v>
      </c>
      <c r="D1340" s="5" t="n">
        <v>4</v>
      </c>
      <c r="E1340" s="5" t="n">
        <v>31.5</v>
      </c>
    </row>
    <row r="1341" customFormat="false" ht="12.75" hidden="false" customHeight="true" outlineLevel="0" collapsed="false">
      <c r="A1341" s="5" t="n">
        <v>69</v>
      </c>
      <c r="B1341" s="5" t="n">
        <v>702.3</v>
      </c>
      <c r="C1341" s="5" t="n">
        <v>35600000</v>
      </c>
      <c r="D1341" s="5" t="n">
        <v>4.36</v>
      </c>
      <c r="E1341" s="5" t="n">
        <v>35.6</v>
      </c>
    </row>
    <row r="1342" customFormat="false" ht="12.75" hidden="false" customHeight="true" outlineLevel="0" collapsed="false">
      <c r="A1342" s="5" t="n">
        <v>69</v>
      </c>
      <c r="B1342" s="5" t="n">
        <v>703.3</v>
      </c>
      <c r="C1342" s="5" t="n">
        <v>40200000</v>
      </c>
      <c r="D1342" s="5" t="n">
        <v>4.81</v>
      </c>
      <c r="E1342" s="5" t="n">
        <v>40.2</v>
      </c>
    </row>
    <row r="1343" customFormat="false" ht="12.75" hidden="false" customHeight="true" outlineLevel="0" collapsed="false">
      <c r="A1343" s="5" t="n">
        <v>69</v>
      </c>
      <c r="B1343" s="5" t="n">
        <v>704.3</v>
      </c>
      <c r="C1343" s="5" t="n">
        <v>45210000</v>
      </c>
      <c r="D1343" s="5" t="n">
        <v>5.26</v>
      </c>
      <c r="E1343" s="5" t="n">
        <v>45.21</v>
      </c>
    </row>
    <row r="1344" customFormat="false" ht="12.75" hidden="false" customHeight="true" outlineLevel="0" collapsed="false">
      <c r="A1344" s="5" t="n">
        <v>69</v>
      </c>
      <c r="B1344" s="5" t="n">
        <v>705.3</v>
      </c>
      <c r="C1344" s="5" t="n">
        <v>50700000</v>
      </c>
      <c r="D1344" s="5" t="n">
        <v>5.7</v>
      </c>
      <c r="E1344" s="5" t="n">
        <v>50.7</v>
      </c>
    </row>
    <row r="1345" customFormat="false" ht="12.75" hidden="false" customHeight="true" outlineLevel="0" collapsed="false">
      <c r="A1345" s="5" t="n">
        <v>69</v>
      </c>
      <c r="B1345" s="5" t="n">
        <v>706.3</v>
      </c>
      <c r="C1345" s="5" t="n">
        <v>56600000</v>
      </c>
      <c r="D1345" s="5" t="n">
        <v>6.13</v>
      </c>
      <c r="E1345" s="5" t="n">
        <v>56.6</v>
      </c>
    </row>
    <row r="1346" customFormat="false" ht="12.75" hidden="false" customHeight="true" outlineLevel="0" collapsed="false">
      <c r="A1346" s="5" t="n">
        <v>69</v>
      </c>
      <c r="B1346" s="5" t="n">
        <v>707.3</v>
      </c>
      <c r="C1346" s="5" t="n">
        <v>63000000</v>
      </c>
      <c r="D1346" s="5" t="n">
        <v>6.58</v>
      </c>
      <c r="E1346" s="5" t="n">
        <v>63</v>
      </c>
    </row>
    <row r="1347" customFormat="false" ht="12.75" hidden="false" customHeight="true" outlineLevel="0" collapsed="false">
      <c r="A1347" s="5" t="n">
        <v>69</v>
      </c>
      <c r="B1347" s="5" t="n">
        <v>708.3</v>
      </c>
      <c r="C1347" s="5" t="n">
        <v>69760000</v>
      </c>
      <c r="D1347" s="5" t="n">
        <v>7.03</v>
      </c>
      <c r="E1347" s="5" t="n">
        <v>69.76</v>
      </c>
    </row>
    <row r="1348" customFormat="false" ht="12.75" hidden="false" customHeight="true" outlineLevel="0" collapsed="false">
      <c r="A1348" s="5" t="n">
        <v>69</v>
      </c>
      <c r="B1348" s="5" t="n">
        <v>709.3</v>
      </c>
      <c r="C1348" s="5" t="n">
        <v>77000000</v>
      </c>
      <c r="D1348" s="5" t="n">
        <v>7.46</v>
      </c>
      <c r="E1348" s="5" t="n">
        <v>77</v>
      </c>
    </row>
    <row r="1349" customFormat="false" ht="12.75" hidden="false" customHeight="true" outlineLevel="0" collapsed="false">
      <c r="A1349" s="5" t="n">
        <v>69</v>
      </c>
      <c r="B1349" s="5" t="n">
        <v>710.3</v>
      </c>
      <c r="C1349" s="5" t="n">
        <v>84700000</v>
      </c>
      <c r="D1349" s="5" t="n">
        <v>7.83</v>
      </c>
      <c r="E1349" s="5" t="n">
        <v>84.7</v>
      </c>
    </row>
    <row r="1350" customFormat="false" ht="12.75" hidden="false" customHeight="true" outlineLevel="0" collapsed="false">
      <c r="A1350" s="5" t="n">
        <v>69</v>
      </c>
      <c r="B1350" s="5" t="n">
        <v>711.3</v>
      </c>
      <c r="C1350" s="5" t="n">
        <v>92700000</v>
      </c>
      <c r="D1350" s="5" t="n">
        <v>8.15</v>
      </c>
      <c r="E1350" s="5" t="n">
        <v>92.7</v>
      </c>
    </row>
    <row r="1351" customFormat="false" ht="12.75" hidden="false" customHeight="true" outlineLevel="0" collapsed="false">
      <c r="A1351" s="5" t="n">
        <v>69</v>
      </c>
      <c r="B1351" s="5" t="n">
        <v>712.3</v>
      </c>
      <c r="C1351" s="5" t="n">
        <v>101000000</v>
      </c>
      <c r="D1351" s="5" t="n">
        <v>8.4</v>
      </c>
      <c r="E1351" s="5" t="n">
        <v>101</v>
      </c>
    </row>
    <row r="1352" customFormat="false" ht="12.75" hidden="false" customHeight="true" outlineLevel="0" collapsed="false">
      <c r="A1352" s="5" t="n">
        <v>69</v>
      </c>
      <c r="B1352" s="5" t="n">
        <v>713.3</v>
      </c>
      <c r="C1352" s="5" t="n">
        <v>109500000</v>
      </c>
      <c r="D1352" s="5" t="n">
        <v>8.58</v>
      </c>
      <c r="E1352" s="5" t="n">
        <v>109.5</v>
      </c>
    </row>
    <row r="1353" customFormat="false" ht="12.75" hidden="false" customHeight="true" outlineLevel="0" collapsed="false">
      <c r="A1353" s="5" t="n">
        <v>69</v>
      </c>
      <c r="B1353" s="5" t="n">
        <v>713.77</v>
      </c>
      <c r="C1353" s="5" t="n">
        <v>113500000</v>
      </c>
      <c r="D1353" s="5" t="n">
        <v>8.73</v>
      </c>
      <c r="E1353" s="5" t="n">
        <v>113.5</v>
      </c>
    </row>
    <row r="1354" customFormat="false" ht="12.75" hidden="false" customHeight="true" outlineLevel="0" collapsed="false">
      <c r="A1354" s="5" t="n">
        <v>69</v>
      </c>
      <c r="B1354" s="5" t="n">
        <v>714.3</v>
      </c>
      <c r="C1354" s="5" t="n">
        <v>119200000</v>
      </c>
      <c r="D1354" s="5" t="n">
        <v>9</v>
      </c>
      <c r="E1354" s="5" t="n">
        <v>119.2</v>
      </c>
    </row>
    <row r="1355" customFormat="false" ht="12.75" hidden="false" customHeight="true" outlineLevel="0" collapsed="false">
      <c r="A1355" s="5" t="n">
        <v>69</v>
      </c>
      <c r="B1355" s="5" t="n">
        <v>715.3</v>
      </c>
      <c r="C1355" s="5" t="n">
        <v>130000000</v>
      </c>
      <c r="D1355" s="5" t="n">
        <v>9.23</v>
      </c>
      <c r="E1355" s="5" t="n">
        <v>130</v>
      </c>
    </row>
    <row r="1356" customFormat="false" ht="12.75" hidden="false" customHeight="true" outlineLevel="0" collapsed="false">
      <c r="A1356" s="5" t="n">
        <v>69</v>
      </c>
      <c r="B1356" s="5" t="n">
        <v>716.3</v>
      </c>
      <c r="C1356" s="5" t="n">
        <v>140500000</v>
      </c>
      <c r="D1356" s="5" t="n">
        <v>9.4</v>
      </c>
      <c r="E1356" s="5" t="n">
        <v>140.5</v>
      </c>
    </row>
    <row r="1357" customFormat="false" ht="12.75" hidden="false" customHeight="true" outlineLevel="0" collapsed="false">
      <c r="A1357" s="5" t="n">
        <v>69</v>
      </c>
      <c r="B1357" s="5" t="n">
        <v>716.38</v>
      </c>
      <c r="C1357" s="5" t="n">
        <v>141000000</v>
      </c>
      <c r="D1357" s="5" t="n">
        <v>9.41</v>
      </c>
      <c r="E1357" s="5" t="n">
        <v>141</v>
      </c>
    </row>
    <row r="1358" customFormat="false" ht="12.75" hidden="false" customHeight="true" outlineLevel="0" collapsed="false">
      <c r="A1358" s="5" t="n">
        <v>69</v>
      </c>
      <c r="B1358" s="5" t="n">
        <v>717</v>
      </c>
      <c r="C1358" s="5" t="n">
        <v>142610000</v>
      </c>
      <c r="D1358" s="5" t="n">
        <v>9.5</v>
      </c>
      <c r="E1358" s="5" t="n">
        <v>142.61</v>
      </c>
    </row>
    <row r="1359" customFormat="false" ht="12.75" hidden="false" customHeight="true" outlineLevel="0" collapsed="false">
      <c r="A1359" s="5" t="n">
        <v>69</v>
      </c>
      <c r="B1359" s="5" t="n">
        <v>718</v>
      </c>
      <c r="C1359" s="5" t="n">
        <v>151820000</v>
      </c>
      <c r="D1359" s="5" t="n">
        <v>9.55</v>
      </c>
      <c r="E1359" s="5" t="n">
        <v>151.82</v>
      </c>
    </row>
    <row r="1360" customFormat="false" ht="12.75" hidden="false" customHeight="true" outlineLevel="0" collapsed="false">
      <c r="A1360" s="5" t="n">
        <v>70</v>
      </c>
      <c r="B1360" s="5" t="n">
        <v>100.2</v>
      </c>
      <c r="C1360" s="5" t="n">
        <v>0</v>
      </c>
      <c r="D1360" s="5" t="n">
        <v>0</v>
      </c>
      <c r="E1360" s="5" t="n">
        <v>0</v>
      </c>
    </row>
    <row r="1361" customFormat="false" ht="12.75" hidden="false" customHeight="true" outlineLevel="0" collapsed="false">
      <c r="A1361" s="5" t="n">
        <v>70</v>
      </c>
      <c r="B1361" s="5" t="n">
        <v>101</v>
      </c>
      <c r="C1361" s="5" t="n">
        <v>383</v>
      </c>
      <c r="D1361" s="5" t="n">
        <v>0.002</v>
      </c>
      <c r="E1361" s="5" t="n">
        <v>0.000383</v>
      </c>
    </row>
    <row r="1362" customFormat="false" ht="12.75" hidden="false" customHeight="true" outlineLevel="0" collapsed="false">
      <c r="A1362" s="5" t="n">
        <v>70</v>
      </c>
      <c r="B1362" s="5" t="n">
        <v>102</v>
      </c>
      <c r="C1362" s="5" t="n">
        <v>121797</v>
      </c>
      <c r="D1362" s="5" t="n">
        <v>0.353</v>
      </c>
      <c r="E1362" s="5" t="n">
        <v>0.121797</v>
      </c>
    </row>
    <row r="1363" customFormat="false" ht="12.75" hidden="false" customHeight="true" outlineLevel="0" collapsed="false">
      <c r="A1363" s="5" t="n">
        <v>70</v>
      </c>
      <c r="B1363" s="5" t="n">
        <v>103</v>
      </c>
      <c r="C1363" s="5" t="n">
        <v>767567</v>
      </c>
      <c r="D1363" s="5" t="n">
        <v>0.951</v>
      </c>
      <c r="E1363" s="5" t="n">
        <v>0.767567</v>
      </c>
    </row>
    <row r="1364" customFormat="false" ht="12.75" hidden="false" customHeight="true" outlineLevel="0" collapsed="false">
      <c r="A1364" s="5" t="n">
        <v>70</v>
      </c>
      <c r="B1364" s="5" t="n">
        <v>104</v>
      </c>
      <c r="C1364" s="5" t="n">
        <v>1854910</v>
      </c>
      <c r="D1364" s="5" t="n">
        <v>1.135</v>
      </c>
      <c r="E1364" s="5" t="n">
        <v>1.85491</v>
      </c>
    </row>
    <row r="1365" customFormat="false" ht="12.75" hidden="false" customHeight="true" outlineLevel="0" collapsed="false">
      <c r="A1365" s="5" t="n">
        <v>70</v>
      </c>
      <c r="B1365" s="5" t="n">
        <v>104.4</v>
      </c>
      <c r="C1365" s="5" t="n">
        <v>2314363</v>
      </c>
      <c r="D1365" s="5" t="n">
        <v>1.162</v>
      </c>
      <c r="E1365" s="5" t="n">
        <v>2.314363</v>
      </c>
    </row>
    <row r="1366" customFormat="false" ht="12.75" hidden="false" customHeight="true" outlineLevel="0" collapsed="false">
      <c r="A1366" s="5" t="n">
        <v>70</v>
      </c>
      <c r="B1366" s="5" t="n">
        <v>105</v>
      </c>
      <c r="C1366" s="5" t="n">
        <v>3400000</v>
      </c>
      <c r="D1366" s="5" t="n">
        <v>1.32</v>
      </c>
      <c r="E1366" s="5" t="n">
        <v>3.4</v>
      </c>
    </row>
    <row r="1367" customFormat="false" ht="12.75" hidden="false" customHeight="true" outlineLevel="0" collapsed="false">
      <c r="A1367" s="5" t="n">
        <v>70</v>
      </c>
      <c r="B1367" s="5" t="n">
        <v>106</v>
      </c>
      <c r="C1367" s="5" t="n">
        <v>4950000</v>
      </c>
      <c r="D1367" s="5" t="n">
        <v>2.55</v>
      </c>
      <c r="E1367" s="5" t="n">
        <v>4.95</v>
      </c>
    </row>
    <row r="1368" customFormat="false" ht="12.75" hidden="false" customHeight="true" outlineLevel="0" collapsed="false">
      <c r="A1368" s="5" t="n">
        <v>70</v>
      </c>
      <c r="B1368" s="5" t="n">
        <v>107</v>
      </c>
      <c r="C1368" s="5" t="n">
        <v>7750000</v>
      </c>
      <c r="D1368" s="5" t="n">
        <v>3.77</v>
      </c>
      <c r="E1368" s="5" t="n">
        <v>7.75</v>
      </c>
    </row>
    <row r="1369" customFormat="false" ht="12.75" hidden="false" customHeight="true" outlineLevel="0" collapsed="false">
      <c r="A1369" s="5" t="n">
        <v>70</v>
      </c>
      <c r="B1369" s="5" t="n">
        <v>108</v>
      </c>
      <c r="C1369" s="5" t="n">
        <v>12500000</v>
      </c>
      <c r="D1369" s="5" t="n">
        <v>4.55</v>
      </c>
      <c r="E1369" s="5" t="n">
        <v>12.5</v>
      </c>
    </row>
    <row r="1370" customFormat="false" ht="12.75" hidden="false" customHeight="true" outlineLevel="0" collapsed="false">
      <c r="A1370" s="5" t="n">
        <v>70</v>
      </c>
      <c r="B1370" s="5" t="n">
        <v>109</v>
      </c>
      <c r="C1370" s="5" t="n">
        <v>16630000</v>
      </c>
      <c r="D1370" s="5" t="n">
        <v>5.33</v>
      </c>
      <c r="E1370" s="5" t="n">
        <v>16.63</v>
      </c>
    </row>
    <row r="1371" customFormat="false" ht="12.75" hidden="false" customHeight="true" outlineLevel="0" collapsed="false">
      <c r="A1371" s="5" t="n">
        <v>70</v>
      </c>
      <c r="B1371" s="5" t="n">
        <v>110</v>
      </c>
      <c r="C1371" s="5" t="n">
        <v>18000000</v>
      </c>
      <c r="D1371" s="5" t="n">
        <v>7</v>
      </c>
      <c r="E1371" s="5" t="n">
        <v>18</v>
      </c>
    </row>
    <row r="1372" customFormat="false" ht="12.75" hidden="false" customHeight="true" outlineLevel="0" collapsed="false">
      <c r="A1372" s="5" t="n">
        <v>71</v>
      </c>
      <c r="B1372" s="5" t="n">
        <v>20</v>
      </c>
      <c r="C1372" s="5" t="n">
        <v>0</v>
      </c>
      <c r="D1372" s="5" t="n">
        <v>0</v>
      </c>
      <c r="E1372" s="5" t="n">
        <v>0</v>
      </c>
    </row>
    <row r="1373" customFormat="false" ht="12.75" hidden="false" customHeight="true" outlineLevel="0" collapsed="false">
      <c r="A1373" s="5" t="n">
        <v>71</v>
      </c>
      <c r="B1373" s="5" t="n">
        <v>22</v>
      </c>
      <c r="C1373" s="5" t="n">
        <v>10000</v>
      </c>
      <c r="D1373" s="5" t="n">
        <v>0.02</v>
      </c>
      <c r="E1373" s="5" t="n">
        <v>0.01</v>
      </c>
    </row>
    <row r="1374" customFormat="false" ht="12.75" hidden="false" customHeight="true" outlineLevel="0" collapsed="false">
      <c r="A1374" s="5" t="n">
        <v>71</v>
      </c>
      <c r="B1374" s="5" t="n">
        <v>23</v>
      </c>
      <c r="C1374" s="5" t="n">
        <v>60015</v>
      </c>
      <c r="D1374" s="5" t="n">
        <v>0.07</v>
      </c>
      <c r="E1374" s="5" t="n">
        <v>0.060015</v>
      </c>
    </row>
    <row r="1375" customFormat="false" ht="12.75" hidden="false" customHeight="true" outlineLevel="0" collapsed="false">
      <c r="A1375" s="5" t="n">
        <v>71</v>
      </c>
      <c r="B1375" s="5" t="n">
        <v>24</v>
      </c>
      <c r="C1375" s="5" t="n">
        <v>190504</v>
      </c>
      <c r="D1375" s="5" t="n">
        <v>0.21</v>
      </c>
      <c r="E1375" s="5" t="n">
        <v>0.190504</v>
      </c>
    </row>
    <row r="1376" customFormat="false" ht="12.75" hidden="false" customHeight="true" outlineLevel="0" collapsed="false">
      <c r="A1376" s="5" t="n">
        <v>71</v>
      </c>
      <c r="B1376" s="5" t="n">
        <v>25</v>
      </c>
      <c r="C1376" s="5" t="n">
        <v>550000</v>
      </c>
      <c r="D1376" s="5" t="n">
        <v>0.55</v>
      </c>
      <c r="E1376" s="5" t="n">
        <v>0.55</v>
      </c>
    </row>
    <row r="1377" customFormat="false" ht="12.75" hidden="false" customHeight="true" outlineLevel="0" collapsed="false">
      <c r="A1377" s="5" t="n">
        <v>71</v>
      </c>
      <c r="B1377" s="5" t="n">
        <v>26</v>
      </c>
      <c r="C1377" s="5" t="n">
        <v>1390000</v>
      </c>
      <c r="D1377" s="5" t="n">
        <v>1.17</v>
      </c>
      <c r="E1377" s="5" t="n">
        <v>1.39</v>
      </c>
    </row>
    <row r="1378" customFormat="false" ht="12.75" hidden="false" customHeight="true" outlineLevel="0" collapsed="false">
      <c r="A1378" s="5" t="n">
        <v>71</v>
      </c>
      <c r="B1378" s="5" t="n">
        <v>27</v>
      </c>
      <c r="C1378" s="5" t="n">
        <v>3120000</v>
      </c>
      <c r="D1378" s="5" t="n">
        <v>2.33</v>
      </c>
      <c r="E1378" s="5" t="n">
        <v>3.12</v>
      </c>
    </row>
    <row r="1379" customFormat="false" ht="12.75" hidden="false" customHeight="true" outlineLevel="0" collapsed="false">
      <c r="A1379" s="5" t="n">
        <v>71</v>
      </c>
      <c r="B1379" s="5" t="n">
        <v>28</v>
      </c>
      <c r="C1379" s="5" t="n">
        <v>6130000</v>
      </c>
      <c r="D1379" s="5" t="n">
        <v>3.74</v>
      </c>
      <c r="E1379" s="5" t="n">
        <v>6.13</v>
      </c>
    </row>
    <row r="1380" customFormat="false" ht="12.75" hidden="false" customHeight="true" outlineLevel="0" collapsed="false">
      <c r="A1380" s="5" t="n">
        <v>71</v>
      </c>
      <c r="B1380" s="5" t="n">
        <v>29</v>
      </c>
      <c r="C1380" s="5" t="n">
        <v>10680000</v>
      </c>
      <c r="D1380" s="5" t="n">
        <v>5.37</v>
      </c>
      <c r="E1380" s="5" t="n">
        <v>10.68</v>
      </c>
    </row>
    <row r="1381" customFormat="false" ht="12.75" hidden="false" customHeight="true" outlineLevel="0" collapsed="false">
      <c r="A1381" s="5" t="n">
        <v>71</v>
      </c>
      <c r="B1381" s="5" t="n">
        <v>30</v>
      </c>
      <c r="C1381" s="5" t="n">
        <v>16920000</v>
      </c>
      <c r="D1381" s="5" t="n">
        <v>7.11</v>
      </c>
      <c r="E1381" s="5" t="n">
        <v>16.92</v>
      </c>
    </row>
    <row r="1382" customFormat="false" ht="12.75" hidden="false" customHeight="true" outlineLevel="0" collapsed="false">
      <c r="A1382" s="5" t="n">
        <v>71</v>
      </c>
      <c r="B1382" s="5" t="n">
        <v>31</v>
      </c>
      <c r="C1382" s="5" t="n">
        <v>24980000</v>
      </c>
      <c r="D1382" s="5" t="n">
        <v>9.02</v>
      </c>
      <c r="E1382" s="5" t="n">
        <v>24.98</v>
      </c>
    </row>
    <row r="1383" customFormat="false" ht="12.75" hidden="false" customHeight="true" outlineLevel="0" collapsed="false">
      <c r="A1383" s="5" t="n">
        <v>71</v>
      </c>
      <c r="B1383" s="5" t="n">
        <v>32</v>
      </c>
      <c r="C1383" s="5" t="n">
        <v>35040000</v>
      </c>
      <c r="D1383" s="5" t="n">
        <v>11.03</v>
      </c>
      <c r="E1383" s="5" t="n">
        <v>35.04</v>
      </c>
    </row>
    <row r="1384" customFormat="false" ht="12.75" hidden="false" customHeight="true" outlineLevel="0" collapsed="false">
      <c r="A1384" s="5" t="n">
        <v>71</v>
      </c>
      <c r="B1384" s="5" t="n">
        <v>33</v>
      </c>
      <c r="C1384" s="5" t="n">
        <v>47200000</v>
      </c>
      <c r="D1384" s="5" t="n">
        <v>13.38</v>
      </c>
      <c r="E1384" s="5" t="n">
        <v>47.2</v>
      </c>
    </row>
    <row r="1385" customFormat="false" ht="12.75" hidden="false" customHeight="true" outlineLevel="0" collapsed="false">
      <c r="A1385" s="5" t="n">
        <v>71</v>
      </c>
      <c r="B1385" s="5" t="n">
        <v>34</v>
      </c>
      <c r="C1385" s="5" t="n">
        <v>61780000</v>
      </c>
      <c r="D1385" s="5" t="n">
        <v>15.72</v>
      </c>
      <c r="E1385" s="5" t="n">
        <v>61.78</v>
      </c>
    </row>
    <row r="1386" customFormat="false" ht="12.75" hidden="false" customHeight="true" outlineLevel="0" collapsed="false">
      <c r="A1386" s="5" t="n">
        <v>71</v>
      </c>
      <c r="B1386" s="5" t="n">
        <v>35</v>
      </c>
      <c r="C1386" s="5" t="n">
        <v>78820000</v>
      </c>
      <c r="D1386" s="5" t="n">
        <v>18.31</v>
      </c>
      <c r="E1386" s="5" t="n">
        <v>78.82</v>
      </c>
    </row>
    <row r="1387" customFormat="false" ht="12.75" hidden="false" customHeight="true" outlineLevel="0" collapsed="false">
      <c r="A1387" s="5" t="n">
        <v>71</v>
      </c>
      <c r="B1387" s="5" t="n">
        <v>36</v>
      </c>
      <c r="C1387" s="5" t="n">
        <v>98500000</v>
      </c>
      <c r="D1387" s="5" t="n">
        <v>21.09</v>
      </c>
      <c r="E1387" s="5" t="n">
        <v>98.5</v>
      </c>
    </row>
    <row r="1388" customFormat="false" ht="12.75" hidden="false" customHeight="true" outlineLevel="0" collapsed="false">
      <c r="A1388" s="5" t="n">
        <v>71</v>
      </c>
      <c r="B1388" s="5" t="n">
        <v>37</v>
      </c>
      <c r="C1388" s="5" t="n">
        <v>121300000</v>
      </c>
      <c r="D1388" s="5" t="n">
        <v>24.25</v>
      </c>
      <c r="E1388" s="5" t="n">
        <v>121.3</v>
      </c>
    </row>
    <row r="1389" customFormat="false" ht="12.75" hidden="false" customHeight="true" outlineLevel="0" collapsed="false">
      <c r="A1389" s="5" t="n">
        <v>71</v>
      </c>
      <c r="B1389" s="5" t="n">
        <v>38</v>
      </c>
      <c r="C1389" s="5" t="n">
        <v>147180000</v>
      </c>
      <c r="D1389" s="5" t="n">
        <v>27.48</v>
      </c>
      <c r="E1389" s="5" t="n">
        <v>147.18</v>
      </c>
    </row>
    <row r="1390" customFormat="false" ht="12.75" hidden="false" customHeight="true" outlineLevel="0" collapsed="false">
      <c r="A1390" s="5" t="n">
        <v>71</v>
      </c>
      <c r="B1390" s="5" t="n">
        <v>39</v>
      </c>
      <c r="C1390" s="5" t="n">
        <v>176000000</v>
      </c>
      <c r="D1390" s="5" t="n">
        <v>30.13</v>
      </c>
      <c r="E1390" s="5" t="n">
        <v>176</v>
      </c>
    </row>
    <row r="1391" customFormat="false" ht="12.75" hidden="false" customHeight="true" outlineLevel="0" collapsed="false">
      <c r="A1391" s="5" t="n">
        <v>71</v>
      </c>
      <c r="B1391" s="5" t="n">
        <v>39.66</v>
      </c>
      <c r="C1391" s="5" t="n">
        <v>196555000</v>
      </c>
      <c r="D1391" s="5" t="n">
        <v>31.28</v>
      </c>
      <c r="E1391" s="5" t="n">
        <v>196.555</v>
      </c>
    </row>
    <row r="1392" customFormat="false" ht="12.75" hidden="false" customHeight="true" outlineLevel="0" collapsed="false">
      <c r="A1392" s="5" t="n">
        <v>71</v>
      </c>
      <c r="B1392" s="5" t="n">
        <v>40</v>
      </c>
      <c r="C1392" s="5" t="n">
        <v>206310000</v>
      </c>
      <c r="D1392" s="5" t="n">
        <v>33.89</v>
      </c>
      <c r="E1392" s="5" t="n">
        <v>206.31</v>
      </c>
    </row>
    <row r="1393" customFormat="false" ht="12.75" hidden="false" customHeight="true" outlineLevel="0" collapsed="false">
      <c r="A1393" s="5" t="n">
        <v>71</v>
      </c>
      <c r="B1393" s="5" t="n">
        <v>41</v>
      </c>
      <c r="C1393" s="5" t="n">
        <v>242800000</v>
      </c>
      <c r="D1393" s="5" t="n">
        <v>37.46</v>
      </c>
      <c r="E1393" s="5" t="n">
        <v>242.8</v>
      </c>
    </row>
    <row r="1394" customFormat="false" ht="12.75" hidden="false" customHeight="true" outlineLevel="0" collapsed="false">
      <c r="A1394" s="5" t="n">
        <v>71</v>
      </c>
      <c r="B1394" s="5" t="n">
        <v>41.42</v>
      </c>
      <c r="C1394" s="5" t="n">
        <v>260000000</v>
      </c>
      <c r="D1394" s="5" t="n">
        <v>38.98</v>
      </c>
      <c r="E1394" s="5" t="n">
        <v>260</v>
      </c>
    </row>
    <row r="1395" customFormat="false" ht="12.75" hidden="false" customHeight="true" outlineLevel="0" collapsed="false">
      <c r="A1395" s="5" t="n">
        <v>71</v>
      </c>
      <c r="B1395" s="5" t="n">
        <v>42</v>
      </c>
      <c r="C1395" s="5" t="n">
        <v>281370000</v>
      </c>
      <c r="D1395" s="5" t="n">
        <v>41.07</v>
      </c>
      <c r="E1395" s="5" t="n">
        <v>281.37</v>
      </c>
    </row>
    <row r="1396" customFormat="false" ht="12.75" hidden="false" customHeight="true" outlineLevel="0" collapsed="false">
      <c r="A1396" s="5" t="n">
        <v>71</v>
      </c>
      <c r="B1396" s="5" t="n">
        <v>43</v>
      </c>
      <c r="C1396" s="5" t="n">
        <v>324740000</v>
      </c>
      <c r="D1396" s="5" t="n">
        <v>45.1</v>
      </c>
      <c r="E1396" s="5" t="n">
        <v>324.74</v>
      </c>
    </row>
    <row r="1397" customFormat="false" ht="12.75" hidden="false" customHeight="true" outlineLevel="0" collapsed="false">
      <c r="A1397" s="5" t="n">
        <v>71</v>
      </c>
      <c r="B1397" s="5" t="n">
        <v>44</v>
      </c>
      <c r="C1397" s="5" t="n">
        <v>373550000</v>
      </c>
      <c r="D1397" s="5" t="n">
        <v>49.3</v>
      </c>
      <c r="E1397" s="5" t="n">
        <v>373.55</v>
      </c>
    </row>
    <row r="1398" customFormat="false" ht="12.75" hidden="false" customHeight="true" outlineLevel="0" collapsed="false">
      <c r="A1398" s="5" t="n">
        <v>71</v>
      </c>
      <c r="B1398" s="5" t="n">
        <v>45</v>
      </c>
      <c r="C1398" s="5" t="n">
        <v>426950000</v>
      </c>
      <c r="D1398" s="5" t="n">
        <v>53.69</v>
      </c>
      <c r="E1398" s="5" t="n">
        <v>426.95</v>
      </c>
    </row>
    <row r="1399" customFormat="false" ht="12.75" hidden="false" customHeight="true" outlineLevel="0" collapsed="false">
      <c r="A1399" s="5" t="n">
        <v>71</v>
      </c>
      <c r="B1399" s="5" t="n">
        <v>46</v>
      </c>
      <c r="C1399" s="5" t="n">
        <v>485160000</v>
      </c>
      <c r="D1399" s="5" t="n">
        <v>58.25</v>
      </c>
      <c r="E1399" s="5" t="n">
        <v>485.16</v>
      </c>
    </row>
    <row r="1400" customFormat="false" ht="12.75" hidden="false" customHeight="true" outlineLevel="0" collapsed="false">
      <c r="A1400" s="5" t="n">
        <v>72</v>
      </c>
      <c r="B1400" s="5" t="n">
        <v>89.6</v>
      </c>
      <c r="C1400" s="5" t="n">
        <v>0</v>
      </c>
      <c r="D1400" s="5" t="n">
        <v>0</v>
      </c>
      <c r="E1400" s="5" t="n">
        <v>0</v>
      </c>
    </row>
    <row r="1401" customFormat="false" ht="12.75" hidden="false" customHeight="true" outlineLevel="0" collapsed="false">
      <c r="A1401" s="5" t="n">
        <v>72</v>
      </c>
      <c r="B1401" s="5" t="n">
        <v>90</v>
      </c>
      <c r="C1401" s="5" t="n">
        <v>120000</v>
      </c>
      <c r="D1401" s="5" t="n">
        <v>0.08</v>
      </c>
      <c r="E1401" s="5" t="n">
        <v>0.12</v>
      </c>
    </row>
    <row r="1402" customFormat="false" ht="12.75" hidden="false" customHeight="true" outlineLevel="0" collapsed="false">
      <c r="A1402" s="5" t="n">
        <v>72</v>
      </c>
      <c r="B1402" s="5" t="n">
        <v>91</v>
      </c>
      <c r="C1402" s="5" t="n">
        <v>230000</v>
      </c>
      <c r="D1402" s="5" t="n">
        <v>0.12</v>
      </c>
      <c r="E1402" s="5" t="n">
        <v>0.23</v>
      </c>
    </row>
    <row r="1403" customFormat="false" ht="12.75" hidden="false" customHeight="true" outlineLevel="0" collapsed="false">
      <c r="A1403" s="5" t="n">
        <v>72</v>
      </c>
      <c r="B1403" s="5" t="n">
        <v>92</v>
      </c>
      <c r="C1403" s="5" t="n">
        <v>400000</v>
      </c>
      <c r="D1403" s="5" t="n">
        <v>0.18</v>
      </c>
      <c r="E1403" s="5" t="n">
        <v>0.4</v>
      </c>
    </row>
    <row r="1404" customFormat="false" ht="12.75" hidden="false" customHeight="true" outlineLevel="0" collapsed="false">
      <c r="A1404" s="5" t="n">
        <v>72</v>
      </c>
      <c r="B1404" s="5" t="n">
        <v>93</v>
      </c>
      <c r="C1404" s="5" t="n">
        <v>600000</v>
      </c>
      <c r="D1404" s="5" t="n">
        <v>0.26</v>
      </c>
      <c r="E1404" s="5" t="n">
        <v>0.6</v>
      </c>
    </row>
    <row r="1405" customFormat="false" ht="12.75" hidden="false" customHeight="true" outlineLevel="0" collapsed="false">
      <c r="A1405" s="5" t="n">
        <v>72</v>
      </c>
      <c r="B1405" s="5" t="n">
        <v>94</v>
      </c>
      <c r="C1405" s="5" t="n">
        <v>930000</v>
      </c>
      <c r="D1405" s="5" t="n">
        <v>0.38</v>
      </c>
      <c r="E1405" s="5" t="n">
        <v>0.93</v>
      </c>
    </row>
    <row r="1406" customFormat="false" ht="12.75" hidden="false" customHeight="true" outlineLevel="0" collapsed="false">
      <c r="A1406" s="5" t="n">
        <v>72</v>
      </c>
      <c r="B1406" s="5" t="n">
        <v>95</v>
      </c>
      <c r="C1406" s="5" t="n">
        <v>1390000</v>
      </c>
      <c r="D1406" s="5" t="n">
        <v>0.46</v>
      </c>
      <c r="E1406" s="5" t="n">
        <v>1.39</v>
      </c>
    </row>
    <row r="1407" customFormat="false" ht="12.75" hidden="false" customHeight="true" outlineLevel="0" collapsed="false">
      <c r="A1407" s="5" t="n">
        <v>72</v>
      </c>
      <c r="B1407" s="5" t="n">
        <v>96</v>
      </c>
      <c r="C1407" s="5" t="n">
        <v>1900000</v>
      </c>
      <c r="D1407" s="5" t="n">
        <v>0.6</v>
      </c>
      <c r="E1407" s="5" t="n">
        <v>1.9</v>
      </c>
    </row>
    <row r="1408" customFormat="false" ht="12.75" hidden="false" customHeight="true" outlineLevel="0" collapsed="false">
      <c r="A1408" s="5" t="n">
        <v>72</v>
      </c>
      <c r="B1408" s="5" t="n">
        <v>97</v>
      </c>
      <c r="C1408" s="5" t="n">
        <v>2580000</v>
      </c>
      <c r="D1408" s="5" t="n">
        <v>0.76</v>
      </c>
      <c r="E1408" s="5" t="n">
        <v>2.58</v>
      </c>
    </row>
    <row r="1409" customFormat="false" ht="12.75" hidden="false" customHeight="true" outlineLevel="0" collapsed="false">
      <c r="A1409" s="5" t="n">
        <v>72</v>
      </c>
      <c r="B1409" s="5" t="n">
        <v>97.5</v>
      </c>
      <c r="C1409" s="5" t="n">
        <v>3000000</v>
      </c>
      <c r="D1409" s="5" t="n">
        <v>0.83</v>
      </c>
      <c r="E1409" s="5" t="n">
        <v>3</v>
      </c>
    </row>
    <row r="1410" customFormat="false" ht="12.75" hidden="false" customHeight="true" outlineLevel="0" collapsed="false">
      <c r="A1410" s="5" t="n">
        <v>72</v>
      </c>
      <c r="B1410" s="5" t="n">
        <v>98</v>
      </c>
      <c r="C1410" s="5" t="n">
        <v>3400000</v>
      </c>
      <c r="D1410" s="5" t="n">
        <v>0.9</v>
      </c>
      <c r="E1410" s="5" t="n">
        <v>3.4</v>
      </c>
    </row>
    <row r="1411" customFormat="false" ht="12.75" hidden="false" customHeight="true" outlineLevel="0" collapsed="false">
      <c r="A1411" s="5" t="n">
        <v>72</v>
      </c>
      <c r="B1411" s="5" t="n">
        <v>99</v>
      </c>
      <c r="C1411" s="5" t="n">
        <v>4400000</v>
      </c>
      <c r="D1411" s="5" t="n">
        <v>1.06</v>
      </c>
      <c r="E1411" s="5" t="n">
        <v>4.4</v>
      </c>
    </row>
    <row r="1412" customFormat="false" ht="12.75" hidden="false" customHeight="true" outlineLevel="0" collapsed="false">
      <c r="A1412" s="5" t="n">
        <v>72</v>
      </c>
      <c r="B1412" s="5" t="n">
        <v>100</v>
      </c>
      <c r="C1412" s="5" t="n">
        <v>5530000</v>
      </c>
      <c r="D1412" s="5" t="n">
        <v>1.2</v>
      </c>
      <c r="E1412" s="5" t="n">
        <v>5.53</v>
      </c>
    </row>
    <row r="1413" customFormat="false" ht="12.75" hidden="false" customHeight="true" outlineLevel="0" collapsed="false">
      <c r="A1413" s="5" t="n">
        <v>73</v>
      </c>
      <c r="B1413" s="5" t="n">
        <v>89.75</v>
      </c>
      <c r="C1413" s="5" t="n">
        <v>0</v>
      </c>
      <c r="D1413" s="5" t="n">
        <v>0</v>
      </c>
      <c r="E1413" s="5" t="n">
        <v>0</v>
      </c>
    </row>
    <row r="1414" customFormat="false" ht="12.75" hidden="false" customHeight="true" outlineLevel="0" collapsed="false">
      <c r="A1414" s="5" t="n">
        <v>73</v>
      </c>
      <c r="B1414" s="5" t="n">
        <v>90</v>
      </c>
      <c r="C1414" s="5" t="n">
        <v>10</v>
      </c>
      <c r="D1414" s="5" t="n">
        <v>0.0002</v>
      </c>
      <c r="E1414" s="5" t="n">
        <v>1E-005</v>
      </c>
    </row>
    <row r="1415" customFormat="false" ht="12.75" hidden="false" customHeight="true" outlineLevel="0" collapsed="false">
      <c r="A1415" s="5" t="n">
        <v>73</v>
      </c>
      <c r="B1415" s="5" t="n">
        <v>90.5</v>
      </c>
      <c r="C1415" s="5" t="n">
        <v>500</v>
      </c>
      <c r="D1415" s="5" t="n">
        <v>0.0023</v>
      </c>
      <c r="E1415" s="5" t="n">
        <v>0.0005</v>
      </c>
    </row>
    <row r="1416" customFormat="false" ht="12.75" hidden="false" customHeight="true" outlineLevel="0" collapsed="false">
      <c r="A1416" s="5" t="n">
        <v>73</v>
      </c>
      <c r="B1416" s="5" t="n">
        <v>91</v>
      </c>
      <c r="C1416" s="5" t="n">
        <v>2300</v>
      </c>
      <c r="D1416" s="5" t="n">
        <v>0.004</v>
      </c>
      <c r="E1416" s="5" t="n">
        <v>0.0023</v>
      </c>
    </row>
    <row r="1417" customFormat="false" ht="12.75" hidden="false" customHeight="true" outlineLevel="0" collapsed="false">
      <c r="A1417" s="5" t="n">
        <v>73</v>
      </c>
      <c r="B1417" s="5" t="n">
        <v>91.5</v>
      </c>
      <c r="C1417" s="5" t="n">
        <v>4800</v>
      </c>
      <c r="D1417" s="5" t="n">
        <v>0.006</v>
      </c>
      <c r="E1417" s="5" t="n">
        <v>0.0048</v>
      </c>
    </row>
    <row r="1418" customFormat="false" ht="12.75" hidden="false" customHeight="true" outlineLevel="0" collapsed="false">
      <c r="A1418" s="5" t="n">
        <v>73</v>
      </c>
      <c r="B1418" s="5" t="n">
        <v>92</v>
      </c>
      <c r="C1418" s="5" t="n">
        <v>8600</v>
      </c>
      <c r="D1418" s="5" t="n">
        <v>0.009</v>
      </c>
      <c r="E1418" s="5" t="n">
        <v>0.0086</v>
      </c>
    </row>
    <row r="1419" customFormat="false" ht="12.75" hidden="false" customHeight="true" outlineLevel="0" collapsed="false">
      <c r="A1419" s="5" t="n">
        <v>73</v>
      </c>
      <c r="B1419" s="5" t="n">
        <v>92.5</v>
      </c>
      <c r="C1419" s="5" t="n">
        <v>14000</v>
      </c>
      <c r="D1419" s="5" t="n">
        <v>0.01</v>
      </c>
      <c r="E1419" s="5" t="n">
        <v>0.014</v>
      </c>
    </row>
    <row r="1420" customFormat="false" ht="12.75" hidden="false" customHeight="true" outlineLevel="0" collapsed="false">
      <c r="A1420" s="5" t="n">
        <v>73</v>
      </c>
      <c r="B1420" s="5" t="n">
        <v>93</v>
      </c>
      <c r="C1420" s="5" t="n">
        <v>21000</v>
      </c>
      <c r="D1420" s="5" t="n">
        <v>0.02</v>
      </c>
      <c r="E1420" s="5" t="n">
        <v>0.021</v>
      </c>
    </row>
    <row r="1421" customFormat="false" ht="12.75" hidden="false" customHeight="true" outlineLevel="0" collapsed="false">
      <c r="A1421" s="5" t="n">
        <v>73</v>
      </c>
      <c r="B1421" s="5" t="n">
        <v>93.5</v>
      </c>
      <c r="C1421" s="5" t="n">
        <v>29000</v>
      </c>
      <c r="D1421" s="5" t="n">
        <v>0.02</v>
      </c>
      <c r="E1421" s="5" t="n">
        <v>0.029</v>
      </c>
    </row>
    <row r="1422" customFormat="false" ht="12.75" hidden="false" customHeight="true" outlineLevel="0" collapsed="false">
      <c r="A1422" s="5" t="n">
        <v>73</v>
      </c>
      <c r="B1422" s="5" t="n">
        <v>94</v>
      </c>
      <c r="C1422" s="5" t="n">
        <v>38500</v>
      </c>
      <c r="D1422" s="5" t="n">
        <v>0.02</v>
      </c>
      <c r="E1422" s="5" t="n">
        <v>0.0385</v>
      </c>
    </row>
    <row r="1423" customFormat="false" ht="12.75" hidden="false" customHeight="true" outlineLevel="0" collapsed="false">
      <c r="A1423" s="5" t="n">
        <v>73</v>
      </c>
      <c r="B1423" s="5" t="n">
        <v>94.5</v>
      </c>
      <c r="C1423" s="5" t="n">
        <v>50000</v>
      </c>
      <c r="D1423" s="5" t="n">
        <v>0.03</v>
      </c>
      <c r="E1423" s="5" t="n">
        <v>0.05</v>
      </c>
    </row>
    <row r="1424" customFormat="false" ht="12.75" hidden="false" customHeight="true" outlineLevel="0" collapsed="false">
      <c r="A1424" s="5" t="n">
        <v>73</v>
      </c>
      <c r="B1424" s="5" t="n">
        <v>95</v>
      </c>
      <c r="C1424" s="5" t="n">
        <v>64000</v>
      </c>
      <c r="D1424" s="5" t="n">
        <v>0.03</v>
      </c>
      <c r="E1424" s="5" t="n">
        <v>0.064</v>
      </c>
    </row>
    <row r="1425" customFormat="false" ht="12.75" hidden="false" customHeight="true" outlineLevel="0" collapsed="false">
      <c r="A1425" s="5" t="n">
        <v>73</v>
      </c>
      <c r="B1425" s="5" t="n">
        <v>95.5</v>
      </c>
      <c r="C1425" s="5" t="n">
        <v>79000</v>
      </c>
      <c r="D1425" s="5" t="n">
        <v>0.03</v>
      </c>
      <c r="E1425" s="5" t="n">
        <v>0.079</v>
      </c>
    </row>
    <row r="1426" customFormat="false" ht="12.75" hidden="false" customHeight="true" outlineLevel="0" collapsed="false">
      <c r="A1426" s="5" t="n">
        <v>73</v>
      </c>
      <c r="B1426" s="5" t="n">
        <v>96</v>
      </c>
      <c r="C1426" s="5" t="n">
        <v>98000</v>
      </c>
      <c r="D1426" s="5" t="n">
        <v>0.04</v>
      </c>
      <c r="E1426" s="5" t="n">
        <v>0.098</v>
      </c>
    </row>
    <row r="1427" customFormat="false" ht="12.75" hidden="false" customHeight="true" outlineLevel="0" collapsed="false">
      <c r="A1427" s="5" t="n">
        <v>73</v>
      </c>
      <c r="B1427" s="5" t="n">
        <v>96.5</v>
      </c>
      <c r="C1427" s="5" t="n">
        <v>120000</v>
      </c>
      <c r="D1427" s="5" t="n">
        <v>0.05</v>
      </c>
      <c r="E1427" s="5" t="n">
        <v>0.12</v>
      </c>
    </row>
    <row r="1428" customFormat="false" ht="12.75" hidden="false" customHeight="true" outlineLevel="0" collapsed="false">
      <c r="A1428" s="5" t="n">
        <v>73</v>
      </c>
      <c r="B1428" s="5" t="n">
        <v>97</v>
      </c>
      <c r="C1428" s="5" t="n">
        <v>146000</v>
      </c>
      <c r="D1428" s="5" t="n">
        <v>0.06</v>
      </c>
      <c r="E1428" s="5" t="n">
        <v>0.146</v>
      </c>
    </row>
    <row r="1429" customFormat="false" ht="12.75" hidden="false" customHeight="true" outlineLevel="0" collapsed="false">
      <c r="A1429" s="5" t="n">
        <v>73</v>
      </c>
      <c r="B1429" s="5" t="n">
        <v>98</v>
      </c>
      <c r="C1429" s="5" t="n">
        <v>190000</v>
      </c>
      <c r="D1429" s="5" t="n">
        <v>0.07</v>
      </c>
      <c r="E1429" s="5" t="n">
        <v>0.19</v>
      </c>
    </row>
    <row r="1430" customFormat="false" ht="12.75" hidden="false" customHeight="true" outlineLevel="0" collapsed="false">
      <c r="A1430" s="5" t="n">
        <v>73</v>
      </c>
      <c r="B1430" s="5" t="n">
        <v>99</v>
      </c>
      <c r="C1430" s="5" t="n">
        <v>244000</v>
      </c>
      <c r="D1430" s="5" t="n">
        <v>0.09</v>
      </c>
      <c r="E1430" s="5" t="n">
        <v>0.244</v>
      </c>
    </row>
    <row r="1431" customFormat="false" ht="12.75" hidden="false" customHeight="true" outlineLevel="0" collapsed="false">
      <c r="A1431" s="5" t="n">
        <v>74</v>
      </c>
      <c r="B1431" s="5" t="n">
        <v>90</v>
      </c>
      <c r="C1431" s="5" t="n">
        <v>0</v>
      </c>
      <c r="D1431" s="5" t="n">
        <v>0</v>
      </c>
      <c r="E1431" s="5" t="n">
        <v>0</v>
      </c>
    </row>
    <row r="1432" customFormat="false" ht="12.75" hidden="false" customHeight="true" outlineLevel="0" collapsed="false">
      <c r="A1432" s="5" t="n">
        <v>74</v>
      </c>
      <c r="B1432" s="5" t="n">
        <v>91</v>
      </c>
      <c r="C1432" s="5" t="n">
        <v>20000</v>
      </c>
      <c r="D1432" s="5" t="n">
        <v>0.05</v>
      </c>
      <c r="E1432" s="5" t="n">
        <v>0.02</v>
      </c>
    </row>
    <row r="1433" customFormat="false" ht="12.75" hidden="false" customHeight="true" outlineLevel="0" collapsed="false">
      <c r="A1433" s="5" t="n">
        <v>74</v>
      </c>
      <c r="B1433" s="5" t="n">
        <v>92</v>
      </c>
      <c r="C1433" s="5" t="n">
        <v>130000</v>
      </c>
      <c r="D1433" s="5" t="n">
        <v>0.14</v>
      </c>
      <c r="E1433" s="5" t="n">
        <v>0.13</v>
      </c>
    </row>
    <row r="1434" customFormat="false" ht="12.75" hidden="false" customHeight="true" outlineLevel="0" collapsed="false">
      <c r="A1434" s="5" t="n">
        <v>74</v>
      </c>
      <c r="B1434" s="5" t="n">
        <v>93</v>
      </c>
      <c r="C1434" s="5" t="n">
        <v>370000</v>
      </c>
      <c r="D1434" s="5" t="n">
        <v>0.35</v>
      </c>
      <c r="E1434" s="5" t="n">
        <v>0.37</v>
      </c>
    </row>
    <row r="1435" customFormat="false" ht="12.75" hidden="false" customHeight="true" outlineLevel="0" collapsed="false">
      <c r="A1435" s="5" t="n">
        <v>74</v>
      </c>
      <c r="B1435" s="5" t="n">
        <v>94</v>
      </c>
      <c r="C1435" s="5" t="n">
        <v>810000</v>
      </c>
      <c r="D1435" s="5" t="n">
        <v>0.54</v>
      </c>
      <c r="E1435" s="5" t="n">
        <v>0.81</v>
      </c>
    </row>
    <row r="1436" customFormat="false" ht="12.75" hidden="false" customHeight="true" outlineLevel="0" collapsed="false">
      <c r="A1436" s="5" t="n">
        <v>74</v>
      </c>
      <c r="B1436" s="5" t="n">
        <v>95</v>
      </c>
      <c r="C1436" s="5" t="n">
        <v>1510000</v>
      </c>
      <c r="D1436" s="5" t="n">
        <v>0.84</v>
      </c>
      <c r="E1436" s="5" t="n">
        <v>1.51</v>
      </c>
    </row>
    <row r="1437" customFormat="false" ht="12.75" hidden="false" customHeight="true" outlineLevel="0" collapsed="false">
      <c r="A1437" s="5" t="n">
        <v>74</v>
      </c>
      <c r="B1437" s="5" t="n">
        <v>96</v>
      </c>
      <c r="C1437" s="5" t="n">
        <v>2510000</v>
      </c>
      <c r="D1437" s="5" t="n">
        <v>1.16</v>
      </c>
      <c r="E1437" s="5" t="n">
        <v>2.51</v>
      </c>
    </row>
    <row r="1438" customFormat="false" ht="12.75" hidden="false" customHeight="true" outlineLevel="0" collapsed="false">
      <c r="A1438" s="5" t="n">
        <v>74</v>
      </c>
      <c r="B1438" s="5" t="n">
        <v>97</v>
      </c>
      <c r="C1438" s="5" t="n">
        <v>3880000</v>
      </c>
      <c r="D1438" s="5" t="n">
        <v>1.56</v>
      </c>
      <c r="E1438" s="5" t="n">
        <v>3.88</v>
      </c>
    </row>
    <row r="1439" customFormat="false" ht="12.75" hidden="false" customHeight="true" outlineLevel="0" collapsed="false">
      <c r="A1439" s="5" t="n">
        <v>74</v>
      </c>
      <c r="B1439" s="5" t="n">
        <v>98</v>
      </c>
      <c r="C1439" s="5" t="n">
        <v>5630000</v>
      </c>
      <c r="D1439" s="5" t="n">
        <v>1.94</v>
      </c>
      <c r="E1439" s="5" t="n">
        <v>5.63</v>
      </c>
    </row>
    <row r="1440" customFormat="false" ht="12.75" hidden="false" customHeight="true" outlineLevel="0" collapsed="false">
      <c r="A1440" s="5" t="n">
        <v>74</v>
      </c>
      <c r="B1440" s="5" t="n">
        <v>99</v>
      </c>
      <c r="C1440" s="5" t="n">
        <v>7730000</v>
      </c>
      <c r="D1440" s="5" t="n">
        <v>2.25</v>
      </c>
      <c r="E1440" s="5" t="n">
        <v>7.73</v>
      </c>
    </row>
    <row r="1441" customFormat="false" ht="12.75" hidden="false" customHeight="true" outlineLevel="0" collapsed="false">
      <c r="A1441" s="5" t="n">
        <v>74</v>
      </c>
      <c r="B1441" s="5" t="n">
        <v>100</v>
      </c>
      <c r="C1441" s="5" t="n">
        <v>10200000</v>
      </c>
      <c r="D1441" s="5" t="n">
        <v>2.67</v>
      </c>
      <c r="E1441" s="5" t="n">
        <v>10.2</v>
      </c>
    </row>
    <row r="1442" customFormat="false" ht="12.75" hidden="false" customHeight="true" outlineLevel="0" collapsed="false">
      <c r="A1442" s="5" t="n">
        <v>74</v>
      </c>
      <c r="B1442" s="5" t="n">
        <v>101</v>
      </c>
      <c r="C1442" s="5" t="n">
        <v>13110000</v>
      </c>
      <c r="D1442" s="5" t="n">
        <v>3.15</v>
      </c>
      <c r="E1442" s="5" t="n">
        <v>13.11</v>
      </c>
    </row>
    <row r="1443" customFormat="false" ht="12.75" hidden="false" customHeight="true" outlineLevel="0" collapsed="false">
      <c r="A1443" s="5" t="n">
        <v>74</v>
      </c>
      <c r="B1443" s="5" t="n">
        <v>102</v>
      </c>
      <c r="C1443" s="5" t="n">
        <v>15000000</v>
      </c>
      <c r="D1443" s="5" t="n">
        <v>4.5</v>
      </c>
      <c r="E1443" s="5" t="n">
        <v>15</v>
      </c>
    </row>
    <row r="1444" customFormat="false" ht="12.75" hidden="false" customHeight="true" outlineLevel="0" collapsed="false">
      <c r="A1444" s="5" t="n">
        <v>74</v>
      </c>
      <c r="B1444" s="5" t="n">
        <v>103</v>
      </c>
      <c r="C1444" s="5" t="n">
        <v>17000000</v>
      </c>
      <c r="D1444" s="5" t="n">
        <v>5</v>
      </c>
      <c r="E1444" s="5" t="n">
        <v>17</v>
      </c>
    </row>
    <row r="1445" customFormat="false" ht="12.75" hidden="false" customHeight="true" outlineLevel="0" collapsed="false">
      <c r="A1445" s="5" t="n">
        <v>75</v>
      </c>
      <c r="B1445" s="5" t="n">
        <v>206</v>
      </c>
      <c r="C1445" s="5" t="n">
        <v>0</v>
      </c>
      <c r="D1445" s="5" t="n">
        <v>0</v>
      </c>
      <c r="E1445" s="5" t="n">
        <v>0</v>
      </c>
    </row>
    <row r="1446" customFormat="false" ht="12.75" hidden="false" customHeight="true" outlineLevel="0" collapsed="false">
      <c r="A1446" s="5" t="n">
        <v>75</v>
      </c>
      <c r="B1446" s="5" t="n">
        <v>207</v>
      </c>
      <c r="C1446" s="5" t="n">
        <v>2000</v>
      </c>
      <c r="D1446" s="5" t="n">
        <v>0.004</v>
      </c>
      <c r="E1446" s="5" t="n">
        <v>0.002</v>
      </c>
    </row>
    <row r="1447" customFormat="false" ht="12.75" hidden="false" customHeight="true" outlineLevel="0" collapsed="false">
      <c r="A1447" s="5" t="n">
        <v>75</v>
      </c>
      <c r="B1447" s="5" t="n">
        <v>208</v>
      </c>
      <c r="C1447" s="5" t="n">
        <v>10000</v>
      </c>
      <c r="D1447" s="5" t="n">
        <v>0.01</v>
      </c>
      <c r="E1447" s="5" t="n">
        <v>0.01</v>
      </c>
    </row>
    <row r="1448" customFormat="false" ht="12.75" hidden="false" customHeight="true" outlineLevel="0" collapsed="false">
      <c r="A1448" s="5" t="n">
        <v>75</v>
      </c>
      <c r="B1448" s="5" t="n">
        <v>209</v>
      </c>
      <c r="C1448" s="5" t="n">
        <v>20000</v>
      </c>
      <c r="D1448" s="5" t="n">
        <v>0.03</v>
      </c>
      <c r="E1448" s="5" t="n">
        <v>0.02</v>
      </c>
    </row>
    <row r="1449" customFormat="false" ht="12.75" hidden="false" customHeight="true" outlineLevel="0" collapsed="false">
      <c r="A1449" s="5" t="n">
        <v>75</v>
      </c>
      <c r="B1449" s="5" t="n">
        <v>210</v>
      </c>
      <c r="C1449" s="5" t="n">
        <v>60000</v>
      </c>
      <c r="D1449" s="5" t="n">
        <v>0.06</v>
      </c>
      <c r="E1449" s="5" t="n">
        <v>0.06</v>
      </c>
    </row>
    <row r="1450" customFormat="false" ht="12.75" hidden="false" customHeight="true" outlineLevel="0" collapsed="false">
      <c r="A1450" s="5" t="n">
        <v>75</v>
      </c>
      <c r="B1450" s="5" t="n">
        <v>211</v>
      </c>
      <c r="C1450" s="5" t="n">
        <v>110000</v>
      </c>
      <c r="D1450" s="5" t="n">
        <v>0.1</v>
      </c>
      <c r="E1450" s="5" t="n">
        <v>0.11</v>
      </c>
    </row>
    <row r="1451" customFormat="false" ht="12.75" hidden="false" customHeight="true" outlineLevel="0" collapsed="false">
      <c r="A1451" s="5" t="n">
        <v>75</v>
      </c>
      <c r="B1451" s="5" t="n">
        <v>212</v>
      </c>
      <c r="C1451" s="5" t="n">
        <v>180000</v>
      </c>
      <c r="D1451" s="5" t="n">
        <v>0.14</v>
      </c>
      <c r="E1451" s="5" t="n">
        <v>0.18</v>
      </c>
    </row>
    <row r="1452" customFormat="false" ht="12.75" hidden="false" customHeight="true" outlineLevel="0" collapsed="false">
      <c r="A1452" s="5" t="n">
        <v>75</v>
      </c>
      <c r="B1452" s="5" t="n">
        <v>213</v>
      </c>
      <c r="C1452" s="5" t="n">
        <v>280000</v>
      </c>
      <c r="D1452" s="5" t="n">
        <v>0.2</v>
      </c>
      <c r="E1452" s="5" t="n">
        <v>0.28</v>
      </c>
    </row>
    <row r="1453" customFormat="false" ht="12.75" hidden="false" customHeight="true" outlineLevel="0" collapsed="false">
      <c r="A1453" s="5" t="n">
        <v>75</v>
      </c>
      <c r="B1453" s="5" t="n">
        <v>214</v>
      </c>
      <c r="C1453" s="5" t="n">
        <v>430000</v>
      </c>
      <c r="D1453" s="5" t="n">
        <v>0.29</v>
      </c>
      <c r="E1453" s="5" t="n">
        <v>0.43</v>
      </c>
    </row>
    <row r="1454" customFormat="false" ht="12.75" hidden="false" customHeight="true" outlineLevel="0" collapsed="false">
      <c r="A1454" s="5" t="n">
        <v>75</v>
      </c>
      <c r="B1454" s="5" t="n">
        <v>215</v>
      </c>
      <c r="C1454" s="5" t="n">
        <v>620000</v>
      </c>
      <c r="D1454" s="5" t="n">
        <v>0.37</v>
      </c>
      <c r="E1454" s="5" t="n">
        <v>0.62</v>
      </c>
    </row>
    <row r="1455" customFormat="false" ht="12.75" hidden="false" customHeight="true" outlineLevel="0" collapsed="false">
      <c r="A1455" s="5" t="n">
        <v>75</v>
      </c>
      <c r="B1455" s="5" t="n">
        <v>216</v>
      </c>
      <c r="C1455" s="5" t="n">
        <v>830000</v>
      </c>
      <c r="D1455" s="5" t="n">
        <v>0.41</v>
      </c>
      <c r="E1455" s="5" t="n">
        <v>0.83</v>
      </c>
    </row>
    <row r="1456" customFormat="false" ht="12.75" hidden="false" customHeight="true" outlineLevel="0" collapsed="false">
      <c r="A1456" s="5" t="n">
        <v>75</v>
      </c>
      <c r="B1456" s="5" t="n">
        <v>217</v>
      </c>
      <c r="C1456" s="5" t="n">
        <v>1090000</v>
      </c>
      <c r="D1456" s="5" t="n">
        <v>0.52</v>
      </c>
      <c r="E1456" s="5" t="n">
        <v>1.09</v>
      </c>
    </row>
    <row r="1457" customFormat="false" ht="12.75" hidden="false" customHeight="true" outlineLevel="0" collapsed="false">
      <c r="A1457" s="5" t="n">
        <v>75</v>
      </c>
      <c r="B1457" s="5" t="n">
        <v>218</v>
      </c>
      <c r="C1457" s="5" t="n">
        <v>1430000</v>
      </c>
      <c r="D1457" s="5" t="n">
        <v>0.69</v>
      </c>
      <c r="E1457" s="5" t="n">
        <v>1.43</v>
      </c>
    </row>
    <row r="1458" customFormat="false" ht="12.75" hidden="false" customHeight="true" outlineLevel="0" collapsed="false">
      <c r="A1458" s="5" t="n">
        <v>75</v>
      </c>
      <c r="B1458" s="5" t="n">
        <v>219</v>
      </c>
      <c r="C1458" s="5" t="n">
        <v>1820000</v>
      </c>
      <c r="D1458" s="5" t="n">
        <v>0.77</v>
      </c>
      <c r="E1458" s="5" t="n">
        <v>1.82</v>
      </c>
    </row>
    <row r="1459" customFormat="false" ht="12.75" hidden="false" customHeight="true" outlineLevel="0" collapsed="false">
      <c r="A1459" s="5" t="n">
        <v>75</v>
      </c>
      <c r="B1459" s="5" t="n">
        <v>220</v>
      </c>
      <c r="C1459" s="5" t="n">
        <v>2240000</v>
      </c>
      <c r="D1459" s="5" t="n">
        <v>0.84</v>
      </c>
      <c r="E1459" s="5" t="n">
        <v>2.24</v>
      </c>
    </row>
    <row r="1460" customFormat="false" ht="12.75" hidden="false" customHeight="true" outlineLevel="0" collapsed="false">
      <c r="A1460" s="5" t="n">
        <v>75</v>
      </c>
      <c r="B1460" s="5" t="n">
        <v>220.5</v>
      </c>
      <c r="C1460" s="5" t="n">
        <v>2720000</v>
      </c>
      <c r="D1460" s="5" t="n">
        <v>0.94</v>
      </c>
      <c r="E1460" s="5" t="n">
        <v>2.72</v>
      </c>
    </row>
    <row r="1461" customFormat="false" ht="12.75" hidden="false" customHeight="true" outlineLevel="0" collapsed="false">
      <c r="A1461" s="5" t="n">
        <v>75</v>
      </c>
      <c r="B1461" s="5" t="n">
        <v>221</v>
      </c>
      <c r="C1461" s="5" t="n">
        <v>3000000</v>
      </c>
      <c r="D1461" s="5" t="n">
        <v>1</v>
      </c>
      <c r="E1461" s="5" t="n">
        <v>3</v>
      </c>
    </row>
    <row r="1462" customFormat="false" ht="12.75" hidden="false" customHeight="true" outlineLevel="0" collapsed="false">
      <c r="A1462" s="5" t="n">
        <v>75</v>
      </c>
      <c r="B1462" s="5" t="n">
        <v>222</v>
      </c>
      <c r="C1462" s="5" t="n">
        <v>3500000</v>
      </c>
      <c r="D1462" s="5" t="n">
        <v>1.8</v>
      </c>
      <c r="E1462" s="5" t="n">
        <v>3.5</v>
      </c>
    </row>
    <row r="1463" customFormat="false" ht="12.75" hidden="false" customHeight="true" outlineLevel="0" collapsed="false">
      <c r="A1463" s="5" t="n">
        <v>76</v>
      </c>
      <c r="B1463" s="5" t="n">
        <v>305</v>
      </c>
      <c r="C1463" s="5" t="n">
        <v>0</v>
      </c>
      <c r="D1463" s="5" t="n">
        <v>0</v>
      </c>
      <c r="E1463" s="5" t="n">
        <v>0</v>
      </c>
    </row>
    <row r="1464" customFormat="false" ht="12.75" hidden="false" customHeight="true" outlineLevel="0" collapsed="false">
      <c r="A1464" s="5" t="n">
        <v>76</v>
      </c>
      <c r="B1464" s="5" t="n">
        <v>307</v>
      </c>
      <c r="C1464" s="5" t="n">
        <v>160000</v>
      </c>
      <c r="D1464" s="5" t="n">
        <v>0</v>
      </c>
      <c r="E1464" s="5" t="n">
        <v>0.16</v>
      </c>
    </row>
    <row r="1465" customFormat="false" ht="12.75" hidden="false" customHeight="true" outlineLevel="0" collapsed="false">
      <c r="A1465" s="5" t="n">
        <v>76</v>
      </c>
      <c r="B1465" s="5" t="n">
        <v>309</v>
      </c>
      <c r="C1465" s="5" t="n">
        <v>500000</v>
      </c>
      <c r="D1465" s="5" t="n">
        <v>0</v>
      </c>
      <c r="E1465" s="5" t="n">
        <v>0.5</v>
      </c>
    </row>
    <row r="1466" customFormat="false" ht="12.75" hidden="false" customHeight="true" outlineLevel="0" collapsed="false">
      <c r="A1466" s="5" t="n">
        <v>76</v>
      </c>
      <c r="B1466" s="5" t="n">
        <v>311</v>
      </c>
      <c r="C1466" s="5" t="n">
        <v>1200000</v>
      </c>
      <c r="D1466" s="5" t="n">
        <v>0</v>
      </c>
      <c r="E1466" s="5" t="n">
        <v>1.2</v>
      </c>
    </row>
    <row r="1467" customFormat="false" ht="12.75" hidden="false" customHeight="true" outlineLevel="0" collapsed="false">
      <c r="A1467" s="5" t="n">
        <v>76</v>
      </c>
      <c r="B1467" s="5" t="n">
        <v>313</v>
      </c>
      <c r="C1467" s="5" t="n">
        <v>2130000</v>
      </c>
      <c r="D1467" s="5" t="n">
        <v>0</v>
      </c>
      <c r="E1467" s="5" t="n">
        <v>2.13</v>
      </c>
    </row>
    <row r="1468" customFormat="false" ht="12.75" hidden="false" customHeight="true" outlineLevel="0" collapsed="false">
      <c r="A1468" s="5" t="n">
        <v>76</v>
      </c>
      <c r="B1468" s="5" t="n">
        <v>314</v>
      </c>
      <c r="C1468" s="5" t="n">
        <v>2680000</v>
      </c>
      <c r="D1468" s="5" t="n">
        <v>0</v>
      </c>
      <c r="E1468" s="5" t="n">
        <v>2.68</v>
      </c>
    </row>
    <row r="1469" customFormat="false" ht="12.75" hidden="false" customHeight="true" outlineLevel="0" collapsed="false">
      <c r="A1469" s="5" t="n">
        <v>77</v>
      </c>
      <c r="B1469" s="5" t="n">
        <v>33</v>
      </c>
      <c r="C1469" s="5" t="n">
        <v>0</v>
      </c>
      <c r="D1469" s="5" t="n">
        <v>0</v>
      </c>
      <c r="E1469" s="5" t="n">
        <v>0</v>
      </c>
    </row>
    <row r="1470" customFormat="false" ht="12.75" hidden="false" customHeight="true" outlineLevel="0" collapsed="false">
      <c r="A1470" s="5" t="n">
        <v>77</v>
      </c>
      <c r="B1470" s="5" t="n">
        <v>34</v>
      </c>
      <c r="C1470" s="5" t="n">
        <v>3733</v>
      </c>
      <c r="D1470" s="5" t="n">
        <v>0.01</v>
      </c>
      <c r="E1470" s="5" t="n">
        <v>0.003733</v>
      </c>
    </row>
    <row r="1471" customFormat="false" ht="12.75" hidden="false" customHeight="true" outlineLevel="0" collapsed="false">
      <c r="A1471" s="5" t="n">
        <v>77</v>
      </c>
      <c r="B1471" s="5" t="n">
        <v>35</v>
      </c>
      <c r="C1471" s="5" t="n">
        <v>20000</v>
      </c>
      <c r="D1471" s="5" t="n">
        <v>0.03</v>
      </c>
      <c r="E1471" s="5" t="n">
        <v>0.02</v>
      </c>
    </row>
    <row r="1472" customFormat="false" ht="12.75" hidden="false" customHeight="true" outlineLevel="0" collapsed="false">
      <c r="A1472" s="5" t="n">
        <v>77</v>
      </c>
      <c r="B1472" s="5" t="n">
        <v>36</v>
      </c>
      <c r="C1472" s="5" t="n">
        <v>90000</v>
      </c>
      <c r="D1472" s="5" t="n">
        <v>0.1</v>
      </c>
      <c r="E1472" s="5" t="n">
        <v>0.09</v>
      </c>
    </row>
    <row r="1473" customFormat="false" ht="12.75" hidden="false" customHeight="true" outlineLevel="0" collapsed="false">
      <c r="A1473" s="5" t="n">
        <v>77</v>
      </c>
      <c r="B1473" s="5" t="n">
        <v>37</v>
      </c>
      <c r="C1473" s="5" t="n">
        <v>280000</v>
      </c>
      <c r="D1473" s="5" t="n">
        <v>0.27</v>
      </c>
      <c r="E1473" s="5" t="n">
        <v>0.28</v>
      </c>
    </row>
    <row r="1474" customFormat="false" ht="12.75" hidden="false" customHeight="true" outlineLevel="0" collapsed="false">
      <c r="A1474" s="5" t="n">
        <v>77</v>
      </c>
      <c r="B1474" s="5" t="n">
        <v>38</v>
      </c>
      <c r="C1474" s="5" t="n">
        <v>640000</v>
      </c>
      <c r="D1474" s="5" t="n">
        <v>0.45</v>
      </c>
      <c r="E1474" s="5" t="n">
        <v>0.64</v>
      </c>
    </row>
    <row r="1475" customFormat="false" ht="12.75" hidden="false" customHeight="true" outlineLevel="0" collapsed="false">
      <c r="A1475" s="5" t="n">
        <v>77</v>
      </c>
      <c r="B1475" s="5" t="n">
        <v>39</v>
      </c>
      <c r="C1475" s="5" t="n">
        <v>1210000</v>
      </c>
      <c r="D1475" s="5" t="n">
        <v>0.67</v>
      </c>
      <c r="E1475" s="5" t="n">
        <v>1.21</v>
      </c>
    </row>
    <row r="1476" customFormat="false" ht="12.75" hidden="false" customHeight="true" outlineLevel="0" collapsed="false">
      <c r="A1476" s="5" t="n">
        <v>77</v>
      </c>
      <c r="B1476" s="5" t="n">
        <v>40</v>
      </c>
      <c r="C1476" s="5" t="n">
        <v>2020000</v>
      </c>
      <c r="D1476" s="5" t="n">
        <v>0.94</v>
      </c>
      <c r="E1476" s="5" t="n">
        <v>2.02</v>
      </c>
    </row>
    <row r="1477" customFormat="false" ht="12.75" hidden="false" customHeight="true" outlineLevel="0" collapsed="false">
      <c r="A1477" s="5" t="n">
        <v>77</v>
      </c>
      <c r="B1477" s="5" t="n">
        <v>41</v>
      </c>
      <c r="C1477" s="5" t="n">
        <v>3160000</v>
      </c>
      <c r="D1477" s="5" t="n">
        <v>1.32</v>
      </c>
      <c r="E1477" s="5" t="n">
        <v>3.16</v>
      </c>
    </row>
    <row r="1478" customFormat="false" ht="12.75" hidden="false" customHeight="true" outlineLevel="0" collapsed="false">
      <c r="A1478" s="5" t="n">
        <v>77</v>
      </c>
      <c r="B1478" s="5" t="n">
        <v>42</v>
      </c>
      <c r="C1478" s="5" t="n">
        <v>4620000</v>
      </c>
      <c r="D1478" s="5" t="n">
        <v>1.6</v>
      </c>
      <c r="E1478" s="5" t="n">
        <v>4.62</v>
      </c>
    </row>
    <row r="1479" customFormat="false" ht="12.75" hidden="false" customHeight="true" outlineLevel="0" collapsed="false">
      <c r="A1479" s="5" t="n">
        <v>77</v>
      </c>
      <c r="B1479" s="5" t="n">
        <v>43</v>
      </c>
      <c r="C1479" s="5" t="n">
        <v>6440000</v>
      </c>
      <c r="D1479" s="5" t="n">
        <v>2.03</v>
      </c>
      <c r="E1479" s="5" t="n">
        <v>6.44</v>
      </c>
    </row>
    <row r="1480" customFormat="false" ht="12.75" hidden="false" customHeight="true" outlineLevel="0" collapsed="false">
      <c r="A1480" s="5" t="n">
        <v>77</v>
      </c>
      <c r="B1480" s="5" t="n">
        <v>44</v>
      </c>
      <c r="C1480" s="5" t="n">
        <v>8680000</v>
      </c>
      <c r="D1480" s="5" t="n">
        <v>2.45</v>
      </c>
      <c r="E1480" s="5" t="n">
        <v>8.68</v>
      </c>
    </row>
    <row r="1481" customFormat="false" ht="12.75" hidden="false" customHeight="true" outlineLevel="0" collapsed="false">
      <c r="A1481" s="5" t="n">
        <v>77</v>
      </c>
      <c r="B1481" s="5" t="n">
        <v>45</v>
      </c>
      <c r="C1481" s="5" t="n">
        <v>11360000</v>
      </c>
      <c r="D1481" s="5" t="n">
        <v>2.89</v>
      </c>
      <c r="E1481" s="5" t="n">
        <v>11.36</v>
      </c>
    </row>
    <row r="1482" customFormat="false" ht="12.75" hidden="false" customHeight="true" outlineLevel="0" collapsed="false">
      <c r="A1482" s="5" t="n">
        <v>77</v>
      </c>
      <c r="B1482" s="5" t="n">
        <v>46</v>
      </c>
      <c r="C1482" s="5" t="n">
        <v>14480000</v>
      </c>
      <c r="D1482" s="5" t="n">
        <v>3.34</v>
      </c>
      <c r="E1482" s="5" t="n">
        <v>14.48</v>
      </c>
    </row>
    <row r="1483" customFormat="false" ht="12.75" hidden="false" customHeight="true" outlineLevel="0" collapsed="false">
      <c r="A1483" s="5" t="n">
        <v>77</v>
      </c>
      <c r="B1483" s="5" t="n">
        <v>47</v>
      </c>
      <c r="C1483" s="5" t="n">
        <v>18110000</v>
      </c>
      <c r="D1483" s="5" t="n">
        <v>3.9</v>
      </c>
      <c r="E1483" s="5" t="n">
        <v>18.11</v>
      </c>
    </row>
    <row r="1484" customFormat="false" ht="12.75" hidden="false" customHeight="true" outlineLevel="0" collapsed="false">
      <c r="A1484" s="5" t="n">
        <v>77</v>
      </c>
      <c r="B1484" s="5" t="n">
        <v>48</v>
      </c>
      <c r="C1484" s="5" t="n">
        <v>22360000</v>
      </c>
      <c r="D1484" s="5" t="n">
        <v>4.59</v>
      </c>
      <c r="E1484" s="5" t="n">
        <v>22.36</v>
      </c>
    </row>
    <row r="1485" customFormat="false" ht="12.75" hidden="false" customHeight="true" outlineLevel="0" collapsed="false">
      <c r="A1485" s="5" t="n">
        <v>77</v>
      </c>
      <c r="B1485" s="5" t="n">
        <v>49</v>
      </c>
      <c r="C1485" s="5" t="n">
        <v>27320000</v>
      </c>
      <c r="D1485" s="5" t="n">
        <v>5.32</v>
      </c>
      <c r="E1485" s="5" t="n">
        <v>27.32</v>
      </c>
    </row>
    <row r="1486" customFormat="false" ht="12.75" hidden="false" customHeight="true" outlineLevel="0" collapsed="false">
      <c r="A1486" s="5" t="n">
        <v>77</v>
      </c>
      <c r="B1486" s="5" t="n">
        <v>50</v>
      </c>
      <c r="C1486" s="5" t="n">
        <v>33020000</v>
      </c>
      <c r="D1486" s="5" t="n">
        <v>6.07</v>
      </c>
      <c r="E1486" s="5" t="n">
        <v>33.02</v>
      </c>
    </row>
    <row r="1487" customFormat="false" ht="12.75" hidden="false" customHeight="true" outlineLevel="0" collapsed="false">
      <c r="A1487" s="5" t="n">
        <v>77</v>
      </c>
      <c r="B1487" s="5" t="n">
        <v>51</v>
      </c>
      <c r="C1487" s="5" t="n">
        <v>39510000</v>
      </c>
      <c r="D1487" s="5" t="n">
        <v>6.9</v>
      </c>
      <c r="E1487" s="5" t="n">
        <v>39.51</v>
      </c>
    </row>
    <row r="1488" customFormat="false" ht="12.75" hidden="false" customHeight="true" outlineLevel="0" collapsed="false">
      <c r="A1488" s="5" t="n">
        <v>77</v>
      </c>
      <c r="B1488" s="5" t="n">
        <v>52</v>
      </c>
      <c r="C1488" s="5" t="n">
        <v>46900000</v>
      </c>
      <c r="D1488" s="5" t="n">
        <v>7.88</v>
      </c>
      <c r="E1488" s="5" t="n">
        <v>46.9</v>
      </c>
    </row>
    <row r="1489" customFormat="false" ht="12.75" hidden="false" customHeight="true" outlineLevel="0" collapsed="false">
      <c r="A1489" s="5" t="n">
        <v>77</v>
      </c>
      <c r="B1489" s="5" t="n">
        <v>53</v>
      </c>
      <c r="C1489" s="5" t="n">
        <v>55150000</v>
      </c>
      <c r="D1489" s="5" t="n">
        <v>8.6</v>
      </c>
      <c r="E1489" s="5" t="n">
        <v>55.15</v>
      </c>
    </row>
    <row r="1490" customFormat="false" ht="12.75" hidden="false" customHeight="true" outlineLevel="0" collapsed="false">
      <c r="A1490" s="5" t="n">
        <v>77</v>
      </c>
      <c r="B1490" s="5" t="n">
        <v>54</v>
      </c>
      <c r="C1490" s="5" t="n">
        <v>64470000</v>
      </c>
      <c r="D1490" s="5" t="n">
        <v>10.02</v>
      </c>
      <c r="E1490" s="5" t="n">
        <v>64.47</v>
      </c>
    </row>
    <row r="1491" customFormat="false" ht="12.75" hidden="false" customHeight="true" outlineLevel="0" collapsed="false">
      <c r="A1491" s="5" t="n">
        <v>78</v>
      </c>
      <c r="B1491" s="5" t="n">
        <v>102.95</v>
      </c>
      <c r="C1491" s="5" t="n">
        <v>0</v>
      </c>
      <c r="D1491" s="5" t="n">
        <v>0</v>
      </c>
      <c r="E1491" s="5" t="n">
        <v>0</v>
      </c>
    </row>
    <row r="1492" customFormat="false" ht="12.75" hidden="false" customHeight="true" outlineLevel="0" collapsed="false">
      <c r="A1492" s="5" t="n">
        <v>78</v>
      </c>
      <c r="B1492" s="5" t="n">
        <v>103</v>
      </c>
      <c r="C1492" s="5" t="n">
        <v>0</v>
      </c>
      <c r="D1492" s="5" t="n">
        <v>0.0009</v>
      </c>
      <c r="E1492" s="5" t="n">
        <v>0</v>
      </c>
    </row>
    <row r="1493" customFormat="false" ht="12.75" hidden="false" customHeight="true" outlineLevel="0" collapsed="false">
      <c r="A1493" s="5" t="n">
        <v>78</v>
      </c>
      <c r="B1493" s="5" t="n">
        <v>104</v>
      </c>
      <c r="C1493" s="5" t="n">
        <v>1000</v>
      </c>
      <c r="D1493" s="5" t="n">
        <v>0.003</v>
      </c>
      <c r="E1493" s="5" t="n">
        <v>0.001</v>
      </c>
    </row>
    <row r="1494" customFormat="false" ht="12.75" hidden="false" customHeight="true" outlineLevel="0" collapsed="false">
      <c r="A1494" s="5" t="n">
        <v>78</v>
      </c>
      <c r="B1494" s="5" t="n">
        <v>105</v>
      </c>
      <c r="C1494" s="5" t="n">
        <v>10000</v>
      </c>
      <c r="D1494" s="5" t="n">
        <v>0.018</v>
      </c>
      <c r="E1494" s="5" t="n">
        <v>0.01</v>
      </c>
    </row>
    <row r="1495" customFormat="false" ht="12.75" hidden="false" customHeight="true" outlineLevel="0" collapsed="false">
      <c r="A1495" s="5" t="n">
        <v>78</v>
      </c>
      <c r="B1495" s="5" t="n">
        <v>106</v>
      </c>
      <c r="C1495" s="5" t="n">
        <v>46000</v>
      </c>
      <c r="D1495" s="5" t="n">
        <v>0.059</v>
      </c>
      <c r="E1495" s="5" t="n">
        <v>0.046</v>
      </c>
    </row>
    <row r="1496" customFormat="false" ht="12.75" hidden="false" customHeight="true" outlineLevel="0" collapsed="false">
      <c r="A1496" s="5" t="n">
        <v>78</v>
      </c>
      <c r="B1496" s="5" t="n">
        <v>107</v>
      </c>
      <c r="C1496" s="5" t="n">
        <v>137000</v>
      </c>
      <c r="D1496" s="5" t="n">
        <v>0.13</v>
      </c>
      <c r="E1496" s="5" t="n">
        <v>0.137</v>
      </c>
    </row>
    <row r="1497" customFormat="false" ht="12.75" hidden="false" customHeight="true" outlineLevel="0" collapsed="false">
      <c r="A1497" s="5" t="n">
        <v>78</v>
      </c>
      <c r="B1497" s="5" t="n">
        <v>108</v>
      </c>
      <c r="C1497" s="5" t="n">
        <v>316000</v>
      </c>
      <c r="D1497" s="5" t="n">
        <v>0.235</v>
      </c>
      <c r="E1497" s="5" t="n">
        <v>0.316</v>
      </c>
    </row>
    <row r="1498" customFormat="false" ht="12.75" hidden="false" customHeight="true" outlineLevel="0" collapsed="false">
      <c r="A1498" s="5" t="n">
        <v>78</v>
      </c>
      <c r="B1498" s="5" t="n">
        <v>109</v>
      </c>
      <c r="C1498" s="5" t="n">
        <v>617000</v>
      </c>
      <c r="D1498" s="5" t="n">
        <v>0.373</v>
      </c>
      <c r="E1498" s="5" t="n">
        <v>0.617</v>
      </c>
    </row>
    <row r="1499" customFormat="false" ht="12.75" hidden="false" customHeight="true" outlineLevel="0" collapsed="false">
      <c r="A1499" s="5" t="n">
        <v>78</v>
      </c>
      <c r="B1499" s="5" t="n">
        <v>110</v>
      </c>
      <c r="C1499" s="5" t="n">
        <v>1050000</v>
      </c>
      <c r="D1499" s="5" t="n">
        <v>0.492</v>
      </c>
      <c r="E1499" s="5" t="n">
        <v>1.05</v>
      </c>
    </row>
    <row r="1500" customFormat="false" ht="12.75" hidden="false" customHeight="true" outlineLevel="0" collapsed="false">
      <c r="A1500" s="5" t="n">
        <v>78</v>
      </c>
      <c r="B1500" s="5" t="n">
        <v>111</v>
      </c>
      <c r="C1500" s="5" t="n">
        <v>1600000</v>
      </c>
      <c r="D1500" s="5" t="n">
        <v>0.59</v>
      </c>
      <c r="E1500" s="5" t="n">
        <v>1.6</v>
      </c>
    </row>
    <row r="1501" customFormat="false" ht="12.75" hidden="false" customHeight="true" outlineLevel="0" collapsed="false">
      <c r="A1501" s="5" t="n">
        <v>78</v>
      </c>
      <c r="B1501" s="5" t="n">
        <v>112</v>
      </c>
      <c r="C1501" s="5" t="n">
        <v>2230000</v>
      </c>
      <c r="D1501" s="5" t="n">
        <v>0.684</v>
      </c>
      <c r="E1501" s="5" t="n">
        <v>2.23</v>
      </c>
    </row>
    <row r="1502" customFormat="false" ht="12.75" hidden="false" customHeight="true" outlineLevel="0" collapsed="false">
      <c r="A1502" s="5" t="n">
        <v>78</v>
      </c>
      <c r="B1502" s="5" t="n">
        <v>113</v>
      </c>
      <c r="C1502" s="5" t="n">
        <v>2950000</v>
      </c>
      <c r="D1502" s="5" t="n">
        <v>0.753</v>
      </c>
      <c r="E1502" s="5" t="n">
        <v>2.95</v>
      </c>
    </row>
    <row r="1503" customFormat="false" ht="12.75" hidden="false" customHeight="true" outlineLevel="0" collapsed="false">
      <c r="A1503" s="5" t="n">
        <v>78</v>
      </c>
      <c r="B1503" s="5" t="n">
        <v>114</v>
      </c>
      <c r="C1503" s="5" t="n">
        <v>3740000</v>
      </c>
      <c r="D1503" s="5" t="n">
        <v>0.818</v>
      </c>
      <c r="E1503" s="5" t="n">
        <v>3.74</v>
      </c>
    </row>
    <row r="1504" customFormat="false" ht="12.75" hidden="false" customHeight="true" outlineLevel="0" collapsed="false">
      <c r="A1504" s="5" t="n">
        <v>78</v>
      </c>
      <c r="B1504" s="5" t="n">
        <v>115</v>
      </c>
      <c r="C1504" s="5" t="n">
        <v>4600000</v>
      </c>
      <c r="D1504" s="5" t="n">
        <v>0.911</v>
      </c>
      <c r="E1504" s="5" t="n">
        <v>4.6</v>
      </c>
    </row>
    <row r="1505" customFormat="false" ht="12.75" hidden="false" customHeight="true" outlineLevel="0" collapsed="false">
      <c r="A1505" s="5" t="n">
        <v>78</v>
      </c>
      <c r="B1505" s="5" t="n">
        <v>116</v>
      </c>
      <c r="C1505" s="5" t="n">
        <v>5570000</v>
      </c>
      <c r="D1505" s="5" t="n">
        <v>1.046</v>
      </c>
      <c r="E1505" s="5" t="n">
        <v>5.57</v>
      </c>
    </row>
    <row r="1506" customFormat="false" ht="12.75" hidden="false" customHeight="true" outlineLevel="0" collapsed="false">
      <c r="A1506" s="5" t="n">
        <v>78</v>
      </c>
      <c r="B1506" s="5" t="n">
        <v>117</v>
      </c>
      <c r="C1506" s="5" t="n">
        <v>6680000</v>
      </c>
      <c r="D1506" s="5" t="n">
        <v>1.174</v>
      </c>
      <c r="E1506" s="5" t="n">
        <v>6.68</v>
      </c>
    </row>
    <row r="1507" customFormat="false" ht="12.75" hidden="false" customHeight="true" outlineLevel="0" collapsed="false">
      <c r="A1507" s="5" t="n">
        <v>78</v>
      </c>
      <c r="B1507" s="5" t="n">
        <v>118</v>
      </c>
      <c r="C1507" s="5" t="n">
        <v>7905000</v>
      </c>
      <c r="D1507" s="5" t="n">
        <v>1.278</v>
      </c>
      <c r="E1507" s="5" t="n">
        <v>7.905</v>
      </c>
    </row>
    <row r="1508" customFormat="false" ht="12.75" hidden="false" customHeight="true" outlineLevel="0" collapsed="false">
      <c r="A1508" s="5" t="n">
        <v>78</v>
      </c>
      <c r="B1508" s="5" t="n">
        <v>119</v>
      </c>
      <c r="C1508" s="5" t="n">
        <v>9630000</v>
      </c>
      <c r="D1508" s="5" t="n">
        <v>1.379</v>
      </c>
      <c r="E1508" s="5" t="n">
        <v>9.63</v>
      </c>
    </row>
    <row r="1509" customFormat="false" ht="12.75" hidden="false" customHeight="true" outlineLevel="0" collapsed="false">
      <c r="A1509" s="5" t="n">
        <v>78</v>
      </c>
      <c r="B1509" s="5" t="n">
        <v>120</v>
      </c>
      <c r="C1509" s="5" t="n">
        <v>10660000</v>
      </c>
      <c r="D1509" s="5" t="n">
        <v>1.471</v>
      </c>
      <c r="E1509" s="5" t="n">
        <v>10.66</v>
      </c>
    </row>
    <row r="1510" customFormat="false" ht="12.75" hidden="false" customHeight="true" outlineLevel="0" collapsed="false">
      <c r="A1510" s="5" t="n">
        <v>78</v>
      </c>
      <c r="B1510" s="5" t="n">
        <v>121</v>
      </c>
      <c r="C1510" s="5" t="n">
        <v>12200000</v>
      </c>
      <c r="D1510" s="5" t="n">
        <v>1.562</v>
      </c>
      <c r="E1510" s="5" t="n">
        <v>12.2</v>
      </c>
    </row>
    <row r="1511" customFormat="false" ht="12.75" hidden="false" customHeight="true" outlineLevel="0" collapsed="false">
      <c r="A1511" s="5" t="n">
        <v>78</v>
      </c>
      <c r="B1511" s="5" t="n">
        <v>122</v>
      </c>
      <c r="C1511" s="5" t="n">
        <v>13800000</v>
      </c>
      <c r="D1511" s="5" t="n">
        <v>1.661</v>
      </c>
      <c r="E1511" s="5" t="n">
        <v>13.8</v>
      </c>
    </row>
    <row r="1512" customFormat="false" ht="12.75" hidden="false" customHeight="true" outlineLevel="0" collapsed="false">
      <c r="A1512" s="5" t="n">
        <v>78</v>
      </c>
      <c r="B1512" s="5" t="n">
        <v>123</v>
      </c>
      <c r="C1512" s="5" t="n">
        <v>15500000</v>
      </c>
      <c r="D1512" s="5" t="n">
        <v>1.746</v>
      </c>
      <c r="E1512" s="5" t="n">
        <v>15.5</v>
      </c>
    </row>
    <row r="1513" customFormat="false" ht="12.75" hidden="false" customHeight="true" outlineLevel="0" collapsed="false">
      <c r="A1513" s="5" t="n">
        <v>78</v>
      </c>
      <c r="B1513" s="5" t="n">
        <v>124</v>
      </c>
      <c r="C1513" s="5" t="n">
        <v>17280000</v>
      </c>
      <c r="D1513" s="5" t="n">
        <v>1.825</v>
      </c>
      <c r="E1513" s="5" t="n">
        <v>17.28</v>
      </c>
    </row>
    <row r="1514" customFormat="false" ht="12.75" hidden="false" customHeight="true" outlineLevel="0" collapsed="false">
      <c r="A1514" s="5" t="n">
        <v>78</v>
      </c>
      <c r="B1514" s="5" t="n">
        <v>125</v>
      </c>
      <c r="C1514" s="5" t="n">
        <v>19140000</v>
      </c>
      <c r="D1514" s="5" t="n">
        <v>1.898</v>
      </c>
      <c r="E1514" s="5" t="n">
        <v>19.14</v>
      </c>
    </row>
    <row r="1515" customFormat="false" ht="12.75" hidden="false" customHeight="true" outlineLevel="0" collapsed="false">
      <c r="A1515" s="5" t="n">
        <v>78</v>
      </c>
      <c r="B1515" s="5" t="n">
        <v>126</v>
      </c>
      <c r="C1515" s="5" t="n">
        <v>21073000</v>
      </c>
      <c r="D1515" s="5" t="n">
        <v>1.969</v>
      </c>
      <c r="E1515" s="5" t="n">
        <v>21.073</v>
      </c>
    </row>
    <row r="1516" customFormat="false" ht="12.75" hidden="false" customHeight="true" outlineLevel="0" collapsed="false">
      <c r="A1516" s="5" t="n">
        <v>78</v>
      </c>
      <c r="B1516" s="5" t="n">
        <v>127</v>
      </c>
      <c r="C1516" s="5" t="n">
        <v>23080000</v>
      </c>
      <c r="D1516" s="5" t="n">
        <v>2.04</v>
      </c>
      <c r="E1516" s="5" t="n">
        <v>23.08</v>
      </c>
    </row>
    <row r="1517" customFormat="false" ht="12.75" hidden="false" customHeight="true" outlineLevel="0" collapsed="false">
      <c r="A1517" s="5" t="n">
        <v>78</v>
      </c>
      <c r="B1517" s="5" t="n">
        <v>128</v>
      </c>
      <c r="C1517" s="5" t="n">
        <v>25150000</v>
      </c>
      <c r="D1517" s="5" t="n">
        <v>2.115</v>
      </c>
      <c r="E1517" s="5" t="n">
        <v>25.15</v>
      </c>
    </row>
    <row r="1518" customFormat="false" ht="12.75" hidden="false" customHeight="true" outlineLevel="0" collapsed="false">
      <c r="A1518" s="5" t="n">
        <v>78</v>
      </c>
      <c r="B1518" s="5" t="n">
        <v>129</v>
      </c>
      <c r="C1518" s="5" t="n">
        <v>27310000</v>
      </c>
      <c r="D1518" s="5" t="n">
        <v>2.196</v>
      </c>
      <c r="E1518" s="5" t="n">
        <v>27.31</v>
      </c>
    </row>
    <row r="1519" customFormat="false" ht="12.75" hidden="false" customHeight="true" outlineLevel="0" collapsed="false">
      <c r="A1519" s="5" t="n">
        <v>78</v>
      </c>
      <c r="B1519" s="5" t="n">
        <v>130</v>
      </c>
      <c r="C1519" s="5" t="n">
        <v>29000000</v>
      </c>
      <c r="D1519" s="5" t="n">
        <v>2.281</v>
      </c>
      <c r="E1519" s="5" t="n">
        <v>29</v>
      </c>
    </row>
    <row r="1520" customFormat="false" ht="12.75" hidden="false" customHeight="true" outlineLevel="0" collapsed="false">
      <c r="A1520" s="5" t="n">
        <v>78</v>
      </c>
      <c r="B1520" s="5" t="n">
        <v>130.02</v>
      </c>
      <c r="C1520" s="5" t="n">
        <v>29600000</v>
      </c>
      <c r="D1520" s="5" t="n">
        <v>2.293</v>
      </c>
      <c r="E1520" s="5" t="n">
        <v>29.6</v>
      </c>
    </row>
    <row r="1521" customFormat="false" ht="12.75" hidden="false" customHeight="true" outlineLevel="0" collapsed="false">
      <c r="A1521" s="5" t="n">
        <v>78</v>
      </c>
      <c r="B1521" s="5" t="n">
        <v>131</v>
      </c>
      <c r="C1521" s="5" t="n">
        <v>31800000</v>
      </c>
      <c r="D1521" s="5" t="n">
        <v>2.367</v>
      </c>
      <c r="E1521" s="5" t="n">
        <v>31.8</v>
      </c>
    </row>
    <row r="1522" customFormat="false" ht="12.75" hidden="false" customHeight="true" outlineLevel="0" collapsed="false">
      <c r="A1522" s="5" t="n">
        <v>78</v>
      </c>
      <c r="B1522" s="5" t="n">
        <v>132</v>
      </c>
      <c r="C1522" s="5" t="n">
        <v>34000000</v>
      </c>
      <c r="D1522" s="5" t="n">
        <v>2.452</v>
      </c>
      <c r="E1522" s="5" t="n">
        <v>34</v>
      </c>
    </row>
    <row r="1523" customFormat="false" ht="12.75" hidden="false" customHeight="true" outlineLevel="0" collapsed="false">
      <c r="A1523" s="5" t="n">
        <v>79</v>
      </c>
      <c r="B1523" s="5" t="n">
        <v>81.88</v>
      </c>
      <c r="C1523" s="5" t="n">
        <v>0</v>
      </c>
      <c r="D1523" s="5" t="n">
        <v>0</v>
      </c>
      <c r="E1523" s="5" t="n">
        <v>0</v>
      </c>
    </row>
    <row r="1524" customFormat="false" ht="12.75" hidden="false" customHeight="true" outlineLevel="0" collapsed="false">
      <c r="A1524" s="5" t="n">
        <v>79</v>
      </c>
      <c r="B1524" s="5" t="n">
        <v>82.45</v>
      </c>
      <c r="C1524" s="5" t="n">
        <v>30</v>
      </c>
      <c r="D1524" s="5" t="n">
        <v>0.0003</v>
      </c>
      <c r="E1524" s="5" t="n">
        <v>3E-005</v>
      </c>
    </row>
    <row r="1525" customFormat="false" ht="12.75" hidden="false" customHeight="true" outlineLevel="0" collapsed="false">
      <c r="A1525" s="5" t="n">
        <v>79</v>
      </c>
      <c r="B1525" s="5" t="n">
        <v>83.45</v>
      </c>
      <c r="C1525" s="5" t="n">
        <v>2100</v>
      </c>
      <c r="D1525" s="5" t="n">
        <v>0</v>
      </c>
      <c r="E1525" s="5" t="n">
        <v>0.0021</v>
      </c>
    </row>
    <row r="1526" customFormat="false" ht="12.75" hidden="false" customHeight="true" outlineLevel="0" collapsed="false">
      <c r="A1526" s="5" t="n">
        <v>79</v>
      </c>
      <c r="B1526" s="5" t="n">
        <v>84.45</v>
      </c>
      <c r="C1526" s="5" t="n">
        <v>11300</v>
      </c>
      <c r="D1526" s="5" t="n">
        <v>0.01</v>
      </c>
      <c r="E1526" s="5" t="n">
        <v>0.0113</v>
      </c>
    </row>
    <row r="1527" customFormat="false" ht="12.75" hidden="false" customHeight="true" outlineLevel="0" collapsed="false">
      <c r="A1527" s="5" t="n">
        <v>79</v>
      </c>
      <c r="B1527" s="5" t="n">
        <v>85.45</v>
      </c>
      <c r="C1527" s="5" t="n">
        <v>31100</v>
      </c>
      <c r="D1527" s="5" t="n">
        <v>0.03</v>
      </c>
      <c r="E1527" s="5" t="n">
        <v>0.0311</v>
      </c>
    </row>
    <row r="1528" customFormat="false" ht="12.75" hidden="false" customHeight="true" outlineLevel="0" collapsed="false">
      <c r="A1528" s="5" t="n">
        <v>79</v>
      </c>
      <c r="B1528" s="5" t="n">
        <v>86.45</v>
      </c>
      <c r="C1528" s="5" t="n">
        <v>66300</v>
      </c>
      <c r="D1528" s="5" t="n">
        <v>0.04</v>
      </c>
      <c r="E1528" s="5" t="n">
        <v>0.0663</v>
      </c>
    </row>
    <row r="1529" customFormat="false" ht="12.75" hidden="false" customHeight="true" outlineLevel="0" collapsed="false">
      <c r="A1529" s="5" t="n">
        <v>79</v>
      </c>
      <c r="B1529" s="5" t="n">
        <v>87.45</v>
      </c>
      <c r="C1529" s="5" t="n">
        <v>120700</v>
      </c>
      <c r="D1529" s="5" t="n">
        <v>0.06</v>
      </c>
      <c r="E1529" s="5" t="n">
        <v>0.1207</v>
      </c>
    </row>
    <row r="1530" customFormat="false" ht="12.75" hidden="false" customHeight="true" outlineLevel="0" collapsed="false">
      <c r="A1530" s="5" t="n">
        <v>79</v>
      </c>
      <c r="B1530" s="5" t="n">
        <v>88.45</v>
      </c>
      <c r="C1530" s="5" t="n">
        <v>196000</v>
      </c>
      <c r="D1530" s="5" t="n">
        <v>0.09</v>
      </c>
      <c r="E1530" s="5" t="n">
        <v>0.196</v>
      </c>
    </row>
    <row r="1531" customFormat="false" ht="12.75" hidden="false" customHeight="true" outlineLevel="0" collapsed="false">
      <c r="A1531" s="5" t="n">
        <v>79</v>
      </c>
      <c r="B1531" s="5" t="n">
        <v>89.45</v>
      </c>
      <c r="C1531" s="5" t="n">
        <v>295400</v>
      </c>
      <c r="D1531" s="5" t="n">
        <v>0.11</v>
      </c>
      <c r="E1531" s="5" t="n">
        <v>0.2954</v>
      </c>
    </row>
    <row r="1532" customFormat="false" ht="12.75" hidden="false" customHeight="true" outlineLevel="0" collapsed="false">
      <c r="A1532" s="5" t="n">
        <v>79</v>
      </c>
      <c r="B1532" s="5" t="n">
        <v>90.45</v>
      </c>
      <c r="C1532" s="5" t="n">
        <v>416700</v>
      </c>
      <c r="D1532" s="5" t="n">
        <v>0.13</v>
      </c>
      <c r="E1532" s="5" t="n">
        <v>0.4167</v>
      </c>
    </row>
    <row r="1533" customFormat="false" ht="12.75" hidden="false" customHeight="true" outlineLevel="0" collapsed="false">
      <c r="A1533" s="5" t="n">
        <v>79</v>
      </c>
      <c r="B1533" s="5" t="n">
        <v>91.45</v>
      </c>
      <c r="C1533" s="5" t="n">
        <v>560000</v>
      </c>
      <c r="D1533" s="5" t="n">
        <v>0.16</v>
      </c>
      <c r="E1533" s="5" t="n">
        <v>0.56</v>
      </c>
    </row>
    <row r="1534" customFormat="false" ht="12.75" hidden="false" customHeight="true" outlineLevel="0" collapsed="false">
      <c r="A1534" s="5" t="n">
        <v>79</v>
      </c>
      <c r="B1534" s="5" t="n">
        <v>92.45</v>
      </c>
      <c r="C1534" s="5" t="n">
        <v>725000</v>
      </c>
      <c r="D1534" s="5" t="n">
        <v>0.18</v>
      </c>
      <c r="E1534" s="5" t="n">
        <v>0.725</v>
      </c>
    </row>
    <row r="1535" customFormat="false" ht="12.75" hidden="false" customHeight="true" outlineLevel="0" collapsed="false">
      <c r="A1535" s="5" t="n">
        <v>79</v>
      </c>
      <c r="B1535" s="5" t="n">
        <v>93.45</v>
      </c>
      <c r="C1535" s="5" t="n">
        <v>805000</v>
      </c>
      <c r="D1535" s="5" t="n">
        <v>0.18</v>
      </c>
      <c r="E1535" s="5" t="n">
        <v>0.805</v>
      </c>
    </row>
    <row r="1536" customFormat="false" ht="12.75" hidden="false" customHeight="true" outlineLevel="0" collapsed="false">
      <c r="A1536" s="5" t="n">
        <v>79</v>
      </c>
      <c r="B1536" s="5" t="n">
        <v>94</v>
      </c>
      <c r="C1536" s="5" t="n">
        <v>975500</v>
      </c>
      <c r="D1536" s="5" t="n">
        <v>0.21</v>
      </c>
      <c r="E1536" s="5" t="n">
        <v>0.9755</v>
      </c>
    </row>
    <row r="1537" customFormat="false" ht="12.75" hidden="false" customHeight="true" outlineLevel="0" collapsed="false">
      <c r="A1537" s="5" t="n">
        <v>79</v>
      </c>
      <c r="B1537" s="5" t="n">
        <v>95</v>
      </c>
      <c r="C1537" s="5" t="n">
        <v>1315500</v>
      </c>
      <c r="D1537" s="5" t="n">
        <v>0.24</v>
      </c>
      <c r="E1537" s="5" t="n">
        <v>1.3155</v>
      </c>
    </row>
    <row r="1538" customFormat="false" ht="12.75" hidden="false" customHeight="true" outlineLevel="0" collapsed="false">
      <c r="A1538" s="5" t="n">
        <v>79</v>
      </c>
      <c r="B1538" s="5" t="n">
        <v>96</v>
      </c>
      <c r="C1538" s="5" t="n">
        <v>1755500</v>
      </c>
      <c r="D1538" s="5" t="n">
        <v>0.28</v>
      </c>
      <c r="E1538" s="5" t="n">
        <v>1.7555</v>
      </c>
    </row>
    <row r="1539" customFormat="false" ht="12.75" hidden="false" customHeight="true" outlineLevel="0" collapsed="false">
      <c r="A1539" s="5" t="n">
        <v>79</v>
      </c>
      <c r="B1539" s="5" t="n">
        <v>97</v>
      </c>
      <c r="C1539" s="5" t="n">
        <v>2135500</v>
      </c>
      <c r="D1539" s="5" t="n">
        <v>0.33</v>
      </c>
      <c r="E1539" s="5" t="n">
        <v>2.1355</v>
      </c>
    </row>
    <row r="1540" customFormat="false" ht="12.75" hidden="false" customHeight="true" outlineLevel="0" collapsed="false">
      <c r="A1540" s="5" t="n">
        <v>79</v>
      </c>
      <c r="B1540" s="5" t="n">
        <v>97.5</v>
      </c>
      <c r="C1540" s="5" t="n">
        <v>2965500</v>
      </c>
      <c r="D1540" s="5" t="n">
        <v>0.35</v>
      </c>
      <c r="E1540" s="5" t="n">
        <v>2.9655</v>
      </c>
    </row>
    <row r="1541" customFormat="false" ht="12.75" hidden="false" customHeight="true" outlineLevel="0" collapsed="false">
      <c r="A1541" s="5" t="n">
        <v>79</v>
      </c>
      <c r="B1541" s="5" t="n">
        <v>98.5</v>
      </c>
      <c r="C1541" s="5" t="n">
        <v>3370000</v>
      </c>
      <c r="D1541" s="5" t="n">
        <v>0.4</v>
      </c>
      <c r="E1541" s="5" t="n">
        <v>3.37</v>
      </c>
    </row>
    <row r="1542" customFormat="false" ht="12.75" hidden="false" customHeight="true" outlineLevel="0" collapsed="false">
      <c r="A1542" s="5" t="n">
        <v>79</v>
      </c>
      <c r="B1542" s="5" t="n">
        <v>99</v>
      </c>
      <c r="C1542" s="5" t="n">
        <v>3793500</v>
      </c>
      <c r="D1542" s="5" t="n">
        <v>0.43</v>
      </c>
      <c r="E1542" s="5" t="n">
        <v>3.7935</v>
      </c>
    </row>
    <row r="1543" customFormat="false" ht="12.75" hidden="false" customHeight="true" outlineLevel="0" collapsed="false">
      <c r="A1543" s="5" t="n">
        <v>79</v>
      </c>
      <c r="B1543" s="5" t="n">
        <v>100</v>
      </c>
      <c r="C1543" s="5" t="n">
        <v>4483500</v>
      </c>
      <c r="D1543" s="5" t="n">
        <v>0.48</v>
      </c>
      <c r="E1543" s="5" t="n">
        <v>4.4835</v>
      </c>
    </row>
    <row r="1544" customFormat="false" ht="12.75" hidden="false" customHeight="true" outlineLevel="0" collapsed="false">
      <c r="A1544" s="5" t="n">
        <v>80</v>
      </c>
      <c r="B1544" s="5" t="n">
        <v>22.48</v>
      </c>
      <c r="C1544" s="5" t="n">
        <v>0</v>
      </c>
      <c r="D1544" s="5" t="n">
        <v>0</v>
      </c>
      <c r="E1544" s="5" t="n">
        <v>0</v>
      </c>
    </row>
    <row r="1545" customFormat="false" ht="12.75" hidden="false" customHeight="true" outlineLevel="0" collapsed="false">
      <c r="A1545" s="5" t="n">
        <v>80</v>
      </c>
      <c r="B1545" s="5" t="n">
        <v>23</v>
      </c>
      <c r="C1545" s="5" t="n">
        <v>100</v>
      </c>
      <c r="D1545" s="5" t="n">
        <v>0.001</v>
      </c>
      <c r="E1545" s="5" t="n">
        <v>0.0001</v>
      </c>
    </row>
    <row r="1546" customFormat="false" ht="12.75" hidden="false" customHeight="true" outlineLevel="0" collapsed="false">
      <c r="A1546" s="5" t="n">
        <v>80</v>
      </c>
      <c r="B1546" s="5" t="n">
        <v>24</v>
      </c>
      <c r="C1546" s="5" t="n">
        <v>17000</v>
      </c>
      <c r="D1546" s="5" t="n">
        <v>0.063</v>
      </c>
      <c r="E1546" s="5" t="n">
        <v>0.017</v>
      </c>
    </row>
    <row r="1547" customFormat="false" ht="12.75" hidden="false" customHeight="true" outlineLevel="0" collapsed="false">
      <c r="A1547" s="5" t="n">
        <v>80</v>
      </c>
      <c r="B1547" s="5" t="n">
        <v>25</v>
      </c>
      <c r="C1547" s="5" t="n">
        <v>357000</v>
      </c>
      <c r="D1547" s="5" t="n">
        <v>0.74</v>
      </c>
      <c r="E1547" s="5" t="n">
        <v>0.357</v>
      </c>
    </row>
    <row r="1548" customFormat="false" ht="12.75" hidden="false" customHeight="true" outlineLevel="0" collapsed="false">
      <c r="A1548" s="5" t="n">
        <v>80</v>
      </c>
      <c r="B1548" s="5" t="n">
        <v>26</v>
      </c>
      <c r="C1548" s="5" t="n">
        <v>1902000</v>
      </c>
      <c r="D1548" s="5" t="n">
        <v>2.59</v>
      </c>
      <c r="E1548" s="5" t="n">
        <v>1.902</v>
      </c>
    </row>
    <row r="1549" customFormat="false" ht="12.75" hidden="false" customHeight="true" outlineLevel="0" collapsed="false">
      <c r="A1549" s="5" t="n">
        <v>80</v>
      </c>
      <c r="B1549" s="5" t="n">
        <v>27</v>
      </c>
      <c r="C1549" s="5" t="n">
        <v>5923000</v>
      </c>
      <c r="D1549" s="5" t="n">
        <v>5.44</v>
      </c>
      <c r="E1549" s="5" t="n">
        <v>5.923</v>
      </c>
    </row>
    <row r="1550" customFormat="false" ht="12.75" hidden="false" customHeight="true" outlineLevel="0" collapsed="false">
      <c r="A1550" s="5" t="n">
        <v>80</v>
      </c>
      <c r="B1550" s="5" t="n">
        <v>28</v>
      </c>
      <c r="C1550" s="5" t="n">
        <v>12506000</v>
      </c>
      <c r="D1550" s="5" t="n">
        <v>7.55</v>
      </c>
      <c r="E1550" s="5" t="n">
        <v>12.506</v>
      </c>
    </row>
    <row r="1551" customFormat="false" ht="12.75" hidden="false" customHeight="true" outlineLevel="0" collapsed="false">
      <c r="A1551" s="5" t="n">
        <v>80</v>
      </c>
      <c r="B1551" s="5" t="n">
        <v>29</v>
      </c>
      <c r="C1551" s="5" t="n">
        <v>21128000</v>
      </c>
      <c r="D1551" s="5" t="n">
        <v>9.7</v>
      </c>
      <c r="E1551" s="5" t="n">
        <v>21.128</v>
      </c>
    </row>
    <row r="1552" customFormat="false" ht="12.75" hidden="false" customHeight="true" outlineLevel="0" collapsed="false">
      <c r="A1552" s="5" t="n">
        <v>80</v>
      </c>
      <c r="B1552" s="5" t="n">
        <v>30</v>
      </c>
      <c r="C1552" s="5" t="n">
        <v>31868000</v>
      </c>
      <c r="D1552" s="5" t="n">
        <v>11.44</v>
      </c>
      <c r="E1552" s="5" t="n">
        <v>31.868</v>
      </c>
    </row>
    <row r="1553" customFormat="false" ht="12.75" hidden="false" customHeight="true" outlineLevel="0" collapsed="false">
      <c r="A1553" s="5" t="n">
        <v>80</v>
      </c>
      <c r="B1553" s="5" t="n">
        <v>31</v>
      </c>
      <c r="C1553" s="5" t="n">
        <v>43626000</v>
      </c>
      <c r="D1553" s="5" t="n">
        <v>12</v>
      </c>
      <c r="E1553" s="5" t="n">
        <v>43.626</v>
      </c>
    </row>
    <row r="1554" customFormat="false" ht="12.75" hidden="false" customHeight="true" outlineLevel="0" collapsed="false">
      <c r="A1554" s="5" t="n">
        <v>80</v>
      </c>
      <c r="B1554" s="5" t="n">
        <v>31.22</v>
      </c>
      <c r="C1554" s="5" t="n">
        <v>46300000</v>
      </c>
      <c r="D1554" s="5" t="n">
        <v>12.2</v>
      </c>
      <c r="E1554" s="5" t="n">
        <v>46.3</v>
      </c>
    </row>
    <row r="1555" customFormat="false" ht="12.75" hidden="false" customHeight="true" outlineLevel="0" collapsed="false">
      <c r="A1555" s="5" t="n">
        <v>80</v>
      </c>
      <c r="B1555" s="5" t="n">
        <v>32</v>
      </c>
      <c r="C1555" s="5" t="n">
        <v>60950000</v>
      </c>
      <c r="D1555" s="5" t="n">
        <v>15.1</v>
      </c>
      <c r="E1555" s="5" t="n">
        <v>60.95</v>
      </c>
    </row>
    <row r="1556" customFormat="false" ht="12.75" hidden="false" customHeight="true" outlineLevel="0" collapsed="false">
      <c r="A1556" s="5" t="n">
        <v>80</v>
      </c>
      <c r="B1556" s="5" t="n">
        <v>33</v>
      </c>
      <c r="C1556" s="5" t="n">
        <v>83488000</v>
      </c>
      <c r="D1556" s="5" t="n">
        <v>18.6</v>
      </c>
      <c r="E1556" s="5" t="n">
        <v>83.488</v>
      </c>
    </row>
    <row r="1557" customFormat="false" ht="12.75" hidden="false" customHeight="true" outlineLevel="0" collapsed="false">
      <c r="A1557" s="5" t="n">
        <v>80</v>
      </c>
      <c r="B1557" s="5" t="n">
        <v>34</v>
      </c>
      <c r="C1557" s="5" t="n">
        <v>109280000</v>
      </c>
      <c r="D1557" s="5" t="n">
        <v>21.5</v>
      </c>
      <c r="E1557" s="5" t="n">
        <v>109.28</v>
      </c>
    </row>
    <row r="1558" customFormat="false" ht="12.75" hidden="false" customHeight="true" outlineLevel="0" collapsed="false">
      <c r="A1558" s="5" t="n">
        <v>80</v>
      </c>
      <c r="B1558" s="5" t="n">
        <v>35</v>
      </c>
      <c r="C1558" s="5" t="n">
        <v>137428000</v>
      </c>
      <c r="D1558" s="5" t="n">
        <v>23.46</v>
      </c>
      <c r="E1558" s="5" t="n">
        <v>137.428</v>
      </c>
    </row>
    <row r="1559" customFormat="false" ht="12.75" hidden="false" customHeight="true" outlineLevel="0" collapsed="false">
      <c r="A1559" s="5" t="n">
        <v>80</v>
      </c>
      <c r="B1559" s="5" t="n">
        <v>36</v>
      </c>
      <c r="C1559" s="5" t="n">
        <v>167418000</v>
      </c>
      <c r="D1559" s="5" t="n">
        <v>25.26</v>
      </c>
      <c r="E1559" s="5" t="n">
        <v>167.418</v>
      </c>
    </row>
    <row r="1560" customFormat="false" ht="12.75" hidden="false" customHeight="true" outlineLevel="0" collapsed="false">
      <c r="A1560" s="5" t="n">
        <v>80</v>
      </c>
      <c r="B1560" s="5" t="n">
        <v>37</v>
      </c>
      <c r="C1560" s="5" t="n">
        <v>199000000</v>
      </c>
      <c r="D1560" s="5" t="n">
        <v>27.1</v>
      </c>
      <c r="E1560" s="5" t="n">
        <v>199</v>
      </c>
    </row>
    <row r="1561" customFormat="false" ht="12.75" hidden="false" customHeight="true" outlineLevel="0" collapsed="false">
      <c r="A1561" s="5" t="n">
        <v>80</v>
      </c>
      <c r="B1561" s="5" t="n">
        <v>38</v>
      </c>
      <c r="C1561" s="5" t="n">
        <v>232000000</v>
      </c>
      <c r="D1561" s="5" t="n">
        <v>30</v>
      </c>
      <c r="E1561" s="5" t="n">
        <v>232</v>
      </c>
    </row>
    <row r="1562" customFormat="false" ht="12.75" hidden="false" customHeight="true" outlineLevel="0" collapsed="false">
      <c r="A1562" s="5" t="n">
        <v>80</v>
      </c>
      <c r="B1562" s="5" t="n">
        <v>39</v>
      </c>
      <c r="C1562" s="5" t="n">
        <v>270350000</v>
      </c>
      <c r="D1562" s="5" t="n">
        <v>35.34</v>
      </c>
      <c r="E1562" s="5" t="n">
        <v>270.35</v>
      </c>
    </row>
    <row r="1563" customFormat="false" ht="12.75" hidden="false" customHeight="true" outlineLevel="0" collapsed="false">
      <c r="A1563" s="5" t="n">
        <v>81</v>
      </c>
      <c r="B1563" s="5" t="n">
        <v>87</v>
      </c>
      <c r="C1563" s="5" t="n">
        <v>0</v>
      </c>
      <c r="D1563" s="5" t="n">
        <v>0.03</v>
      </c>
      <c r="E1563" s="5" t="n">
        <v>0</v>
      </c>
    </row>
    <row r="1564" customFormat="false" ht="12.75" hidden="false" customHeight="true" outlineLevel="0" collapsed="false">
      <c r="A1564" s="5" t="n">
        <v>81</v>
      </c>
      <c r="B1564" s="5" t="n">
        <v>88</v>
      </c>
      <c r="C1564" s="5" t="n">
        <v>40000</v>
      </c>
      <c r="D1564" s="5" t="n">
        <v>0.05</v>
      </c>
      <c r="E1564" s="5" t="n">
        <v>0.04</v>
      </c>
    </row>
    <row r="1565" customFormat="false" ht="12.75" hidden="false" customHeight="true" outlineLevel="0" collapsed="false">
      <c r="A1565" s="5" t="n">
        <v>81</v>
      </c>
      <c r="B1565" s="5" t="n">
        <v>89</v>
      </c>
      <c r="C1565" s="5" t="n">
        <v>150000</v>
      </c>
      <c r="D1565" s="5" t="n">
        <v>0.15</v>
      </c>
      <c r="E1565" s="5" t="n">
        <v>0.15</v>
      </c>
    </row>
    <row r="1566" customFormat="false" ht="12.75" hidden="false" customHeight="true" outlineLevel="0" collapsed="false">
      <c r="A1566" s="5" t="n">
        <v>81</v>
      </c>
      <c r="B1566" s="5" t="n">
        <v>90</v>
      </c>
      <c r="C1566" s="5" t="n">
        <v>310000</v>
      </c>
      <c r="D1566" s="5" t="n">
        <v>0.17</v>
      </c>
      <c r="E1566" s="5" t="n">
        <v>0.31</v>
      </c>
    </row>
    <row r="1567" customFormat="false" ht="12.75" hidden="false" customHeight="true" outlineLevel="0" collapsed="false">
      <c r="A1567" s="5" t="n">
        <v>81</v>
      </c>
      <c r="B1567" s="5" t="n">
        <v>91</v>
      </c>
      <c r="C1567" s="5" t="n">
        <v>580000</v>
      </c>
      <c r="D1567" s="5" t="n">
        <v>0.35</v>
      </c>
      <c r="E1567" s="5" t="n">
        <v>0.58</v>
      </c>
    </row>
    <row r="1568" customFormat="false" ht="12.75" hidden="false" customHeight="true" outlineLevel="0" collapsed="false">
      <c r="A1568" s="5" t="n">
        <v>81</v>
      </c>
      <c r="B1568" s="5" t="n">
        <v>92</v>
      </c>
      <c r="C1568" s="5" t="n">
        <v>940000</v>
      </c>
      <c r="D1568" s="5" t="n">
        <v>0.36</v>
      </c>
      <c r="E1568" s="5" t="n">
        <v>0.94</v>
      </c>
    </row>
    <row r="1569" customFormat="false" ht="12.75" hidden="false" customHeight="true" outlineLevel="0" collapsed="false">
      <c r="A1569" s="5" t="n">
        <v>81</v>
      </c>
      <c r="B1569" s="5" t="n">
        <v>93</v>
      </c>
      <c r="C1569" s="5" t="n">
        <v>1350000</v>
      </c>
      <c r="D1569" s="5" t="n">
        <v>0.46</v>
      </c>
      <c r="E1569" s="5" t="n">
        <v>1.35</v>
      </c>
    </row>
    <row r="1570" customFormat="false" ht="12.75" hidden="false" customHeight="true" outlineLevel="0" collapsed="false">
      <c r="A1570" s="5" t="n">
        <v>81</v>
      </c>
      <c r="B1570" s="5" t="n">
        <v>94</v>
      </c>
      <c r="C1570" s="5" t="n">
        <v>1850000</v>
      </c>
      <c r="D1570" s="5" t="n">
        <v>0.53</v>
      </c>
      <c r="E1570" s="5" t="n">
        <v>1.85</v>
      </c>
    </row>
    <row r="1571" customFormat="false" ht="12.75" hidden="false" customHeight="true" outlineLevel="0" collapsed="false">
      <c r="A1571" s="5" t="n">
        <v>81</v>
      </c>
      <c r="B1571" s="5" t="n">
        <v>95</v>
      </c>
      <c r="C1571" s="5" t="n">
        <v>2410000</v>
      </c>
      <c r="D1571" s="5" t="n">
        <v>0.58</v>
      </c>
      <c r="E1571" s="5" t="n">
        <v>2.41</v>
      </c>
    </row>
    <row r="1572" customFormat="false" ht="12.75" hidden="false" customHeight="true" outlineLevel="0" collapsed="false">
      <c r="A1572" s="5" t="n">
        <v>81</v>
      </c>
      <c r="B1572" s="5" t="n">
        <v>96</v>
      </c>
      <c r="C1572" s="5" t="n">
        <v>3060000</v>
      </c>
      <c r="D1572" s="5" t="n">
        <v>0.7</v>
      </c>
      <c r="E1572" s="5" t="n">
        <v>3.06</v>
      </c>
    </row>
    <row r="1573" customFormat="false" ht="12.75" hidden="false" customHeight="true" outlineLevel="0" collapsed="false">
      <c r="A1573" s="5" t="n">
        <v>81</v>
      </c>
      <c r="B1573" s="5" t="n">
        <v>97</v>
      </c>
      <c r="C1573" s="5" t="n">
        <v>3830000</v>
      </c>
      <c r="D1573" s="5" t="n">
        <v>0.82</v>
      </c>
      <c r="E1573" s="5" t="n">
        <v>3.83</v>
      </c>
    </row>
    <row r="1574" customFormat="false" ht="12.75" hidden="false" customHeight="true" outlineLevel="0" collapsed="false">
      <c r="A1574" s="5" t="n">
        <v>81</v>
      </c>
      <c r="B1574" s="5" t="n">
        <v>98</v>
      </c>
      <c r="C1574" s="5" t="n">
        <v>4740000</v>
      </c>
      <c r="D1574" s="5" t="n">
        <v>0.99</v>
      </c>
      <c r="E1574" s="5" t="n">
        <v>4.74</v>
      </c>
    </row>
    <row r="1575" customFormat="false" ht="12.75" hidden="false" customHeight="true" outlineLevel="0" collapsed="false">
      <c r="A1575" s="5" t="n">
        <v>81</v>
      </c>
      <c r="B1575" s="5" t="n">
        <v>99</v>
      </c>
      <c r="C1575" s="5" t="n">
        <v>5820000</v>
      </c>
      <c r="D1575" s="5" t="n">
        <v>1.16</v>
      </c>
      <c r="E1575" s="5" t="n">
        <v>5.82</v>
      </c>
    </row>
    <row r="1576" customFormat="false" ht="12.75" hidden="false" customHeight="true" outlineLevel="0" collapsed="false">
      <c r="A1576" s="5" t="n">
        <v>81</v>
      </c>
      <c r="B1576" s="5" t="n">
        <v>100</v>
      </c>
      <c r="C1576" s="5" t="n">
        <v>7000000</v>
      </c>
      <c r="D1576" s="5" t="n">
        <v>1.18</v>
      </c>
      <c r="E1576" s="5" t="n">
        <v>7</v>
      </c>
    </row>
    <row r="1577" customFormat="false" ht="12.75" hidden="false" customHeight="true" outlineLevel="0" collapsed="false">
      <c r="A1577" s="5" t="n">
        <v>81</v>
      </c>
      <c r="B1577" s="5" t="n">
        <v>101</v>
      </c>
      <c r="C1577" s="5" t="n">
        <v>8200000</v>
      </c>
      <c r="D1577" s="5" t="n">
        <v>1.19</v>
      </c>
      <c r="E1577" s="5" t="n">
        <v>8.2</v>
      </c>
    </row>
    <row r="1578" customFormat="false" ht="12.75" hidden="false" customHeight="true" outlineLevel="0" collapsed="false">
      <c r="A1578" s="5" t="n">
        <v>81</v>
      </c>
      <c r="B1578" s="5" t="n">
        <v>102</v>
      </c>
      <c r="C1578" s="5" t="n">
        <v>9840000</v>
      </c>
      <c r="D1578" s="5" t="n">
        <v>2.09</v>
      </c>
      <c r="E1578" s="5" t="n">
        <v>9.84</v>
      </c>
    </row>
    <row r="1579" customFormat="false" ht="12.75" hidden="false" customHeight="true" outlineLevel="0" collapsed="false">
      <c r="A1579" s="5" t="n">
        <v>81</v>
      </c>
      <c r="B1579" s="5" t="n">
        <v>103</v>
      </c>
      <c r="C1579" s="5" t="n">
        <v>11000000</v>
      </c>
      <c r="D1579" s="5" t="n">
        <v>2.7</v>
      </c>
      <c r="E1579" s="5" t="n">
        <v>11</v>
      </c>
    </row>
    <row r="1580" customFormat="false" ht="12.75" hidden="false" customHeight="true" outlineLevel="0" collapsed="false">
      <c r="A1580" s="5" t="n">
        <v>81</v>
      </c>
      <c r="B1580" s="5" t="n">
        <v>104</v>
      </c>
      <c r="C1580" s="5" t="n">
        <v>15000000</v>
      </c>
      <c r="D1580" s="5" t="n">
        <v>3.5</v>
      </c>
      <c r="E1580" s="5" t="n">
        <v>15</v>
      </c>
    </row>
    <row r="1581" customFormat="false" ht="12.75" hidden="false" customHeight="true" outlineLevel="0" collapsed="false">
      <c r="A1581" s="5" t="n">
        <v>82</v>
      </c>
      <c r="B1581" s="5" t="n">
        <v>86.87</v>
      </c>
      <c r="C1581" s="5" t="n">
        <v>0</v>
      </c>
      <c r="D1581" s="5" t="n">
        <v>0</v>
      </c>
      <c r="E1581" s="5" t="n">
        <v>0</v>
      </c>
    </row>
    <row r="1582" customFormat="false" ht="12.75" hidden="false" customHeight="true" outlineLevel="0" collapsed="false">
      <c r="A1582" s="5" t="n">
        <v>82</v>
      </c>
      <c r="B1582" s="5" t="n">
        <v>87</v>
      </c>
      <c r="C1582" s="5" t="n">
        <v>0</v>
      </c>
      <c r="D1582" s="5" t="n">
        <v>0</v>
      </c>
      <c r="E1582" s="5" t="n">
        <v>0</v>
      </c>
    </row>
    <row r="1583" customFormat="false" ht="12.75" hidden="false" customHeight="true" outlineLevel="0" collapsed="false">
      <c r="A1583" s="5" t="n">
        <v>82</v>
      </c>
      <c r="B1583" s="5" t="n">
        <v>88</v>
      </c>
      <c r="C1583" s="5" t="n">
        <v>20</v>
      </c>
      <c r="D1583" s="5" t="n">
        <v>0.0001</v>
      </c>
      <c r="E1583" s="5" t="n">
        <v>2E-005</v>
      </c>
    </row>
    <row r="1584" customFormat="false" ht="12.75" hidden="false" customHeight="true" outlineLevel="0" collapsed="false">
      <c r="A1584" s="5" t="n">
        <v>82</v>
      </c>
      <c r="B1584" s="5" t="n">
        <v>89</v>
      </c>
      <c r="C1584" s="5" t="n">
        <v>1600</v>
      </c>
      <c r="D1584" s="5" t="n">
        <v>0.006</v>
      </c>
      <c r="E1584" s="5" t="n">
        <v>0.0016</v>
      </c>
    </row>
    <row r="1585" customFormat="false" ht="12.75" hidden="false" customHeight="true" outlineLevel="0" collapsed="false">
      <c r="A1585" s="5" t="n">
        <v>82</v>
      </c>
      <c r="B1585" s="5" t="n">
        <v>90</v>
      </c>
      <c r="C1585" s="5" t="n">
        <v>30000</v>
      </c>
      <c r="D1585" s="5" t="n">
        <v>0.06</v>
      </c>
      <c r="E1585" s="5" t="n">
        <v>0.03</v>
      </c>
    </row>
    <row r="1586" customFormat="false" ht="12.75" hidden="false" customHeight="true" outlineLevel="0" collapsed="false">
      <c r="A1586" s="5" t="n">
        <v>82</v>
      </c>
      <c r="B1586" s="5" t="n">
        <v>90.01</v>
      </c>
      <c r="C1586" s="5" t="n">
        <v>60000</v>
      </c>
      <c r="D1586" s="5" t="n">
        <v>0.6</v>
      </c>
      <c r="E1586" s="5" t="n">
        <v>0.06</v>
      </c>
    </row>
    <row r="1587" customFormat="false" ht="12.75" hidden="false" customHeight="true" outlineLevel="0" collapsed="false">
      <c r="A1587" s="5" t="n">
        <v>82</v>
      </c>
      <c r="B1587" s="5" t="n">
        <v>91</v>
      </c>
      <c r="C1587" s="5" t="n">
        <v>159000</v>
      </c>
      <c r="D1587" s="5" t="n">
        <v>0.23</v>
      </c>
      <c r="E1587" s="5" t="n">
        <v>0.159</v>
      </c>
    </row>
    <row r="1588" customFormat="false" ht="12.75" hidden="false" customHeight="true" outlineLevel="0" collapsed="false">
      <c r="A1588" s="5" t="n">
        <v>82</v>
      </c>
      <c r="B1588" s="5" t="n">
        <v>92</v>
      </c>
      <c r="C1588" s="5" t="n">
        <v>417000</v>
      </c>
      <c r="D1588" s="5" t="n">
        <v>0.27</v>
      </c>
      <c r="E1588" s="5" t="n">
        <v>0.417</v>
      </c>
    </row>
    <row r="1589" customFormat="false" ht="12.75" hidden="false" customHeight="true" outlineLevel="0" collapsed="false">
      <c r="A1589" s="5" t="n">
        <v>82</v>
      </c>
      <c r="B1589" s="5" t="n">
        <v>92.23</v>
      </c>
      <c r="C1589" s="5" t="n">
        <v>480000</v>
      </c>
      <c r="D1589" s="5" t="n">
        <v>0.28</v>
      </c>
      <c r="E1589" s="5" t="n">
        <v>0.48</v>
      </c>
    </row>
    <row r="1590" customFormat="false" ht="12.75" hidden="false" customHeight="true" outlineLevel="0" collapsed="false">
      <c r="A1590" s="5" t="n">
        <v>82</v>
      </c>
      <c r="B1590" s="5" t="n">
        <v>93</v>
      </c>
      <c r="C1590" s="5" t="n">
        <v>695000</v>
      </c>
      <c r="D1590" s="5" t="n">
        <v>0.34</v>
      </c>
      <c r="E1590" s="5" t="n">
        <v>0.695</v>
      </c>
    </row>
    <row r="1591" customFormat="false" ht="12.75" hidden="false" customHeight="true" outlineLevel="0" collapsed="false">
      <c r="A1591" s="5" t="n">
        <v>82</v>
      </c>
      <c r="B1591" s="5" t="n">
        <v>94</v>
      </c>
      <c r="C1591" s="5" t="n">
        <v>1085000</v>
      </c>
      <c r="D1591" s="5" t="n">
        <v>0.48</v>
      </c>
      <c r="E1591" s="5" t="n">
        <v>1.085</v>
      </c>
    </row>
    <row r="1592" customFormat="false" ht="12.75" hidden="false" customHeight="true" outlineLevel="0" collapsed="false">
      <c r="A1592" s="5" t="n">
        <v>82</v>
      </c>
      <c r="B1592" s="5" t="n">
        <v>95</v>
      </c>
      <c r="C1592" s="5" t="n">
        <v>1630000</v>
      </c>
      <c r="D1592" s="5" t="n">
        <v>0.67</v>
      </c>
      <c r="E1592" s="5" t="n">
        <v>1.63</v>
      </c>
    </row>
    <row r="1593" customFormat="false" ht="12.75" hidden="false" customHeight="true" outlineLevel="0" collapsed="false">
      <c r="A1593" s="5" t="n">
        <v>82</v>
      </c>
      <c r="B1593" s="5" t="n">
        <v>96</v>
      </c>
      <c r="C1593" s="5" t="n">
        <v>2400000</v>
      </c>
      <c r="D1593" s="5" t="n">
        <v>0.95</v>
      </c>
      <c r="E1593" s="5" t="n">
        <v>2.4</v>
      </c>
    </row>
    <row r="1594" customFormat="false" ht="12.75" hidden="false" customHeight="true" outlineLevel="0" collapsed="false">
      <c r="A1594" s="5" t="n">
        <v>82</v>
      </c>
      <c r="B1594" s="5" t="n">
        <v>97</v>
      </c>
      <c r="C1594" s="5" t="n">
        <v>3450000</v>
      </c>
      <c r="D1594" s="5" t="n">
        <v>1.15</v>
      </c>
      <c r="E1594" s="5" t="n">
        <v>3.45</v>
      </c>
    </row>
    <row r="1595" customFormat="false" ht="12.75" hidden="false" customHeight="true" outlineLevel="0" collapsed="false">
      <c r="A1595" s="5" t="n">
        <v>82</v>
      </c>
      <c r="B1595" s="5" t="n">
        <v>98</v>
      </c>
      <c r="C1595" s="5" t="n">
        <v>4740000</v>
      </c>
      <c r="D1595" s="5" t="n">
        <v>1.5</v>
      </c>
      <c r="E1595" s="5" t="n">
        <v>4.74</v>
      </c>
    </row>
    <row r="1596" customFormat="false" ht="12.75" hidden="false" customHeight="true" outlineLevel="0" collapsed="false">
      <c r="A1596" s="5" t="n">
        <v>82</v>
      </c>
      <c r="B1596" s="5" t="n">
        <v>99</v>
      </c>
      <c r="C1596" s="5" t="n">
        <v>6380000</v>
      </c>
      <c r="D1596" s="5" t="n">
        <v>1.81</v>
      </c>
      <c r="E1596" s="5" t="n">
        <v>6.38</v>
      </c>
    </row>
    <row r="1597" customFormat="false" ht="12.75" hidden="false" customHeight="true" outlineLevel="0" collapsed="false">
      <c r="A1597" s="5" t="n">
        <v>82</v>
      </c>
      <c r="B1597" s="5" t="n">
        <v>100</v>
      </c>
      <c r="C1597" s="5" t="n">
        <v>7050000</v>
      </c>
      <c r="D1597" s="5" t="n">
        <v>2.03</v>
      </c>
      <c r="E1597" s="5" t="n">
        <v>7.05</v>
      </c>
    </row>
    <row r="1598" customFormat="false" ht="12.75" hidden="false" customHeight="true" outlineLevel="0" collapsed="false">
      <c r="A1598" s="5" t="n">
        <v>82</v>
      </c>
      <c r="B1598" s="5" t="n">
        <v>101</v>
      </c>
      <c r="C1598" s="5" t="n">
        <v>9050000</v>
      </c>
      <c r="D1598" s="5" t="n">
        <v>3.53</v>
      </c>
      <c r="E1598" s="5" t="n">
        <v>9.05</v>
      </c>
    </row>
    <row r="1599" customFormat="false" ht="12.75" hidden="false" customHeight="true" outlineLevel="0" collapsed="false">
      <c r="A1599" s="5" t="n">
        <v>83</v>
      </c>
      <c r="B1599" s="5" t="n">
        <v>96.8</v>
      </c>
      <c r="C1599" s="5" t="n">
        <v>0</v>
      </c>
      <c r="D1599" s="5" t="n">
        <v>0</v>
      </c>
      <c r="E1599" s="5" t="n">
        <v>0</v>
      </c>
    </row>
    <row r="1600" customFormat="false" ht="12.75" hidden="false" customHeight="true" outlineLevel="0" collapsed="false">
      <c r="A1600" s="5" t="n">
        <v>83</v>
      </c>
      <c r="B1600" s="5" t="n">
        <v>97</v>
      </c>
      <c r="C1600" s="5" t="n">
        <v>1</v>
      </c>
      <c r="D1600" s="5" t="n">
        <v>0</v>
      </c>
      <c r="E1600" s="5" t="n">
        <v>1E-006</v>
      </c>
    </row>
    <row r="1601" customFormat="false" ht="12.75" hidden="false" customHeight="true" outlineLevel="0" collapsed="false">
      <c r="A1601" s="5" t="n">
        <v>83</v>
      </c>
      <c r="B1601" s="5" t="n">
        <v>98</v>
      </c>
      <c r="C1601" s="5" t="n">
        <v>300</v>
      </c>
      <c r="D1601" s="5" t="n">
        <v>0.0006</v>
      </c>
      <c r="E1601" s="5" t="n">
        <v>0.0003</v>
      </c>
    </row>
    <row r="1602" customFormat="false" ht="12.75" hidden="false" customHeight="true" outlineLevel="0" collapsed="false">
      <c r="A1602" s="5" t="n">
        <v>83</v>
      </c>
      <c r="B1602" s="5" t="n">
        <v>99</v>
      </c>
      <c r="C1602" s="5" t="n">
        <v>2150</v>
      </c>
      <c r="D1602" s="5" t="n">
        <v>0.0038</v>
      </c>
      <c r="E1602" s="5" t="n">
        <v>0.00215</v>
      </c>
    </row>
    <row r="1603" customFormat="false" ht="12.75" hidden="false" customHeight="true" outlineLevel="0" collapsed="false">
      <c r="A1603" s="5" t="n">
        <v>83</v>
      </c>
      <c r="B1603" s="5" t="n">
        <v>100</v>
      </c>
      <c r="C1603" s="5" t="n">
        <v>10700</v>
      </c>
      <c r="D1603" s="5" t="n">
        <v>0.0148</v>
      </c>
      <c r="E1603" s="5" t="n">
        <v>0.0107</v>
      </c>
    </row>
    <row r="1604" customFormat="false" ht="12.75" hidden="false" customHeight="true" outlineLevel="0" collapsed="false">
      <c r="A1604" s="5" t="n">
        <v>83</v>
      </c>
      <c r="B1604" s="5" t="n">
        <v>101</v>
      </c>
      <c r="C1604" s="5" t="n">
        <v>40000</v>
      </c>
      <c r="D1604" s="5" t="n">
        <v>0.0574</v>
      </c>
      <c r="E1604" s="5" t="n">
        <v>0.04</v>
      </c>
    </row>
    <row r="1605" customFormat="false" ht="12.75" hidden="false" customHeight="true" outlineLevel="0" collapsed="false">
      <c r="A1605" s="5" t="n">
        <v>83</v>
      </c>
      <c r="B1605" s="5" t="n">
        <v>102</v>
      </c>
      <c r="C1605" s="5" t="n">
        <v>210000</v>
      </c>
      <c r="D1605" s="5" t="n">
        <v>0.1667</v>
      </c>
      <c r="E1605" s="5" t="n">
        <v>0.21</v>
      </c>
    </row>
    <row r="1606" customFormat="false" ht="12.75" hidden="false" customHeight="true" outlineLevel="0" collapsed="false">
      <c r="A1606" s="5" t="n">
        <v>83</v>
      </c>
      <c r="B1606" s="5" t="n">
        <v>103</v>
      </c>
      <c r="C1606" s="5" t="n">
        <v>473000</v>
      </c>
      <c r="D1606" s="5" t="n">
        <v>0.4036</v>
      </c>
      <c r="E1606" s="5" t="n">
        <v>0.473</v>
      </c>
    </row>
    <row r="1607" customFormat="false" ht="12.75" hidden="false" customHeight="true" outlineLevel="0" collapsed="false">
      <c r="A1607" s="5" t="n">
        <v>83</v>
      </c>
      <c r="B1607" s="5" t="n">
        <v>104</v>
      </c>
      <c r="C1607" s="5" t="n">
        <v>1001000</v>
      </c>
      <c r="D1607" s="5" t="n">
        <v>0.6445</v>
      </c>
      <c r="E1607" s="5" t="n">
        <v>1.001</v>
      </c>
    </row>
    <row r="1608" customFormat="false" ht="12.75" hidden="false" customHeight="true" outlineLevel="0" collapsed="false">
      <c r="A1608" s="5" t="n">
        <v>83</v>
      </c>
      <c r="B1608" s="5" t="n">
        <v>105</v>
      </c>
      <c r="C1608" s="5" t="n">
        <v>1753000</v>
      </c>
      <c r="D1608" s="5" t="n">
        <v>0.8432</v>
      </c>
      <c r="E1608" s="5" t="n">
        <v>1.753</v>
      </c>
    </row>
    <row r="1609" customFormat="false" ht="12.75" hidden="false" customHeight="true" outlineLevel="0" collapsed="false">
      <c r="A1609" s="5" t="n">
        <v>83</v>
      </c>
      <c r="B1609" s="5" t="n">
        <v>106</v>
      </c>
      <c r="C1609" s="5" t="n">
        <v>2618000</v>
      </c>
      <c r="D1609" s="5" t="n">
        <v>0.8857</v>
      </c>
      <c r="E1609" s="5" t="n">
        <v>2.618</v>
      </c>
    </row>
    <row r="1610" customFormat="false" ht="12.75" hidden="false" customHeight="true" outlineLevel="0" collapsed="false">
      <c r="A1610" s="5" t="n">
        <v>83</v>
      </c>
      <c r="B1610" s="5" t="n">
        <v>106.3</v>
      </c>
      <c r="C1610" s="5" t="n">
        <v>2886000</v>
      </c>
      <c r="D1610" s="5" t="n">
        <v>0.8979</v>
      </c>
      <c r="E1610" s="5" t="n">
        <v>2.886</v>
      </c>
    </row>
    <row r="1611" customFormat="false" ht="12.75" hidden="false" customHeight="true" outlineLevel="0" collapsed="false">
      <c r="A1611" s="5" t="n">
        <v>83</v>
      </c>
      <c r="B1611" s="5" t="n">
        <v>107</v>
      </c>
      <c r="C1611" s="5" t="n">
        <v>4027000</v>
      </c>
      <c r="D1611" s="5" t="n">
        <v>1.157</v>
      </c>
      <c r="E1611" s="5" t="n">
        <v>4.027</v>
      </c>
    </row>
    <row r="1612" customFormat="false" ht="12.75" hidden="false" customHeight="true" outlineLevel="0" collapsed="false">
      <c r="A1612" s="5" t="n">
        <v>83</v>
      </c>
      <c r="B1612" s="5" t="n">
        <v>108</v>
      </c>
      <c r="C1612" s="5" t="n">
        <v>6057000</v>
      </c>
      <c r="D1612" s="5" t="n">
        <v>1.577</v>
      </c>
      <c r="E1612" s="5" t="n">
        <v>6.057</v>
      </c>
    </row>
    <row r="1613" customFormat="false" ht="12.75" hidden="false" customHeight="true" outlineLevel="0" collapsed="false">
      <c r="A1613" s="5" t="n">
        <v>83</v>
      </c>
      <c r="B1613" s="5" t="n">
        <v>109</v>
      </c>
      <c r="C1613" s="5" t="n">
        <v>8487000</v>
      </c>
      <c r="D1613" s="5" t="n">
        <v>1.977</v>
      </c>
      <c r="E1613" s="5" t="n">
        <v>8.487</v>
      </c>
    </row>
    <row r="1614" customFormat="false" ht="12.75" hidden="false" customHeight="true" outlineLevel="0" collapsed="false">
      <c r="A1614" s="5" t="n">
        <v>83</v>
      </c>
      <c r="B1614" s="5" t="n">
        <v>110</v>
      </c>
      <c r="C1614" s="5" t="n">
        <v>11357000</v>
      </c>
      <c r="D1614" s="5" t="n">
        <v>2.437</v>
      </c>
      <c r="E1614" s="5" t="n">
        <v>11.357</v>
      </c>
    </row>
    <row r="1615" customFormat="false" ht="12.75" hidden="false" customHeight="true" outlineLevel="0" collapsed="false">
      <c r="A1615" s="5" t="n">
        <v>83</v>
      </c>
      <c r="B1615" s="5" t="n">
        <v>111</v>
      </c>
      <c r="C1615" s="5" t="n">
        <v>14677000</v>
      </c>
      <c r="D1615" s="5" t="n">
        <v>2.897</v>
      </c>
      <c r="E1615" s="5" t="n">
        <v>14.677</v>
      </c>
    </row>
    <row r="1616" customFormat="false" ht="12.75" hidden="false" customHeight="true" outlineLevel="0" collapsed="false">
      <c r="A1616" s="5" t="n">
        <v>83</v>
      </c>
      <c r="B1616" s="5" t="n">
        <v>112</v>
      </c>
      <c r="C1616" s="5" t="n">
        <v>18530000</v>
      </c>
      <c r="D1616" s="5" t="n">
        <v>3.477</v>
      </c>
      <c r="E1616" s="5" t="n">
        <v>18.53</v>
      </c>
    </row>
    <row r="1617" customFormat="false" ht="12.75" hidden="false" customHeight="true" outlineLevel="0" collapsed="false">
      <c r="A1617" s="5" t="n">
        <v>83</v>
      </c>
      <c r="B1617" s="5" t="n">
        <v>113</v>
      </c>
      <c r="C1617" s="5" t="n">
        <v>23037000</v>
      </c>
      <c r="D1617" s="5" t="n">
        <v>4.227</v>
      </c>
      <c r="E1617" s="5" t="n">
        <v>23.037</v>
      </c>
    </row>
    <row r="1618" customFormat="false" ht="12.75" hidden="false" customHeight="true" outlineLevel="0" collapsed="false">
      <c r="A1618" s="5" t="n">
        <v>83</v>
      </c>
      <c r="B1618" s="5" t="n">
        <v>114</v>
      </c>
      <c r="C1618" s="5" t="n">
        <v>28157000</v>
      </c>
      <c r="D1618" s="5" t="n">
        <v>4.697</v>
      </c>
      <c r="E1618" s="5" t="n">
        <v>28.157</v>
      </c>
    </row>
    <row r="1619" customFormat="false" ht="12.75" hidden="false" customHeight="true" outlineLevel="0" collapsed="false">
      <c r="A1619" s="5" t="n">
        <v>83</v>
      </c>
      <c r="B1619" s="5" t="n">
        <v>115</v>
      </c>
      <c r="C1619" s="5" t="n">
        <v>33787000</v>
      </c>
      <c r="D1619" s="5" t="n">
        <v>5.237</v>
      </c>
      <c r="E1619" s="5" t="n">
        <v>33.787</v>
      </c>
    </row>
    <row r="1620" customFormat="false" ht="12.75" hidden="false" customHeight="true" outlineLevel="0" collapsed="false">
      <c r="A1620" s="5" t="n">
        <v>84</v>
      </c>
      <c r="B1620" s="5" t="n">
        <v>87.5</v>
      </c>
      <c r="C1620" s="5" t="n">
        <v>0</v>
      </c>
      <c r="D1620" s="5" t="n">
        <v>0</v>
      </c>
      <c r="E1620" s="5" t="n">
        <v>0</v>
      </c>
    </row>
    <row r="1621" customFormat="false" ht="12.75" hidden="false" customHeight="true" outlineLevel="0" collapsed="false">
      <c r="A1621" s="5" t="n">
        <v>84</v>
      </c>
      <c r="B1621" s="5" t="n">
        <v>88</v>
      </c>
      <c r="C1621" s="5" t="n">
        <v>0</v>
      </c>
      <c r="D1621" s="5" t="n">
        <v>0</v>
      </c>
      <c r="E1621" s="5" t="n">
        <v>0</v>
      </c>
    </row>
    <row r="1622" customFormat="false" ht="12.75" hidden="false" customHeight="true" outlineLevel="0" collapsed="false">
      <c r="A1622" s="5" t="n">
        <v>84</v>
      </c>
      <c r="B1622" s="5" t="n">
        <v>89</v>
      </c>
      <c r="C1622" s="5" t="n">
        <v>130000</v>
      </c>
      <c r="D1622" s="5" t="n">
        <v>0.27</v>
      </c>
      <c r="E1622" s="5" t="n">
        <v>0.13</v>
      </c>
    </row>
    <row r="1623" customFormat="false" ht="12.75" hidden="false" customHeight="true" outlineLevel="0" collapsed="false">
      <c r="A1623" s="5" t="n">
        <v>84</v>
      </c>
      <c r="B1623" s="5" t="n">
        <v>90</v>
      </c>
      <c r="C1623" s="5" t="n">
        <v>800000</v>
      </c>
      <c r="D1623" s="5" t="n">
        <v>1.06</v>
      </c>
      <c r="E1623" s="5" t="n">
        <v>0.8</v>
      </c>
    </row>
    <row r="1624" customFormat="false" ht="12.75" hidden="false" customHeight="true" outlineLevel="0" collapsed="false">
      <c r="A1624" s="5" t="n">
        <v>84</v>
      </c>
      <c r="B1624" s="5" t="n">
        <v>91</v>
      </c>
      <c r="C1624" s="5" t="n">
        <v>2170000</v>
      </c>
      <c r="D1624" s="5" t="n">
        <v>1.67</v>
      </c>
      <c r="E1624" s="5" t="n">
        <v>2.17</v>
      </c>
    </row>
    <row r="1625" customFormat="false" ht="12.75" hidden="false" customHeight="true" outlineLevel="0" collapsed="false">
      <c r="A1625" s="5" t="n">
        <v>84</v>
      </c>
      <c r="B1625" s="5" t="n">
        <v>92</v>
      </c>
      <c r="C1625" s="5" t="n">
        <v>4030000</v>
      </c>
      <c r="D1625" s="5" t="n">
        <v>2.04</v>
      </c>
      <c r="E1625" s="5" t="n">
        <v>4.03</v>
      </c>
    </row>
    <row r="1626" customFormat="false" ht="12.75" hidden="false" customHeight="true" outlineLevel="0" collapsed="false">
      <c r="A1626" s="5" t="n">
        <v>84</v>
      </c>
      <c r="B1626" s="5" t="n">
        <v>93</v>
      </c>
      <c r="C1626" s="5" t="n">
        <v>6520000</v>
      </c>
      <c r="D1626" s="5" t="n">
        <v>2.94</v>
      </c>
      <c r="E1626" s="5" t="n">
        <v>6.52</v>
      </c>
    </row>
    <row r="1627" customFormat="false" ht="12.75" hidden="false" customHeight="true" outlineLevel="0" collapsed="false">
      <c r="A1627" s="5" t="n">
        <v>84</v>
      </c>
      <c r="B1627" s="5" t="n">
        <v>94</v>
      </c>
      <c r="C1627" s="5" t="n">
        <v>9750000</v>
      </c>
      <c r="D1627" s="5" t="n">
        <v>3.5</v>
      </c>
      <c r="E1627" s="5" t="n">
        <v>9.75</v>
      </c>
    </row>
    <row r="1628" customFormat="false" ht="12.75" hidden="false" customHeight="true" outlineLevel="0" collapsed="false">
      <c r="A1628" s="5" t="n">
        <v>84</v>
      </c>
      <c r="B1628" s="5" t="n">
        <v>95</v>
      </c>
      <c r="C1628" s="5" t="n">
        <v>13540000</v>
      </c>
      <c r="D1628" s="5" t="n">
        <v>4.08</v>
      </c>
      <c r="E1628" s="5" t="n">
        <v>13.54</v>
      </c>
    </row>
    <row r="1629" customFormat="false" ht="12.75" hidden="false" customHeight="true" outlineLevel="0" collapsed="false">
      <c r="A1629" s="5" t="n">
        <v>84</v>
      </c>
      <c r="B1629" s="5" t="n">
        <v>96</v>
      </c>
      <c r="C1629" s="5" t="n">
        <v>18070000</v>
      </c>
      <c r="D1629" s="5" t="n">
        <v>4.98</v>
      </c>
      <c r="E1629" s="5" t="n">
        <v>18.07</v>
      </c>
    </row>
    <row r="1630" customFormat="false" ht="12.75" hidden="false" customHeight="true" outlineLevel="0" collapsed="false">
      <c r="A1630" s="5" t="n">
        <v>84</v>
      </c>
      <c r="B1630" s="5" t="n">
        <v>97</v>
      </c>
      <c r="C1630" s="5" t="n">
        <v>23940000</v>
      </c>
      <c r="D1630" s="5" t="n">
        <v>6.74</v>
      </c>
      <c r="E1630" s="5" t="n">
        <v>23.94</v>
      </c>
    </row>
    <row r="1631" customFormat="false" ht="12.75" hidden="false" customHeight="true" outlineLevel="0" collapsed="false">
      <c r="A1631" s="5" t="n">
        <v>84</v>
      </c>
      <c r="B1631" s="5" t="n">
        <v>98</v>
      </c>
      <c r="C1631" s="5" t="n">
        <v>31140000</v>
      </c>
      <c r="D1631" s="5" t="n">
        <v>7.66</v>
      </c>
      <c r="E1631" s="5" t="n">
        <v>31.14</v>
      </c>
    </row>
    <row r="1632" customFormat="false" ht="12.75" hidden="false" customHeight="true" outlineLevel="0" collapsed="false">
      <c r="A1632" s="5" t="n">
        <v>84</v>
      </c>
      <c r="B1632" s="5" t="n">
        <v>99</v>
      </c>
      <c r="C1632" s="5" t="n">
        <v>39380000</v>
      </c>
      <c r="D1632" s="5" t="n">
        <v>8.81</v>
      </c>
      <c r="E1632" s="5" t="n">
        <v>39.38</v>
      </c>
    </row>
    <row r="1633" customFormat="false" ht="12.75" hidden="false" customHeight="true" outlineLevel="0" collapsed="false">
      <c r="A1633" s="5" t="n">
        <v>84</v>
      </c>
      <c r="B1633" s="5" t="n">
        <v>100</v>
      </c>
      <c r="C1633" s="5" t="n">
        <v>48910000</v>
      </c>
      <c r="D1633" s="5" t="n">
        <v>10.25</v>
      </c>
      <c r="E1633" s="5" t="n">
        <v>48.91</v>
      </c>
    </row>
    <row r="1634" customFormat="false" ht="12.75" hidden="false" customHeight="true" outlineLevel="0" collapsed="false">
      <c r="A1634" s="5" t="n">
        <v>84</v>
      </c>
      <c r="B1634" s="5" t="n">
        <v>101</v>
      </c>
      <c r="C1634" s="5" t="n">
        <v>59870000</v>
      </c>
      <c r="D1634" s="5" t="n">
        <v>11.64</v>
      </c>
      <c r="E1634" s="5" t="n">
        <v>59.87</v>
      </c>
    </row>
    <row r="1635" customFormat="false" ht="12.75" hidden="false" customHeight="true" outlineLevel="0" collapsed="false">
      <c r="A1635" s="5" t="n">
        <v>84</v>
      </c>
      <c r="B1635" s="5" t="n">
        <v>102</v>
      </c>
      <c r="C1635" s="5" t="n">
        <v>72220000</v>
      </c>
      <c r="D1635" s="5" t="n">
        <v>13.07</v>
      </c>
      <c r="E1635" s="5" t="n">
        <v>72.22</v>
      </c>
    </row>
    <row r="1636" customFormat="false" ht="12.75" hidden="false" customHeight="true" outlineLevel="0" collapsed="false">
      <c r="A1636" s="5" t="n">
        <v>84</v>
      </c>
      <c r="B1636" s="5" t="n">
        <v>103</v>
      </c>
      <c r="C1636" s="5" t="n">
        <v>86090000</v>
      </c>
      <c r="D1636" s="5" t="n">
        <v>14.66</v>
      </c>
      <c r="E1636" s="5" t="n">
        <v>86.09</v>
      </c>
    </row>
    <row r="1637" customFormat="false" ht="12.75" hidden="false" customHeight="true" outlineLevel="0" collapsed="false">
      <c r="A1637" s="5" t="n">
        <v>84</v>
      </c>
      <c r="B1637" s="5" t="n">
        <v>104</v>
      </c>
      <c r="C1637" s="5" t="n">
        <v>101300000</v>
      </c>
      <c r="D1637" s="5" t="n">
        <v>16.16</v>
      </c>
      <c r="E1637" s="5" t="n">
        <v>101.3</v>
      </c>
    </row>
    <row r="1638" customFormat="false" ht="12.75" hidden="false" customHeight="true" outlineLevel="0" collapsed="false">
      <c r="A1638" s="5" t="n">
        <v>84</v>
      </c>
      <c r="B1638" s="5" t="n">
        <v>105</v>
      </c>
      <c r="C1638" s="5" t="n">
        <v>118690000</v>
      </c>
      <c r="D1638" s="5" t="n">
        <v>18.21</v>
      </c>
      <c r="E1638" s="5" t="n">
        <v>118.69</v>
      </c>
    </row>
    <row r="1639" customFormat="false" ht="12.75" hidden="false" customHeight="true" outlineLevel="0" collapsed="false">
      <c r="A1639" s="5" t="n">
        <v>84</v>
      </c>
      <c r="B1639" s="5" t="n">
        <v>106</v>
      </c>
      <c r="C1639" s="5" t="n">
        <v>137850000</v>
      </c>
      <c r="D1639" s="5" t="n">
        <v>20.12</v>
      </c>
      <c r="E1639" s="5" t="n">
        <v>137.85</v>
      </c>
    </row>
    <row r="1640" customFormat="false" ht="12.75" hidden="false" customHeight="true" outlineLevel="0" collapsed="false">
      <c r="A1640" s="5" t="n">
        <v>85</v>
      </c>
      <c r="B1640" s="5" t="n">
        <v>235.78</v>
      </c>
      <c r="C1640" s="5" t="n">
        <v>0</v>
      </c>
      <c r="D1640" s="5" t="n">
        <v>0</v>
      </c>
      <c r="E1640" s="5" t="n">
        <v>0</v>
      </c>
    </row>
    <row r="1641" customFormat="false" ht="12.75" hidden="false" customHeight="true" outlineLevel="0" collapsed="false">
      <c r="A1641" s="5" t="n">
        <v>85</v>
      </c>
      <c r="B1641" s="5" t="n">
        <v>236</v>
      </c>
      <c r="C1641" s="5" t="n">
        <v>0</v>
      </c>
      <c r="D1641" s="5" t="n">
        <v>0</v>
      </c>
      <c r="E1641" s="5" t="n">
        <v>0</v>
      </c>
    </row>
    <row r="1642" customFormat="false" ht="12.75" hidden="false" customHeight="true" outlineLevel="0" collapsed="false">
      <c r="A1642" s="5" t="n">
        <v>85</v>
      </c>
      <c r="B1642" s="5" t="n">
        <v>237</v>
      </c>
      <c r="C1642" s="5" t="n">
        <v>690</v>
      </c>
      <c r="D1642" s="5" t="n">
        <v>0.0025</v>
      </c>
      <c r="E1642" s="5" t="n">
        <v>0.00069</v>
      </c>
    </row>
    <row r="1643" customFormat="false" ht="12.75" hidden="false" customHeight="true" outlineLevel="0" collapsed="false">
      <c r="A1643" s="5" t="n">
        <v>85</v>
      </c>
      <c r="B1643" s="5" t="n">
        <v>238</v>
      </c>
      <c r="C1643" s="5" t="n">
        <v>8000</v>
      </c>
      <c r="D1643" s="5" t="n">
        <v>0.01</v>
      </c>
      <c r="E1643" s="5" t="n">
        <v>0.008</v>
      </c>
    </row>
    <row r="1644" customFormat="false" ht="12.75" hidden="false" customHeight="true" outlineLevel="0" collapsed="false">
      <c r="A1644" s="5" t="n">
        <v>85</v>
      </c>
      <c r="B1644" s="5" t="n">
        <v>239</v>
      </c>
      <c r="C1644" s="5" t="n">
        <v>38000</v>
      </c>
      <c r="D1644" s="5" t="n">
        <v>0.05</v>
      </c>
      <c r="E1644" s="5" t="n">
        <v>0.038</v>
      </c>
    </row>
    <row r="1645" customFormat="false" ht="12.75" hidden="false" customHeight="true" outlineLevel="0" collapsed="false">
      <c r="A1645" s="5" t="n">
        <v>85</v>
      </c>
      <c r="B1645" s="5" t="n">
        <v>240</v>
      </c>
      <c r="C1645" s="5" t="n">
        <v>123000</v>
      </c>
      <c r="D1645" s="5" t="n">
        <v>0.12</v>
      </c>
      <c r="E1645" s="5" t="n">
        <v>0.123</v>
      </c>
    </row>
    <row r="1646" customFormat="false" ht="12.75" hidden="false" customHeight="true" outlineLevel="0" collapsed="false">
      <c r="A1646" s="5" t="n">
        <v>85</v>
      </c>
      <c r="B1646" s="5" t="n">
        <v>241</v>
      </c>
      <c r="C1646" s="5" t="n">
        <v>289000</v>
      </c>
      <c r="D1646" s="5" t="n">
        <v>0.21</v>
      </c>
      <c r="E1646" s="5" t="n">
        <v>0.289</v>
      </c>
    </row>
    <row r="1647" customFormat="false" ht="12.75" hidden="false" customHeight="true" outlineLevel="0" collapsed="false">
      <c r="A1647" s="5" t="n">
        <v>85</v>
      </c>
      <c r="B1647" s="5" t="n">
        <v>242</v>
      </c>
      <c r="C1647" s="5" t="n">
        <v>540000</v>
      </c>
      <c r="D1647" s="5" t="n">
        <v>0.29</v>
      </c>
      <c r="E1647" s="5" t="n">
        <v>0.54</v>
      </c>
    </row>
    <row r="1648" customFormat="false" ht="12.75" hidden="false" customHeight="true" outlineLevel="0" collapsed="false">
      <c r="A1648" s="5" t="n">
        <v>85</v>
      </c>
      <c r="B1648" s="5" t="n">
        <v>243</v>
      </c>
      <c r="C1648" s="5" t="n">
        <v>852000</v>
      </c>
      <c r="D1648" s="5" t="n">
        <v>0.33</v>
      </c>
      <c r="E1648" s="5" t="n">
        <v>0.852</v>
      </c>
    </row>
    <row r="1649" customFormat="false" ht="12.75" hidden="false" customHeight="true" outlineLevel="0" collapsed="false">
      <c r="A1649" s="5" t="n">
        <v>85</v>
      </c>
      <c r="B1649" s="5" t="n">
        <v>243.65</v>
      </c>
      <c r="C1649" s="5" t="n">
        <v>1070000</v>
      </c>
      <c r="D1649" s="5" t="n">
        <v>0.38</v>
      </c>
      <c r="E1649" s="5" t="n">
        <v>1.07</v>
      </c>
    </row>
    <row r="1650" customFormat="false" ht="12.75" hidden="false" customHeight="true" outlineLevel="0" collapsed="false">
      <c r="A1650" s="5" t="n">
        <v>85</v>
      </c>
      <c r="B1650" s="5" t="n">
        <v>245</v>
      </c>
      <c r="C1650" s="5" t="n">
        <v>3300000</v>
      </c>
      <c r="D1650" s="5" t="n">
        <v>0.74</v>
      </c>
      <c r="E1650" s="5" t="n">
        <v>3.3</v>
      </c>
    </row>
    <row r="1651" customFormat="false" ht="12.75" hidden="false" customHeight="true" outlineLevel="0" collapsed="false">
      <c r="A1651" s="5" t="n">
        <v>85</v>
      </c>
      <c r="B1651" s="5" t="n">
        <v>247</v>
      </c>
      <c r="C1651" s="5" t="n">
        <v>8800000</v>
      </c>
      <c r="D1651" s="5" t="n">
        <v>1.55</v>
      </c>
      <c r="E1651" s="5" t="n">
        <v>8.8</v>
      </c>
    </row>
    <row r="1652" customFormat="false" ht="12.75" hidden="false" customHeight="true" outlineLevel="0" collapsed="false">
      <c r="A1652" s="5" t="n">
        <v>85</v>
      </c>
      <c r="B1652" s="5" t="n">
        <v>250</v>
      </c>
      <c r="C1652" s="5" t="n">
        <v>21000000</v>
      </c>
      <c r="D1652" s="5" t="n">
        <v>3.02</v>
      </c>
      <c r="E1652" s="5" t="n">
        <v>21</v>
      </c>
    </row>
    <row r="1653" customFormat="false" ht="12.75" hidden="false" customHeight="true" outlineLevel="0" collapsed="false">
      <c r="A1653" s="5" t="n">
        <v>85</v>
      </c>
      <c r="B1653" s="5" t="n">
        <v>255</v>
      </c>
      <c r="C1653" s="5" t="n">
        <v>52300000</v>
      </c>
      <c r="D1653" s="5" t="n">
        <v>6.22</v>
      </c>
      <c r="E1653" s="5" t="n">
        <v>52.3</v>
      </c>
    </row>
    <row r="1654" customFormat="false" ht="12.75" hidden="false" customHeight="true" outlineLevel="0" collapsed="false">
      <c r="A1654" s="5" t="n">
        <v>86</v>
      </c>
      <c r="B1654" s="5" t="n">
        <v>81.9</v>
      </c>
      <c r="C1654" s="5" t="n">
        <v>0</v>
      </c>
      <c r="D1654" s="5" t="n">
        <v>0</v>
      </c>
      <c r="E1654" s="5" t="n">
        <v>0</v>
      </c>
    </row>
    <row r="1655" customFormat="false" ht="12.75" hidden="false" customHeight="true" outlineLevel="0" collapsed="false">
      <c r="A1655" s="5" t="n">
        <v>86</v>
      </c>
      <c r="B1655" s="5" t="n">
        <v>83</v>
      </c>
      <c r="C1655" s="5" t="n">
        <v>50000</v>
      </c>
      <c r="D1655" s="5" t="n">
        <v>0.08</v>
      </c>
      <c r="E1655" s="5" t="n">
        <v>0.05</v>
      </c>
    </row>
    <row r="1656" customFormat="false" ht="12.75" hidden="false" customHeight="true" outlineLevel="0" collapsed="false">
      <c r="A1656" s="5" t="n">
        <v>86</v>
      </c>
      <c r="B1656" s="5" t="n">
        <v>84</v>
      </c>
      <c r="C1656" s="5" t="n">
        <v>150000</v>
      </c>
      <c r="D1656" s="5" t="n">
        <v>0.11</v>
      </c>
      <c r="E1656" s="5" t="n">
        <v>0.15</v>
      </c>
    </row>
    <row r="1657" customFormat="false" ht="12.75" hidden="false" customHeight="true" outlineLevel="0" collapsed="false">
      <c r="A1657" s="5" t="n">
        <v>86</v>
      </c>
      <c r="B1657" s="5" t="n">
        <v>85</v>
      </c>
      <c r="C1657" s="5" t="n">
        <v>300000</v>
      </c>
      <c r="D1657" s="5" t="n">
        <v>0.17</v>
      </c>
      <c r="E1657" s="5" t="n">
        <v>0.3</v>
      </c>
    </row>
    <row r="1658" customFormat="false" ht="12.75" hidden="false" customHeight="true" outlineLevel="0" collapsed="false">
      <c r="A1658" s="5" t="n">
        <v>86</v>
      </c>
      <c r="B1658" s="5" t="n">
        <v>86</v>
      </c>
      <c r="C1658" s="5" t="n">
        <v>510000</v>
      </c>
      <c r="D1658" s="5" t="n">
        <v>0.24</v>
      </c>
      <c r="E1658" s="5" t="n">
        <v>0.51</v>
      </c>
    </row>
    <row r="1659" customFormat="false" ht="12.75" hidden="false" customHeight="true" outlineLevel="0" collapsed="false">
      <c r="A1659" s="5" t="n">
        <v>86</v>
      </c>
      <c r="B1659" s="5" t="n">
        <v>87</v>
      </c>
      <c r="C1659" s="5" t="n">
        <v>810000</v>
      </c>
      <c r="D1659" s="5" t="n">
        <v>0.35</v>
      </c>
      <c r="E1659" s="5" t="n">
        <v>0.81</v>
      </c>
    </row>
    <row r="1660" customFormat="false" ht="12.75" hidden="false" customHeight="true" outlineLevel="0" collapsed="false">
      <c r="A1660" s="5" t="n">
        <v>86</v>
      </c>
      <c r="B1660" s="5" t="n">
        <v>88</v>
      </c>
      <c r="C1660" s="5" t="n">
        <v>1210000</v>
      </c>
      <c r="D1660" s="5" t="n">
        <v>0.45</v>
      </c>
      <c r="E1660" s="5" t="n">
        <v>1.21</v>
      </c>
    </row>
    <row r="1661" customFormat="false" ht="12.75" hidden="false" customHeight="true" outlineLevel="0" collapsed="false">
      <c r="A1661" s="5" t="n">
        <v>86</v>
      </c>
      <c r="B1661" s="5" t="n">
        <v>89</v>
      </c>
      <c r="C1661" s="5" t="n">
        <v>1730000</v>
      </c>
      <c r="D1661" s="5" t="n">
        <v>0.58</v>
      </c>
      <c r="E1661" s="5" t="n">
        <v>1.73</v>
      </c>
    </row>
    <row r="1662" customFormat="false" ht="12.75" hidden="false" customHeight="true" outlineLevel="0" collapsed="false">
      <c r="A1662" s="5" t="n">
        <v>86</v>
      </c>
      <c r="B1662" s="5" t="n">
        <v>90</v>
      </c>
      <c r="C1662" s="5" t="n">
        <v>2390000</v>
      </c>
      <c r="D1662" s="5" t="n">
        <v>0.72</v>
      </c>
      <c r="E1662" s="5" t="n">
        <v>2.39</v>
      </c>
    </row>
    <row r="1663" customFormat="false" ht="12.75" hidden="false" customHeight="true" outlineLevel="0" collapsed="false">
      <c r="A1663" s="5" t="n">
        <v>86</v>
      </c>
      <c r="B1663" s="5" t="n">
        <v>91</v>
      </c>
      <c r="C1663" s="5" t="n">
        <v>3180000</v>
      </c>
      <c r="D1663" s="5" t="n">
        <v>0.86</v>
      </c>
      <c r="E1663" s="5" t="n">
        <v>3.18</v>
      </c>
    </row>
    <row r="1664" customFormat="false" ht="12.75" hidden="false" customHeight="true" outlineLevel="0" collapsed="false">
      <c r="A1664" s="5" t="n">
        <v>86</v>
      </c>
      <c r="B1664" s="5" t="n">
        <v>92</v>
      </c>
      <c r="C1664" s="5" t="n">
        <v>4110000</v>
      </c>
      <c r="D1664" s="5" t="n">
        <v>1</v>
      </c>
      <c r="E1664" s="5" t="n">
        <v>4.11</v>
      </c>
    </row>
    <row r="1665" customFormat="false" ht="12.75" hidden="false" customHeight="true" outlineLevel="0" collapsed="false">
      <c r="A1665" s="5" t="n">
        <v>86</v>
      </c>
      <c r="B1665" s="5" t="n">
        <v>93</v>
      </c>
      <c r="C1665" s="5" t="n">
        <v>5190000</v>
      </c>
      <c r="D1665" s="5" t="n">
        <v>1.15</v>
      </c>
      <c r="E1665" s="5" t="n">
        <v>5.19</v>
      </c>
    </row>
    <row r="1666" customFormat="false" ht="12.75" hidden="false" customHeight="true" outlineLevel="0" collapsed="false">
      <c r="A1666" s="5" t="n">
        <v>86</v>
      </c>
      <c r="B1666" s="5" t="n">
        <v>94</v>
      </c>
      <c r="C1666" s="5" t="n">
        <v>6410000</v>
      </c>
      <c r="D1666" s="5" t="n">
        <v>1.29</v>
      </c>
      <c r="E1666" s="5" t="n">
        <v>6.41</v>
      </c>
    </row>
    <row r="1667" customFormat="false" ht="12.75" hidden="false" customHeight="true" outlineLevel="0" collapsed="false">
      <c r="A1667" s="5" t="n">
        <v>86</v>
      </c>
      <c r="B1667" s="5" t="n">
        <v>95</v>
      </c>
      <c r="C1667" s="5" t="n">
        <v>7780000</v>
      </c>
      <c r="D1667" s="5" t="n">
        <v>1.42</v>
      </c>
      <c r="E1667" s="5" t="n">
        <v>7.78</v>
      </c>
    </row>
    <row r="1668" customFormat="false" ht="12.75" hidden="false" customHeight="true" outlineLevel="0" collapsed="false">
      <c r="A1668" s="5" t="n">
        <v>86</v>
      </c>
      <c r="B1668" s="5" t="n">
        <v>96</v>
      </c>
      <c r="C1668" s="5" t="n">
        <v>9310000</v>
      </c>
      <c r="D1668" s="5" t="n">
        <v>1.62</v>
      </c>
      <c r="E1668" s="5" t="n">
        <v>9.31</v>
      </c>
    </row>
    <row r="1669" customFormat="false" ht="12.75" hidden="false" customHeight="true" outlineLevel="0" collapsed="false">
      <c r="A1669" s="5" t="n">
        <v>86</v>
      </c>
      <c r="B1669" s="5" t="n">
        <v>97</v>
      </c>
      <c r="C1669" s="5" t="n">
        <v>11070000</v>
      </c>
      <c r="D1669" s="5" t="n">
        <v>1.9</v>
      </c>
      <c r="E1669" s="5" t="n">
        <v>11.07</v>
      </c>
    </row>
    <row r="1670" customFormat="false" ht="12.75" hidden="false" customHeight="true" outlineLevel="0" collapsed="false">
      <c r="A1670" s="5" t="n">
        <v>86</v>
      </c>
      <c r="B1670" s="5" t="n">
        <v>98</v>
      </c>
      <c r="C1670" s="5" t="n">
        <v>13110000</v>
      </c>
      <c r="D1670" s="5" t="n">
        <v>2.16</v>
      </c>
      <c r="E1670" s="5" t="n">
        <v>13.11</v>
      </c>
    </row>
    <row r="1671" customFormat="false" ht="12.75" hidden="false" customHeight="true" outlineLevel="0" collapsed="false">
      <c r="A1671" s="5" t="n">
        <v>87</v>
      </c>
      <c r="B1671" s="5" t="n">
        <v>93</v>
      </c>
      <c r="C1671" s="5" t="n">
        <v>150</v>
      </c>
      <c r="D1671" s="5" t="n">
        <v>0.0003</v>
      </c>
      <c r="E1671" s="5" t="n">
        <v>0.00015</v>
      </c>
    </row>
    <row r="1672" customFormat="false" ht="12.75" hidden="false" customHeight="true" outlineLevel="0" collapsed="false">
      <c r="A1672" s="5" t="n">
        <v>87</v>
      </c>
      <c r="B1672" s="5" t="n">
        <v>94</v>
      </c>
      <c r="C1672" s="5" t="n">
        <v>1300</v>
      </c>
      <c r="D1672" s="5" t="n">
        <v>0.002</v>
      </c>
      <c r="E1672" s="5" t="n">
        <v>0.0013</v>
      </c>
    </row>
    <row r="1673" customFormat="false" ht="12.75" hidden="false" customHeight="true" outlineLevel="0" collapsed="false">
      <c r="A1673" s="5" t="n">
        <v>87</v>
      </c>
      <c r="B1673" s="5" t="n">
        <v>95</v>
      </c>
      <c r="C1673" s="5" t="n">
        <v>6050</v>
      </c>
      <c r="D1673" s="5" t="n">
        <v>0.0075</v>
      </c>
      <c r="E1673" s="5" t="n">
        <v>0.00605</v>
      </c>
    </row>
    <row r="1674" customFormat="false" ht="12.75" hidden="false" customHeight="true" outlineLevel="0" collapsed="false">
      <c r="A1674" s="5" t="n">
        <v>87</v>
      </c>
      <c r="B1674" s="5" t="n">
        <v>96</v>
      </c>
      <c r="C1674" s="5" t="n">
        <v>20000</v>
      </c>
      <c r="D1674" s="5" t="n">
        <v>0.02</v>
      </c>
      <c r="E1674" s="5" t="n">
        <v>0.02</v>
      </c>
    </row>
    <row r="1675" customFormat="false" ht="12.75" hidden="false" customHeight="true" outlineLevel="0" collapsed="false">
      <c r="A1675" s="5" t="n">
        <v>87</v>
      </c>
      <c r="B1675" s="5" t="n">
        <v>97</v>
      </c>
      <c r="C1675" s="5" t="n">
        <v>50000</v>
      </c>
      <c r="D1675" s="5" t="n">
        <v>0.03</v>
      </c>
      <c r="E1675" s="5" t="n">
        <v>0.05</v>
      </c>
    </row>
    <row r="1676" customFormat="false" ht="12.75" hidden="false" customHeight="true" outlineLevel="0" collapsed="false">
      <c r="A1676" s="5" t="n">
        <v>87</v>
      </c>
      <c r="B1676" s="5" t="n">
        <v>98</v>
      </c>
      <c r="C1676" s="5" t="n">
        <v>110000</v>
      </c>
      <c r="D1676" s="5" t="n">
        <v>0.07</v>
      </c>
      <c r="E1676" s="5" t="n">
        <v>0.11</v>
      </c>
    </row>
    <row r="1677" customFormat="false" ht="12.75" hidden="false" customHeight="true" outlineLevel="0" collapsed="false">
      <c r="A1677" s="5" t="n">
        <v>87</v>
      </c>
      <c r="B1677" s="5" t="n">
        <v>99</v>
      </c>
      <c r="C1677" s="5" t="n">
        <v>220000</v>
      </c>
      <c r="D1677" s="5" t="n">
        <v>0.15</v>
      </c>
      <c r="E1677" s="5" t="n">
        <v>0.22</v>
      </c>
    </row>
    <row r="1678" customFormat="false" ht="12.75" hidden="false" customHeight="true" outlineLevel="0" collapsed="false">
      <c r="A1678" s="5" t="n">
        <v>87</v>
      </c>
      <c r="B1678" s="5" t="n">
        <v>100</v>
      </c>
      <c r="C1678" s="5" t="n">
        <v>400000</v>
      </c>
      <c r="D1678" s="5" t="n">
        <v>0.19</v>
      </c>
      <c r="E1678" s="5" t="n">
        <v>0.4</v>
      </c>
    </row>
    <row r="1679" customFormat="false" ht="12.75" hidden="false" customHeight="true" outlineLevel="0" collapsed="false">
      <c r="A1679" s="5" t="n">
        <v>88</v>
      </c>
      <c r="B1679" s="5" t="n">
        <v>20</v>
      </c>
      <c r="C1679" s="5" t="n">
        <v>0</v>
      </c>
      <c r="D1679" s="5" t="n">
        <v>0</v>
      </c>
      <c r="E1679" s="5" t="n">
        <v>0</v>
      </c>
    </row>
    <row r="1680" customFormat="false" ht="12.75" hidden="false" customHeight="true" outlineLevel="0" collapsed="false">
      <c r="A1680" s="5" t="n">
        <v>88</v>
      </c>
      <c r="B1680" s="5" t="n">
        <v>21</v>
      </c>
      <c r="C1680" s="5" t="n">
        <v>2</v>
      </c>
      <c r="D1680" s="5" t="n">
        <v>0.0002</v>
      </c>
      <c r="E1680" s="5" t="n">
        <v>2E-006</v>
      </c>
    </row>
    <row r="1681" customFormat="false" ht="12.75" hidden="false" customHeight="true" outlineLevel="0" collapsed="false">
      <c r="A1681" s="5" t="n">
        <v>88</v>
      </c>
      <c r="B1681" s="5" t="n">
        <v>22</v>
      </c>
      <c r="C1681" s="5" t="n">
        <v>10000</v>
      </c>
      <c r="D1681" s="5" t="n">
        <v>0.02</v>
      </c>
      <c r="E1681" s="5" t="n">
        <v>0.01</v>
      </c>
    </row>
    <row r="1682" customFormat="false" ht="12.75" hidden="false" customHeight="true" outlineLevel="0" collapsed="false">
      <c r="A1682" s="5" t="n">
        <v>88</v>
      </c>
      <c r="B1682" s="5" t="n">
        <v>23</v>
      </c>
      <c r="C1682" s="5" t="n">
        <v>60000</v>
      </c>
      <c r="D1682" s="5" t="n">
        <v>0.07</v>
      </c>
      <c r="E1682" s="5" t="n">
        <v>0.06</v>
      </c>
    </row>
    <row r="1683" customFormat="false" ht="12.75" hidden="false" customHeight="true" outlineLevel="0" collapsed="false">
      <c r="A1683" s="5" t="n">
        <v>88</v>
      </c>
      <c r="B1683" s="5" t="n">
        <v>24</v>
      </c>
      <c r="C1683" s="5" t="n">
        <v>190000</v>
      </c>
      <c r="D1683" s="5" t="n">
        <v>0.21</v>
      </c>
      <c r="E1683" s="5" t="n">
        <v>0.19</v>
      </c>
    </row>
    <row r="1684" customFormat="false" ht="12.75" hidden="false" customHeight="true" outlineLevel="0" collapsed="false">
      <c r="A1684" s="5" t="n">
        <v>88</v>
      </c>
      <c r="B1684" s="5" t="n">
        <v>25</v>
      </c>
      <c r="C1684" s="5" t="n">
        <v>540000</v>
      </c>
      <c r="D1684" s="5" t="n">
        <v>0.51</v>
      </c>
      <c r="E1684" s="5" t="n">
        <v>0.54</v>
      </c>
    </row>
    <row r="1685" customFormat="false" ht="12.75" hidden="false" customHeight="true" outlineLevel="0" collapsed="false">
      <c r="A1685" s="5" t="n">
        <v>88</v>
      </c>
      <c r="B1685" s="5" t="n">
        <v>26</v>
      </c>
      <c r="C1685" s="5" t="n">
        <v>1270000</v>
      </c>
      <c r="D1685" s="5" t="n">
        <v>0.99</v>
      </c>
      <c r="E1685" s="5" t="n">
        <v>1.27</v>
      </c>
    </row>
    <row r="1686" customFormat="false" ht="12.75" hidden="false" customHeight="true" outlineLevel="0" collapsed="false">
      <c r="A1686" s="5" t="n">
        <v>88</v>
      </c>
      <c r="B1686" s="5" t="n">
        <v>27</v>
      </c>
      <c r="C1686" s="5" t="n">
        <v>2740000</v>
      </c>
      <c r="D1686" s="5" t="n">
        <v>2</v>
      </c>
      <c r="E1686" s="5" t="n">
        <v>2.74</v>
      </c>
    </row>
    <row r="1687" customFormat="false" ht="12.75" hidden="false" customHeight="true" outlineLevel="0" collapsed="false">
      <c r="A1687" s="5" t="n">
        <v>88</v>
      </c>
      <c r="B1687" s="5" t="n">
        <v>28</v>
      </c>
      <c r="C1687" s="5" t="n">
        <v>5340000</v>
      </c>
      <c r="D1687" s="5" t="n">
        <v>3.24</v>
      </c>
      <c r="E1687" s="5" t="n">
        <v>5.34</v>
      </c>
    </row>
    <row r="1688" customFormat="false" ht="12.75" hidden="false" customHeight="true" outlineLevel="0" collapsed="false">
      <c r="A1688" s="5" t="n">
        <v>88</v>
      </c>
      <c r="B1688" s="5" t="n">
        <v>29</v>
      </c>
      <c r="C1688" s="5" t="n">
        <v>9280000</v>
      </c>
      <c r="D1688" s="5" t="n">
        <v>4.66</v>
      </c>
      <c r="E1688" s="5" t="n">
        <v>9.28</v>
      </c>
    </row>
    <row r="1689" customFormat="false" ht="12.75" hidden="false" customHeight="true" outlineLevel="0" collapsed="false">
      <c r="A1689" s="5" t="n">
        <v>88</v>
      </c>
      <c r="B1689" s="5" t="n">
        <v>30</v>
      </c>
      <c r="C1689" s="5" t="n">
        <v>14710000</v>
      </c>
      <c r="D1689" s="5" t="n">
        <v>6.2</v>
      </c>
      <c r="E1689" s="5" t="n">
        <v>14.71</v>
      </c>
    </row>
    <row r="1690" customFormat="false" ht="12.75" hidden="false" customHeight="true" outlineLevel="0" collapsed="false">
      <c r="A1690" s="5" t="n">
        <v>88</v>
      </c>
      <c r="B1690" s="5" t="n">
        <v>31</v>
      </c>
      <c r="C1690" s="5" t="n">
        <v>21740000</v>
      </c>
      <c r="D1690" s="5" t="n">
        <v>7.89</v>
      </c>
      <c r="E1690" s="5" t="n">
        <v>21.74</v>
      </c>
    </row>
    <row r="1691" customFormat="false" ht="12.75" hidden="false" customHeight="true" outlineLevel="0" collapsed="false">
      <c r="A1691" s="5" t="n">
        <v>88</v>
      </c>
      <c r="B1691" s="5" t="n">
        <v>32</v>
      </c>
      <c r="C1691" s="5" t="n">
        <v>30540000</v>
      </c>
      <c r="D1691" s="5" t="n">
        <v>9.65</v>
      </c>
      <c r="E1691" s="5" t="n">
        <v>30.54</v>
      </c>
    </row>
    <row r="1692" customFormat="false" ht="12.75" hidden="false" customHeight="true" outlineLevel="0" collapsed="false">
      <c r="A1692" s="5" t="n">
        <v>88</v>
      </c>
      <c r="B1692" s="5" t="n">
        <v>33</v>
      </c>
      <c r="C1692" s="5" t="n">
        <v>41200000</v>
      </c>
      <c r="D1692" s="5" t="n">
        <v>11.75</v>
      </c>
      <c r="E1692" s="5" t="n">
        <v>41.2</v>
      </c>
    </row>
    <row r="1693" customFormat="false" ht="12.75" hidden="false" customHeight="true" outlineLevel="0" collapsed="false">
      <c r="A1693" s="5" t="n">
        <v>88</v>
      </c>
      <c r="B1693" s="5" t="n">
        <v>34</v>
      </c>
      <c r="C1693" s="5" t="n">
        <v>54010000</v>
      </c>
      <c r="D1693" s="5" t="n">
        <v>13.82</v>
      </c>
      <c r="E1693" s="5" t="n">
        <v>54.01</v>
      </c>
    </row>
    <row r="1694" customFormat="false" ht="12.75" hidden="false" customHeight="true" outlineLevel="0" collapsed="false">
      <c r="A1694" s="5" t="n">
        <v>88</v>
      </c>
      <c r="B1694" s="5" t="n">
        <v>35</v>
      </c>
      <c r="C1694" s="5" t="n">
        <v>69000000</v>
      </c>
      <c r="D1694" s="5" t="n">
        <v>16.14</v>
      </c>
      <c r="E1694" s="5" t="n">
        <v>69</v>
      </c>
    </row>
    <row r="1695" customFormat="false" ht="12.75" hidden="false" customHeight="true" outlineLevel="0" collapsed="false">
      <c r="A1695" s="5" t="n">
        <v>88</v>
      </c>
      <c r="B1695" s="5" t="n">
        <v>36</v>
      </c>
      <c r="C1695" s="5" t="n">
        <v>86400000</v>
      </c>
      <c r="D1695" s="5" t="n">
        <v>18.62</v>
      </c>
      <c r="E1695" s="5" t="n">
        <v>86.4</v>
      </c>
    </row>
    <row r="1696" customFormat="false" ht="12.75" hidden="false" customHeight="true" outlineLevel="0" collapsed="false">
      <c r="A1696" s="5" t="n">
        <v>88</v>
      </c>
      <c r="B1696" s="5" t="n">
        <v>37</v>
      </c>
      <c r="C1696" s="5" t="n">
        <v>106520000</v>
      </c>
      <c r="D1696" s="5" t="n">
        <v>21.45</v>
      </c>
      <c r="E1696" s="5" t="n">
        <v>106.52</v>
      </c>
    </row>
    <row r="1697" customFormat="false" ht="12.75" hidden="false" customHeight="true" outlineLevel="0" collapsed="false">
      <c r="A1697" s="5" t="n">
        <v>88</v>
      </c>
      <c r="B1697" s="5" t="n">
        <v>38</v>
      </c>
      <c r="C1697" s="5" t="n">
        <v>129400000</v>
      </c>
      <c r="D1697" s="5" t="n">
        <v>24.29</v>
      </c>
      <c r="E1697" s="5" t="n">
        <v>129.4</v>
      </c>
    </row>
    <row r="1698" customFormat="false" ht="12.75" hidden="false" customHeight="true" outlineLevel="0" collapsed="false">
      <c r="A1698" s="5" t="n">
        <v>88</v>
      </c>
      <c r="B1698" s="5" t="n">
        <v>39</v>
      </c>
      <c r="C1698" s="5" t="n">
        <v>155040000</v>
      </c>
      <c r="D1698" s="5" t="n">
        <v>26.51</v>
      </c>
      <c r="E1698" s="5" t="n">
        <v>155.04</v>
      </c>
    </row>
    <row r="1699" customFormat="false" ht="12.75" hidden="false" customHeight="true" outlineLevel="0" collapsed="false">
      <c r="A1699" s="5" t="n">
        <v>88</v>
      </c>
      <c r="B1699" s="5" t="n">
        <v>39.66</v>
      </c>
      <c r="C1699" s="5" t="n">
        <v>172850000</v>
      </c>
      <c r="D1699" s="5" t="n">
        <v>27.36</v>
      </c>
      <c r="E1699" s="5" t="n">
        <v>172.85</v>
      </c>
    </row>
    <row r="1700" customFormat="false" ht="12.75" hidden="false" customHeight="true" outlineLevel="0" collapsed="false">
      <c r="A1700" s="5" t="n">
        <v>88</v>
      </c>
      <c r="B1700" s="5" t="n">
        <v>40</v>
      </c>
      <c r="C1700" s="5" t="n">
        <v>181310000</v>
      </c>
      <c r="D1700" s="5" t="n">
        <v>29.81</v>
      </c>
      <c r="E1700" s="5" t="n">
        <v>181.31</v>
      </c>
    </row>
    <row r="1701" customFormat="false" ht="12.75" hidden="false" customHeight="true" outlineLevel="0" collapsed="false">
      <c r="A1701" s="5" t="n">
        <v>88</v>
      </c>
      <c r="B1701" s="5" t="n">
        <v>41</v>
      </c>
      <c r="C1701" s="5" t="n">
        <v>213560000</v>
      </c>
      <c r="D1701" s="5" t="n">
        <v>33.12</v>
      </c>
      <c r="E1701" s="5" t="n">
        <v>213.56</v>
      </c>
    </row>
    <row r="1702" customFormat="false" ht="12.75" hidden="false" customHeight="true" outlineLevel="0" collapsed="false">
      <c r="A1702" s="5" t="n">
        <v>88</v>
      </c>
      <c r="B1702" s="5" t="n">
        <v>42</v>
      </c>
      <c r="C1702" s="5" t="n">
        <v>249370000</v>
      </c>
      <c r="D1702" s="5" t="n">
        <v>36.59</v>
      </c>
      <c r="E1702" s="5" t="n">
        <v>249.37</v>
      </c>
    </row>
    <row r="1703" customFormat="false" ht="12.75" hidden="false" customHeight="true" outlineLevel="0" collapsed="false">
      <c r="A1703" s="5" t="n">
        <v>88</v>
      </c>
      <c r="B1703" s="5" t="n">
        <v>43</v>
      </c>
      <c r="C1703" s="5" t="n">
        <v>288930000</v>
      </c>
      <c r="D1703" s="5" t="n">
        <v>40.24</v>
      </c>
      <c r="E1703" s="5" t="n">
        <v>288.93</v>
      </c>
    </row>
    <row r="1704" customFormat="false" ht="12.75" hidden="false" customHeight="true" outlineLevel="0" collapsed="false">
      <c r="A1704" s="5" t="n">
        <v>88</v>
      </c>
      <c r="B1704" s="5" t="n">
        <v>44</v>
      </c>
      <c r="C1704" s="5" t="n">
        <v>332410000</v>
      </c>
      <c r="D1704" s="5" t="n">
        <v>44.05</v>
      </c>
      <c r="E1704" s="5" t="n">
        <v>332.41</v>
      </c>
    </row>
    <row r="1705" customFormat="false" ht="12.75" hidden="false" customHeight="true" outlineLevel="0" collapsed="false">
      <c r="A1705" s="5" t="n">
        <v>88</v>
      </c>
      <c r="B1705" s="5" t="n">
        <v>45</v>
      </c>
      <c r="C1705" s="5" t="n">
        <v>380000000</v>
      </c>
      <c r="D1705" s="5" t="n">
        <v>48.04</v>
      </c>
      <c r="E1705" s="5" t="n">
        <v>380</v>
      </c>
    </row>
    <row r="1706" customFormat="false" ht="12.75" hidden="false" customHeight="true" outlineLevel="0" collapsed="false">
      <c r="A1706" s="5" t="n">
        <v>88</v>
      </c>
      <c r="B1706" s="5" t="n">
        <v>46</v>
      </c>
      <c r="C1706" s="5" t="n">
        <v>431900000</v>
      </c>
      <c r="D1706" s="5" t="n">
        <v>52.21</v>
      </c>
      <c r="E1706" s="5" t="n">
        <v>431.9</v>
      </c>
    </row>
    <row r="1707" customFormat="false" ht="12.75" hidden="false" customHeight="true" outlineLevel="0" collapsed="false">
      <c r="A1707" s="5" t="n">
        <v>89</v>
      </c>
      <c r="B1707" s="5" t="n">
        <v>466.58</v>
      </c>
      <c r="C1707" s="5" t="n">
        <v>0</v>
      </c>
      <c r="D1707" s="5" t="n">
        <v>0</v>
      </c>
      <c r="E1707" s="5" t="n">
        <v>0</v>
      </c>
    </row>
    <row r="1708" customFormat="false" ht="12.75" hidden="false" customHeight="true" outlineLevel="0" collapsed="false">
      <c r="A1708" s="5" t="n">
        <v>89</v>
      </c>
      <c r="B1708" s="5" t="n">
        <v>467</v>
      </c>
      <c r="C1708" s="5" t="n">
        <v>10</v>
      </c>
      <c r="D1708" s="5" t="n">
        <v>0.0001</v>
      </c>
      <c r="E1708" s="5" t="n">
        <v>1E-005</v>
      </c>
    </row>
    <row r="1709" customFormat="false" ht="12.75" hidden="false" customHeight="true" outlineLevel="0" collapsed="false">
      <c r="A1709" s="5" t="n">
        <v>89</v>
      </c>
      <c r="B1709" s="5" t="n">
        <v>468</v>
      </c>
      <c r="C1709" s="5" t="n">
        <v>600</v>
      </c>
      <c r="D1709" s="5" t="n">
        <v>0.0012</v>
      </c>
      <c r="E1709" s="5" t="n">
        <v>0.0006</v>
      </c>
    </row>
    <row r="1710" customFormat="false" ht="12.75" hidden="false" customHeight="true" outlineLevel="0" collapsed="false">
      <c r="A1710" s="5" t="n">
        <v>89</v>
      </c>
      <c r="B1710" s="5" t="n">
        <v>469</v>
      </c>
      <c r="C1710" s="5" t="n">
        <v>3000</v>
      </c>
      <c r="D1710" s="5" t="n">
        <v>0.005</v>
      </c>
      <c r="E1710" s="5" t="n">
        <v>0.003</v>
      </c>
    </row>
    <row r="1711" customFormat="false" ht="12.75" hidden="false" customHeight="true" outlineLevel="0" collapsed="false">
      <c r="A1711" s="5" t="n">
        <v>89</v>
      </c>
      <c r="B1711" s="5" t="n">
        <v>470</v>
      </c>
      <c r="C1711" s="5" t="n">
        <v>12000</v>
      </c>
      <c r="D1711" s="5" t="n">
        <v>0.01</v>
      </c>
      <c r="E1711" s="5" t="n">
        <v>0.012</v>
      </c>
    </row>
    <row r="1712" customFormat="false" ht="12.75" hidden="false" customHeight="true" outlineLevel="0" collapsed="false">
      <c r="A1712" s="5" t="n">
        <v>89</v>
      </c>
      <c r="B1712" s="5" t="n">
        <v>471</v>
      </c>
      <c r="C1712" s="5" t="n">
        <v>33000</v>
      </c>
      <c r="D1712" s="5" t="n">
        <v>0.03</v>
      </c>
      <c r="E1712" s="5" t="n">
        <v>0.033</v>
      </c>
    </row>
    <row r="1713" customFormat="false" ht="12.75" hidden="false" customHeight="true" outlineLevel="0" collapsed="false">
      <c r="A1713" s="5" t="n">
        <v>89</v>
      </c>
      <c r="B1713" s="5" t="n">
        <v>472</v>
      </c>
      <c r="C1713" s="5" t="n">
        <v>79000</v>
      </c>
      <c r="D1713" s="5" t="n">
        <v>0.06</v>
      </c>
      <c r="E1713" s="5" t="n">
        <v>0.079</v>
      </c>
    </row>
    <row r="1714" customFormat="false" ht="12.75" hidden="false" customHeight="true" outlineLevel="0" collapsed="false">
      <c r="A1714" s="5" t="n">
        <v>89</v>
      </c>
      <c r="B1714" s="5" t="n">
        <v>473</v>
      </c>
      <c r="C1714" s="5" t="n">
        <v>161000</v>
      </c>
      <c r="D1714" s="5" t="n">
        <v>0.11</v>
      </c>
      <c r="E1714" s="5" t="n">
        <v>0.161</v>
      </c>
    </row>
    <row r="1715" customFormat="false" ht="12.75" hidden="false" customHeight="true" outlineLevel="0" collapsed="false">
      <c r="A1715" s="5" t="n">
        <v>89</v>
      </c>
      <c r="B1715" s="5" t="n">
        <v>474</v>
      </c>
      <c r="C1715" s="5" t="n">
        <v>303000</v>
      </c>
      <c r="D1715" s="5" t="n">
        <v>0.18</v>
      </c>
      <c r="E1715" s="5" t="n">
        <v>0.303</v>
      </c>
    </row>
    <row r="1716" customFormat="false" ht="12.75" hidden="false" customHeight="true" outlineLevel="0" collapsed="false">
      <c r="A1716" s="5" t="n">
        <v>89</v>
      </c>
      <c r="B1716" s="5" t="n">
        <v>475</v>
      </c>
      <c r="C1716" s="5" t="n">
        <v>518000</v>
      </c>
      <c r="D1716" s="5" t="n">
        <v>0.25</v>
      </c>
      <c r="E1716" s="5" t="n">
        <v>0.518</v>
      </c>
    </row>
    <row r="1717" customFormat="false" ht="12.75" hidden="false" customHeight="true" outlineLevel="0" collapsed="false">
      <c r="A1717" s="5" t="n">
        <v>89</v>
      </c>
      <c r="B1717" s="5" t="n">
        <v>475.95</v>
      </c>
      <c r="C1717" s="5" t="n">
        <v>766000</v>
      </c>
      <c r="D1717" s="5" t="n">
        <v>0.28</v>
      </c>
      <c r="E1717" s="5" t="n">
        <v>0.766</v>
      </c>
    </row>
    <row r="1718" customFormat="false" ht="12.75" hidden="false" customHeight="true" outlineLevel="0" collapsed="false">
      <c r="A1718" s="5" t="n">
        <v>89</v>
      </c>
      <c r="B1718" s="5" t="n">
        <v>476</v>
      </c>
      <c r="C1718" s="5" t="n">
        <v>791000</v>
      </c>
      <c r="D1718" s="5" t="n">
        <v>0.29</v>
      </c>
      <c r="E1718" s="5" t="n">
        <v>0.791</v>
      </c>
    </row>
    <row r="1719" customFormat="false" ht="12.75" hidden="false" customHeight="true" outlineLevel="0" collapsed="false">
      <c r="A1719" s="5" t="n">
        <v>89</v>
      </c>
      <c r="B1719" s="5" t="n">
        <v>477</v>
      </c>
      <c r="C1719" s="5" t="n">
        <v>1299000</v>
      </c>
      <c r="D1719" s="5" t="n">
        <v>0.47</v>
      </c>
      <c r="E1719" s="5" t="n">
        <v>1.299</v>
      </c>
    </row>
    <row r="1720" customFormat="false" ht="12.75" hidden="false" customHeight="true" outlineLevel="0" collapsed="false">
      <c r="A1720" s="5" t="n">
        <v>89</v>
      </c>
      <c r="B1720" s="5" t="n">
        <v>478</v>
      </c>
      <c r="C1720" s="5" t="n">
        <v>1807000</v>
      </c>
      <c r="D1720" s="5" t="n">
        <v>0.65</v>
      </c>
      <c r="E1720" s="5" t="n">
        <v>1.807</v>
      </c>
    </row>
    <row r="1721" customFormat="false" ht="12.75" hidden="false" customHeight="true" outlineLevel="0" collapsed="false">
      <c r="A1721" s="5" t="n">
        <v>89</v>
      </c>
      <c r="B1721" s="5" t="n">
        <v>479</v>
      </c>
      <c r="C1721" s="5" t="n">
        <v>2315000</v>
      </c>
      <c r="D1721" s="5" t="n">
        <v>0.83</v>
      </c>
      <c r="E1721" s="5" t="n">
        <v>2.315</v>
      </c>
    </row>
    <row r="1722" customFormat="false" ht="12.75" hidden="false" customHeight="true" outlineLevel="0" collapsed="false">
      <c r="A1722" s="5" t="n">
        <v>89</v>
      </c>
      <c r="B1722" s="5" t="n">
        <v>480</v>
      </c>
      <c r="C1722" s="5" t="n">
        <v>2823000</v>
      </c>
      <c r="D1722" s="5" t="n">
        <v>1.01</v>
      </c>
      <c r="E1722" s="5" t="n">
        <v>2.823</v>
      </c>
    </row>
    <row r="1723" customFormat="false" ht="12.75" hidden="false" customHeight="true" outlineLevel="0" collapsed="false">
      <c r="A1723" s="5" t="n">
        <v>89</v>
      </c>
      <c r="B1723" s="5" t="n">
        <v>481</v>
      </c>
      <c r="C1723" s="5" t="n">
        <v>3928000</v>
      </c>
      <c r="D1723" s="5" t="n">
        <v>1.15</v>
      </c>
      <c r="E1723" s="5" t="n">
        <v>3.928</v>
      </c>
    </row>
    <row r="1724" customFormat="false" ht="12.75" hidden="false" customHeight="true" outlineLevel="0" collapsed="false">
      <c r="A1724" s="5" t="n">
        <v>89</v>
      </c>
      <c r="B1724" s="5" t="n">
        <v>482</v>
      </c>
      <c r="C1724" s="5" t="n">
        <v>5033000</v>
      </c>
      <c r="D1724" s="5" t="n">
        <v>1.29</v>
      </c>
      <c r="E1724" s="5" t="n">
        <v>5.033</v>
      </c>
    </row>
    <row r="1725" customFormat="false" ht="12.75" hidden="false" customHeight="true" outlineLevel="0" collapsed="false">
      <c r="A1725" s="5" t="n">
        <v>89</v>
      </c>
      <c r="B1725" s="5" t="n">
        <v>483</v>
      </c>
      <c r="C1725" s="5" t="n">
        <v>6418000</v>
      </c>
      <c r="D1725" s="5" t="n">
        <v>1.43</v>
      </c>
      <c r="E1725" s="5" t="n">
        <v>6.418</v>
      </c>
    </row>
    <row r="1726" customFormat="false" ht="12.75" hidden="false" customHeight="true" outlineLevel="0" collapsed="false">
      <c r="A1726" s="5" t="n">
        <v>89</v>
      </c>
      <c r="B1726" s="5" t="n">
        <v>484</v>
      </c>
      <c r="C1726" s="5" t="n">
        <v>7803000</v>
      </c>
      <c r="D1726" s="5" t="n">
        <v>1.57</v>
      </c>
      <c r="E1726" s="5" t="n">
        <v>7.803</v>
      </c>
    </row>
    <row r="1727" customFormat="false" ht="12.75" hidden="false" customHeight="true" outlineLevel="0" collapsed="false">
      <c r="A1727" s="5" t="n">
        <v>89</v>
      </c>
      <c r="B1727" s="5" t="n">
        <v>484.5</v>
      </c>
      <c r="C1727" s="5" t="n">
        <v>8600000</v>
      </c>
      <c r="D1727" s="5" t="n">
        <v>1.64</v>
      </c>
      <c r="E1727" s="5" t="n">
        <v>8.6</v>
      </c>
    </row>
    <row r="1728" customFormat="false" ht="12.75" hidden="false" customHeight="true" outlineLevel="0" collapsed="false">
      <c r="A1728" s="5" t="n">
        <v>89</v>
      </c>
      <c r="B1728" s="5" t="n">
        <v>485</v>
      </c>
      <c r="C1728" s="5" t="n">
        <v>9393000</v>
      </c>
      <c r="D1728" s="5" t="n">
        <v>1.7</v>
      </c>
      <c r="E1728" s="5" t="n">
        <v>9.393</v>
      </c>
    </row>
    <row r="1729" customFormat="false" ht="12.75" hidden="false" customHeight="true" outlineLevel="0" collapsed="false">
      <c r="A1729" s="5" t="n">
        <v>89</v>
      </c>
      <c r="B1729" s="5" t="n">
        <v>486</v>
      </c>
      <c r="C1729" s="5" t="n">
        <v>11401000</v>
      </c>
      <c r="D1729" s="5" t="n">
        <v>1.85</v>
      </c>
      <c r="E1729" s="5" t="n">
        <v>11.401</v>
      </c>
    </row>
    <row r="1730" customFormat="false" ht="12.75" hidden="false" customHeight="true" outlineLevel="0" collapsed="false">
      <c r="A1730" s="5" t="n">
        <v>89</v>
      </c>
      <c r="B1730" s="5" t="n">
        <v>487</v>
      </c>
      <c r="C1730" s="5" t="n">
        <v>13410000</v>
      </c>
      <c r="D1730" s="5" t="n">
        <v>1.99</v>
      </c>
      <c r="E1730" s="5" t="n">
        <v>13.41</v>
      </c>
    </row>
    <row r="1731" customFormat="false" ht="12.75" hidden="false" customHeight="true" outlineLevel="0" collapsed="false">
      <c r="A1731" s="5" t="n">
        <v>89</v>
      </c>
      <c r="B1731" s="5" t="n">
        <v>488</v>
      </c>
      <c r="C1731" s="5" t="n">
        <v>15417000</v>
      </c>
      <c r="D1731" s="5" t="n">
        <v>2.13</v>
      </c>
      <c r="E1731" s="5" t="n">
        <v>15.417</v>
      </c>
    </row>
    <row r="1732" customFormat="false" ht="12.75" hidden="false" customHeight="true" outlineLevel="0" collapsed="false">
      <c r="A1732" s="5" t="n">
        <v>89</v>
      </c>
      <c r="B1732" s="5" t="n">
        <v>489</v>
      </c>
      <c r="C1732" s="5" t="n">
        <v>17425000</v>
      </c>
      <c r="D1732" s="5" t="n">
        <v>2.27</v>
      </c>
      <c r="E1732" s="5" t="n">
        <v>17.425</v>
      </c>
    </row>
    <row r="1733" customFormat="false" ht="12.75" hidden="false" customHeight="true" outlineLevel="0" collapsed="false">
      <c r="A1733" s="5" t="n">
        <v>89</v>
      </c>
      <c r="B1733" s="5" t="n">
        <v>490</v>
      </c>
      <c r="C1733" s="5" t="n">
        <v>19433000</v>
      </c>
      <c r="D1733" s="5" t="n">
        <v>2.41</v>
      </c>
      <c r="E1733" s="5" t="n">
        <v>19.433</v>
      </c>
    </row>
    <row r="1734" customFormat="false" ht="12.75" hidden="false" customHeight="true" outlineLevel="0" collapsed="false">
      <c r="A1734" s="5" t="n">
        <v>90</v>
      </c>
      <c r="B1734" s="5" t="n">
        <v>58.32</v>
      </c>
      <c r="C1734" s="5" t="n">
        <v>0</v>
      </c>
      <c r="D1734" s="5" t="n">
        <v>0</v>
      </c>
      <c r="E1734" s="5" t="n">
        <v>0</v>
      </c>
    </row>
    <row r="1735" customFormat="false" ht="12.75" hidden="false" customHeight="true" outlineLevel="0" collapsed="false">
      <c r="A1735" s="5" t="n">
        <v>90</v>
      </c>
      <c r="B1735" s="5" t="n">
        <v>59</v>
      </c>
      <c r="C1735" s="5" t="n">
        <v>500</v>
      </c>
      <c r="D1735" s="5" t="n">
        <v>0.0025</v>
      </c>
      <c r="E1735" s="5" t="n">
        <v>0.0005</v>
      </c>
    </row>
    <row r="1736" customFormat="false" ht="12.75" hidden="false" customHeight="true" outlineLevel="0" collapsed="false">
      <c r="A1736" s="5" t="n">
        <v>90</v>
      </c>
      <c r="B1736" s="5" t="n">
        <v>60</v>
      </c>
      <c r="C1736" s="5" t="n">
        <v>20000</v>
      </c>
      <c r="D1736" s="5" t="n">
        <v>0.05</v>
      </c>
      <c r="E1736" s="5" t="n">
        <v>0.02</v>
      </c>
    </row>
    <row r="1737" customFormat="false" ht="12.75" hidden="false" customHeight="true" outlineLevel="0" collapsed="false">
      <c r="A1737" s="5" t="n">
        <v>90</v>
      </c>
      <c r="B1737" s="5" t="n">
        <v>61</v>
      </c>
      <c r="C1737" s="5" t="n">
        <v>166000</v>
      </c>
      <c r="D1737" s="5" t="n">
        <v>0.24</v>
      </c>
      <c r="E1737" s="5" t="n">
        <v>0.166</v>
      </c>
    </row>
    <row r="1738" customFormat="false" ht="12.75" hidden="false" customHeight="true" outlineLevel="0" collapsed="false">
      <c r="A1738" s="5" t="n">
        <v>90</v>
      </c>
      <c r="B1738" s="5" t="n">
        <v>63</v>
      </c>
      <c r="C1738" s="5" t="n">
        <v>1307000</v>
      </c>
      <c r="D1738" s="5" t="n">
        <v>1.01</v>
      </c>
      <c r="E1738" s="5" t="n">
        <v>1.307</v>
      </c>
    </row>
    <row r="1739" customFormat="false" ht="12.75" hidden="false" customHeight="true" outlineLevel="0" collapsed="false">
      <c r="A1739" s="5" t="n">
        <v>90</v>
      </c>
      <c r="B1739" s="5" t="n">
        <v>64</v>
      </c>
      <c r="C1739" s="5" t="n">
        <v>2585000</v>
      </c>
      <c r="D1739" s="5" t="n">
        <v>1.54</v>
      </c>
      <c r="E1739" s="5" t="n">
        <v>2.585</v>
      </c>
    </row>
    <row r="1740" customFormat="false" ht="12.75" hidden="false" customHeight="true" outlineLevel="0" collapsed="false">
      <c r="A1740" s="5" t="n">
        <v>90</v>
      </c>
      <c r="B1740" s="5" t="n">
        <v>65</v>
      </c>
      <c r="C1740" s="5" t="n">
        <v>4430000</v>
      </c>
      <c r="D1740" s="5" t="n">
        <v>2.15</v>
      </c>
      <c r="E1740" s="5" t="n">
        <v>4.43</v>
      </c>
    </row>
    <row r="1741" customFormat="false" ht="12.75" hidden="false" customHeight="true" outlineLevel="0" collapsed="false">
      <c r="A1741" s="5" t="n">
        <v>90</v>
      </c>
      <c r="B1741" s="5" t="n">
        <v>66</v>
      </c>
      <c r="C1741" s="5" t="n">
        <v>6850000</v>
      </c>
      <c r="D1741" s="5" t="n">
        <v>2.62</v>
      </c>
      <c r="E1741" s="5" t="n">
        <v>6.85</v>
      </c>
    </row>
    <row r="1742" customFormat="false" ht="12.75" hidden="false" customHeight="true" outlineLevel="0" collapsed="false">
      <c r="A1742" s="5" t="n">
        <v>90</v>
      </c>
      <c r="B1742" s="5" t="n">
        <v>67</v>
      </c>
      <c r="C1742" s="5" t="n">
        <v>9567000</v>
      </c>
      <c r="D1742" s="5" t="n">
        <v>2.81</v>
      </c>
      <c r="E1742" s="5" t="n">
        <v>9.567</v>
      </c>
    </row>
    <row r="1743" customFormat="false" ht="12.75" hidden="false" customHeight="true" outlineLevel="0" collapsed="false">
      <c r="A1743" s="5" t="n">
        <v>90</v>
      </c>
      <c r="B1743" s="5" t="n">
        <v>67.7</v>
      </c>
      <c r="C1743" s="5" t="n">
        <v>11583000</v>
      </c>
      <c r="D1743" s="5" t="n">
        <v>2.96</v>
      </c>
      <c r="E1743" s="5" t="n">
        <v>11.583</v>
      </c>
    </row>
    <row r="1744" customFormat="false" ht="12.75" hidden="false" customHeight="true" outlineLevel="0" collapsed="false">
      <c r="A1744" s="5" t="n">
        <v>90</v>
      </c>
      <c r="B1744" s="5" t="n">
        <v>68</v>
      </c>
      <c r="C1744" s="5" t="n">
        <v>12430000</v>
      </c>
      <c r="D1744" s="5" t="n">
        <v>3.04</v>
      </c>
      <c r="E1744" s="5" t="n">
        <v>12.43</v>
      </c>
    </row>
    <row r="1745" customFormat="false" ht="12.75" hidden="false" customHeight="true" outlineLevel="0" collapsed="false">
      <c r="A1745" s="5" t="n">
        <v>90</v>
      </c>
      <c r="B1745" s="5" t="n">
        <v>69</v>
      </c>
      <c r="C1745" s="5" t="n">
        <v>15350000</v>
      </c>
      <c r="D1745" s="5" t="n">
        <v>3.83</v>
      </c>
      <c r="E1745" s="5" t="n">
        <v>15.35</v>
      </c>
    </row>
    <row r="1746" customFormat="false" ht="12.75" hidden="false" customHeight="true" outlineLevel="0" collapsed="false">
      <c r="A1746" s="5" t="n">
        <v>91</v>
      </c>
      <c r="B1746" s="5" t="n">
        <v>90</v>
      </c>
      <c r="C1746" s="5" t="n">
        <v>838</v>
      </c>
      <c r="D1746" s="5" t="n">
        <v>0.16</v>
      </c>
      <c r="E1746" s="5" t="n">
        <v>0.000838</v>
      </c>
    </row>
    <row r="1747" customFormat="false" ht="12.75" hidden="false" customHeight="true" outlineLevel="0" collapsed="false">
      <c r="A1747" s="5" t="n">
        <v>91</v>
      </c>
      <c r="B1747" s="5" t="n">
        <v>91</v>
      </c>
      <c r="C1747" s="5" t="n">
        <v>10000</v>
      </c>
      <c r="D1747" s="5" t="n">
        <v>1.92</v>
      </c>
      <c r="E1747" s="5" t="n">
        <v>0.01</v>
      </c>
    </row>
    <row r="1748" customFormat="false" ht="12.75" hidden="false" customHeight="true" outlineLevel="0" collapsed="false">
      <c r="A1748" s="5" t="n">
        <v>91</v>
      </c>
      <c r="B1748" s="5" t="n">
        <v>92</v>
      </c>
      <c r="C1748" s="5" t="n">
        <v>50000</v>
      </c>
      <c r="D1748" s="5" t="n">
        <v>6.15</v>
      </c>
      <c r="E1748" s="5" t="n">
        <v>0.05</v>
      </c>
    </row>
    <row r="1749" customFormat="false" ht="12.75" hidden="false" customHeight="true" outlineLevel="0" collapsed="false">
      <c r="A1749" s="5" t="n">
        <v>91</v>
      </c>
      <c r="B1749" s="5" t="n">
        <v>93</v>
      </c>
      <c r="C1749" s="5" t="n">
        <v>150000</v>
      </c>
      <c r="D1749" s="5" t="n">
        <v>14.78</v>
      </c>
      <c r="E1749" s="5" t="n">
        <v>0.15</v>
      </c>
    </row>
    <row r="1750" customFormat="false" ht="12.75" hidden="false" customHeight="true" outlineLevel="0" collapsed="false">
      <c r="A1750" s="5" t="n">
        <v>91</v>
      </c>
      <c r="B1750" s="5" t="n">
        <v>94</v>
      </c>
      <c r="C1750" s="5" t="n">
        <v>360000</v>
      </c>
      <c r="D1750" s="5" t="n">
        <v>26.18</v>
      </c>
      <c r="E1750" s="5" t="n">
        <v>0.36</v>
      </c>
    </row>
    <row r="1751" customFormat="false" ht="12.75" hidden="false" customHeight="true" outlineLevel="0" collapsed="false">
      <c r="A1751" s="5" t="n">
        <v>91</v>
      </c>
      <c r="B1751" s="5" t="n">
        <v>95</v>
      </c>
      <c r="C1751" s="5" t="n">
        <v>660000</v>
      </c>
      <c r="D1751" s="5" t="n">
        <v>35.12</v>
      </c>
      <c r="E1751" s="5" t="n">
        <v>0.66</v>
      </c>
    </row>
    <row r="1752" customFormat="false" ht="12.75" hidden="false" customHeight="true" outlineLevel="0" collapsed="false">
      <c r="A1752" s="5" t="n">
        <v>91</v>
      </c>
      <c r="B1752" s="5" t="n">
        <v>96</v>
      </c>
      <c r="C1752" s="5" t="n">
        <v>1060000</v>
      </c>
      <c r="D1752" s="5" t="n">
        <v>44.4</v>
      </c>
      <c r="E1752" s="5" t="n">
        <v>1.06</v>
      </c>
    </row>
    <row r="1753" customFormat="false" ht="12.75" hidden="false" customHeight="true" outlineLevel="0" collapsed="false">
      <c r="A1753" s="5" t="n">
        <v>91</v>
      </c>
      <c r="B1753" s="5" t="n">
        <v>97</v>
      </c>
      <c r="C1753" s="5" t="n">
        <v>1550000</v>
      </c>
      <c r="D1753" s="5" t="n">
        <v>54.38</v>
      </c>
      <c r="E1753" s="5" t="n">
        <v>1.55</v>
      </c>
    </row>
    <row r="1754" customFormat="false" ht="12.75" hidden="false" customHeight="true" outlineLevel="0" collapsed="false">
      <c r="A1754" s="5" t="n">
        <v>91</v>
      </c>
      <c r="B1754" s="5" t="n">
        <v>98</v>
      </c>
      <c r="C1754" s="5" t="n">
        <v>2160000</v>
      </c>
      <c r="D1754" s="5" t="n">
        <v>65.82</v>
      </c>
      <c r="E1754" s="5" t="n">
        <v>2.16</v>
      </c>
    </row>
    <row r="1755" customFormat="false" ht="12.75" hidden="false" customHeight="true" outlineLevel="0" collapsed="false">
      <c r="A1755" s="5" t="n">
        <v>91</v>
      </c>
      <c r="B1755" s="5" t="n">
        <v>98.05</v>
      </c>
      <c r="C1755" s="5" t="n">
        <v>2190000</v>
      </c>
      <c r="D1755" s="5" t="n">
        <v>66.36</v>
      </c>
      <c r="E1755" s="5" t="n">
        <v>2.19</v>
      </c>
    </row>
    <row r="1756" customFormat="false" ht="12.75" hidden="false" customHeight="true" outlineLevel="0" collapsed="false">
      <c r="A1756" s="5" t="n">
        <v>92</v>
      </c>
      <c r="B1756" s="5" t="n">
        <v>98</v>
      </c>
      <c r="C1756" s="5" t="n">
        <v>0</v>
      </c>
      <c r="D1756" s="5" t="n">
        <v>0</v>
      </c>
      <c r="E1756" s="5" t="n">
        <v>0</v>
      </c>
    </row>
    <row r="1757" customFormat="false" ht="12.75" hidden="false" customHeight="true" outlineLevel="0" collapsed="false">
      <c r="A1757" s="5" t="n">
        <v>92</v>
      </c>
      <c r="B1757" s="5" t="n">
        <v>99</v>
      </c>
      <c r="C1757" s="5" t="n">
        <v>0</v>
      </c>
      <c r="D1757" s="5" t="n">
        <v>0</v>
      </c>
      <c r="E1757" s="5" t="n">
        <v>0</v>
      </c>
    </row>
    <row r="1758" customFormat="false" ht="12.75" hidden="false" customHeight="true" outlineLevel="0" collapsed="false">
      <c r="A1758" s="5" t="n">
        <v>92</v>
      </c>
      <c r="B1758" s="5" t="n">
        <v>99.04</v>
      </c>
      <c r="C1758" s="5" t="n">
        <v>0</v>
      </c>
      <c r="D1758" s="5" t="n">
        <v>0</v>
      </c>
      <c r="E1758" s="5" t="n">
        <v>0</v>
      </c>
    </row>
    <row r="1759" customFormat="false" ht="12.75" hidden="false" customHeight="true" outlineLevel="0" collapsed="false">
      <c r="A1759" s="5" t="n">
        <v>92</v>
      </c>
      <c r="B1759" s="5" t="n">
        <v>99.78</v>
      </c>
      <c r="C1759" s="5" t="n">
        <v>15734</v>
      </c>
      <c r="D1759" s="5" t="n">
        <v>0.0447</v>
      </c>
      <c r="E1759" s="5" t="n">
        <v>0.015734</v>
      </c>
    </row>
    <row r="1760" customFormat="false" ht="12.75" hidden="false" customHeight="true" outlineLevel="0" collapsed="false">
      <c r="A1760" s="5" t="n">
        <v>92</v>
      </c>
      <c r="B1760" s="5" t="n">
        <v>100.78</v>
      </c>
      <c r="C1760" s="5" t="n">
        <v>87928</v>
      </c>
      <c r="D1760" s="5" t="n">
        <v>0.1025</v>
      </c>
      <c r="E1760" s="5" t="n">
        <v>0.087928</v>
      </c>
    </row>
    <row r="1761" customFormat="false" ht="12.75" hidden="false" customHeight="true" outlineLevel="0" collapsed="false">
      <c r="A1761" s="5" t="n">
        <v>92</v>
      </c>
      <c r="B1761" s="5" t="n">
        <v>101.78</v>
      </c>
      <c r="C1761" s="5" t="n">
        <v>227897</v>
      </c>
      <c r="D1761" s="5" t="n">
        <v>0.1763</v>
      </c>
      <c r="E1761" s="5" t="n">
        <v>0.227897</v>
      </c>
    </row>
    <row r="1762" customFormat="false" ht="12.75" hidden="false" customHeight="true" outlineLevel="0" collapsed="false">
      <c r="A1762" s="5" t="n">
        <v>92</v>
      </c>
      <c r="B1762" s="5" t="n">
        <v>102.78</v>
      </c>
      <c r="C1762" s="5" t="n">
        <v>429031</v>
      </c>
      <c r="D1762" s="5" t="n">
        <v>0.2133</v>
      </c>
      <c r="E1762" s="5" t="n">
        <v>0.429031</v>
      </c>
    </row>
    <row r="1763" customFormat="false" ht="12.75" hidden="false" customHeight="true" outlineLevel="0" collapsed="false">
      <c r="A1763" s="5" t="n">
        <v>92</v>
      </c>
      <c r="B1763" s="5" t="n">
        <v>103</v>
      </c>
      <c r="C1763" s="5" t="n">
        <v>508231</v>
      </c>
      <c r="D1763" s="5" t="n">
        <v>0.2441</v>
      </c>
      <c r="E1763" s="5" t="n">
        <v>0.508231</v>
      </c>
    </row>
    <row r="1764" customFormat="false" ht="12.75" hidden="false" customHeight="true" outlineLevel="0" collapsed="false">
      <c r="A1764" s="5" t="n">
        <v>92</v>
      </c>
      <c r="B1764" s="5" t="n">
        <v>104</v>
      </c>
      <c r="C1764" s="5" t="n">
        <v>998231</v>
      </c>
      <c r="D1764" s="5" t="n">
        <v>0.3841</v>
      </c>
      <c r="E1764" s="5" t="n">
        <v>0.998231</v>
      </c>
    </row>
    <row r="1765" customFormat="false" ht="12.75" hidden="false" customHeight="true" outlineLevel="0" collapsed="false">
      <c r="A1765" s="5" t="n">
        <v>92</v>
      </c>
      <c r="B1765" s="5" t="n">
        <v>105</v>
      </c>
      <c r="C1765" s="5" t="n">
        <v>1648231</v>
      </c>
      <c r="D1765" s="5" t="n">
        <v>0.5441</v>
      </c>
      <c r="E1765" s="5" t="n">
        <v>1.648231</v>
      </c>
    </row>
    <row r="1766" customFormat="false" ht="12.75" hidden="false" customHeight="true" outlineLevel="0" collapsed="false">
      <c r="A1766" s="5" t="n">
        <v>92</v>
      </c>
      <c r="B1766" s="5" t="n">
        <v>106</v>
      </c>
      <c r="C1766" s="5" t="n">
        <v>2448231</v>
      </c>
      <c r="D1766" s="5" t="n">
        <v>0.6941</v>
      </c>
      <c r="E1766" s="5" t="n">
        <v>2.448231</v>
      </c>
    </row>
    <row r="1767" customFormat="false" ht="12.75" hidden="false" customHeight="true" outlineLevel="0" collapsed="false">
      <c r="A1767" s="5" t="n">
        <v>92</v>
      </c>
      <c r="B1767" s="5" t="n">
        <v>107</v>
      </c>
      <c r="C1767" s="5" t="n">
        <v>3408231</v>
      </c>
      <c r="D1767" s="5" t="n">
        <v>0.8641</v>
      </c>
      <c r="E1767" s="5" t="n">
        <v>3.408231</v>
      </c>
    </row>
    <row r="1768" customFormat="false" ht="12.75" hidden="false" customHeight="true" outlineLevel="0" collapsed="false">
      <c r="A1768" s="5" t="n">
        <v>92</v>
      </c>
      <c r="B1768" s="5" t="n">
        <v>108</v>
      </c>
      <c r="C1768" s="5" t="n">
        <v>4568231</v>
      </c>
      <c r="D1768" s="5" t="n">
        <v>1.1041</v>
      </c>
      <c r="E1768" s="5" t="n">
        <v>4.568231</v>
      </c>
    </row>
    <row r="1769" customFormat="false" ht="12.75" hidden="false" customHeight="true" outlineLevel="0" collapsed="false">
      <c r="A1769" s="5" t="n">
        <v>92</v>
      </c>
      <c r="B1769" s="5" t="n">
        <v>109</v>
      </c>
      <c r="C1769" s="5" t="n">
        <v>5988231</v>
      </c>
      <c r="D1769" s="5" t="n">
        <v>1.3741</v>
      </c>
      <c r="E1769" s="5" t="n">
        <v>5.988231</v>
      </c>
    </row>
    <row r="1770" customFormat="false" ht="12.75" hidden="false" customHeight="true" outlineLevel="0" collapsed="false">
      <c r="A1770" s="5" t="n">
        <v>92</v>
      </c>
      <c r="B1770" s="5" t="n">
        <v>110</v>
      </c>
      <c r="C1770" s="5" t="n">
        <v>7668231</v>
      </c>
      <c r="D1770" s="5" t="n">
        <v>1.6241</v>
      </c>
      <c r="E1770" s="5" t="n">
        <v>7.668231</v>
      </c>
    </row>
    <row r="1771" customFormat="false" ht="12.75" hidden="false" customHeight="true" outlineLevel="0" collapsed="false">
      <c r="A1771" s="5" t="n">
        <v>92</v>
      </c>
      <c r="B1771" s="5" t="n">
        <v>111</v>
      </c>
      <c r="C1771" s="5" t="n">
        <v>9608231</v>
      </c>
      <c r="D1771" s="5" t="n">
        <v>1.8941</v>
      </c>
      <c r="E1771" s="5" t="n">
        <v>9.608231</v>
      </c>
    </row>
    <row r="1772" customFormat="false" ht="12.75" hidden="false" customHeight="true" outlineLevel="0" collapsed="false">
      <c r="A1772" s="5" t="n">
        <v>92</v>
      </c>
      <c r="B1772" s="5" t="n">
        <v>112</v>
      </c>
      <c r="C1772" s="5" t="n">
        <v>11838231</v>
      </c>
      <c r="D1772" s="5" t="n">
        <v>2.1941</v>
      </c>
      <c r="E1772" s="5" t="n">
        <v>11.838231</v>
      </c>
    </row>
    <row r="1773" customFormat="false" ht="12.75" hidden="false" customHeight="true" outlineLevel="0" collapsed="false">
      <c r="A1773" s="5" t="n">
        <v>92</v>
      </c>
      <c r="B1773" s="5" t="n">
        <v>113</v>
      </c>
      <c r="C1773" s="5" t="n">
        <v>14418231</v>
      </c>
      <c r="D1773" s="5" t="n">
        <v>2.6041</v>
      </c>
      <c r="E1773" s="5" t="n">
        <v>14.418231</v>
      </c>
    </row>
    <row r="1774" customFormat="false" ht="12.75" hidden="false" customHeight="true" outlineLevel="0" collapsed="false">
      <c r="A1774" s="5" t="n">
        <v>92</v>
      </c>
      <c r="B1774" s="5" t="n">
        <v>114</v>
      </c>
      <c r="C1774" s="5" t="n">
        <v>17408231</v>
      </c>
      <c r="D1774" s="5" t="n">
        <v>3.0041</v>
      </c>
      <c r="E1774" s="5" t="n">
        <v>17.408231</v>
      </c>
    </row>
    <row r="1775" customFormat="false" ht="12.75" hidden="false" customHeight="true" outlineLevel="0" collapsed="false">
      <c r="A1775" s="5" t="n">
        <v>92</v>
      </c>
      <c r="B1775" s="5" t="n">
        <v>115</v>
      </c>
      <c r="C1775" s="5" t="n">
        <v>20878231</v>
      </c>
      <c r="D1775" s="5" t="n">
        <v>3.5841</v>
      </c>
      <c r="E1775" s="5" t="n">
        <v>20.878231</v>
      </c>
    </row>
    <row r="1776" customFormat="false" ht="12.75" hidden="false" customHeight="true" outlineLevel="0" collapsed="false">
      <c r="A1776" s="5" t="n">
        <v>92</v>
      </c>
      <c r="B1776" s="5" t="n">
        <v>116</v>
      </c>
      <c r="C1776" s="5" t="n">
        <v>24888231</v>
      </c>
      <c r="D1776" s="5" t="n">
        <v>4.0741</v>
      </c>
      <c r="E1776" s="5" t="n">
        <v>24.888231</v>
      </c>
    </row>
    <row r="1777" customFormat="false" ht="12.75" hidden="false" customHeight="true" outlineLevel="0" collapsed="false">
      <c r="A1777" s="5" t="n">
        <v>92</v>
      </c>
      <c r="B1777" s="5" t="n">
        <v>116.61</v>
      </c>
      <c r="C1777" s="5" t="n">
        <v>27638231</v>
      </c>
      <c r="D1777" s="5" t="n">
        <v>4.3941</v>
      </c>
      <c r="E1777" s="5" t="n">
        <v>27.638231</v>
      </c>
    </row>
    <row r="1778" customFormat="false" ht="12.75" hidden="false" customHeight="true" outlineLevel="0" collapsed="false">
      <c r="A1778" s="5" t="n">
        <v>92</v>
      </c>
      <c r="B1778" s="5" t="n">
        <v>117</v>
      </c>
      <c r="C1778" s="5" t="n">
        <v>29398231</v>
      </c>
      <c r="D1778" s="5" t="n">
        <v>4.5941</v>
      </c>
      <c r="E1778" s="5" t="n">
        <v>29.398231</v>
      </c>
    </row>
    <row r="1779" customFormat="false" ht="12.75" hidden="false" customHeight="true" outlineLevel="0" collapsed="false">
      <c r="A1779" s="5" t="n">
        <v>92</v>
      </c>
      <c r="B1779" s="5" t="n">
        <v>118</v>
      </c>
      <c r="C1779" s="5" t="n">
        <v>34448231</v>
      </c>
      <c r="D1779" s="5" t="n">
        <v>5.1441</v>
      </c>
      <c r="E1779" s="5" t="n">
        <v>34.448231</v>
      </c>
    </row>
    <row r="1780" customFormat="false" ht="12.75" hidden="false" customHeight="true" outlineLevel="0" collapsed="false">
      <c r="A1780" s="5" t="n">
        <v>92</v>
      </c>
      <c r="B1780" s="5" t="n">
        <v>119</v>
      </c>
      <c r="C1780" s="5" t="n">
        <v>40188231</v>
      </c>
      <c r="D1780" s="5" t="n">
        <v>5.9741</v>
      </c>
      <c r="E1780" s="5" t="n">
        <v>40.188231</v>
      </c>
    </row>
    <row r="1781" customFormat="false" ht="12.75" hidden="false" customHeight="true" outlineLevel="0" collapsed="false">
      <c r="A1781" s="5" t="n">
        <v>92</v>
      </c>
      <c r="B1781" s="5" t="n">
        <v>120</v>
      </c>
      <c r="C1781" s="5" t="n">
        <v>46738231</v>
      </c>
      <c r="D1781" s="5" t="n">
        <v>6.7741</v>
      </c>
      <c r="E1781" s="5" t="n">
        <v>46.738231</v>
      </c>
    </row>
    <row r="1782" customFormat="false" ht="12.75" hidden="false" customHeight="true" outlineLevel="0" collapsed="false">
      <c r="A1782" s="5" t="n">
        <v>92</v>
      </c>
      <c r="B1782" s="5" t="n">
        <v>121</v>
      </c>
      <c r="C1782" s="5" t="n">
        <v>54108231</v>
      </c>
      <c r="D1782" s="5" t="n">
        <v>7.6141</v>
      </c>
      <c r="E1782" s="5" t="n">
        <v>54.108231</v>
      </c>
    </row>
    <row r="1783" customFormat="false" ht="12.75" hidden="false" customHeight="true" outlineLevel="0" collapsed="false">
      <c r="A1783" s="5" t="n">
        <v>92</v>
      </c>
      <c r="B1783" s="5" t="n">
        <v>122</v>
      </c>
      <c r="C1783" s="5" t="n">
        <v>62338231</v>
      </c>
      <c r="D1783" s="5" t="n">
        <v>8.4741</v>
      </c>
      <c r="E1783" s="5" t="n">
        <v>62.338231</v>
      </c>
    </row>
    <row r="1784" customFormat="false" ht="12.75" hidden="false" customHeight="true" outlineLevel="0" collapsed="false">
      <c r="A1784" s="5" t="n">
        <v>94</v>
      </c>
      <c r="B1784" s="5" t="n">
        <v>25</v>
      </c>
      <c r="C1784" s="5" t="n">
        <v>1000000</v>
      </c>
      <c r="D1784" s="5" t="n">
        <v>50</v>
      </c>
      <c r="E1784" s="5" t="n">
        <v>1</v>
      </c>
    </row>
    <row r="1785" customFormat="false" ht="12.75" hidden="false" customHeight="true" outlineLevel="0" collapsed="false">
      <c r="A1785" s="5" t="n">
        <v>94</v>
      </c>
      <c r="B1785" s="5" t="n">
        <v>26</v>
      </c>
      <c r="C1785" s="5" t="n">
        <v>4500000</v>
      </c>
      <c r="D1785" s="5" t="n">
        <v>200</v>
      </c>
      <c r="E1785" s="5" t="n">
        <v>4.5</v>
      </c>
    </row>
    <row r="1786" customFormat="false" ht="12.75" hidden="false" customHeight="true" outlineLevel="0" collapsed="false">
      <c r="A1786" s="5" t="n">
        <v>94</v>
      </c>
      <c r="B1786" s="5" t="n">
        <v>27</v>
      </c>
      <c r="C1786" s="5" t="n">
        <v>7000000</v>
      </c>
      <c r="D1786" s="5" t="n">
        <v>340</v>
      </c>
      <c r="E1786" s="5" t="n">
        <v>7</v>
      </c>
    </row>
    <row r="1787" customFormat="false" ht="12.75" hidden="false" customHeight="true" outlineLevel="0" collapsed="false">
      <c r="A1787" s="5" t="n">
        <v>94</v>
      </c>
      <c r="B1787" s="5" t="n">
        <v>28</v>
      </c>
      <c r="C1787" s="5" t="n">
        <v>13000000</v>
      </c>
      <c r="D1787" s="5" t="n">
        <v>490</v>
      </c>
      <c r="E1787" s="5" t="n">
        <v>13</v>
      </c>
    </row>
    <row r="1788" customFormat="false" ht="12.75" hidden="false" customHeight="true" outlineLevel="0" collapsed="false">
      <c r="A1788" s="5" t="n">
        <v>94</v>
      </c>
      <c r="B1788" s="5" t="n">
        <v>29</v>
      </c>
      <c r="C1788" s="5" t="n">
        <v>16000000</v>
      </c>
      <c r="D1788" s="5" t="n">
        <v>670</v>
      </c>
      <c r="E1788" s="5" t="n">
        <v>16</v>
      </c>
    </row>
    <row r="1789" customFormat="false" ht="12.75" hidden="false" customHeight="true" outlineLevel="0" collapsed="false">
      <c r="A1789" s="5" t="n">
        <v>94</v>
      </c>
      <c r="B1789" s="5" t="n">
        <v>30</v>
      </c>
      <c r="C1789" s="5" t="n">
        <v>24000000</v>
      </c>
      <c r="D1789" s="5" t="n">
        <v>810</v>
      </c>
      <c r="E1789" s="5" t="n">
        <v>24</v>
      </c>
    </row>
    <row r="1790" customFormat="false" ht="12.75" hidden="false" customHeight="true" outlineLevel="0" collapsed="false">
      <c r="A1790" s="5" t="n">
        <v>94</v>
      </c>
      <c r="B1790" s="5" t="n">
        <v>31</v>
      </c>
      <c r="C1790" s="5" t="n">
        <v>32000000</v>
      </c>
      <c r="D1790" s="5" t="n">
        <v>1020</v>
      </c>
      <c r="E1790" s="5" t="n">
        <v>32</v>
      </c>
    </row>
    <row r="1791" customFormat="false" ht="12.75" hidden="false" customHeight="true" outlineLevel="0" collapsed="false">
      <c r="A1791" s="5" t="n">
        <v>94</v>
      </c>
      <c r="B1791" s="5" t="n">
        <v>32</v>
      </c>
      <c r="C1791" s="5" t="n">
        <v>43000000</v>
      </c>
      <c r="D1791" s="5" t="n">
        <v>1220</v>
      </c>
      <c r="E1791" s="5" t="n">
        <v>43</v>
      </c>
    </row>
    <row r="1792" customFormat="false" ht="12.75" hidden="false" customHeight="true" outlineLevel="0" collapsed="false">
      <c r="A1792" s="5" t="n">
        <v>94</v>
      </c>
      <c r="B1792" s="5" t="n">
        <v>33</v>
      </c>
      <c r="C1792" s="5" t="n">
        <v>53000000</v>
      </c>
      <c r="D1792" s="5" t="n">
        <v>1360</v>
      </c>
      <c r="E1792" s="5" t="n">
        <v>53</v>
      </c>
    </row>
    <row r="1793" customFormat="false" ht="12.75" hidden="false" customHeight="true" outlineLevel="0" collapsed="false">
      <c r="A1793" s="5" t="n">
        <v>94</v>
      </c>
      <c r="B1793" s="5" t="n">
        <v>34</v>
      </c>
      <c r="C1793" s="5" t="n">
        <v>58000000</v>
      </c>
      <c r="D1793" s="5" t="n">
        <v>1500</v>
      </c>
      <c r="E1793" s="5" t="n">
        <v>58</v>
      </c>
    </row>
    <row r="1794" customFormat="false" ht="12.75" hidden="false" customHeight="true" outlineLevel="0" collapsed="false">
      <c r="A1794" s="5" t="n">
        <v>94</v>
      </c>
      <c r="B1794" s="5" t="n">
        <v>35</v>
      </c>
      <c r="C1794" s="5" t="n">
        <v>77000000</v>
      </c>
      <c r="D1794" s="5" t="n">
        <v>1760</v>
      </c>
      <c r="E1794" s="5" t="n">
        <v>77</v>
      </c>
    </row>
    <row r="1795" customFormat="false" ht="12.75" hidden="false" customHeight="true" outlineLevel="0" collapsed="false">
      <c r="A1795" s="5" t="n">
        <v>94</v>
      </c>
      <c r="B1795" s="5" t="n">
        <v>36</v>
      </c>
      <c r="C1795" s="5" t="n">
        <v>115000000</v>
      </c>
      <c r="D1795" s="5" t="n">
        <v>2290</v>
      </c>
      <c r="E1795" s="5" t="n">
        <v>115</v>
      </c>
    </row>
    <row r="1796" customFormat="false" ht="12.75" hidden="false" customHeight="true" outlineLevel="0" collapsed="false">
      <c r="A1796" s="5" t="n">
        <v>94</v>
      </c>
      <c r="B1796" s="5" t="n">
        <v>37</v>
      </c>
      <c r="C1796" s="5" t="n">
        <v>139000000</v>
      </c>
      <c r="D1796" s="5" t="n">
        <v>2580</v>
      </c>
      <c r="E1796" s="5" t="n">
        <v>139</v>
      </c>
    </row>
    <row r="1797" customFormat="false" ht="12.75" hidden="false" customHeight="true" outlineLevel="0" collapsed="false">
      <c r="A1797" s="5" t="n">
        <v>94</v>
      </c>
      <c r="B1797" s="5" t="n">
        <v>38</v>
      </c>
      <c r="C1797" s="5" t="n">
        <v>167000000</v>
      </c>
      <c r="D1797" s="5" t="n">
        <v>2870</v>
      </c>
      <c r="E1797" s="5" t="n">
        <v>167</v>
      </c>
    </row>
    <row r="1798" customFormat="false" ht="12.75" hidden="false" customHeight="true" outlineLevel="0" collapsed="false">
      <c r="A1798" s="5" t="n">
        <v>94</v>
      </c>
      <c r="B1798" s="5" t="n">
        <v>39</v>
      </c>
      <c r="C1798" s="5" t="n">
        <v>201000000</v>
      </c>
      <c r="D1798" s="5" t="n">
        <v>3220</v>
      </c>
      <c r="E1798" s="5" t="n">
        <v>201</v>
      </c>
    </row>
    <row r="1799" customFormat="false" ht="12.75" hidden="false" customHeight="true" outlineLevel="0" collapsed="false">
      <c r="A1799" s="5" t="n">
        <v>94</v>
      </c>
      <c r="B1799" s="5" t="n">
        <v>40</v>
      </c>
      <c r="C1799" s="5" t="n">
        <v>238000000</v>
      </c>
      <c r="D1799" s="5" t="n">
        <v>3540</v>
      </c>
      <c r="E1799" s="5" t="n">
        <v>238</v>
      </c>
    </row>
    <row r="1800" customFormat="false" ht="12.75" hidden="false" customHeight="true" outlineLevel="0" collapsed="false">
      <c r="A1800" s="5" t="n">
        <v>94</v>
      </c>
      <c r="B1800" s="5" t="n">
        <v>41</v>
      </c>
      <c r="C1800" s="5" t="n">
        <v>275000000</v>
      </c>
      <c r="D1800" s="5" t="n">
        <v>3900</v>
      </c>
      <c r="E1800" s="5" t="n">
        <v>275</v>
      </c>
    </row>
    <row r="1801" customFormat="false" ht="12.75" hidden="false" customHeight="true" outlineLevel="0" collapsed="false">
      <c r="A1801" s="5" t="n">
        <v>94</v>
      </c>
      <c r="B1801" s="5" t="n">
        <v>42</v>
      </c>
      <c r="C1801" s="5" t="n">
        <v>320000000</v>
      </c>
      <c r="D1801" s="5" t="n">
        <v>4250</v>
      </c>
      <c r="E1801" s="5" t="n">
        <v>320</v>
      </c>
    </row>
    <row r="1802" customFormat="false" ht="12.75" hidden="false" customHeight="true" outlineLevel="0" collapsed="false">
      <c r="A1802" s="5" t="n">
        <v>94</v>
      </c>
      <c r="B1802" s="5" t="n">
        <v>43</v>
      </c>
      <c r="C1802" s="5" t="n">
        <v>352000000</v>
      </c>
      <c r="D1802" s="5" t="n">
        <v>4630</v>
      </c>
      <c r="E1802" s="5" t="n">
        <v>352</v>
      </c>
    </row>
    <row r="1803" customFormat="false" ht="12.75" hidden="false" customHeight="true" outlineLevel="0" collapsed="false">
      <c r="A1803" s="5" t="n">
        <v>94</v>
      </c>
      <c r="B1803" s="5" t="n">
        <v>44</v>
      </c>
      <c r="C1803" s="5" t="n">
        <v>409000000</v>
      </c>
      <c r="D1803" s="5" t="n">
        <v>5000</v>
      </c>
      <c r="E1803" s="5" t="n">
        <v>409</v>
      </c>
    </row>
    <row r="1804" customFormat="false" ht="12.75" hidden="false" customHeight="true" outlineLevel="0" collapsed="false">
      <c r="A1804" s="5" t="n">
        <v>94</v>
      </c>
      <c r="B1804" s="5" t="n">
        <v>45</v>
      </c>
      <c r="C1804" s="5" t="n">
        <v>457000000</v>
      </c>
      <c r="D1804" s="5" t="n">
        <v>5380</v>
      </c>
      <c r="E1804" s="5" t="n">
        <v>457</v>
      </c>
    </row>
    <row r="1805" customFormat="false" ht="12.75" hidden="false" customHeight="true" outlineLevel="0" collapsed="false">
      <c r="A1805" s="5" t="n">
        <v>94</v>
      </c>
      <c r="B1805" s="5" t="n">
        <v>46</v>
      </c>
      <c r="C1805" s="5" t="n">
        <v>508000000</v>
      </c>
      <c r="D1805" s="5" t="n">
        <v>5800</v>
      </c>
      <c r="E1805" s="5" t="n">
        <v>508</v>
      </c>
    </row>
    <row r="1806" customFormat="false" ht="12.75" hidden="false" customHeight="true" outlineLevel="0" collapsed="false">
      <c r="A1806" s="5" t="n">
        <v>94</v>
      </c>
      <c r="B1806" s="5" t="n">
        <v>47</v>
      </c>
      <c r="C1806" s="5" t="n">
        <v>563000000</v>
      </c>
      <c r="D1806" s="5" t="n">
        <v>6220</v>
      </c>
      <c r="E1806" s="5" t="n">
        <v>563</v>
      </c>
    </row>
    <row r="1807" customFormat="false" ht="12.75" hidden="false" customHeight="true" outlineLevel="0" collapsed="false">
      <c r="A1807" s="5" t="n">
        <v>94</v>
      </c>
      <c r="B1807" s="5" t="n">
        <v>48</v>
      </c>
      <c r="C1807" s="5" t="n">
        <v>625000000</v>
      </c>
      <c r="D1807" s="5" t="n">
        <v>6700</v>
      </c>
      <c r="E1807" s="5" t="n">
        <v>625</v>
      </c>
    </row>
    <row r="1808" customFormat="false" ht="12.75" hidden="false" customHeight="true" outlineLevel="0" collapsed="false">
      <c r="A1808" s="5" t="n">
        <v>95</v>
      </c>
      <c r="B1808" s="5" t="n">
        <v>23.12</v>
      </c>
      <c r="C1808" s="5" t="n">
        <v>0</v>
      </c>
      <c r="D1808" s="5" t="n">
        <v>0</v>
      </c>
      <c r="E1808" s="5" t="n">
        <v>0</v>
      </c>
    </row>
    <row r="1809" customFormat="false" ht="12.75" hidden="false" customHeight="true" outlineLevel="0" collapsed="false">
      <c r="A1809" s="5" t="n">
        <v>95</v>
      </c>
      <c r="B1809" s="5" t="n">
        <v>24</v>
      </c>
      <c r="C1809" s="5" t="n">
        <v>6600</v>
      </c>
      <c r="D1809" s="5" t="n">
        <v>0.04</v>
      </c>
      <c r="E1809" s="5" t="n">
        <v>0.0066</v>
      </c>
    </row>
    <row r="1810" customFormat="false" ht="12.75" hidden="false" customHeight="true" outlineLevel="0" collapsed="false">
      <c r="A1810" s="5" t="n">
        <v>95</v>
      </c>
      <c r="B1810" s="5" t="n">
        <v>25</v>
      </c>
      <c r="C1810" s="5" t="n">
        <v>192000</v>
      </c>
      <c r="D1810" s="5" t="n">
        <v>0.34</v>
      </c>
      <c r="E1810" s="5" t="n">
        <v>0.192</v>
      </c>
    </row>
    <row r="1811" customFormat="false" ht="12.75" hidden="false" customHeight="true" outlineLevel="0" collapsed="false">
      <c r="A1811" s="5" t="n">
        <v>95</v>
      </c>
      <c r="B1811" s="5" t="n">
        <v>26</v>
      </c>
      <c r="C1811" s="5" t="n">
        <v>688000</v>
      </c>
      <c r="D1811" s="5" t="n">
        <v>0.65</v>
      </c>
      <c r="E1811" s="5" t="n">
        <v>0.688</v>
      </c>
    </row>
    <row r="1812" customFormat="false" ht="12.75" hidden="false" customHeight="true" outlineLevel="0" collapsed="false">
      <c r="A1812" s="5" t="n">
        <v>95</v>
      </c>
      <c r="B1812" s="5" t="n">
        <v>27</v>
      </c>
      <c r="C1812" s="5" t="n">
        <v>1525000</v>
      </c>
      <c r="D1812" s="5" t="n">
        <v>1.06</v>
      </c>
      <c r="E1812" s="5" t="n">
        <v>1.525</v>
      </c>
    </row>
    <row r="1813" customFormat="false" ht="12.75" hidden="false" customHeight="true" outlineLevel="0" collapsed="false">
      <c r="A1813" s="5" t="n">
        <v>95</v>
      </c>
      <c r="B1813" s="5" t="n">
        <v>28</v>
      </c>
      <c r="C1813" s="5" t="n">
        <v>2800000</v>
      </c>
      <c r="D1813" s="5" t="n">
        <v>1.52</v>
      </c>
      <c r="E1813" s="5" t="n">
        <v>2.8</v>
      </c>
    </row>
    <row r="1814" customFormat="false" ht="12.75" hidden="false" customHeight="true" outlineLevel="0" collapsed="false">
      <c r="A1814" s="5" t="n">
        <v>95</v>
      </c>
      <c r="B1814" s="5" t="n">
        <v>29</v>
      </c>
      <c r="C1814" s="5" t="n">
        <v>4560000</v>
      </c>
      <c r="D1814" s="5" t="n">
        <v>2.03</v>
      </c>
      <c r="E1814" s="5" t="n">
        <v>4.56</v>
      </c>
    </row>
    <row r="1815" customFormat="false" ht="12.75" hidden="false" customHeight="true" outlineLevel="0" collapsed="false">
      <c r="A1815" s="5" t="n">
        <v>95</v>
      </c>
      <c r="B1815" s="5" t="n">
        <v>30</v>
      </c>
      <c r="C1815" s="5" t="n">
        <v>6870000</v>
      </c>
      <c r="D1815" s="5" t="n">
        <v>2.58</v>
      </c>
      <c r="E1815" s="5" t="n">
        <v>6.87</v>
      </c>
    </row>
    <row r="1816" customFormat="false" ht="12.75" hidden="false" customHeight="true" outlineLevel="0" collapsed="false">
      <c r="A1816" s="5" t="n">
        <v>95</v>
      </c>
      <c r="B1816" s="5" t="n">
        <v>31</v>
      </c>
      <c r="C1816" s="5" t="n">
        <v>9750000</v>
      </c>
      <c r="D1816" s="5" t="n">
        <v>3.19</v>
      </c>
      <c r="E1816" s="5" t="n">
        <v>9.75</v>
      </c>
    </row>
    <row r="1817" customFormat="false" ht="12.75" hidden="false" customHeight="true" outlineLevel="0" collapsed="false">
      <c r="A1817" s="5" t="n">
        <v>95</v>
      </c>
      <c r="B1817" s="5" t="n">
        <v>32</v>
      </c>
      <c r="C1817" s="5" t="n">
        <v>13260000</v>
      </c>
      <c r="D1817" s="5" t="n">
        <v>3.83</v>
      </c>
      <c r="E1817" s="5" t="n">
        <v>13.26</v>
      </c>
    </row>
    <row r="1818" customFormat="false" ht="12.75" hidden="false" customHeight="true" outlineLevel="0" collapsed="false">
      <c r="A1818" s="5" t="n">
        <v>95</v>
      </c>
      <c r="B1818" s="5" t="n">
        <v>33</v>
      </c>
      <c r="C1818" s="5" t="n">
        <v>17430000</v>
      </c>
      <c r="D1818" s="5" t="n">
        <v>4.54</v>
      </c>
      <c r="E1818" s="5" t="n">
        <v>17.43</v>
      </c>
    </row>
    <row r="1819" customFormat="false" ht="12.75" hidden="false" customHeight="true" outlineLevel="0" collapsed="false">
      <c r="A1819" s="5" t="n">
        <v>95</v>
      </c>
      <c r="B1819" s="5" t="n">
        <v>34</v>
      </c>
      <c r="C1819" s="5" t="n">
        <v>22220000</v>
      </c>
      <c r="D1819" s="5" t="n">
        <v>5.01</v>
      </c>
      <c r="E1819" s="5" t="n">
        <v>22.22</v>
      </c>
    </row>
    <row r="1820" customFormat="false" ht="12.75" hidden="false" customHeight="true" outlineLevel="0" collapsed="false">
      <c r="A1820" s="5" t="n">
        <v>95</v>
      </c>
      <c r="B1820" s="5" t="n">
        <v>35</v>
      </c>
      <c r="C1820" s="5" t="n">
        <v>27410000</v>
      </c>
      <c r="D1820" s="5" t="n">
        <v>5.4</v>
      </c>
      <c r="E1820" s="5" t="n">
        <v>27.41</v>
      </c>
    </row>
    <row r="1821" customFormat="false" ht="12.75" hidden="false" customHeight="true" outlineLevel="0" collapsed="false">
      <c r="A1821" s="5" t="n">
        <v>95</v>
      </c>
      <c r="B1821" s="5" t="n">
        <v>35.57</v>
      </c>
      <c r="C1821" s="5" t="n">
        <v>30550000</v>
      </c>
      <c r="D1821" s="5" t="n">
        <v>5.81</v>
      </c>
      <c r="E1821" s="5" t="n">
        <v>30.55</v>
      </c>
    </row>
    <row r="1822" customFormat="false" ht="12.75" hidden="false" customHeight="true" outlineLevel="0" collapsed="false">
      <c r="A1822" s="5" t="n">
        <v>95</v>
      </c>
      <c r="B1822" s="5" t="n">
        <v>36</v>
      </c>
      <c r="C1822" s="5" t="n">
        <v>33300000</v>
      </c>
      <c r="D1822" s="5" t="n">
        <v>5.9</v>
      </c>
      <c r="E1822" s="5" t="n">
        <v>33.3</v>
      </c>
    </row>
    <row r="1823" customFormat="false" ht="12.75" hidden="false" customHeight="true" outlineLevel="0" collapsed="false">
      <c r="A1823" s="5" t="n">
        <v>95</v>
      </c>
      <c r="B1823" s="5" t="n">
        <v>37</v>
      </c>
      <c r="C1823" s="5" t="n">
        <v>40050000</v>
      </c>
      <c r="D1823" s="5" t="n">
        <v>6.14</v>
      </c>
      <c r="E1823" s="5" t="n">
        <v>40.05</v>
      </c>
    </row>
    <row r="1824" customFormat="false" ht="12.75" hidden="false" customHeight="true" outlineLevel="0" collapsed="false">
      <c r="A1824" s="5" t="n">
        <v>95</v>
      </c>
      <c r="B1824" s="5" t="n">
        <v>37.5</v>
      </c>
      <c r="C1824" s="5" t="n">
        <v>43157000</v>
      </c>
      <c r="D1824" s="5" t="n">
        <v>6.29</v>
      </c>
      <c r="E1824" s="5" t="n">
        <v>43.157</v>
      </c>
    </row>
    <row r="1825" customFormat="false" ht="12.75" hidden="false" customHeight="true" outlineLevel="0" collapsed="false">
      <c r="A1825" s="5" t="n">
        <v>95</v>
      </c>
      <c r="B1825" s="5" t="n">
        <v>38</v>
      </c>
      <c r="C1825" s="5" t="n">
        <v>46327000</v>
      </c>
      <c r="D1825" s="5" t="n">
        <v>6.39</v>
      </c>
      <c r="E1825" s="5" t="n">
        <v>46.327</v>
      </c>
    </row>
    <row r="1826" customFormat="false" ht="12.75" hidden="false" customHeight="true" outlineLevel="0" collapsed="false">
      <c r="A1826" s="5" t="n">
        <v>96</v>
      </c>
      <c r="B1826" s="5" t="n">
        <v>490</v>
      </c>
      <c r="C1826" s="5" t="n">
        <v>0</v>
      </c>
      <c r="D1826" s="5" t="n">
        <v>0</v>
      </c>
      <c r="E1826" s="5" t="n">
        <v>0</v>
      </c>
    </row>
    <row r="1827" customFormat="false" ht="12.75" hidden="false" customHeight="true" outlineLevel="0" collapsed="false">
      <c r="A1827" s="5" t="n">
        <v>96</v>
      </c>
      <c r="B1827" s="5" t="n">
        <v>491</v>
      </c>
      <c r="C1827" s="5" t="n">
        <v>26000</v>
      </c>
      <c r="D1827" s="5" t="n">
        <v>0.03</v>
      </c>
      <c r="E1827" s="5" t="n">
        <v>0.026</v>
      </c>
    </row>
    <row r="1828" customFormat="false" ht="12.75" hidden="false" customHeight="true" outlineLevel="0" collapsed="false">
      <c r="A1828" s="5" t="n">
        <v>96</v>
      </c>
      <c r="B1828" s="5" t="n">
        <v>492</v>
      </c>
      <c r="C1828" s="5" t="n">
        <v>72500</v>
      </c>
      <c r="D1828" s="5" t="n">
        <v>0.07</v>
      </c>
      <c r="E1828" s="5" t="n">
        <v>0.0725</v>
      </c>
    </row>
    <row r="1829" customFormat="false" ht="12.75" hidden="false" customHeight="true" outlineLevel="0" collapsed="false">
      <c r="A1829" s="5" t="n">
        <v>96</v>
      </c>
      <c r="B1829" s="5" t="n">
        <v>493</v>
      </c>
      <c r="C1829" s="5" t="n">
        <v>165000</v>
      </c>
      <c r="D1829" s="5" t="n">
        <v>0.12</v>
      </c>
      <c r="E1829" s="5" t="n">
        <v>0.165</v>
      </c>
    </row>
    <row r="1830" customFormat="false" ht="12.75" hidden="false" customHeight="true" outlineLevel="0" collapsed="false">
      <c r="A1830" s="5" t="n">
        <v>96</v>
      </c>
      <c r="B1830" s="5" t="n">
        <v>494</v>
      </c>
      <c r="C1830" s="5" t="n">
        <v>308000</v>
      </c>
      <c r="D1830" s="5" t="n">
        <v>0.17</v>
      </c>
      <c r="E1830" s="5" t="n">
        <v>0.308</v>
      </c>
    </row>
    <row r="1831" customFormat="false" ht="12.75" hidden="false" customHeight="true" outlineLevel="0" collapsed="false">
      <c r="A1831" s="5" t="n">
        <v>96</v>
      </c>
      <c r="B1831" s="5" t="n">
        <v>495</v>
      </c>
      <c r="C1831" s="5" t="n">
        <v>509000</v>
      </c>
      <c r="D1831" s="5" t="n">
        <v>0.23</v>
      </c>
      <c r="E1831" s="5" t="n">
        <v>0.509</v>
      </c>
    </row>
    <row r="1832" customFormat="false" ht="12.75" hidden="false" customHeight="true" outlineLevel="0" collapsed="false">
      <c r="A1832" s="5" t="n">
        <v>96</v>
      </c>
      <c r="B1832" s="5" t="n">
        <v>496</v>
      </c>
      <c r="C1832" s="5" t="n">
        <v>787000</v>
      </c>
      <c r="D1832" s="5" t="n">
        <v>0.33</v>
      </c>
      <c r="E1832" s="5" t="n">
        <v>0.787</v>
      </c>
    </row>
    <row r="1833" customFormat="false" ht="12.75" hidden="false" customHeight="true" outlineLevel="0" collapsed="false">
      <c r="A1833" s="5" t="n">
        <v>96</v>
      </c>
      <c r="B1833" s="5" t="n">
        <v>497</v>
      </c>
      <c r="C1833" s="5" t="n">
        <v>1200000</v>
      </c>
      <c r="D1833" s="5" t="n">
        <v>0.44</v>
      </c>
      <c r="E1833" s="5" t="n">
        <v>1.2</v>
      </c>
    </row>
    <row r="1834" customFormat="false" ht="12.75" hidden="false" customHeight="true" outlineLevel="0" collapsed="false">
      <c r="A1834" s="5" t="n">
        <v>96</v>
      </c>
      <c r="B1834" s="5" t="n">
        <v>498</v>
      </c>
      <c r="C1834" s="5" t="n">
        <v>1670000</v>
      </c>
      <c r="D1834" s="5" t="n">
        <v>0.55</v>
      </c>
      <c r="E1834" s="5" t="n">
        <v>1.67</v>
      </c>
    </row>
    <row r="1835" customFormat="false" ht="12.75" hidden="false" customHeight="true" outlineLevel="0" collapsed="false">
      <c r="A1835" s="5" t="n">
        <v>96</v>
      </c>
      <c r="B1835" s="5" t="n">
        <v>499</v>
      </c>
      <c r="C1835" s="5" t="n">
        <v>2290000</v>
      </c>
      <c r="D1835" s="5" t="n">
        <v>0.69</v>
      </c>
      <c r="E1835" s="5" t="n">
        <v>2.29</v>
      </c>
    </row>
    <row r="1836" customFormat="false" ht="12.75" hidden="false" customHeight="true" outlineLevel="0" collapsed="false">
      <c r="A1836" s="5" t="n">
        <v>96</v>
      </c>
      <c r="B1836" s="5" t="n">
        <v>500</v>
      </c>
      <c r="C1836" s="5" t="n">
        <v>3050000</v>
      </c>
      <c r="D1836" s="5" t="n">
        <v>0.84</v>
      </c>
      <c r="E1836" s="5" t="n">
        <v>3.05</v>
      </c>
    </row>
    <row r="1837" customFormat="false" ht="12.75" hidden="false" customHeight="true" outlineLevel="0" collapsed="false">
      <c r="A1837" s="5" t="n">
        <v>96</v>
      </c>
      <c r="B1837" s="5" t="n">
        <v>501</v>
      </c>
      <c r="C1837" s="5" t="n">
        <v>3900000</v>
      </c>
      <c r="D1837" s="5" t="n">
        <v>0.96</v>
      </c>
      <c r="E1837" s="5" t="n">
        <v>3.9</v>
      </c>
    </row>
    <row r="1838" customFormat="false" ht="12.75" hidden="false" customHeight="true" outlineLevel="0" collapsed="false">
      <c r="A1838" s="5" t="n">
        <v>96</v>
      </c>
      <c r="B1838" s="5" t="n">
        <v>502</v>
      </c>
      <c r="C1838" s="5" t="n">
        <v>5000000</v>
      </c>
      <c r="D1838" s="5" t="n">
        <v>1.04</v>
      </c>
      <c r="E1838" s="5" t="n">
        <v>5</v>
      </c>
    </row>
    <row r="1839" customFormat="false" ht="12.75" hidden="false" customHeight="true" outlineLevel="0" collapsed="false">
      <c r="A1839" s="5" t="n">
        <v>96</v>
      </c>
      <c r="B1839" s="5" t="n">
        <v>502.24</v>
      </c>
      <c r="C1839" s="5" t="n">
        <v>5200000</v>
      </c>
      <c r="D1839" s="5" t="n">
        <v>1.07</v>
      </c>
      <c r="E1839" s="5" t="n">
        <v>5.2</v>
      </c>
    </row>
    <row r="1840" customFormat="false" ht="12.75" hidden="false" customHeight="true" outlineLevel="0" collapsed="false">
      <c r="A1840" s="5" t="n">
        <v>96</v>
      </c>
      <c r="B1840" s="5" t="n">
        <v>504</v>
      </c>
      <c r="C1840" s="5" t="n">
        <v>7330000</v>
      </c>
      <c r="D1840" s="5" t="n">
        <v>1.3</v>
      </c>
      <c r="E1840" s="5" t="n">
        <v>7.33</v>
      </c>
    </row>
    <row r="1841" customFormat="false" ht="12.75" hidden="false" customHeight="true" outlineLevel="0" collapsed="false">
      <c r="A1841" s="5" t="n">
        <v>96</v>
      </c>
      <c r="B1841" s="5" t="n">
        <v>506</v>
      </c>
      <c r="C1841" s="5" t="n">
        <v>10300000</v>
      </c>
      <c r="D1841" s="5" t="n">
        <v>1.56</v>
      </c>
      <c r="E1841" s="5" t="n">
        <v>10.3</v>
      </c>
    </row>
    <row r="1842" customFormat="false" ht="12.75" hidden="false" customHeight="true" outlineLevel="0" collapsed="false">
      <c r="A1842" s="5" t="n">
        <v>96</v>
      </c>
      <c r="B1842" s="5" t="n">
        <v>508</v>
      </c>
      <c r="C1842" s="5" t="n">
        <v>13800000</v>
      </c>
      <c r="D1842" s="5" t="n">
        <v>1.84</v>
      </c>
      <c r="E1842" s="5" t="n">
        <v>13.8</v>
      </c>
    </row>
    <row r="1843" customFormat="false" ht="12.75" hidden="false" customHeight="true" outlineLevel="0" collapsed="false">
      <c r="A1843" s="5" t="n">
        <v>96</v>
      </c>
      <c r="B1843" s="5" t="n">
        <v>510</v>
      </c>
      <c r="C1843" s="5" t="n">
        <v>18000000</v>
      </c>
      <c r="D1843" s="5" t="n">
        <v>2.15</v>
      </c>
      <c r="E1843" s="5" t="n">
        <v>18</v>
      </c>
    </row>
    <row r="1844" customFormat="false" ht="12.75" hidden="false" customHeight="true" outlineLevel="0" collapsed="false">
      <c r="A1844" s="5" t="n">
        <v>96</v>
      </c>
      <c r="B1844" s="5" t="n">
        <v>512</v>
      </c>
      <c r="C1844" s="5" t="n">
        <v>22408000</v>
      </c>
      <c r="D1844" s="5" t="n">
        <v>2.42</v>
      </c>
      <c r="E1844" s="5" t="n">
        <v>22.408</v>
      </c>
    </row>
    <row r="1845" customFormat="false" ht="12.75" hidden="false" customHeight="true" outlineLevel="0" collapsed="false">
      <c r="A1845" s="5" t="n">
        <v>96</v>
      </c>
      <c r="B1845" s="5" t="n">
        <v>513</v>
      </c>
      <c r="C1845" s="5" t="n">
        <v>25040000</v>
      </c>
      <c r="D1845" s="5" t="n">
        <v>2.73</v>
      </c>
      <c r="E1845" s="5" t="n">
        <v>25.04</v>
      </c>
    </row>
    <row r="1846" customFormat="false" ht="12.75" hidden="false" customHeight="true" outlineLevel="0" collapsed="false">
      <c r="A1846" s="5" t="n">
        <v>97</v>
      </c>
      <c r="B1846" s="5" t="n">
        <v>128.53</v>
      </c>
      <c r="C1846" s="5" t="n">
        <v>0</v>
      </c>
      <c r="D1846" s="5" t="n">
        <v>0</v>
      </c>
      <c r="E1846" s="5" t="n">
        <v>0</v>
      </c>
    </row>
    <row r="1847" customFormat="false" ht="12.75" hidden="false" customHeight="true" outlineLevel="0" collapsed="false">
      <c r="A1847" s="5" t="n">
        <v>97</v>
      </c>
      <c r="B1847" s="5" t="n">
        <v>129</v>
      </c>
      <c r="C1847" s="5" t="n">
        <v>44</v>
      </c>
      <c r="D1847" s="5" t="n">
        <v>0.0004</v>
      </c>
      <c r="E1847" s="5" t="n">
        <v>4.4E-005</v>
      </c>
    </row>
    <row r="1848" customFormat="false" ht="12.75" hidden="false" customHeight="true" outlineLevel="0" collapsed="false">
      <c r="A1848" s="5" t="n">
        <v>97</v>
      </c>
      <c r="B1848" s="5" t="n">
        <v>130</v>
      </c>
      <c r="C1848" s="5" t="n">
        <v>2000</v>
      </c>
      <c r="D1848" s="5" t="n">
        <v>0.004</v>
      </c>
      <c r="E1848" s="5" t="n">
        <v>0.002</v>
      </c>
    </row>
    <row r="1849" customFormat="false" ht="12.75" hidden="false" customHeight="true" outlineLevel="0" collapsed="false">
      <c r="A1849" s="5" t="n">
        <v>97</v>
      </c>
      <c r="B1849" s="5" t="n">
        <v>131</v>
      </c>
      <c r="C1849" s="5" t="n">
        <v>13000</v>
      </c>
      <c r="D1849" s="5" t="n">
        <v>0.02</v>
      </c>
      <c r="E1849" s="5" t="n">
        <v>0.013</v>
      </c>
    </row>
    <row r="1850" customFormat="false" ht="12.75" hidden="false" customHeight="true" outlineLevel="0" collapsed="false">
      <c r="A1850" s="5" t="n">
        <v>97</v>
      </c>
      <c r="B1850" s="5" t="n">
        <v>132</v>
      </c>
      <c r="C1850" s="5" t="n">
        <v>58000</v>
      </c>
      <c r="D1850" s="5" t="n">
        <v>0.07</v>
      </c>
      <c r="E1850" s="5" t="n">
        <v>0.058</v>
      </c>
    </row>
    <row r="1851" customFormat="false" ht="12.75" hidden="false" customHeight="true" outlineLevel="0" collapsed="false">
      <c r="A1851" s="5" t="n">
        <v>97</v>
      </c>
      <c r="B1851" s="5" t="n">
        <v>133</v>
      </c>
      <c r="C1851" s="5" t="n">
        <v>193000</v>
      </c>
      <c r="D1851" s="5" t="n">
        <v>0.2</v>
      </c>
      <c r="E1851" s="5" t="n">
        <v>0.193</v>
      </c>
    </row>
    <row r="1852" customFormat="false" ht="12.75" hidden="false" customHeight="true" outlineLevel="0" collapsed="false">
      <c r="A1852" s="5" t="n">
        <v>97</v>
      </c>
      <c r="B1852" s="5" t="n">
        <v>134</v>
      </c>
      <c r="C1852" s="5" t="n">
        <v>480000</v>
      </c>
      <c r="D1852" s="5" t="n">
        <v>0.36</v>
      </c>
      <c r="E1852" s="5" t="n">
        <v>0.48</v>
      </c>
    </row>
    <row r="1853" customFormat="false" ht="12.75" hidden="false" customHeight="true" outlineLevel="0" collapsed="false">
      <c r="A1853" s="5" t="n">
        <v>97</v>
      </c>
      <c r="B1853" s="5" t="n">
        <v>135</v>
      </c>
      <c r="C1853" s="5" t="n">
        <v>950000</v>
      </c>
      <c r="D1853" s="5" t="n">
        <v>0.56</v>
      </c>
      <c r="E1853" s="5" t="n">
        <v>0.95</v>
      </c>
    </row>
    <row r="1854" customFormat="false" ht="12.75" hidden="false" customHeight="true" outlineLevel="0" collapsed="false">
      <c r="A1854" s="5" t="n">
        <v>97</v>
      </c>
      <c r="B1854" s="5" t="n">
        <v>136</v>
      </c>
      <c r="C1854" s="5" t="n">
        <v>1600000</v>
      </c>
      <c r="D1854" s="5" t="n">
        <v>0.7</v>
      </c>
      <c r="E1854" s="5" t="n">
        <v>1.6</v>
      </c>
    </row>
    <row r="1855" customFormat="false" ht="12.75" hidden="false" customHeight="true" outlineLevel="0" collapsed="false">
      <c r="A1855" s="5" t="n">
        <v>97</v>
      </c>
      <c r="B1855" s="5" t="n">
        <v>136.79</v>
      </c>
      <c r="C1855" s="5" t="n">
        <v>2170000</v>
      </c>
      <c r="D1855" s="5" t="n">
        <v>0.74</v>
      </c>
      <c r="E1855" s="5" t="n">
        <v>2.17</v>
      </c>
    </row>
    <row r="1856" customFormat="false" ht="12.75" hidden="false" customHeight="true" outlineLevel="0" collapsed="false">
      <c r="A1856" s="5" t="n">
        <v>97</v>
      </c>
      <c r="B1856" s="5" t="n">
        <v>140</v>
      </c>
      <c r="C1856" s="5" t="n">
        <v>6230000</v>
      </c>
      <c r="D1856" s="5" t="n">
        <v>1.6</v>
      </c>
      <c r="E1856" s="5" t="n">
        <v>6.23</v>
      </c>
    </row>
    <row r="1857" customFormat="false" ht="12.75" hidden="false" customHeight="true" outlineLevel="0" collapsed="false">
      <c r="A1857" s="5" t="n">
        <v>97</v>
      </c>
      <c r="B1857" s="5" t="n">
        <v>145</v>
      </c>
      <c r="C1857" s="5" t="n">
        <v>20870000</v>
      </c>
      <c r="D1857" s="5" t="n">
        <v>3.6</v>
      </c>
      <c r="E1857" s="5" t="n">
        <v>20.87</v>
      </c>
    </row>
    <row r="1858" customFormat="false" ht="12.75" hidden="false" customHeight="true" outlineLevel="0" collapsed="false">
      <c r="A1858" s="5" t="n">
        <v>97</v>
      </c>
      <c r="B1858" s="5" t="n">
        <v>150</v>
      </c>
      <c r="C1858" s="5" t="n">
        <v>48330000</v>
      </c>
      <c r="D1858" s="5" t="n">
        <v>6.7</v>
      </c>
      <c r="E1858" s="5" t="n">
        <v>48.33</v>
      </c>
    </row>
    <row r="1859" customFormat="false" ht="12.75" hidden="false" customHeight="true" outlineLevel="0" collapsed="false">
      <c r="A1859" s="5" t="n">
        <v>97</v>
      </c>
      <c r="B1859" s="5" t="n">
        <v>151.5</v>
      </c>
      <c r="C1859" s="5" t="n">
        <v>62310000</v>
      </c>
      <c r="D1859" s="5" t="n">
        <v>8.1</v>
      </c>
      <c r="E1859" s="5" t="n">
        <v>62.31</v>
      </c>
    </row>
    <row r="1860" customFormat="false" ht="12.75" hidden="false" customHeight="true" outlineLevel="0" collapsed="false">
      <c r="A1860" s="5" t="n">
        <v>97</v>
      </c>
      <c r="B1860" s="5" t="n">
        <v>152</v>
      </c>
      <c r="C1860" s="5" t="n">
        <v>63408000</v>
      </c>
      <c r="D1860" s="5" t="n">
        <v>8.7</v>
      </c>
      <c r="E1860" s="5" t="n">
        <v>63.408</v>
      </c>
    </row>
    <row r="1861" customFormat="false" ht="12.75" hidden="false" customHeight="true" outlineLevel="0" collapsed="false">
      <c r="A1861" s="5" t="n">
        <v>97</v>
      </c>
      <c r="B1861" s="5" t="n">
        <v>153</v>
      </c>
      <c r="C1861" s="5" t="n">
        <v>65408000</v>
      </c>
      <c r="D1861" s="5" t="n">
        <v>10.7</v>
      </c>
      <c r="E1861" s="5" t="n">
        <v>65.408</v>
      </c>
    </row>
    <row r="1862" customFormat="false" ht="12.75" hidden="false" customHeight="true" outlineLevel="0" collapsed="false">
      <c r="A1862" s="5" t="n">
        <v>99</v>
      </c>
      <c r="B1862" s="5" t="n">
        <v>235.49</v>
      </c>
      <c r="C1862" s="5" t="n">
        <v>0</v>
      </c>
      <c r="D1862" s="5" t="n">
        <v>0</v>
      </c>
      <c r="E1862" s="5" t="n">
        <v>0</v>
      </c>
    </row>
    <row r="1863" customFormat="false" ht="12.75" hidden="false" customHeight="true" outlineLevel="0" collapsed="false">
      <c r="A1863" s="5" t="n">
        <v>99</v>
      </c>
      <c r="B1863" s="5" t="n">
        <v>236</v>
      </c>
      <c r="C1863" s="5" t="n">
        <v>574</v>
      </c>
      <c r="D1863" s="5" t="n">
        <v>0</v>
      </c>
      <c r="E1863" s="5" t="n">
        <v>0.000574</v>
      </c>
    </row>
    <row r="1864" customFormat="false" ht="12.75" hidden="false" customHeight="true" outlineLevel="0" collapsed="false">
      <c r="A1864" s="5" t="n">
        <v>99</v>
      </c>
      <c r="B1864" s="5" t="n">
        <v>237</v>
      </c>
      <c r="C1864" s="5" t="n">
        <v>17223</v>
      </c>
      <c r="D1864" s="5" t="n">
        <v>0</v>
      </c>
      <c r="E1864" s="5" t="n">
        <v>0.017223</v>
      </c>
    </row>
    <row r="1865" customFormat="false" ht="12.75" hidden="false" customHeight="true" outlineLevel="0" collapsed="false">
      <c r="A1865" s="5" t="n">
        <v>99</v>
      </c>
      <c r="B1865" s="5" t="n">
        <v>238</v>
      </c>
      <c r="C1865" s="5" t="n">
        <v>83623</v>
      </c>
      <c r="D1865" s="5" t="n">
        <v>0</v>
      </c>
      <c r="E1865" s="5" t="n">
        <v>0.083623</v>
      </c>
    </row>
    <row r="1866" customFormat="false" ht="12.75" hidden="false" customHeight="true" outlineLevel="0" collapsed="false">
      <c r="A1866" s="5" t="n">
        <v>99</v>
      </c>
      <c r="B1866" s="5" t="n">
        <v>239</v>
      </c>
      <c r="C1866" s="5" t="n">
        <v>220010</v>
      </c>
      <c r="D1866" s="5" t="n">
        <v>0</v>
      </c>
      <c r="E1866" s="5" t="n">
        <v>0.22001</v>
      </c>
    </row>
    <row r="1867" customFormat="false" ht="12.75" hidden="false" customHeight="true" outlineLevel="0" collapsed="false">
      <c r="A1867" s="5" t="n">
        <v>99</v>
      </c>
      <c r="B1867" s="5" t="n">
        <v>240</v>
      </c>
      <c r="C1867" s="5" t="n">
        <v>443454</v>
      </c>
      <c r="D1867" s="5" t="n">
        <v>0</v>
      </c>
      <c r="E1867" s="5" t="n">
        <v>0.443454</v>
      </c>
    </row>
    <row r="1868" customFormat="false" ht="12.75" hidden="false" customHeight="true" outlineLevel="0" collapsed="false">
      <c r="A1868" s="5" t="n">
        <v>99</v>
      </c>
      <c r="B1868" s="5" t="n">
        <v>241</v>
      </c>
      <c r="C1868" s="5" t="n">
        <v>781943</v>
      </c>
      <c r="D1868" s="5" t="n">
        <v>0</v>
      </c>
      <c r="E1868" s="5" t="n">
        <v>0.781943</v>
      </c>
    </row>
    <row r="1869" customFormat="false" ht="12.75" hidden="false" customHeight="true" outlineLevel="0" collapsed="false">
      <c r="A1869" s="5" t="n">
        <v>99</v>
      </c>
      <c r="B1869" s="5" t="n">
        <v>242</v>
      </c>
      <c r="C1869" s="5" t="n">
        <v>1250905</v>
      </c>
      <c r="D1869" s="5" t="n">
        <v>1</v>
      </c>
      <c r="E1869" s="5" t="n">
        <v>1.250905</v>
      </c>
    </row>
    <row r="1870" customFormat="false" ht="12.75" hidden="false" customHeight="true" outlineLevel="0" collapsed="false">
      <c r="A1870" s="5" t="n">
        <v>99</v>
      </c>
      <c r="B1870" s="5" t="n">
        <v>243</v>
      </c>
      <c r="C1870" s="5" t="n">
        <v>1862350</v>
      </c>
      <c r="D1870" s="5" t="n">
        <v>1</v>
      </c>
      <c r="E1870" s="5" t="n">
        <v>1.86235</v>
      </c>
    </row>
    <row r="1871" customFormat="false" ht="12.75" hidden="false" customHeight="true" outlineLevel="0" collapsed="false">
      <c r="A1871" s="5" t="n">
        <v>99</v>
      </c>
      <c r="B1871" s="5" t="n">
        <v>243.79</v>
      </c>
      <c r="C1871" s="5" t="n">
        <v>2399047</v>
      </c>
      <c r="D1871" s="5" t="n">
        <v>1</v>
      </c>
      <c r="E1871" s="5" t="n">
        <v>2.399047</v>
      </c>
    </row>
    <row r="1872" customFormat="false" ht="12.75" hidden="false" customHeight="true" outlineLevel="0" collapsed="false">
      <c r="A1872" s="5" t="n">
        <v>99</v>
      </c>
      <c r="B1872" s="5" t="n">
        <v>245</v>
      </c>
      <c r="C1872" s="5" t="n">
        <v>3796943</v>
      </c>
      <c r="D1872" s="5" t="n">
        <v>1</v>
      </c>
      <c r="E1872" s="5" t="n">
        <v>3.796943</v>
      </c>
    </row>
    <row r="1873" customFormat="false" ht="12.75" hidden="false" customHeight="true" outlineLevel="0" collapsed="false">
      <c r="A1873" s="5" t="n">
        <v>99</v>
      </c>
      <c r="B1873" s="5" t="n">
        <v>250</v>
      </c>
      <c r="C1873" s="5" t="n">
        <v>17136943</v>
      </c>
      <c r="D1873" s="5" t="n">
        <v>3</v>
      </c>
      <c r="E1873" s="5" t="n">
        <v>17.136943</v>
      </c>
    </row>
    <row r="1874" customFormat="false" ht="12.75" hidden="false" customHeight="true" outlineLevel="0" collapsed="false">
      <c r="A1874" s="5" t="n">
        <v>99</v>
      </c>
      <c r="B1874" s="5" t="n">
        <v>254.5</v>
      </c>
      <c r="C1874" s="5" t="n">
        <v>40936943</v>
      </c>
      <c r="D1874" s="5" t="n">
        <v>6</v>
      </c>
      <c r="E1874" s="5" t="n">
        <v>40.936943</v>
      </c>
    </row>
    <row r="1875" customFormat="false" ht="12.75" hidden="false" customHeight="true" outlineLevel="0" collapsed="false">
      <c r="A1875" s="5" t="n">
        <v>99</v>
      </c>
      <c r="B1875" s="5" t="n">
        <v>255.5</v>
      </c>
      <c r="C1875" s="5" t="n">
        <v>48936943</v>
      </c>
      <c r="D1875" s="5" t="n">
        <v>7</v>
      </c>
      <c r="E1875" s="5" t="n">
        <v>48.936943</v>
      </c>
    </row>
    <row r="1876" customFormat="false" ht="12.75" hidden="false" customHeight="true" outlineLevel="0" collapsed="false">
      <c r="A1876" s="5" t="n">
        <v>99</v>
      </c>
      <c r="B1876" s="5" t="n">
        <v>256</v>
      </c>
      <c r="C1876" s="5" t="n">
        <v>57936943</v>
      </c>
      <c r="D1876" s="5" t="n">
        <v>8</v>
      </c>
      <c r="E1876" s="5" t="n">
        <v>57.936943</v>
      </c>
    </row>
    <row r="1877" customFormat="false" ht="12.75" hidden="false" customHeight="true" outlineLevel="0" collapsed="false">
      <c r="A1877" s="5" t="n">
        <v>99</v>
      </c>
      <c r="B1877" s="5" t="n">
        <v>257</v>
      </c>
      <c r="C1877" s="5" t="n">
        <v>61936943</v>
      </c>
      <c r="D1877" s="5" t="n">
        <v>9</v>
      </c>
      <c r="E1877" s="5" t="n">
        <v>61.936943</v>
      </c>
    </row>
    <row r="1878" customFormat="false" ht="12.75" hidden="false" customHeight="true" outlineLevel="0" collapsed="false">
      <c r="A1878" s="5" t="n">
        <v>102</v>
      </c>
      <c r="B1878" s="5" t="n">
        <v>88</v>
      </c>
      <c r="C1878" s="5" t="n">
        <v>0</v>
      </c>
      <c r="D1878" s="5" t="n">
        <v>0</v>
      </c>
      <c r="E1878" s="5" t="n">
        <v>0</v>
      </c>
    </row>
    <row r="1879" customFormat="false" ht="12.75" hidden="false" customHeight="true" outlineLevel="0" collapsed="false">
      <c r="A1879" s="5" t="n">
        <v>102</v>
      </c>
      <c r="B1879" s="5" t="n">
        <v>89</v>
      </c>
      <c r="C1879" s="5" t="n">
        <v>1400</v>
      </c>
      <c r="D1879" s="5" t="n">
        <v>0.0028</v>
      </c>
      <c r="E1879" s="5" t="n">
        <v>0.0014</v>
      </c>
    </row>
    <row r="1880" customFormat="false" ht="12.75" hidden="false" customHeight="true" outlineLevel="0" collapsed="false">
      <c r="A1880" s="5" t="n">
        <v>102</v>
      </c>
      <c r="B1880" s="5" t="n">
        <v>90</v>
      </c>
      <c r="C1880" s="5" t="n">
        <v>10000</v>
      </c>
      <c r="D1880" s="5" t="n">
        <v>0.02</v>
      </c>
      <c r="E1880" s="5" t="n">
        <v>0.01</v>
      </c>
    </row>
    <row r="1881" customFormat="false" ht="12.75" hidden="false" customHeight="true" outlineLevel="0" collapsed="false">
      <c r="A1881" s="5" t="n">
        <v>102</v>
      </c>
      <c r="B1881" s="5" t="n">
        <v>91</v>
      </c>
      <c r="C1881" s="5" t="n">
        <v>50000</v>
      </c>
      <c r="D1881" s="5" t="n">
        <v>0.06</v>
      </c>
      <c r="E1881" s="5" t="n">
        <v>0.05</v>
      </c>
    </row>
    <row r="1882" customFormat="false" ht="12.75" hidden="false" customHeight="true" outlineLevel="0" collapsed="false">
      <c r="A1882" s="5" t="n">
        <v>102</v>
      </c>
      <c r="B1882" s="5" t="n">
        <v>92</v>
      </c>
      <c r="C1882" s="5" t="n">
        <v>140000</v>
      </c>
      <c r="D1882" s="5" t="n">
        <v>0.1</v>
      </c>
      <c r="E1882" s="5" t="n">
        <v>0.14</v>
      </c>
    </row>
    <row r="1883" customFormat="false" ht="12.75" hidden="false" customHeight="true" outlineLevel="0" collapsed="false">
      <c r="A1883" s="5" t="n">
        <v>102</v>
      </c>
      <c r="B1883" s="5" t="n">
        <v>93</v>
      </c>
      <c r="C1883" s="5" t="n">
        <v>270000</v>
      </c>
      <c r="D1883" s="5" t="n">
        <v>0.14</v>
      </c>
      <c r="E1883" s="5" t="n">
        <v>0.27</v>
      </c>
    </row>
    <row r="1884" customFormat="false" ht="12.75" hidden="false" customHeight="true" outlineLevel="0" collapsed="false">
      <c r="A1884" s="5" t="n">
        <v>102</v>
      </c>
      <c r="B1884" s="5" t="n">
        <v>94</v>
      </c>
      <c r="C1884" s="5" t="n">
        <v>460000</v>
      </c>
      <c r="D1884" s="5" t="n">
        <v>0.22</v>
      </c>
      <c r="E1884" s="5" t="n">
        <v>0.46</v>
      </c>
    </row>
    <row r="1885" customFormat="false" ht="12.75" hidden="false" customHeight="true" outlineLevel="0" collapsed="false">
      <c r="A1885" s="5" t="n">
        <v>102</v>
      </c>
      <c r="B1885" s="5" t="n">
        <v>95</v>
      </c>
      <c r="C1885" s="5" t="n">
        <v>720000</v>
      </c>
      <c r="D1885" s="5" t="n">
        <v>0.3</v>
      </c>
      <c r="E1885" s="5" t="n">
        <v>0.72</v>
      </c>
    </row>
    <row r="1886" customFormat="false" ht="12.75" hidden="false" customHeight="true" outlineLevel="0" collapsed="false">
      <c r="A1886" s="5" t="n">
        <v>102</v>
      </c>
      <c r="B1886" s="5" t="n">
        <v>96</v>
      </c>
      <c r="C1886" s="5" t="n">
        <v>1060000</v>
      </c>
      <c r="D1886" s="5" t="n">
        <v>0.37</v>
      </c>
      <c r="E1886" s="5" t="n">
        <v>1.06</v>
      </c>
    </row>
    <row r="1887" customFormat="false" ht="12.75" hidden="false" customHeight="true" outlineLevel="0" collapsed="false">
      <c r="A1887" s="5" t="n">
        <v>102</v>
      </c>
      <c r="B1887" s="5" t="n">
        <v>96.5</v>
      </c>
      <c r="C1887" s="5" t="n">
        <v>1260000</v>
      </c>
      <c r="D1887" s="5" t="n">
        <v>0.4</v>
      </c>
      <c r="E1887" s="5" t="n">
        <v>1.26</v>
      </c>
    </row>
    <row r="1888" customFormat="false" ht="12.75" hidden="false" customHeight="true" outlineLevel="0" collapsed="false">
      <c r="A1888" s="5" t="n">
        <v>102</v>
      </c>
      <c r="B1888" s="5" t="n">
        <v>97</v>
      </c>
      <c r="C1888" s="5" t="n">
        <v>1470000</v>
      </c>
      <c r="D1888" s="5" t="n">
        <v>0.44</v>
      </c>
      <c r="E1888" s="5" t="n">
        <v>1.47</v>
      </c>
    </row>
    <row r="1889" customFormat="false" ht="12.75" hidden="false" customHeight="true" outlineLevel="0" collapsed="false">
      <c r="A1889" s="5" t="n">
        <v>102</v>
      </c>
      <c r="B1889" s="5" t="n">
        <v>98</v>
      </c>
      <c r="C1889" s="5" t="n">
        <v>1950000</v>
      </c>
      <c r="D1889" s="5" t="n">
        <v>0.51</v>
      </c>
      <c r="E1889" s="5" t="n">
        <v>1.95</v>
      </c>
    </row>
    <row r="1890" customFormat="false" ht="12.75" hidden="false" customHeight="true" outlineLevel="0" collapsed="false">
      <c r="A1890" s="5" t="n">
        <v>108</v>
      </c>
      <c r="B1890" s="5" t="n">
        <v>100</v>
      </c>
      <c r="C1890" s="5" t="n">
        <v>0</v>
      </c>
      <c r="D1890" s="5" t="n">
        <v>0</v>
      </c>
      <c r="E1890" s="5" t="n">
        <v>0</v>
      </c>
    </row>
    <row r="1891" customFormat="false" ht="12.75" hidden="false" customHeight="true" outlineLevel="0" collapsed="false">
      <c r="A1891" s="5" t="n">
        <v>108</v>
      </c>
      <c r="B1891" s="5" t="n">
        <v>101</v>
      </c>
      <c r="C1891" s="5" t="n">
        <v>0</v>
      </c>
      <c r="D1891" s="5" t="n">
        <v>0</v>
      </c>
      <c r="E1891" s="5" t="n">
        <v>0</v>
      </c>
    </row>
    <row r="1892" customFormat="false" ht="12.75" hidden="false" customHeight="true" outlineLevel="0" collapsed="false">
      <c r="A1892" s="5" t="n">
        <v>108</v>
      </c>
      <c r="B1892" s="5" t="n">
        <v>102</v>
      </c>
      <c r="C1892" s="5" t="n">
        <v>0</v>
      </c>
      <c r="D1892" s="5" t="n">
        <v>0</v>
      </c>
      <c r="E1892" s="5" t="n">
        <v>0</v>
      </c>
    </row>
    <row r="1893" customFormat="false" ht="12.75" hidden="false" customHeight="true" outlineLevel="0" collapsed="false">
      <c r="A1893" s="5" t="n">
        <v>108</v>
      </c>
      <c r="B1893" s="5" t="n">
        <v>103</v>
      </c>
      <c r="C1893" s="5" t="n">
        <v>50000</v>
      </c>
      <c r="D1893" s="5" t="n">
        <v>0.07</v>
      </c>
      <c r="E1893" s="5" t="n">
        <v>0.05</v>
      </c>
    </row>
    <row r="1894" customFormat="false" ht="12.75" hidden="false" customHeight="true" outlineLevel="0" collapsed="false">
      <c r="A1894" s="5" t="n">
        <v>108</v>
      </c>
      <c r="B1894" s="5" t="n">
        <v>104</v>
      </c>
      <c r="C1894" s="5" t="n">
        <v>150000</v>
      </c>
      <c r="D1894" s="5" t="n">
        <v>0.21</v>
      </c>
      <c r="E1894" s="5" t="n">
        <v>0.15</v>
      </c>
    </row>
    <row r="1895" customFormat="false" ht="12.75" hidden="false" customHeight="true" outlineLevel="0" collapsed="false">
      <c r="A1895" s="5" t="n">
        <v>108</v>
      </c>
      <c r="B1895" s="5" t="n">
        <v>105</v>
      </c>
      <c r="C1895" s="5" t="n">
        <v>500000</v>
      </c>
      <c r="D1895" s="5" t="n">
        <v>0.35</v>
      </c>
      <c r="E1895" s="5" t="n">
        <v>0.5</v>
      </c>
    </row>
    <row r="1896" customFormat="false" ht="12.75" hidden="false" customHeight="true" outlineLevel="0" collapsed="false">
      <c r="A1896" s="5" t="n">
        <v>108</v>
      </c>
      <c r="B1896" s="5" t="n">
        <v>106</v>
      </c>
      <c r="C1896" s="5" t="n">
        <v>850000</v>
      </c>
      <c r="D1896" s="5" t="n">
        <v>0.52</v>
      </c>
      <c r="E1896" s="5" t="n">
        <v>0.85</v>
      </c>
    </row>
    <row r="1897" customFormat="false" ht="12.75" hidden="false" customHeight="true" outlineLevel="0" collapsed="false">
      <c r="A1897" s="5" t="n">
        <v>108</v>
      </c>
      <c r="B1897" s="5" t="n">
        <v>107</v>
      </c>
      <c r="C1897" s="5" t="n">
        <v>1400000</v>
      </c>
      <c r="D1897" s="5" t="n">
        <v>0.7</v>
      </c>
      <c r="E1897" s="5" t="n">
        <v>1.4</v>
      </c>
    </row>
    <row r="1898" customFormat="false" ht="12.75" hidden="false" customHeight="true" outlineLevel="0" collapsed="false">
      <c r="A1898" s="5" t="n">
        <v>108</v>
      </c>
      <c r="B1898" s="5" t="n">
        <v>108</v>
      </c>
      <c r="C1898" s="5" t="n">
        <v>2250000</v>
      </c>
      <c r="D1898" s="5" t="n">
        <v>0.83</v>
      </c>
      <c r="E1898" s="5" t="n">
        <v>2.25</v>
      </c>
    </row>
    <row r="1899" customFormat="false" ht="12.75" hidden="false" customHeight="true" outlineLevel="0" collapsed="false">
      <c r="A1899" s="5" t="n">
        <v>108</v>
      </c>
      <c r="B1899" s="5" t="n">
        <v>109</v>
      </c>
      <c r="C1899" s="5" t="n">
        <v>3150000</v>
      </c>
      <c r="D1899" s="5" t="n">
        <v>0.97</v>
      </c>
      <c r="E1899" s="5" t="n">
        <v>3.15</v>
      </c>
    </row>
    <row r="1900" customFormat="false" ht="12.75" hidden="false" customHeight="true" outlineLevel="0" collapsed="false">
      <c r="A1900" s="5" t="n">
        <v>108</v>
      </c>
      <c r="B1900" s="5" t="n">
        <v>110</v>
      </c>
      <c r="C1900" s="5" t="n">
        <v>4200000</v>
      </c>
      <c r="D1900" s="5" t="n">
        <v>1.06</v>
      </c>
      <c r="E1900" s="5" t="n">
        <v>4.2</v>
      </c>
    </row>
    <row r="1901" customFormat="false" ht="12.75" hidden="false" customHeight="true" outlineLevel="0" collapsed="false">
      <c r="A1901" s="5" t="n">
        <v>108</v>
      </c>
      <c r="B1901" s="5" t="n">
        <v>111</v>
      </c>
      <c r="C1901" s="5" t="n">
        <v>5250000</v>
      </c>
      <c r="D1901" s="5" t="n">
        <v>1.15</v>
      </c>
      <c r="E1901" s="5" t="n">
        <v>5.25</v>
      </c>
    </row>
    <row r="1902" customFormat="false" ht="12.75" hidden="false" customHeight="true" outlineLevel="0" collapsed="false">
      <c r="A1902" s="5" t="n">
        <v>108</v>
      </c>
      <c r="B1902" s="5" t="n">
        <v>112</v>
      </c>
      <c r="C1902" s="5" t="n">
        <v>6500000</v>
      </c>
      <c r="D1902" s="5" t="n">
        <v>1.73</v>
      </c>
      <c r="E1902" s="5" t="n">
        <v>6.5</v>
      </c>
    </row>
    <row r="1903" customFormat="false" ht="12.75" hidden="false" customHeight="true" outlineLevel="0" collapsed="false">
      <c r="A1903" s="5" t="n">
        <v>108</v>
      </c>
      <c r="B1903" s="5" t="n">
        <v>113</v>
      </c>
      <c r="C1903" s="5" t="n">
        <v>9000000</v>
      </c>
      <c r="D1903" s="5" t="n">
        <v>2.31</v>
      </c>
      <c r="E1903" s="5" t="n">
        <v>9</v>
      </c>
    </row>
    <row r="1904" customFormat="false" ht="12.75" hidden="false" customHeight="true" outlineLevel="0" collapsed="false">
      <c r="A1904" s="5" t="n">
        <v>108</v>
      </c>
      <c r="B1904" s="5" t="n">
        <v>114</v>
      </c>
      <c r="C1904" s="5" t="n">
        <v>11130000</v>
      </c>
      <c r="D1904" s="5" t="n">
        <v>2.42</v>
      </c>
      <c r="E1904" s="5" t="n">
        <v>11.13</v>
      </c>
    </row>
    <row r="1905" customFormat="false" ht="12.75" hidden="false" customHeight="true" outlineLevel="0" collapsed="false">
      <c r="A1905" s="5" t="n">
        <v>108</v>
      </c>
      <c r="B1905" s="5" t="n">
        <v>115</v>
      </c>
      <c r="C1905" s="5" t="n">
        <v>13600000</v>
      </c>
      <c r="D1905" s="5" t="n">
        <v>2.53</v>
      </c>
      <c r="E1905" s="5" t="n">
        <v>13.6</v>
      </c>
    </row>
    <row r="1906" customFormat="false" ht="12.75" hidden="false" customHeight="true" outlineLevel="0" collapsed="false">
      <c r="A1906" s="5" t="n">
        <v>110</v>
      </c>
      <c r="B1906" s="5" t="n">
        <v>38.98</v>
      </c>
      <c r="C1906" s="5" t="n">
        <v>0</v>
      </c>
      <c r="D1906" s="5" t="n">
        <v>0</v>
      </c>
      <c r="E1906" s="5" t="n">
        <v>0</v>
      </c>
    </row>
    <row r="1907" customFormat="false" ht="12.75" hidden="false" customHeight="true" outlineLevel="0" collapsed="false">
      <c r="A1907" s="5" t="n">
        <v>110</v>
      </c>
      <c r="B1907" s="5" t="n">
        <v>39</v>
      </c>
      <c r="C1907" s="5" t="n">
        <v>0</v>
      </c>
      <c r="D1907" s="5" t="n">
        <v>0</v>
      </c>
      <c r="E1907" s="5" t="n">
        <v>0</v>
      </c>
    </row>
    <row r="1908" customFormat="false" ht="12.75" hidden="false" customHeight="true" outlineLevel="0" collapsed="false">
      <c r="A1908" s="5" t="n">
        <v>110</v>
      </c>
      <c r="B1908" s="5" t="n">
        <v>40</v>
      </c>
      <c r="C1908" s="5" t="n">
        <v>400</v>
      </c>
      <c r="D1908" s="5" t="n">
        <v>0.002</v>
      </c>
      <c r="E1908" s="5" t="n">
        <v>0.0004</v>
      </c>
    </row>
    <row r="1909" customFormat="false" ht="12.75" hidden="false" customHeight="true" outlineLevel="0" collapsed="false">
      <c r="A1909" s="5" t="n">
        <v>110</v>
      </c>
      <c r="B1909" s="5" t="n">
        <v>41</v>
      </c>
      <c r="C1909" s="5" t="n">
        <v>9000</v>
      </c>
      <c r="D1909" s="5" t="n">
        <v>0.017</v>
      </c>
      <c r="E1909" s="5" t="n">
        <v>0.009</v>
      </c>
    </row>
    <row r="1910" customFormat="false" ht="12.75" hidden="false" customHeight="true" outlineLevel="0" collapsed="false">
      <c r="A1910" s="5" t="n">
        <v>110</v>
      </c>
      <c r="B1910" s="5" t="n">
        <v>42</v>
      </c>
      <c r="C1910" s="5" t="n">
        <v>35000</v>
      </c>
      <c r="D1910" s="5" t="n">
        <v>0.03</v>
      </c>
      <c r="E1910" s="5" t="n">
        <v>0.035</v>
      </c>
    </row>
    <row r="1911" customFormat="false" ht="12.75" hidden="false" customHeight="true" outlineLevel="0" collapsed="false">
      <c r="A1911" s="5" t="n">
        <v>110</v>
      </c>
      <c r="B1911" s="5" t="n">
        <v>43</v>
      </c>
      <c r="C1911" s="5" t="n">
        <v>78000</v>
      </c>
      <c r="D1911" s="5" t="n">
        <v>0.05</v>
      </c>
      <c r="E1911" s="5" t="n">
        <v>0.078</v>
      </c>
    </row>
    <row r="1912" customFormat="false" ht="12.75" hidden="false" customHeight="true" outlineLevel="0" collapsed="false">
      <c r="A1912" s="5" t="n">
        <v>110</v>
      </c>
      <c r="B1912" s="5" t="n">
        <v>44</v>
      </c>
      <c r="C1912" s="5" t="n">
        <v>138000</v>
      </c>
      <c r="D1912" s="5" t="n">
        <v>0.07</v>
      </c>
      <c r="E1912" s="5" t="n">
        <v>0.138</v>
      </c>
    </row>
    <row r="1913" customFormat="false" ht="12.75" hidden="false" customHeight="true" outlineLevel="0" collapsed="false">
      <c r="A1913" s="5" t="n">
        <v>110</v>
      </c>
      <c r="B1913" s="5" t="n">
        <v>45</v>
      </c>
      <c r="C1913" s="5" t="n">
        <v>218000</v>
      </c>
      <c r="D1913" s="5" t="n">
        <v>0.09</v>
      </c>
      <c r="E1913" s="5" t="n">
        <v>0.218</v>
      </c>
    </row>
    <row r="1914" customFormat="false" ht="12.75" hidden="false" customHeight="true" outlineLevel="0" collapsed="false">
      <c r="A1914" s="5" t="n">
        <v>110</v>
      </c>
      <c r="B1914" s="5" t="n">
        <v>46</v>
      </c>
      <c r="C1914" s="5" t="n">
        <v>320000</v>
      </c>
      <c r="D1914" s="5" t="n">
        <v>0.11</v>
      </c>
      <c r="E1914" s="5" t="n">
        <v>0.32</v>
      </c>
    </row>
    <row r="1915" customFormat="false" ht="12.75" hidden="false" customHeight="true" outlineLevel="0" collapsed="false">
      <c r="A1915" s="5" t="n">
        <v>110</v>
      </c>
      <c r="B1915" s="5" t="n">
        <v>47</v>
      </c>
      <c r="C1915" s="5" t="n">
        <v>440000</v>
      </c>
      <c r="D1915" s="5" t="n">
        <v>0.13</v>
      </c>
      <c r="E1915" s="5" t="n">
        <v>0.44</v>
      </c>
    </row>
    <row r="1916" customFormat="false" ht="12.75" hidden="false" customHeight="true" outlineLevel="0" collapsed="false">
      <c r="A1916" s="5" t="n">
        <v>110</v>
      </c>
      <c r="B1916" s="5" t="n">
        <v>48</v>
      </c>
      <c r="C1916" s="5" t="n">
        <v>582000</v>
      </c>
      <c r="D1916" s="5" t="n">
        <v>0.15</v>
      </c>
      <c r="E1916" s="5" t="n">
        <v>0.582</v>
      </c>
    </row>
    <row r="1917" customFormat="false" ht="12.75" hidden="false" customHeight="true" outlineLevel="0" collapsed="false">
      <c r="A1917" s="5" t="n">
        <v>110</v>
      </c>
      <c r="B1917" s="5" t="n">
        <v>49</v>
      </c>
      <c r="C1917" s="5" t="n">
        <v>738000</v>
      </c>
      <c r="D1917" s="5" t="n">
        <v>0.16</v>
      </c>
      <c r="E1917" s="5" t="n">
        <v>0.738</v>
      </c>
    </row>
    <row r="1918" customFormat="false" ht="12.75" hidden="false" customHeight="true" outlineLevel="0" collapsed="false">
      <c r="A1918" s="5" t="n">
        <v>110</v>
      </c>
      <c r="B1918" s="5" t="n">
        <v>49.29</v>
      </c>
      <c r="C1918" s="5" t="n">
        <v>784000</v>
      </c>
      <c r="D1918" s="5" t="n">
        <v>0.17</v>
      </c>
      <c r="E1918" s="5" t="n">
        <v>0.784</v>
      </c>
    </row>
    <row r="1919" customFormat="false" ht="12.75" hidden="false" customHeight="true" outlineLevel="0" collapsed="false">
      <c r="A1919" s="5" t="n">
        <v>110</v>
      </c>
      <c r="B1919" s="5" t="n">
        <v>50</v>
      </c>
      <c r="C1919" s="5" t="n">
        <v>920000</v>
      </c>
      <c r="D1919" s="5" t="n">
        <v>0.2</v>
      </c>
      <c r="E1919" s="5" t="n">
        <v>0.92</v>
      </c>
    </row>
    <row r="1920" customFormat="false" ht="12.75" hidden="false" customHeight="true" outlineLevel="0" collapsed="false">
      <c r="A1920" s="5" t="n">
        <v>110</v>
      </c>
      <c r="B1920" s="5" t="n">
        <v>51</v>
      </c>
      <c r="C1920" s="5" t="n">
        <v>1120000</v>
      </c>
      <c r="D1920" s="5" t="n">
        <v>0.23</v>
      </c>
      <c r="E1920" s="5" t="n">
        <v>1.12</v>
      </c>
    </row>
    <row r="1921" customFormat="false" ht="12.75" hidden="false" customHeight="true" outlineLevel="0" collapsed="false">
      <c r="A1921" s="5" t="n">
        <v>110</v>
      </c>
      <c r="B1921" s="5" t="n">
        <v>52</v>
      </c>
      <c r="C1921" s="5" t="n">
        <v>1360000</v>
      </c>
      <c r="D1921" s="5" t="n">
        <v>0.29</v>
      </c>
      <c r="E1921" s="5" t="n">
        <v>1.36</v>
      </c>
    </row>
    <row r="1922" customFormat="false" ht="12.75" hidden="false" customHeight="true" outlineLevel="0" collapsed="false">
      <c r="A1922" s="5" t="n">
        <v>110</v>
      </c>
      <c r="B1922" s="5" t="n">
        <v>53</v>
      </c>
      <c r="C1922" s="5" t="n">
        <v>1600000</v>
      </c>
      <c r="D1922" s="5" t="n">
        <v>0.31</v>
      </c>
      <c r="E1922" s="5" t="n">
        <v>1.6</v>
      </c>
    </row>
    <row r="1923" customFormat="false" ht="12.75" hidden="false" customHeight="true" outlineLevel="0" collapsed="false">
      <c r="A1923" s="5" t="n">
        <v>110</v>
      </c>
      <c r="B1923" s="5" t="n">
        <v>54</v>
      </c>
      <c r="C1923" s="5" t="n">
        <v>1860000</v>
      </c>
      <c r="D1923" s="5" t="n">
        <v>0.34</v>
      </c>
      <c r="E1923" s="5" t="n">
        <v>1.86</v>
      </c>
    </row>
    <row r="1924" customFormat="false" ht="12.75" hidden="false" customHeight="true" outlineLevel="0" collapsed="false">
      <c r="A1924" s="5" t="n">
        <v>110</v>
      </c>
      <c r="B1924" s="5" t="n">
        <v>55</v>
      </c>
      <c r="C1924" s="5" t="n">
        <v>2120000</v>
      </c>
      <c r="D1924" s="5" t="n">
        <v>0.41</v>
      </c>
      <c r="E1924" s="5" t="n">
        <v>2.12</v>
      </c>
    </row>
    <row r="1925" customFormat="false" ht="12.75" hidden="false" customHeight="true" outlineLevel="0" collapsed="false">
      <c r="A1925" s="5" t="n">
        <v>111</v>
      </c>
      <c r="B1925" s="5" t="n">
        <v>86</v>
      </c>
      <c r="C1925" s="5" t="n">
        <v>0</v>
      </c>
      <c r="D1925" s="5" t="n">
        <v>0.0084</v>
      </c>
      <c r="E1925" s="5" t="n">
        <v>0</v>
      </c>
    </row>
    <row r="1926" customFormat="false" ht="12.75" hidden="false" customHeight="true" outlineLevel="0" collapsed="false">
      <c r="A1926" s="5" t="n">
        <v>111</v>
      </c>
      <c r="B1926" s="5" t="n">
        <v>87</v>
      </c>
      <c r="C1926" s="5" t="n">
        <v>13400</v>
      </c>
      <c r="D1926" s="5" t="n">
        <v>0.018</v>
      </c>
      <c r="E1926" s="5" t="n">
        <v>0.0134</v>
      </c>
    </row>
    <row r="1927" customFormat="false" ht="12.75" hidden="false" customHeight="true" outlineLevel="0" collapsed="false">
      <c r="A1927" s="5" t="n">
        <v>111</v>
      </c>
      <c r="B1927" s="5" t="n">
        <v>88</v>
      </c>
      <c r="C1927" s="5" t="n">
        <v>45000</v>
      </c>
      <c r="D1927" s="5" t="n">
        <v>0.05</v>
      </c>
      <c r="E1927" s="5" t="n">
        <v>0.045</v>
      </c>
    </row>
    <row r="1928" customFormat="false" ht="12.75" hidden="false" customHeight="true" outlineLevel="0" collapsed="false">
      <c r="A1928" s="5" t="n">
        <v>111</v>
      </c>
      <c r="B1928" s="5" t="n">
        <v>89</v>
      </c>
      <c r="C1928" s="5" t="n">
        <v>105000</v>
      </c>
      <c r="D1928" s="5" t="n">
        <v>0.08</v>
      </c>
      <c r="E1928" s="5" t="n">
        <v>0.105</v>
      </c>
    </row>
    <row r="1929" customFormat="false" ht="12.75" hidden="false" customHeight="true" outlineLevel="0" collapsed="false">
      <c r="A1929" s="5" t="n">
        <v>111</v>
      </c>
      <c r="B1929" s="5" t="n">
        <v>90</v>
      </c>
      <c r="C1929" s="5" t="n">
        <v>194000</v>
      </c>
      <c r="D1929" s="5" t="n">
        <v>0.1</v>
      </c>
      <c r="E1929" s="5" t="n">
        <v>0.194</v>
      </c>
    </row>
    <row r="1930" customFormat="false" ht="12.75" hidden="false" customHeight="true" outlineLevel="0" collapsed="false">
      <c r="A1930" s="5" t="n">
        <v>111</v>
      </c>
      <c r="B1930" s="5" t="n">
        <v>91</v>
      </c>
      <c r="C1930" s="5" t="n">
        <v>310000</v>
      </c>
      <c r="D1930" s="5" t="n">
        <v>0.13</v>
      </c>
      <c r="E1930" s="5" t="n">
        <v>0.31</v>
      </c>
    </row>
    <row r="1931" customFormat="false" ht="12.75" hidden="false" customHeight="true" outlineLevel="0" collapsed="false">
      <c r="A1931" s="5" t="n">
        <v>111</v>
      </c>
      <c r="B1931" s="5" t="n">
        <v>92</v>
      </c>
      <c r="C1931" s="5" t="n">
        <v>460000</v>
      </c>
      <c r="D1931" s="5" t="n">
        <v>0.16</v>
      </c>
      <c r="E1931" s="5" t="n">
        <v>0.46</v>
      </c>
    </row>
    <row r="1932" customFormat="false" ht="12.75" hidden="false" customHeight="true" outlineLevel="0" collapsed="false">
      <c r="A1932" s="5" t="n">
        <v>111</v>
      </c>
      <c r="B1932" s="5" t="n">
        <v>93</v>
      </c>
      <c r="C1932" s="5" t="n">
        <v>637000</v>
      </c>
      <c r="D1932" s="5" t="n">
        <v>0.2</v>
      </c>
      <c r="E1932" s="5" t="n">
        <v>0.637</v>
      </c>
    </row>
    <row r="1933" customFormat="false" ht="12.75" hidden="false" customHeight="true" outlineLevel="0" collapsed="false">
      <c r="A1933" s="5" t="n">
        <v>111</v>
      </c>
      <c r="B1933" s="5" t="n">
        <v>94</v>
      </c>
      <c r="C1933" s="5" t="n">
        <v>865000</v>
      </c>
      <c r="D1933" s="5" t="n">
        <v>0.25</v>
      </c>
      <c r="E1933" s="5" t="n">
        <v>0.865</v>
      </c>
    </row>
    <row r="1934" customFormat="false" ht="12.75" hidden="false" customHeight="true" outlineLevel="0" collapsed="false">
      <c r="A1934" s="5" t="n">
        <v>111</v>
      </c>
      <c r="B1934" s="5" t="n">
        <v>95</v>
      </c>
      <c r="C1934" s="5" t="n">
        <v>1152000</v>
      </c>
      <c r="D1934" s="5" t="n">
        <v>0.32</v>
      </c>
      <c r="E1934" s="5" t="n">
        <v>1.152</v>
      </c>
    </row>
    <row r="1935" customFormat="false" ht="12.75" hidden="false" customHeight="true" outlineLevel="0" collapsed="false">
      <c r="A1935" s="5" t="n">
        <v>111</v>
      </c>
      <c r="B1935" s="5" t="n">
        <v>96</v>
      </c>
      <c r="C1935" s="5" t="n">
        <v>1510000</v>
      </c>
      <c r="D1935" s="5" t="n">
        <v>0.4</v>
      </c>
      <c r="E1935" s="5" t="n">
        <v>1.51</v>
      </c>
    </row>
    <row r="1936" customFormat="false" ht="12.75" hidden="false" customHeight="true" outlineLevel="0" collapsed="false">
      <c r="A1936" s="5" t="n">
        <v>111</v>
      </c>
      <c r="B1936" s="5" t="n">
        <v>97</v>
      </c>
      <c r="C1936" s="5" t="n">
        <v>1947000</v>
      </c>
      <c r="D1936" s="5" t="n">
        <v>0.48</v>
      </c>
      <c r="E1936" s="5" t="n">
        <v>1.947</v>
      </c>
    </row>
    <row r="1937" customFormat="false" ht="12.75" hidden="false" customHeight="true" outlineLevel="0" collapsed="false">
      <c r="A1937" s="5" t="n">
        <v>111</v>
      </c>
      <c r="B1937" s="5" t="n">
        <v>98</v>
      </c>
      <c r="C1937" s="5" t="n">
        <v>2475000</v>
      </c>
      <c r="D1937" s="5" t="n">
        <v>0.58</v>
      </c>
      <c r="E1937" s="5" t="n">
        <v>2.475</v>
      </c>
    </row>
    <row r="1938" customFormat="false" ht="12.75" hidden="false" customHeight="true" outlineLevel="0" collapsed="false">
      <c r="A1938" s="5" t="n">
        <v>111</v>
      </c>
      <c r="B1938" s="5" t="n">
        <v>98.94</v>
      </c>
      <c r="C1938" s="5" t="n">
        <v>3040000</v>
      </c>
      <c r="D1938" s="5" t="n">
        <v>0.63</v>
      </c>
      <c r="E1938" s="5" t="n">
        <v>3.04</v>
      </c>
    </row>
    <row r="1939" customFormat="false" ht="12.75" hidden="false" customHeight="true" outlineLevel="0" collapsed="false">
      <c r="A1939" s="5" t="n">
        <v>111</v>
      </c>
      <c r="B1939" s="5" t="n">
        <v>100</v>
      </c>
      <c r="C1939" s="5" t="n">
        <v>3510000</v>
      </c>
      <c r="D1939" s="5" t="n">
        <v>0.74</v>
      </c>
      <c r="E1939" s="5" t="n">
        <v>3.51</v>
      </c>
    </row>
    <row r="1940" customFormat="false" ht="12.75" hidden="false" customHeight="true" outlineLevel="0" collapsed="false">
      <c r="A1940" s="5" t="n">
        <v>112</v>
      </c>
      <c r="B1940" s="5" t="n">
        <v>90.01</v>
      </c>
      <c r="C1940" s="5" t="n">
        <v>0</v>
      </c>
      <c r="D1940" s="5" t="n">
        <v>0</v>
      </c>
      <c r="E1940" s="5" t="n">
        <v>0</v>
      </c>
    </row>
    <row r="1941" customFormat="false" ht="12.75" hidden="false" customHeight="true" outlineLevel="0" collapsed="false">
      <c r="A1941" s="5" t="n">
        <v>112</v>
      </c>
      <c r="B1941" s="5" t="n">
        <v>91</v>
      </c>
      <c r="C1941" s="5" t="n">
        <v>500</v>
      </c>
      <c r="D1941" s="5" t="n">
        <v>0.002</v>
      </c>
      <c r="E1941" s="5" t="n">
        <v>0.0005</v>
      </c>
    </row>
    <row r="1942" customFormat="false" ht="12.75" hidden="false" customHeight="true" outlineLevel="0" collapsed="false">
      <c r="A1942" s="5" t="n">
        <v>112</v>
      </c>
      <c r="B1942" s="5" t="n">
        <v>92</v>
      </c>
      <c r="C1942" s="5" t="n">
        <v>9000</v>
      </c>
      <c r="D1942" s="5" t="n">
        <v>0.2</v>
      </c>
      <c r="E1942" s="5" t="n">
        <v>0.009</v>
      </c>
    </row>
    <row r="1943" customFormat="false" ht="12.75" hidden="false" customHeight="true" outlineLevel="0" collapsed="false">
      <c r="A1943" s="5" t="n">
        <v>112</v>
      </c>
      <c r="B1943" s="5" t="n">
        <v>93</v>
      </c>
      <c r="C1943" s="5" t="n">
        <v>50000</v>
      </c>
      <c r="D1943" s="5" t="n">
        <v>0.07</v>
      </c>
      <c r="E1943" s="5" t="n">
        <v>0.05</v>
      </c>
    </row>
    <row r="1944" customFormat="false" ht="12.75" hidden="false" customHeight="true" outlineLevel="0" collapsed="false">
      <c r="A1944" s="5" t="n">
        <v>112</v>
      </c>
      <c r="B1944" s="5" t="n">
        <v>94</v>
      </c>
      <c r="C1944" s="5" t="n">
        <v>210000</v>
      </c>
      <c r="D1944" s="5" t="n">
        <v>0.29</v>
      </c>
      <c r="E1944" s="5" t="n">
        <v>0.21</v>
      </c>
    </row>
    <row r="1945" customFormat="false" ht="12.75" hidden="false" customHeight="true" outlineLevel="0" collapsed="false">
      <c r="A1945" s="5" t="n">
        <v>112</v>
      </c>
      <c r="B1945" s="5" t="n">
        <v>95</v>
      </c>
      <c r="C1945" s="5" t="n">
        <v>694000</v>
      </c>
      <c r="D1945" s="5" t="n">
        <v>0.67</v>
      </c>
      <c r="E1945" s="5" t="n">
        <v>0.694</v>
      </c>
    </row>
    <row r="1946" customFormat="false" ht="12.75" hidden="false" customHeight="true" outlineLevel="0" collapsed="false">
      <c r="A1946" s="5" t="n">
        <v>112</v>
      </c>
      <c r="B1946" s="5" t="n">
        <v>96</v>
      </c>
      <c r="C1946" s="5" t="n">
        <v>1604000</v>
      </c>
      <c r="D1946" s="5" t="n">
        <v>1.17</v>
      </c>
      <c r="E1946" s="5" t="n">
        <v>1.604</v>
      </c>
    </row>
    <row r="1947" customFormat="false" ht="12.75" hidden="false" customHeight="true" outlineLevel="0" collapsed="false">
      <c r="A1947" s="5" t="n">
        <v>112</v>
      </c>
      <c r="B1947" s="5" t="n">
        <v>97</v>
      </c>
      <c r="C1947" s="5" t="n">
        <v>3127000</v>
      </c>
      <c r="D1947" s="5" t="n">
        <v>1.88</v>
      </c>
      <c r="E1947" s="5" t="n">
        <v>3.127</v>
      </c>
    </row>
    <row r="1948" customFormat="false" ht="12.75" hidden="false" customHeight="true" outlineLevel="0" collapsed="false">
      <c r="A1948" s="5" t="n">
        <v>112</v>
      </c>
      <c r="B1948" s="5" t="n">
        <v>98</v>
      </c>
      <c r="C1948" s="5" t="n">
        <v>5403000</v>
      </c>
      <c r="D1948" s="5" t="n">
        <v>2.67</v>
      </c>
      <c r="E1948" s="5" t="n">
        <v>5.403</v>
      </c>
    </row>
    <row r="1949" customFormat="false" ht="12.75" hidden="false" customHeight="true" outlineLevel="0" collapsed="false">
      <c r="A1949" s="5" t="n">
        <v>112</v>
      </c>
      <c r="B1949" s="5" t="n">
        <v>99</v>
      </c>
      <c r="C1949" s="5" t="n">
        <v>8517000</v>
      </c>
      <c r="D1949" s="5" t="n">
        <v>3.58</v>
      </c>
      <c r="E1949" s="5" t="n">
        <v>8.517</v>
      </c>
    </row>
    <row r="1950" customFormat="false" ht="12.75" hidden="false" customHeight="true" outlineLevel="0" collapsed="false">
      <c r="A1950" s="5" t="n">
        <v>112</v>
      </c>
      <c r="B1950" s="5" t="n">
        <v>100</v>
      </c>
      <c r="C1950" s="5" t="n">
        <v>12465000</v>
      </c>
      <c r="D1950" s="5" t="n">
        <v>4.15</v>
      </c>
      <c r="E1950" s="5" t="n">
        <v>12.465</v>
      </c>
    </row>
    <row r="1951" customFormat="false" ht="12.75" hidden="false" customHeight="true" outlineLevel="0" collapsed="false">
      <c r="A1951" s="5" t="n">
        <v>112</v>
      </c>
      <c r="B1951" s="5" t="n">
        <v>100.79</v>
      </c>
      <c r="C1951" s="5" t="n">
        <v>15800000</v>
      </c>
      <c r="D1951" s="5" t="n">
        <v>4.36</v>
      </c>
      <c r="E1951" s="5" t="n">
        <v>15.8</v>
      </c>
    </row>
    <row r="1952" customFormat="false" ht="12.75" hidden="false" customHeight="true" outlineLevel="0" collapsed="false">
      <c r="A1952" s="5" t="n">
        <v>112</v>
      </c>
      <c r="B1952" s="5" t="n">
        <v>101</v>
      </c>
      <c r="C1952" s="5" t="n">
        <v>19090000</v>
      </c>
      <c r="D1952" s="5" t="n">
        <v>5.7</v>
      </c>
      <c r="E1952" s="5" t="n">
        <v>19.09</v>
      </c>
    </row>
    <row r="1953" customFormat="false" ht="12.75" hidden="false" customHeight="true" outlineLevel="0" collapsed="false">
      <c r="A1953" s="5" t="n">
        <v>112</v>
      </c>
      <c r="B1953" s="5" t="n">
        <v>102</v>
      </c>
      <c r="C1953" s="5" t="n">
        <v>25260000</v>
      </c>
      <c r="D1953" s="5" t="n">
        <v>6.6</v>
      </c>
      <c r="E1953" s="5" t="n">
        <v>25.26</v>
      </c>
    </row>
    <row r="1954" customFormat="false" ht="12.75" hidden="false" customHeight="true" outlineLevel="0" collapsed="false">
      <c r="A1954" s="5" t="n">
        <v>112</v>
      </c>
      <c r="B1954" s="5" t="n">
        <v>103</v>
      </c>
      <c r="C1954" s="5" t="n">
        <v>32390000</v>
      </c>
      <c r="D1954" s="5" t="n">
        <v>7.7</v>
      </c>
      <c r="E1954" s="5" t="n">
        <v>32.39</v>
      </c>
    </row>
    <row r="1955" customFormat="false" ht="12.75" hidden="false" customHeight="true" outlineLevel="0" collapsed="false">
      <c r="A1955" s="5" t="n">
        <v>112</v>
      </c>
      <c r="B1955" s="5" t="n">
        <v>104</v>
      </c>
      <c r="C1955" s="5" t="n">
        <v>40820000</v>
      </c>
      <c r="D1955" s="5" t="n">
        <v>9.2</v>
      </c>
      <c r="E1955" s="5" t="n">
        <v>40.82</v>
      </c>
    </row>
    <row r="1956" customFormat="false" ht="12.75" hidden="false" customHeight="true" outlineLevel="0" collapsed="false">
      <c r="A1956" s="5" t="n">
        <v>112</v>
      </c>
      <c r="B1956" s="5" t="n">
        <v>105</v>
      </c>
      <c r="C1956" s="5" t="n">
        <v>50600000</v>
      </c>
      <c r="D1956" s="5" t="n">
        <v>10.4</v>
      </c>
      <c r="E1956" s="5" t="n">
        <v>50.6</v>
      </c>
    </row>
    <row r="1957" customFormat="false" ht="12.75" hidden="false" customHeight="true" outlineLevel="0" collapsed="false">
      <c r="A1957" s="5" t="n">
        <v>112</v>
      </c>
      <c r="B1957" s="5" t="n">
        <v>105.5</v>
      </c>
      <c r="C1957" s="5" t="n">
        <v>56050000</v>
      </c>
      <c r="D1957" s="5" t="n">
        <v>10.9</v>
      </c>
      <c r="E1957" s="5" t="n">
        <v>56.05</v>
      </c>
    </row>
    <row r="1958" customFormat="false" ht="12.75" hidden="false" customHeight="true" outlineLevel="0" collapsed="false">
      <c r="A1958" s="5" t="n">
        <v>112</v>
      </c>
      <c r="B1958" s="5" t="n">
        <v>106</v>
      </c>
      <c r="C1958" s="5" t="n">
        <v>61500000</v>
      </c>
      <c r="D1958" s="5" t="n">
        <v>11.4</v>
      </c>
      <c r="E1958" s="5" t="n">
        <v>61.5</v>
      </c>
    </row>
    <row r="1959" customFormat="false" ht="12.75" hidden="false" customHeight="true" outlineLevel="0" collapsed="false">
      <c r="A1959" s="5" t="n">
        <v>112</v>
      </c>
      <c r="B1959" s="5" t="n">
        <v>107</v>
      </c>
      <c r="C1959" s="5" t="n">
        <v>73490000</v>
      </c>
      <c r="D1959" s="5" t="n">
        <v>12.6</v>
      </c>
      <c r="E1959" s="5" t="n">
        <v>73.49</v>
      </c>
    </row>
    <row r="1960" customFormat="false" ht="12.75" hidden="false" customHeight="true" outlineLevel="0" collapsed="false">
      <c r="A1960" s="5" t="n">
        <v>112</v>
      </c>
      <c r="B1960" s="5" t="n">
        <v>108</v>
      </c>
      <c r="C1960" s="5" t="n">
        <v>86690000</v>
      </c>
      <c r="D1960" s="5" t="n">
        <v>13.8</v>
      </c>
      <c r="E1960" s="5" t="n">
        <v>86.69</v>
      </c>
    </row>
    <row r="1961" customFormat="false" ht="12.75" hidden="false" customHeight="true" outlineLevel="0" collapsed="false">
      <c r="A1961" s="5" t="n">
        <v>112</v>
      </c>
      <c r="B1961" s="5" t="n">
        <v>109</v>
      </c>
      <c r="C1961" s="5" t="n">
        <v>101140000</v>
      </c>
      <c r="D1961" s="5" t="n">
        <v>15</v>
      </c>
      <c r="E1961" s="5" t="n">
        <v>101.14</v>
      </c>
    </row>
    <row r="1962" customFormat="false" ht="12.75" hidden="false" customHeight="true" outlineLevel="0" collapsed="false">
      <c r="A1962" s="5" t="n">
        <v>116</v>
      </c>
      <c r="B1962" s="5" t="n">
        <v>94</v>
      </c>
      <c r="C1962" s="5" t="n">
        <v>4750</v>
      </c>
      <c r="D1962" s="5" t="n">
        <v>0.01</v>
      </c>
      <c r="E1962" s="5" t="n">
        <v>0.00475</v>
      </c>
    </row>
    <row r="1963" customFormat="false" ht="12.75" hidden="false" customHeight="true" outlineLevel="0" collapsed="false">
      <c r="A1963" s="5" t="n">
        <v>116</v>
      </c>
      <c r="B1963" s="5" t="n">
        <v>95</v>
      </c>
      <c r="C1963" s="5" t="n">
        <v>20000</v>
      </c>
      <c r="D1963" s="5" t="n">
        <v>0.02</v>
      </c>
      <c r="E1963" s="5" t="n">
        <v>0.02</v>
      </c>
    </row>
    <row r="1964" customFormat="false" ht="12.75" hidden="false" customHeight="true" outlineLevel="0" collapsed="false">
      <c r="A1964" s="5" t="n">
        <v>116</v>
      </c>
      <c r="B1964" s="5" t="n">
        <v>96</v>
      </c>
      <c r="C1964" s="5" t="n">
        <v>70000</v>
      </c>
      <c r="D1964" s="5" t="n">
        <v>0.07</v>
      </c>
      <c r="E1964" s="5" t="n">
        <v>0.07</v>
      </c>
    </row>
    <row r="1965" customFormat="false" ht="12.75" hidden="false" customHeight="true" outlineLevel="0" collapsed="false">
      <c r="A1965" s="5" t="n">
        <v>116</v>
      </c>
      <c r="B1965" s="5" t="n">
        <v>97</v>
      </c>
      <c r="C1965" s="5" t="n">
        <v>220000</v>
      </c>
      <c r="D1965" s="5" t="n">
        <v>0.23</v>
      </c>
      <c r="E1965" s="5" t="n">
        <v>0.22</v>
      </c>
    </row>
    <row r="1966" customFormat="false" ht="12.75" hidden="false" customHeight="true" outlineLevel="0" collapsed="false">
      <c r="A1966" s="5" t="n">
        <v>116</v>
      </c>
      <c r="B1966" s="5" t="n">
        <v>98</v>
      </c>
      <c r="C1966" s="5" t="n">
        <v>550000</v>
      </c>
      <c r="D1966" s="5" t="n">
        <v>0.41</v>
      </c>
      <c r="E1966" s="5" t="n">
        <v>0.55</v>
      </c>
    </row>
    <row r="1967" customFormat="false" ht="12.75" hidden="false" customHeight="true" outlineLevel="0" collapsed="false">
      <c r="A1967" s="5" t="n">
        <v>116</v>
      </c>
      <c r="B1967" s="5" t="n">
        <v>99</v>
      </c>
      <c r="C1967" s="5" t="n">
        <v>1070000</v>
      </c>
      <c r="D1967" s="5" t="n">
        <v>0.63</v>
      </c>
      <c r="E1967" s="5" t="n">
        <v>1.07</v>
      </c>
    </row>
    <row r="1968" customFormat="false" ht="12.75" hidden="false" customHeight="true" outlineLevel="0" collapsed="false">
      <c r="A1968" s="5" t="n">
        <v>116</v>
      </c>
      <c r="B1968" s="5" t="n">
        <v>100</v>
      </c>
      <c r="C1968" s="5" t="n">
        <v>1880000</v>
      </c>
      <c r="D1968" s="5" t="n">
        <v>0.97</v>
      </c>
      <c r="E1968" s="5" t="n">
        <v>1.88</v>
      </c>
    </row>
    <row r="1969" customFormat="false" ht="12.75" hidden="false" customHeight="true" outlineLevel="0" collapsed="false">
      <c r="A1969" s="5" t="n">
        <v>117</v>
      </c>
      <c r="B1969" s="5" t="n">
        <v>1.15</v>
      </c>
      <c r="C1969" s="5" t="n">
        <v>0</v>
      </c>
      <c r="D1969" s="5" t="n">
        <v>0</v>
      </c>
      <c r="E1969" s="5" t="n">
        <v>0</v>
      </c>
    </row>
    <row r="1970" customFormat="false" ht="12.75" hidden="false" customHeight="true" outlineLevel="0" collapsed="false">
      <c r="A1970" s="5" t="n">
        <v>117</v>
      </c>
      <c r="B1970" s="5" t="n">
        <v>12</v>
      </c>
      <c r="C1970" s="5" t="n">
        <v>3</v>
      </c>
      <c r="D1970" s="5" t="n">
        <v>0</v>
      </c>
      <c r="E1970" s="5" t="n">
        <v>3E-006</v>
      </c>
    </row>
    <row r="1971" customFormat="false" ht="12.75" hidden="false" customHeight="true" outlineLevel="0" collapsed="false">
      <c r="A1971" s="5" t="n">
        <v>117</v>
      </c>
      <c r="B1971" s="5" t="n">
        <v>13</v>
      </c>
      <c r="C1971" s="5" t="n">
        <v>32</v>
      </c>
      <c r="D1971" s="5" t="n">
        <v>0.0001</v>
      </c>
      <c r="E1971" s="5" t="n">
        <v>3.2E-005</v>
      </c>
    </row>
    <row r="1972" customFormat="false" ht="12.75" hidden="false" customHeight="true" outlineLevel="0" collapsed="false">
      <c r="A1972" s="5" t="n">
        <v>117</v>
      </c>
      <c r="B1972" s="5" t="n">
        <v>14</v>
      </c>
      <c r="C1972" s="5" t="n">
        <v>129</v>
      </c>
      <c r="D1972" s="5" t="n">
        <v>0.0001</v>
      </c>
      <c r="E1972" s="5" t="n">
        <v>0.000129</v>
      </c>
    </row>
    <row r="1973" customFormat="false" ht="12.75" hidden="false" customHeight="true" outlineLevel="0" collapsed="false">
      <c r="A1973" s="5" t="n">
        <v>117</v>
      </c>
      <c r="B1973" s="5" t="n">
        <v>15</v>
      </c>
      <c r="C1973" s="5" t="n">
        <v>389</v>
      </c>
      <c r="D1973" s="5" t="n">
        <v>0.0005</v>
      </c>
      <c r="E1973" s="5" t="n">
        <v>0.000389</v>
      </c>
    </row>
    <row r="1974" customFormat="false" ht="12.75" hidden="false" customHeight="true" outlineLevel="0" collapsed="false">
      <c r="A1974" s="5" t="n">
        <v>117</v>
      </c>
      <c r="B1974" s="5" t="n">
        <v>16</v>
      </c>
      <c r="C1974" s="5" t="n">
        <v>1628</v>
      </c>
      <c r="D1974" s="5" t="n">
        <v>0.0023</v>
      </c>
      <c r="E1974" s="5" t="n">
        <v>0.001628</v>
      </c>
    </row>
    <row r="1975" customFormat="false" ht="12.75" hidden="false" customHeight="true" outlineLevel="0" collapsed="false">
      <c r="A1975" s="5" t="n">
        <v>117</v>
      </c>
      <c r="B1975" s="5" t="n">
        <v>17</v>
      </c>
      <c r="C1975" s="5" t="n">
        <v>5760</v>
      </c>
      <c r="D1975" s="5" t="n">
        <v>0.0064</v>
      </c>
      <c r="E1975" s="5" t="n">
        <v>0.00576</v>
      </c>
    </row>
    <row r="1976" customFormat="false" ht="12.75" hidden="false" customHeight="true" outlineLevel="0" collapsed="false">
      <c r="A1976" s="5" t="n">
        <v>117</v>
      </c>
      <c r="B1976" s="5" t="n">
        <v>18</v>
      </c>
      <c r="C1976" s="5" t="n">
        <v>14926</v>
      </c>
      <c r="D1976" s="5" t="n">
        <v>0.0129</v>
      </c>
      <c r="E1976" s="5" t="n">
        <v>0.014926</v>
      </c>
    </row>
    <row r="1977" customFormat="false" ht="12.75" hidden="false" customHeight="true" outlineLevel="0" collapsed="false">
      <c r="A1977" s="5" t="n">
        <v>117</v>
      </c>
      <c r="B1977" s="5" t="n">
        <v>19</v>
      </c>
      <c r="C1977" s="5" t="n">
        <v>33129</v>
      </c>
      <c r="D1977" s="5" t="n">
        <v>0.0231</v>
      </c>
      <c r="E1977" s="5" t="n">
        <v>0.033129</v>
      </c>
    </row>
    <row r="1978" customFormat="false" ht="12.75" hidden="false" customHeight="true" outlineLevel="0" collapsed="false">
      <c r="A1978" s="5" t="n">
        <v>117</v>
      </c>
      <c r="B1978" s="5" t="n">
        <v>20</v>
      </c>
      <c r="C1978" s="5" t="n">
        <v>62003</v>
      </c>
      <c r="D1978" s="5" t="n">
        <v>0.0348</v>
      </c>
      <c r="E1978" s="5" t="n">
        <v>0.062003</v>
      </c>
    </row>
    <row r="1979" customFormat="false" ht="12.75" hidden="false" customHeight="true" outlineLevel="0" collapsed="false">
      <c r="A1979" s="5" t="n">
        <v>117</v>
      </c>
      <c r="B1979" s="5" t="n">
        <v>21</v>
      </c>
      <c r="C1979" s="5" t="n">
        <v>103321</v>
      </c>
      <c r="D1979" s="5" t="n">
        <v>0.0482</v>
      </c>
      <c r="E1979" s="5" t="n">
        <v>0.103321</v>
      </c>
    </row>
    <row r="1980" customFormat="false" ht="12.75" hidden="false" customHeight="true" outlineLevel="0" collapsed="false">
      <c r="A1980" s="5" t="n">
        <v>117</v>
      </c>
      <c r="B1980" s="5" t="n">
        <v>22</v>
      </c>
      <c r="C1980" s="5" t="n">
        <v>160097</v>
      </c>
      <c r="D1980" s="5" t="n">
        <v>0.0661</v>
      </c>
      <c r="E1980" s="5" t="n">
        <v>0.160097</v>
      </c>
    </row>
    <row r="1981" customFormat="false" ht="12.75" hidden="false" customHeight="true" outlineLevel="0" collapsed="false">
      <c r="A1981" s="5" t="n">
        <v>117</v>
      </c>
      <c r="B1981" s="5" t="n">
        <v>23</v>
      </c>
      <c r="C1981" s="5" t="n">
        <v>237113</v>
      </c>
      <c r="D1981" s="5" t="n">
        <v>0.0888</v>
      </c>
      <c r="E1981" s="5" t="n">
        <v>0.237113</v>
      </c>
    </row>
    <row r="1982" customFormat="false" ht="12.75" hidden="false" customHeight="true" outlineLevel="0" collapsed="false">
      <c r="A1982" s="5" t="n">
        <v>117</v>
      </c>
      <c r="B1982" s="5" t="n">
        <v>24</v>
      </c>
      <c r="C1982" s="5" t="n">
        <v>339876</v>
      </c>
      <c r="D1982" s="5" t="n">
        <v>0.1182</v>
      </c>
      <c r="E1982" s="5" t="n">
        <v>0.339876</v>
      </c>
    </row>
    <row r="1983" customFormat="false" ht="12.75" hidden="false" customHeight="true" outlineLevel="0" collapsed="false">
      <c r="A1983" s="5" t="n">
        <v>117</v>
      </c>
      <c r="B1983" s="5" t="n">
        <v>25</v>
      </c>
      <c r="C1983" s="5" t="n">
        <v>478162</v>
      </c>
      <c r="D1983" s="5" t="n">
        <v>0.1633</v>
      </c>
      <c r="E1983" s="5" t="n">
        <v>0.478162</v>
      </c>
    </row>
    <row r="1984" customFormat="false" ht="12.75" hidden="false" customHeight="true" outlineLevel="0" collapsed="false">
      <c r="A1984" s="5" t="n">
        <v>117</v>
      </c>
      <c r="B1984" s="5" t="n">
        <v>26</v>
      </c>
      <c r="C1984" s="5" t="n">
        <v>669410</v>
      </c>
      <c r="D1984" s="5" t="n">
        <v>0.2189</v>
      </c>
      <c r="E1984" s="5" t="n">
        <v>0.66941</v>
      </c>
    </row>
    <row r="1985" customFormat="false" ht="12.75" hidden="false" customHeight="true" outlineLevel="0" collapsed="false">
      <c r="A1985" s="5" t="n">
        <v>117</v>
      </c>
      <c r="B1985" s="5" t="n">
        <v>27</v>
      </c>
      <c r="C1985" s="5" t="n">
        <v>931724</v>
      </c>
      <c r="D1985" s="5" t="n">
        <v>0.3159</v>
      </c>
      <c r="E1985" s="5" t="n">
        <v>0.931724</v>
      </c>
    </row>
    <row r="1986" customFormat="false" ht="12.75" hidden="false" customHeight="true" outlineLevel="0" collapsed="false">
      <c r="A1986" s="5" t="n">
        <v>117</v>
      </c>
      <c r="B1986" s="5" t="n">
        <v>28</v>
      </c>
      <c r="C1986" s="5" t="n">
        <v>1333482</v>
      </c>
      <c r="D1986" s="5" t="n">
        <v>0.4913</v>
      </c>
      <c r="E1986" s="5" t="n">
        <v>1.333482</v>
      </c>
    </row>
    <row r="1987" customFormat="false" ht="12.75" hidden="false" customHeight="true" outlineLevel="0" collapsed="false">
      <c r="A1987" s="5" t="n">
        <v>117</v>
      </c>
      <c r="B1987" s="5" t="n">
        <v>29</v>
      </c>
      <c r="C1987" s="5" t="n">
        <v>1932820</v>
      </c>
      <c r="D1987" s="5" t="n">
        <v>0.7151</v>
      </c>
      <c r="E1987" s="5" t="n">
        <v>1.93282</v>
      </c>
    </row>
    <row r="1988" customFormat="false" ht="12.75" hidden="false" customHeight="true" outlineLevel="0" collapsed="false">
      <c r="A1988" s="5" t="n">
        <v>117</v>
      </c>
      <c r="B1988" s="5" t="n">
        <v>30</v>
      </c>
      <c r="C1988" s="5" t="n">
        <v>2754688</v>
      </c>
      <c r="D1988" s="5" t="n">
        <v>0.9298</v>
      </c>
      <c r="E1988" s="5" t="n">
        <v>2.754688</v>
      </c>
    </row>
    <row r="1989" customFormat="false" ht="12.75" hidden="false" customHeight="true" outlineLevel="0" collapsed="false">
      <c r="A1989" s="5" t="n">
        <v>117</v>
      </c>
      <c r="B1989" s="5" t="n">
        <v>31</v>
      </c>
      <c r="C1989" s="5" t="n">
        <v>3799359</v>
      </c>
      <c r="D1989" s="5" t="n">
        <v>1.164</v>
      </c>
      <c r="E1989" s="5" t="n">
        <v>3.799359</v>
      </c>
    </row>
    <row r="1990" customFormat="false" ht="12.75" hidden="false" customHeight="true" outlineLevel="0" collapsed="false">
      <c r="A1990" s="5" t="n">
        <v>117</v>
      </c>
      <c r="B1990" s="5" t="n">
        <v>32</v>
      </c>
      <c r="C1990" s="5" t="n">
        <v>5089013</v>
      </c>
      <c r="D1990" s="5" t="n">
        <v>1.4139</v>
      </c>
      <c r="E1990" s="5" t="n">
        <v>5.089013</v>
      </c>
    </row>
    <row r="1991" customFormat="false" ht="12.75" hidden="false" customHeight="true" outlineLevel="0" collapsed="false">
      <c r="A1991" s="5" t="n">
        <v>117</v>
      </c>
      <c r="B1991" s="5" t="n">
        <v>33</v>
      </c>
      <c r="C1991" s="5" t="n">
        <v>6635647</v>
      </c>
      <c r="D1991" s="5" t="n">
        <v>1.6861</v>
      </c>
      <c r="E1991" s="5" t="n">
        <v>6.635647</v>
      </c>
    </row>
    <row r="1992" customFormat="false" ht="12.75" hidden="false" customHeight="true" outlineLevel="0" collapsed="false">
      <c r="A1992" s="5" t="n">
        <v>117</v>
      </c>
      <c r="B1992" s="5" t="n">
        <v>34</v>
      </c>
      <c r="C1992" s="5" t="n">
        <v>8472293</v>
      </c>
      <c r="D1992" s="5" t="n">
        <v>1.9902</v>
      </c>
      <c r="E1992" s="5" t="n">
        <v>8.472293</v>
      </c>
    </row>
    <row r="1993" customFormat="false" ht="12.75" hidden="false" customHeight="true" outlineLevel="0" collapsed="false">
      <c r="A1993" s="5" t="n">
        <v>117</v>
      </c>
      <c r="B1993" s="5" t="n">
        <v>35</v>
      </c>
      <c r="C1993" s="5" t="n">
        <v>10632745</v>
      </c>
      <c r="D1993" s="5" t="n">
        <v>2.3295</v>
      </c>
      <c r="E1993" s="5" t="n">
        <v>10.632745</v>
      </c>
    </row>
    <row r="1994" customFormat="false" ht="12.75" hidden="false" customHeight="true" outlineLevel="0" collapsed="false">
      <c r="A1994" s="5" t="n">
        <v>117</v>
      </c>
      <c r="B1994" s="5" t="n">
        <v>36</v>
      </c>
      <c r="C1994" s="5" t="n">
        <v>13115323</v>
      </c>
      <c r="D1994" s="5" t="n">
        <v>2.6361</v>
      </c>
      <c r="E1994" s="5" t="n">
        <v>13.115323</v>
      </c>
    </row>
    <row r="1995" customFormat="false" ht="12.75" hidden="false" customHeight="true" outlineLevel="0" collapsed="false">
      <c r="A1995" s="5" t="n">
        <v>117</v>
      </c>
      <c r="B1995" s="5" t="n">
        <v>36.07</v>
      </c>
      <c r="C1995" s="5" t="n">
        <v>13300611</v>
      </c>
      <c r="D1995" s="5" t="n">
        <v>2.664</v>
      </c>
      <c r="E1995" s="5" t="n">
        <v>13.300611</v>
      </c>
    </row>
    <row r="1996" customFormat="false" ht="12.75" hidden="false" customHeight="true" outlineLevel="0" collapsed="false">
      <c r="A1996" s="5" t="n">
        <v>117</v>
      </c>
      <c r="B1996" s="5" t="n">
        <v>37</v>
      </c>
      <c r="C1996" s="5" t="n">
        <v>15746512</v>
      </c>
      <c r="D1996" s="5" t="n">
        <v>2.97088</v>
      </c>
      <c r="E1996" s="5" t="n">
        <v>15.746512</v>
      </c>
    </row>
    <row r="1997" customFormat="false" ht="12.75" hidden="false" customHeight="true" outlineLevel="0" collapsed="false">
      <c r="A1997" s="5" t="n">
        <v>117</v>
      </c>
      <c r="B1997" s="5" t="n">
        <v>38</v>
      </c>
      <c r="C1997" s="5" t="n">
        <v>18746512</v>
      </c>
      <c r="D1997" s="5" t="n">
        <v>3.36088</v>
      </c>
      <c r="E1997" s="5" t="n">
        <v>18.746512</v>
      </c>
    </row>
    <row r="1998" customFormat="false" ht="12.75" hidden="false" customHeight="true" outlineLevel="0" collapsed="false">
      <c r="A1998" s="5" t="n">
        <v>117</v>
      </c>
      <c r="B1998" s="5" t="n">
        <v>39</v>
      </c>
      <c r="C1998" s="5" t="n">
        <v>22156512</v>
      </c>
      <c r="D1998" s="5" t="n">
        <v>3.79088</v>
      </c>
      <c r="E1998" s="5" t="n">
        <v>22.156512</v>
      </c>
    </row>
    <row r="1999" customFormat="false" ht="12.75" hidden="false" customHeight="true" outlineLevel="0" collapsed="false">
      <c r="A1999" s="5" t="n">
        <v>117</v>
      </c>
      <c r="B1999" s="5" t="n">
        <v>40</v>
      </c>
      <c r="C1999" s="5" t="n">
        <v>25966512</v>
      </c>
      <c r="D1999" s="5" t="n">
        <v>4.25088</v>
      </c>
      <c r="E1999" s="5" t="n">
        <v>25.966512</v>
      </c>
    </row>
    <row r="2000" customFormat="false" ht="12.75" hidden="false" customHeight="true" outlineLevel="0" collapsed="false">
      <c r="A2000" s="5" t="n">
        <v>117</v>
      </c>
      <c r="B2000" s="5" t="n">
        <v>41</v>
      </c>
      <c r="C2000" s="5" t="n">
        <v>30246512</v>
      </c>
      <c r="D2000" s="5" t="n">
        <v>4.51088</v>
      </c>
      <c r="E2000" s="5" t="n">
        <v>30.246512</v>
      </c>
    </row>
    <row r="2001" customFormat="false" ht="12.75" hidden="false" customHeight="true" outlineLevel="0" collapsed="false">
      <c r="A2001" s="5" t="n">
        <v>117</v>
      </c>
      <c r="B2001" s="5" t="n">
        <v>41.42</v>
      </c>
      <c r="C2001" s="5" t="n">
        <v>31388912</v>
      </c>
      <c r="D2001" s="5" t="n">
        <v>4.57088</v>
      </c>
      <c r="E2001" s="5" t="n">
        <v>31.388912</v>
      </c>
    </row>
    <row r="2002" customFormat="false" ht="12.75" hidden="false" customHeight="true" outlineLevel="0" collapsed="false">
      <c r="A2002" s="5" t="n">
        <v>117</v>
      </c>
      <c r="B2002" s="5" t="n">
        <v>42</v>
      </c>
      <c r="C2002" s="5" t="n">
        <v>32966512</v>
      </c>
      <c r="D2002" s="5" t="n">
        <v>4.65088</v>
      </c>
      <c r="E2002" s="5" t="n">
        <v>32.966512</v>
      </c>
    </row>
    <row r="2003" customFormat="false" ht="12.75" hidden="false" customHeight="true" outlineLevel="0" collapsed="false">
      <c r="A2003" s="5" t="n">
        <v>117</v>
      </c>
      <c r="B2003" s="5" t="n">
        <v>43</v>
      </c>
      <c r="C2003" s="5" t="n">
        <v>36776512</v>
      </c>
      <c r="D2003" s="5" t="n">
        <v>5.03088</v>
      </c>
      <c r="E2003" s="5" t="n">
        <v>36.776512</v>
      </c>
    </row>
    <row r="2004" customFormat="false" ht="12.75" hidden="false" customHeight="true" outlineLevel="0" collapsed="false">
      <c r="A2004" s="5" t="n">
        <v>117</v>
      </c>
      <c r="B2004" s="5" t="n">
        <v>44</v>
      </c>
      <c r="C2004" s="5" t="n">
        <v>42106512</v>
      </c>
      <c r="D2004" s="5" t="n">
        <v>5.42088</v>
      </c>
      <c r="E2004" s="5" t="n">
        <v>42.106512</v>
      </c>
    </row>
    <row r="2005" customFormat="false" ht="12.75" hidden="false" customHeight="true" outlineLevel="0" collapsed="false">
      <c r="A2005" s="5" t="n">
        <v>117</v>
      </c>
      <c r="B2005" s="5" t="n">
        <v>45</v>
      </c>
      <c r="C2005" s="5" t="n">
        <v>47916512</v>
      </c>
      <c r="D2005" s="5" t="n">
        <v>5.82088</v>
      </c>
      <c r="E2005" s="5" t="n">
        <v>47.916512</v>
      </c>
    </row>
    <row r="2006" customFormat="false" ht="12.75" hidden="false" customHeight="true" outlineLevel="0" collapsed="false">
      <c r="A2006" s="5" t="n">
        <v>117</v>
      </c>
      <c r="B2006" s="5" t="n">
        <v>46</v>
      </c>
      <c r="C2006" s="5" t="n">
        <v>54226512</v>
      </c>
      <c r="D2006" s="5" t="n">
        <v>6.21088</v>
      </c>
      <c r="E2006" s="5" t="n">
        <v>54.226512</v>
      </c>
    </row>
    <row r="2007" customFormat="false" ht="12.75" hidden="false" customHeight="true" outlineLevel="0" collapsed="false">
      <c r="A2007" s="5" t="n">
        <v>118</v>
      </c>
      <c r="B2007" s="5" t="n">
        <v>85</v>
      </c>
      <c r="C2007" s="5" t="n">
        <v>0</v>
      </c>
      <c r="D2007" s="5" t="n">
        <v>0</v>
      </c>
      <c r="E2007" s="5" t="n">
        <v>0</v>
      </c>
    </row>
    <row r="2008" customFormat="false" ht="12.75" hidden="false" customHeight="true" outlineLevel="0" collapsed="false">
      <c r="A2008" s="5" t="n">
        <v>118</v>
      </c>
      <c r="B2008" s="5" t="n">
        <v>86</v>
      </c>
      <c r="C2008" s="5" t="n">
        <v>6400</v>
      </c>
      <c r="D2008" s="5" t="n">
        <v>0</v>
      </c>
      <c r="E2008" s="5" t="n">
        <v>0.0064</v>
      </c>
    </row>
    <row r="2009" customFormat="false" ht="12.75" hidden="false" customHeight="true" outlineLevel="0" collapsed="false">
      <c r="A2009" s="5" t="n">
        <v>118</v>
      </c>
      <c r="B2009" s="5" t="n">
        <v>87</v>
      </c>
      <c r="C2009" s="5" t="n">
        <v>10000</v>
      </c>
      <c r="D2009" s="5" t="n">
        <v>0.01</v>
      </c>
      <c r="E2009" s="5" t="n">
        <v>0.01</v>
      </c>
    </row>
    <row r="2010" customFormat="false" ht="12.75" hidden="false" customHeight="true" outlineLevel="0" collapsed="false">
      <c r="A2010" s="5" t="n">
        <v>118</v>
      </c>
      <c r="B2010" s="5" t="n">
        <v>88</v>
      </c>
      <c r="C2010" s="5" t="n">
        <v>30000</v>
      </c>
      <c r="D2010" s="5" t="n">
        <v>0.02</v>
      </c>
      <c r="E2010" s="5" t="n">
        <v>0.03</v>
      </c>
    </row>
    <row r="2011" customFormat="false" ht="12.75" hidden="false" customHeight="true" outlineLevel="0" collapsed="false">
      <c r="A2011" s="5" t="n">
        <v>118</v>
      </c>
      <c r="B2011" s="5" t="n">
        <v>89</v>
      </c>
      <c r="C2011" s="5" t="n">
        <v>60000</v>
      </c>
      <c r="D2011" s="5" t="n">
        <v>0.03</v>
      </c>
      <c r="E2011" s="5" t="n">
        <v>0.06</v>
      </c>
    </row>
    <row r="2012" customFormat="false" ht="12.75" hidden="false" customHeight="true" outlineLevel="0" collapsed="false">
      <c r="A2012" s="5" t="n">
        <v>118</v>
      </c>
      <c r="B2012" s="5" t="n">
        <v>90</v>
      </c>
      <c r="C2012" s="5" t="n">
        <v>100000</v>
      </c>
      <c r="D2012" s="5" t="n">
        <v>0.03</v>
      </c>
      <c r="E2012" s="5" t="n">
        <v>0.1</v>
      </c>
    </row>
    <row r="2013" customFormat="false" ht="12.75" hidden="false" customHeight="true" outlineLevel="0" collapsed="false">
      <c r="A2013" s="5" t="n">
        <v>118</v>
      </c>
      <c r="B2013" s="5" t="n">
        <v>91</v>
      </c>
      <c r="C2013" s="5" t="n">
        <v>140000</v>
      </c>
      <c r="D2013" s="5" t="n">
        <v>0.04</v>
      </c>
      <c r="E2013" s="5" t="n">
        <v>0.14</v>
      </c>
    </row>
    <row r="2014" customFormat="false" ht="12.75" hidden="false" customHeight="true" outlineLevel="0" collapsed="false">
      <c r="A2014" s="5" t="n">
        <v>118</v>
      </c>
      <c r="B2014" s="5" t="n">
        <v>92</v>
      </c>
      <c r="C2014" s="5" t="n">
        <v>220000</v>
      </c>
      <c r="D2014" s="5" t="n">
        <v>0.1</v>
      </c>
      <c r="E2014" s="5" t="n">
        <v>0.22</v>
      </c>
    </row>
    <row r="2015" customFormat="false" ht="12.75" hidden="false" customHeight="true" outlineLevel="0" collapsed="false">
      <c r="A2015" s="5" t="n">
        <v>118</v>
      </c>
      <c r="B2015" s="5" t="n">
        <v>93</v>
      </c>
      <c r="C2015" s="5" t="n">
        <v>350000</v>
      </c>
      <c r="D2015" s="5" t="n">
        <v>0.14</v>
      </c>
      <c r="E2015" s="5" t="n">
        <v>0.35</v>
      </c>
    </row>
    <row r="2016" customFormat="false" ht="12.75" hidden="false" customHeight="true" outlineLevel="0" collapsed="false">
      <c r="A2016" s="5" t="n">
        <v>118</v>
      </c>
      <c r="B2016" s="5" t="n">
        <v>94</v>
      </c>
      <c r="C2016" s="5" t="n">
        <v>530000</v>
      </c>
      <c r="D2016" s="5" t="n">
        <v>0.18</v>
      </c>
      <c r="E2016" s="5" t="n">
        <v>0.53</v>
      </c>
    </row>
    <row r="2017" customFormat="false" ht="12.75" hidden="false" customHeight="true" outlineLevel="0" collapsed="false">
      <c r="A2017" s="5" t="n">
        <v>118</v>
      </c>
      <c r="B2017" s="5" t="n">
        <v>95</v>
      </c>
      <c r="C2017" s="5" t="n">
        <v>750000</v>
      </c>
      <c r="D2017" s="5" t="n">
        <v>0.24</v>
      </c>
      <c r="E2017" s="5" t="n">
        <v>0.75</v>
      </c>
    </row>
    <row r="2018" customFormat="false" ht="12.75" hidden="false" customHeight="true" outlineLevel="0" collapsed="false">
      <c r="A2018" s="5" t="n">
        <v>118</v>
      </c>
      <c r="B2018" s="5" t="n">
        <v>96</v>
      </c>
      <c r="C2018" s="5" t="n">
        <v>1020000</v>
      </c>
      <c r="D2018" s="5" t="n">
        <v>0.3</v>
      </c>
      <c r="E2018" s="5" t="n">
        <v>1.02</v>
      </c>
    </row>
    <row r="2019" customFormat="false" ht="12.75" hidden="false" customHeight="true" outlineLevel="0" collapsed="false">
      <c r="A2019" s="5" t="n">
        <v>118</v>
      </c>
      <c r="B2019" s="5" t="n">
        <v>97</v>
      </c>
      <c r="C2019" s="5" t="n">
        <v>1300000</v>
      </c>
      <c r="D2019" s="5" t="n">
        <v>0.42</v>
      </c>
      <c r="E2019" s="5" t="n">
        <v>1.3</v>
      </c>
    </row>
    <row r="2020" customFormat="false" ht="12.75" hidden="false" customHeight="true" outlineLevel="0" collapsed="false">
      <c r="A2020" s="5" t="n">
        <v>118</v>
      </c>
      <c r="B2020" s="5" t="n">
        <v>98</v>
      </c>
      <c r="C2020" s="5" t="n">
        <v>1850000</v>
      </c>
      <c r="D2020" s="5" t="n">
        <v>0.47</v>
      </c>
      <c r="E2020" s="5" t="n">
        <v>1.85</v>
      </c>
    </row>
    <row r="2021" customFormat="false" ht="12.75" hidden="false" customHeight="true" outlineLevel="0" collapsed="false">
      <c r="A2021" s="5" t="n">
        <v>118</v>
      </c>
      <c r="B2021" s="5" t="n">
        <v>99</v>
      </c>
      <c r="C2021" s="5" t="n">
        <v>2350000</v>
      </c>
      <c r="D2021" s="5" t="n">
        <v>0.53</v>
      </c>
      <c r="E2021" s="5" t="n">
        <v>2.35</v>
      </c>
    </row>
    <row r="2022" customFormat="false" ht="12.75" hidden="false" customHeight="true" outlineLevel="0" collapsed="false">
      <c r="A2022" s="5" t="n">
        <v>118</v>
      </c>
      <c r="B2022" s="5" t="n">
        <v>100</v>
      </c>
      <c r="C2022" s="5" t="n">
        <v>2900000</v>
      </c>
      <c r="D2022" s="5" t="n">
        <v>0.55</v>
      </c>
      <c r="E2022" s="5" t="n">
        <v>2.9</v>
      </c>
    </row>
    <row r="2023" customFormat="false" ht="12.75" hidden="false" customHeight="true" outlineLevel="0" collapsed="false">
      <c r="A2023" s="5" t="n">
        <v>118</v>
      </c>
      <c r="B2023" s="5" t="n">
        <v>101</v>
      </c>
      <c r="C2023" s="5" t="n">
        <v>3620000</v>
      </c>
      <c r="D2023" s="5" t="n">
        <v>0.56</v>
      </c>
      <c r="E2023" s="5" t="n">
        <v>3.62</v>
      </c>
    </row>
    <row r="2024" customFormat="false" ht="12.75" hidden="false" customHeight="true" outlineLevel="0" collapsed="false">
      <c r="A2024" s="5" t="n">
        <v>119</v>
      </c>
      <c r="B2024" s="5" t="n">
        <v>212.49</v>
      </c>
      <c r="C2024" s="5" t="n">
        <v>0</v>
      </c>
      <c r="D2024" s="5" t="n">
        <v>0</v>
      </c>
      <c r="E2024" s="5" t="n">
        <v>0</v>
      </c>
    </row>
    <row r="2025" customFormat="false" ht="12.75" hidden="false" customHeight="true" outlineLevel="0" collapsed="false">
      <c r="A2025" s="5" t="n">
        <v>119</v>
      </c>
      <c r="B2025" s="5" t="n">
        <v>213</v>
      </c>
      <c r="C2025" s="5" t="n">
        <v>7</v>
      </c>
      <c r="D2025" s="5" t="n">
        <v>0</v>
      </c>
      <c r="E2025" s="5" t="n">
        <v>7E-006</v>
      </c>
    </row>
    <row r="2026" customFormat="false" ht="12.75" hidden="false" customHeight="true" outlineLevel="0" collapsed="false">
      <c r="A2026" s="5" t="n">
        <v>119</v>
      </c>
      <c r="B2026" s="5" t="n">
        <v>214</v>
      </c>
      <c r="C2026" s="5" t="n">
        <v>401</v>
      </c>
      <c r="D2026" s="5" t="n">
        <v>0.001</v>
      </c>
      <c r="E2026" s="5" t="n">
        <v>0.000401</v>
      </c>
    </row>
    <row r="2027" customFormat="false" ht="12.75" hidden="false" customHeight="true" outlineLevel="0" collapsed="false">
      <c r="A2027" s="5" t="n">
        <v>119</v>
      </c>
      <c r="B2027" s="5" t="n">
        <v>215</v>
      </c>
      <c r="C2027" s="5" t="n">
        <v>14425</v>
      </c>
      <c r="D2027" s="5" t="n">
        <v>0.048</v>
      </c>
      <c r="E2027" s="5" t="n">
        <v>0.014425</v>
      </c>
    </row>
    <row r="2028" customFormat="false" ht="12.75" hidden="false" customHeight="true" outlineLevel="0" collapsed="false">
      <c r="A2028" s="5" t="n">
        <v>119</v>
      </c>
      <c r="B2028" s="5" t="n">
        <v>216</v>
      </c>
      <c r="C2028" s="5" t="n">
        <v>106957</v>
      </c>
      <c r="D2028" s="5" t="n">
        <v>0.1408</v>
      </c>
      <c r="E2028" s="5" t="n">
        <v>0.106957</v>
      </c>
    </row>
    <row r="2029" customFormat="false" ht="12.75" hidden="false" customHeight="true" outlineLevel="0" collapsed="false">
      <c r="A2029" s="5" t="n">
        <v>119</v>
      </c>
      <c r="B2029" s="5" t="n">
        <v>217</v>
      </c>
      <c r="C2029" s="5" t="n">
        <v>324847</v>
      </c>
      <c r="D2029" s="5" t="n">
        <v>0.3056</v>
      </c>
      <c r="E2029" s="5" t="n">
        <v>0.324847</v>
      </c>
    </row>
    <row r="2030" customFormat="false" ht="12.75" hidden="false" customHeight="true" outlineLevel="0" collapsed="false">
      <c r="A2030" s="5" t="n">
        <v>119</v>
      </c>
      <c r="B2030" s="5" t="n">
        <v>218</v>
      </c>
      <c r="C2030" s="5" t="n">
        <v>732904</v>
      </c>
      <c r="D2030" s="5" t="n">
        <v>0.5263</v>
      </c>
      <c r="E2030" s="5" t="n">
        <v>0.732904</v>
      </c>
    </row>
    <row r="2031" customFormat="false" ht="12.75" hidden="false" customHeight="true" outlineLevel="0" collapsed="false">
      <c r="A2031" s="5" t="n">
        <v>119</v>
      </c>
      <c r="B2031" s="5" t="n">
        <v>219</v>
      </c>
      <c r="C2031" s="5" t="n">
        <v>1387554</v>
      </c>
      <c r="D2031" s="5" t="n">
        <v>0.7756</v>
      </c>
      <c r="E2031" s="5" t="n">
        <v>1.387554</v>
      </c>
    </row>
    <row r="2032" customFormat="false" ht="12.75" hidden="false" customHeight="true" outlineLevel="0" collapsed="false">
      <c r="A2032" s="5" t="n">
        <v>119</v>
      </c>
      <c r="B2032" s="5" t="n">
        <v>220</v>
      </c>
      <c r="C2032" s="5" t="n">
        <v>2313056</v>
      </c>
      <c r="D2032" s="5" t="n">
        <v>1.0758</v>
      </c>
      <c r="E2032" s="5" t="n">
        <v>2.313056</v>
      </c>
    </row>
    <row r="2033" customFormat="false" ht="12.75" hidden="false" customHeight="true" outlineLevel="0" collapsed="false">
      <c r="A2033" s="5" t="n">
        <v>119</v>
      </c>
      <c r="B2033" s="5" t="n">
        <v>221</v>
      </c>
      <c r="C2033" s="5" t="n">
        <v>3556621</v>
      </c>
      <c r="D2033" s="5" t="n">
        <v>1.4236</v>
      </c>
      <c r="E2033" s="5" t="n">
        <v>3.556621</v>
      </c>
    </row>
    <row r="2034" customFormat="false" ht="12.75" hidden="false" customHeight="true" outlineLevel="0" collapsed="false">
      <c r="A2034" s="5" t="n">
        <v>119</v>
      </c>
      <c r="B2034" s="5" t="n">
        <v>222</v>
      </c>
      <c r="C2034" s="5" t="n">
        <v>5182203</v>
      </c>
      <c r="D2034" s="5" t="n">
        <v>1.8362</v>
      </c>
      <c r="E2034" s="5" t="n">
        <v>5.182203</v>
      </c>
    </row>
    <row r="2035" customFormat="false" ht="12.75" hidden="false" customHeight="true" outlineLevel="0" collapsed="false">
      <c r="A2035" s="5" t="n">
        <v>119</v>
      </c>
      <c r="B2035" s="5" t="n">
        <v>223</v>
      </c>
      <c r="C2035" s="5" t="n">
        <v>7261636</v>
      </c>
      <c r="D2035" s="5" t="n">
        <v>2.3197</v>
      </c>
      <c r="E2035" s="5" t="n">
        <v>7.261636</v>
      </c>
    </row>
    <row r="2036" customFormat="false" ht="12.75" hidden="false" customHeight="true" outlineLevel="0" collapsed="false">
      <c r="A2036" s="5" t="n">
        <v>119</v>
      </c>
      <c r="B2036" s="5" t="n">
        <v>224</v>
      </c>
      <c r="C2036" s="5" t="n">
        <v>9811703</v>
      </c>
      <c r="D2036" s="5" t="n">
        <v>2.7857</v>
      </c>
      <c r="E2036" s="5" t="n">
        <v>9.811703</v>
      </c>
    </row>
    <row r="2037" customFormat="false" ht="12.75" hidden="false" customHeight="true" outlineLevel="0" collapsed="false">
      <c r="A2037" s="5" t="n">
        <v>119</v>
      </c>
      <c r="B2037" s="5" t="n">
        <v>225</v>
      </c>
      <c r="C2037" s="5" t="n">
        <v>12829374</v>
      </c>
      <c r="D2037" s="5" t="n">
        <v>3.1772</v>
      </c>
      <c r="E2037" s="5" t="n">
        <v>12.829374</v>
      </c>
    </row>
    <row r="2038" customFormat="false" ht="12.75" hidden="false" customHeight="true" outlineLevel="0" collapsed="false">
      <c r="A2038" s="5" t="n">
        <v>119</v>
      </c>
      <c r="B2038" s="5" t="n">
        <v>225.73</v>
      </c>
      <c r="C2038" s="5" t="n">
        <v>15190889</v>
      </c>
      <c r="D2038" s="5" t="n">
        <v>3.2924</v>
      </c>
      <c r="E2038" s="5" t="n">
        <v>15.190889</v>
      </c>
    </row>
    <row r="2039" customFormat="false" ht="12.75" hidden="false" customHeight="true" outlineLevel="0" collapsed="false">
      <c r="A2039" s="5" t="n">
        <v>119</v>
      </c>
      <c r="B2039" s="5" t="n">
        <v>227.5</v>
      </c>
      <c r="C2039" s="5" t="n">
        <v>22398346</v>
      </c>
      <c r="D2039" s="5" t="n">
        <v>4.4677</v>
      </c>
      <c r="E2039" s="5" t="n">
        <v>22.398346</v>
      </c>
    </row>
    <row r="2040" customFormat="false" ht="12.75" hidden="false" customHeight="true" outlineLevel="0" collapsed="false">
      <c r="A2040" s="5" t="n">
        <v>119</v>
      </c>
      <c r="B2040" s="5" t="n">
        <v>230</v>
      </c>
      <c r="C2040" s="5" t="n">
        <v>37918346</v>
      </c>
      <c r="D2040" s="5" t="n">
        <v>7.0777</v>
      </c>
      <c r="E2040" s="5" t="n">
        <v>37.918346</v>
      </c>
    </row>
    <row r="2041" customFormat="false" ht="12.75" hidden="false" customHeight="true" outlineLevel="0" collapsed="false">
      <c r="A2041" s="5" t="n">
        <v>119</v>
      </c>
      <c r="B2041" s="5" t="n">
        <v>232.5</v>
      </c>
      <c r="C2041" s="5" t="n">
        <v>60748346</v>
      </c>
      <c r="D2041" s="5" t="n">
        <v>10.3077</v>
      </c>
      <c r="E2041" s="5" t="n">
        <v>60.748346</v>
      </c>
    </row>
    <row r="2042" customFormat="false" ht="12.75" hidden="false" customHeight="true" outlineLevel="0" collapsed="false">
      <c r="A2042" s="5" t="n">
        <v>119</v>
      </c>
      <c r="B2042" s="5" t="n">
        <v>235</v>
      </c>
      <c r="C2042" s="5" t="n">
        <v>93688346</v>
      </c>
      <c r="D2042" s="5" t="n">
        <v>15.1777</v>
      </c>
      <c r="E2042" s="5" t="n">
        <v>93.688346</v>
      </c>
    </row>
    <row r="2043" customFormat="false" ht="12.75" hidden="false" customHeight="true" outlineLevel="0" collapsed="false">
      <c r="A2043" s="5" t="n">
        <v>119</v>
      </c>
      <c r="B2043" s="5" t="n">
        <v>236.2</v>
      </c>
      <c r="C2043" s="5" t="n">
        <v>118868346</v>
      </c>
      <c r="D2043" s="5" t="n">
        <v>18.0253</v>
      </c>
      <c r="E2043" s="5" t="n">
        <v>118.868346</v>
      </c>
    </row>
    <row r="2044" customFormat="false" ht="12.75" hidden="false" customHeight="true" outlineLevel="0" collapsed="false">
      <c r="A2044" s="5" t="n">
        <v>119</v>
      </c>
      <c r="B2044" s="5" t="n">
        <v>237.5</v>
      </c>
      <c r="C2044" s="5" t="n">
        <v>146098346</v>
      </c>
      <c r="D2044" s="5" t="n">
        <v>21.1077</v>
      </c>
      <c r="E2044" s="5" t="n">
        <v>146.098346</v>
      </c>
    </row>
    <row r="2045" customFormat="false" ht="12.75" hidden="false" customHeight="true" outlineLevel="0" collapsed="false">
      <c r="A2045" s="5" t="n">
        <v>119</v>
      </c>
      <c r="B2045" s="5" t="n">
        <v>240</v>
      </c>
      <c r="C2045" s="5" t="n">
        <v>200258346</v>
      </c>
      <c r="D2045" s="5" t="n">
        <v>26.1177</v>
      </c>
      <c r="E2045" s="5" t="n">
        <v>200.258346</v>
      </c>
    </row>
    <row r="2046" customFormat="false" ht="12.75" hidden="false" customHeight="true" outlineLevel="0" collapsed="false">
      <c r="A2046" s="5" t="n">
        <v>121</v>
      </c>
      <c r="B2046" s="5" t="n">
        <v>128</v>
      </c>
      <c r="C2046" s="5" t="n">
        <v>0</v>
      </c>
      <c r="D2046" s="5" t="n">
        <v>0</v>
      </c>
      <c r="E2046" s="5" t="n">
        <v>0</v>
      </c>
    </row>
    <row r="2047" customFormat="false" ht="12.75" hidden="false" customHeight="true" outlineLevel="0" collapsed="false">
      <c r="A2047" s="5" t="n">
        <v>121</v>
      </c>
      <c r="B2047" s="5" t="n">
        <v>129</v>
      </c>
      <c r="C2047" s="5" t="n">
        <v>15600</v>
      </c>
      <c r="D2047" s="5" t="n">
        <v>0.02</v>
      </c>
      <c r="E2047" s="5" t="n">
        <v>0.0156</v>
      </c>
    </row>
    <row r="2048" customFormat="false" ht="12.75" hidden="false" customHeight="true" outlineLevel="0" collapsed="false">
      <c r="A2048" s="5" t="n">
        <v>121</v>
      </c>
      <c r="B2048" s="5" t="n">
        <v>130</v>
      </c>
      <c r="C2048" s="5" t="n">
        <v>58000</v>
      </c>
      <c r="D2048" s="5" t="n">
        <v>0.07</v>
      </c>
      <c r="E2048" s="5" t="n">
        <v>0.058</v>
      </c>
    </row>
    <row r="2049" customFormat="false" ht="12.75" hidden="false" customHeight="true" outlineLevel="0" collapsed="false">
      <c r="A2049" s="5" t="n">
        <v>121</v>
      </c>
      <c r="B2049" s="5" t="n">
        <v>131</v>
      </c>
      <c r="C2049" s="5" t="n">
        <v>157000</v>
      </c>
      <c r="D2049" s="5" t="n">
        <v>0.14</v>
      </c>
      <c r="E2049" s="5" t="n">
        <v>0.157</v>
      </c>
    </row>
    <row r="2050" customFormat="false" ht="12.75" hidden="false" customHeight="true" outlineLevel="0" collapsed="false">
      <c r="A2050" s="5" t="n">
        <v>121</v>
      </c>
      <c r="B2050" s="5" t="n">
        <v>132</v>
      </c>
      <c r="C2050" s="5" t="n">
        <v>352000</v>
      </c>
      <c r="D2050" s="5" t="n">
        <v>0.26</v>
      </c>
      <c r="E2050" s="5" t="n">
        <v>0.352</v>
      </c>
    </row>
    <row r="2051" customFormat="false" ht="12.75" hidden="false" customHeight="true" outlineLevel="0" collapsed="false">
      <c r="A2051" s="5" t="n">
        <v>121</v>
      </c>
      <c r="B2051" s="5" t="n">
        <v>133</v>
      </c>
      <c r="C2051" s="5" t="n">
        <v>652000</v>
      </c>
      <c r="D2051" s="5" t="n">
        <v>0.33</v>
      </c>
      <c r="E2051" s="5" t="n">
        <v>0.652</v>
      </c>
    </row>
    <row r="2052" customFormat="false" ht="12.75" hidden="false" customHeight="true" outlineLevel="0" collapsed="false">
      <c r="A2052" s="5" t="n">
        <v>121</v>
      </c>
      <c r="B2052" s="5" t="n">
        <v>133.52</v>
      </c>
      <c r="C2052" s="5" t="n">
        <v>832000</v>
      </c>
      <c r="D2052" s="5" t="n">
        <v>0.37</v>
      </c>
      <c r="E2052" s="5" t="n">
        <v>0.832</v>
      </c>
    </row>
    <row r="2053" customFormat="false" ht="12.75" hidden="false" customHeight="true" outlineLevel="0" collapsed="false">
      <c r="A2053" s="5" t="n">
        <v>121</v>
      </c>
      <c r="B2053" s="5" t="n">
        <v>134</v>
      </c>
      <c r="C2053" s="5" t="n">
        <v>1430000</v>
      </c>
      <c r="D2053" s="5" t="n">
        <v>0.62</v>
      </c>
      <c r="E2053" s="5" t="n">
        <v>1.43</v>
      </c>
    </row>
    <row r="2054" customFormat="false" ht="12.75" hidden="false" customHeight="true" outlineLevel="0" collapsed="false">
      <c r="A2054" s="5" t="n">
        <v>121</v>
      </c>
      <c r="B2054" s="5" t="n">
        <v>135</v>
      </c>
      <c r="C2054" s="5" t="n">
        <v>2080000</v>
      </c>
      <c r="D2054" s="5" t="n">
        <v>0.68</v>
      </c>
      <c r="E2054" s="5" t="n">
        <v>2.08</v>
      </c>
    </row>
    <row r="2055" customFormat="false" ht="12.75" hidden="false" customHeight="true" outlineLevel="0" collapsed="false">
      <c r="A2055" s="5" t="n">
        <v>121</v>
      </c>
      <c r="B2055" s="5" t="n">
        <v>136</v>
      </c>
      <c r="C2055" s="5" t="n">
        <v>2800000</v>
      </c>
      <c r="D2055" s="5" t="n">
        <v>0.74</v>
      </c>
      <c r="E2055" s="5" t="n">
        <v>2.8</v>
      </c>
    </row>
    <row r="2056" customFormat="false" ht="12.75" hidden="false" customHeight="true" outlineLevel="0" collapsed="false">
      <c r="A2056" s="5" t="n">
        <v>121</v>
      </c>
      <c r="B2056" s="5" t="n">
        <v>137</v>
      </c>
      <c r="C2056" s="5" t="n">
        <v>3620000</v>
      </c>
      <c r="D2056" s="5" t="n">
        <v>0.9</v>
      </c>
      <c r="E2056" s="5" t="n">
        <v>3.62</v>
      </c>
    </row>
    <row r="2057" customFormat="false" ht="12.75" hidden="false" customHeight="true" outlineLevel="0" collapsed="false">
      <c r="A2057" s="5" t="n">
        <v>121</v>
      </c>
      <c r="B2057" s="5" t="n">
        <v>138</v>
      </c>
      <c r="C2057" s="5" t="n">
        <v>4600000</v>
      </c>
      <c r="D2057" s="5" t="n">
        <v>1.04</v>
      </c>
      <c r="E2057" s="5" t="n">
        <v>4.6</v>
      </c>
    </row>
    <row r="2058" customFormat="false" ht="12.75" hidden="false" customHeight="true" outlineLevel="0" collapsed="false">
      <c r="A2058" s="5" t="n">
        <v>121</v>
      </c>
      <c r="B2058" s="5" t="n">
        <v>139</v>
      </c>
      <c r="C2058" s="5" t="n">
        <v>5740000</v>
      </c>
      <c r="D2058" s="5" t="n">
        <v>1.22</v>
      </c>
      <c r="E2058" s="5" t="n">
        <v>5.74</v>
      </c>
    </row>
    <row r="2059" customFormat="false" ht="12.75" hidden="false" customHeight="true" outlineLevel="0" collapsed="false">
      <c r="A2059" s="5" t="n">
        <v>121</v>
      </c>
      <c r="B2059" s="5" t="n">
        <v>140</v>
      </c>
      <c r="C2059" s="5" t="n">
        <v>7060000</v>
      </c>
      <c r="D2059" s="5" t="n">
        <v>1.42</v>
      </c>
      <c r="E2059" s="5" t="n">
        <v>7.06</v>
      </c>
    </row>
    <row r="2060" customFormat="false" ht="12.75" hidden="false" customHeight="true" outlineLevel="0" collapsed="false">
      <c r="A2060" s="5" t="n">
        <v>121</v>
      </c>
      <c r="B2060" s="5" t="n">
        <v>141</v>
      </c>
      <c r="C2060" s="5" t="n">
        <v>8500000</v>
      </c>
      <c r="D2060" s="5" t="n">
        <v>1.46</v>
      </c>
      <c r="E2060" s="5" t="n">
        <v>8.5</v>
      </c>
    </row>
    <row r="2061" customFormat="false" ht="12.75" hidden="false" customHeight="true" outlineLevel="0" collapsed="false">
      <c r="A2061" s="5" t="n">
        <v>121</v>
      </c>
      <c r="B2061" s="5" t="n">
        <v>142</v>
      </c>
      <c r="C2061" s="5" t="n">
        <v>10040000</v>
      </c>
      <c r="D2061" s="5" t="n">
        <v>1.6</v>
      </c>
      <c r="E2061" s="5" t="n">
        <v>10.04</v>
      </c>
    </row>
    <row r="2062" customFormat="false" ht="12.75" hidden="false" customHeight="true" outlineLevel="0" collapsed="false">
      <c r="A2062" s="5" t="n">
        <v>121</v>
      </c>
      <c r="B2062" s="5" t="n">
        <v>143</v>
      </c>
      <c r="C2062" s="5" t="n">
        <v>11720000</v>
      </c>
      <c r="D2062" s="5" t="n">
        <v>1.77</v>
      </c>
      <c r="E2062" s="5" t="n">
        <v>11.72</v>
      </c>
    </row>
    <row r="2063" customFormat="false" ht="12.75" hidden="false" customHeight="true" outlineLevel="0" collapsed="false">
      <c r="A2063" s="5" t="n">
        <v>121</v>
      </c>
      <c r="B2063" s="5" t="n">
        <v>144</v>
      </c>
      <c r="C2063" s="5" t="n">
        <v>13580000</v>
      </c>
      <c r="D2063" s="5" t="n">
        <v>1.94</v>
      </c>
      <c r="E2063" s="5" t="n">
        <v>13.58</v>
      </c>
    </row>
    <row r="2064" customFormat="false" ht="12.75" hidden="false" customHeight="true" outlineLevel="0" collapsed="false">
      <c r="A2064" s="5" t="n">
        <v>121</v>
      </c>
      <c r="B2064" s="5" t="n">
        <v>145</v>
      </c>
      <c r="C2064" s="5" t="n">
        <v>15660000</v>
      </c>
      <c r="D2064" s="5" t="n">
        <v>2.22</v>
      </c>
      <c r="E2064" s="5" t="n">
        <v>15.66</v>
      </c>
    </row>
    <row r="2065" customFormat="false" ht="12.75" hidden="false" customHeight="true" outlineLevel="0" collapsed="false">
      <c r="A2065" s="5" t="n">
        <v>121</v>
      </c>
      <c r="B2065" s="5" t="n">
        <v>146</v>
      </c>
      <c r="C2065" s="5" t="n">
        <v>17980000</v>
      </c>
      <c r="D2065" s="5" t="n">
        <v>2.41</v>
      </c>
      <c r="E2065" s="5" t="n">
        <v>17.98</v>
      </c>
    </row>
    <row r="2066" customFormat="false" ht="12.75" hidden="false" customHeight="true" outlineLevel="0" collapsed="false">
      <c r="A2066" s="5" t="n">
        <v>121</v>
      </c>
      <c r="B2066" s="5" t="n">
        <v>147</v>
      </c>
      <c r="C2066" s="5" t="n">
        <v>20500000</v>
      </c>
      <c r="D2066" s="5" t="n">
        <v>2.69</v>
      </c>
      <c r="E2066" s="5" t="n">
        <v>20.5</v>
      </c>
    </row>
    <row r="2067" customFormat="false" ht="12.75" hidden="false" customHeight="true" outlineLevel="0" collapsed="false">
      <c r="A2067" s="5" t="n">
        <v>121</v>
      </c>
      <c r="B2067" s="5" t="n">
        <v>148</v>
      </c>
      <c r="C2067" s="5" t="n">
        <v>23380000</v>
      </c>
      <c r="D2067" s="5" t="n">
        <v>3</v>
      </c>
      <c r="E2067" s="5" t="n">
        <v>23.38</v>
      </c>
    </row>
    <row r="2068" customFormat="false" ht="12.75" hidden="false" customHeight="true" outlineLevel="0" collapsed="false">
      <c r="A2068" s="5" t="n">
        <v>121</v>
      </c>
      <c r="B2068" s="5" t="n">
        <v>149</v>
      </c>
      <c r="C2068" s="5" t="n">
        <v>26610000</v>
      </c>
      <c r="D2068" s="5" t="n">
        <v>3.45</v>
      </c>
      <c r="E2068" s="5" t="n">
        <v>26.61</v>
      </c>
    </row>
    <row r="2069" customFormat="false" ht="12.75" hidden="false" customHeight="true" outlineLevel="0" collapsed="false">
      <c r="A2069" s="5" t="n">
        <v>121</v>
      </c>
      <c r="B2069" s="5" t="n">
        <v>150</v>
      </c>
      <c r="C2069" s="5" t="n">
        <v>30310000</v>
      </c>
      <c r="D2069" s="5" t="n">
        <v>3.96</v>
      </c>
      <c r="E2069" s="5" t="n">
        <v>30.31</v>
      </c>
    </row>
    <row r="2070" customFormat="false" ht="12.75" hidden="false" customHeight="true" outlineLevel="0" collapsed="false">
      <c r="A2070" s="5" t="n">
        <v>122</v>
      </c>
      <c r="B2070" s="5" t="n">
        <v>219.94</v>
      </c>
      <c r="C2070" s="5" t="n">
        <v>0</v>
      </c>
      <c r="D2070" s="5" t="n">
        <v>0</v>
      </c>
      <c r="E2070" s="5" t="n">
        <v>0</v>
      </c>
    </row>
    <row r="2071" customFormat="false" ht="12.75" hidden="false" customHeight="true" outlineLevel="0" collapsed="false">
      <c r="A2071" s="5" t="n">
        <v>122</v>
      </c>
      <c r="B2071" s="5" t="n">
        <v>220</v>
      </c>
      <c r="C2071" s="5" t="n">
        <v>0</v>
      </c>
      <c r="D2071" s="5" t="n">
        <v>0</v>
      </c>
      <c r="E2071" s="5" t="n">
        <v>0</v>
      </c>
    </row>
    <row r="2072" customFormat="false" ht="12.75" hidden="false" customHeight="true" outlineLevel="0" collapsed="false">
      <c r="A2072" s="5" t="n">
        <v>122</v>
      </c>
      <c r="B2072" s="5" t="n">
        <v>221</v>
      </c>
      <c r="C2072" s="5" t="n">
        <v>5</v>
      </c>
      <c r="D2072" s="5" t="n">
        <v>0</v>
      </c>
      <c r="E2072" s="5" t="n">
        <v>5E-006</v>
      </c>
    </row>
    <row r="2073" customFormat="false" ht="12.75" hidden="false" customHeight="true" outlineLevel="0" collapsed="false">
      <c r="A2073" s="5" t="n">
        <v>122</v>
      </c>
      <c r="B2073" s="5" t="n">
        <v>222</v>
      </c>
      <c r="C2073" s="5" t="n">
        <v>70</v>
      </c>
      <c r="D2073" s="5" t="n">
        <v>0.0001</v>
      </c>
      <c r="E2073" s="5" t="n">
        <v>7E-005</v>
      </c>
    </row>
    <row r="2074" customFormat="false" ht="12.75" hidden="false" customHeight="true" outlineLevel="0" collapsed="false">
      <c r="A2074" s="5" t="n">
        <v>122</v>
      </c>
      <c r="B2074" s="5" t="n">
        <v>223</v>
      </c>
      <c r="C2074" s="5" t="n">
        <v>280</v>
      </c>
      <c r="D2074" s="5" t="n">
        <v>0.0003</v>
      </c>
      <c r="E2074" s="5" t="n">
        <v>0.00028</v>
      </c>
    </row>
    <row r="2075" customFormat="false" ht="12.75" hidden="false" customHeight="true" outlineLevel="0" collapsed="false">
      <c r="A2075" s="5" t="n">
        <v>122</v>
      </c>
      <c r="B2075" s="5" t="n">
        <v>224</v>
      </c>
      <c r="C2075" s="5" t="n">
        <v>800</v>
      </c>
      <c r="D2075" s="5" t="n">
        <v>0.0008</v>
      </c>
      <c r="E2075" s="5" t="n">
        <v>0.0008</v>
      </c>
    </row>
    <row r="2076" customFormat="false" ht="12.75" hidden="false" customHeight="true" outlineLevel="0" collapsed="false">
      <c r="A2076" s="5" t="n">
        <v>122</v>
      </c>
      <c r="B2076" s="5" t="n">
        <v>225</v>
      </c>
      <c r="C2076" s="5" t="n">
        <v>2000</v>
      </c>
      <c r="D2076" s="5" t="n">
        <v>0.002</v>
      </c>
      <c r="E2076" s="5" t="n">
        <v>0.002</v>
      </c>
    </row>
    <row r="2077" customFormat="false" ht="12.75" hidden="false" customHeight="true" outlineLevel="0" collapsed="false">
      <c r="A2077" s="5" t="n">
        <v>122</v>
      </c>
      <c r="B2077" s="5" t="n">
        <v>226</v>
      </c>
      <c r="C2077" s="5" t="n">
        <v>5000</v>
      </c>
      <c r="D2077" s="5" t="n">
        <v>0.006</v>
      </c>
      <c r="E2077" s="5" t="n">
        <v>0.005</v>
      </c>
    </row>
    <row r="2078" customFormat="false" ht="12.75" hidden="false" customHeight="true" outlineLevel="0" collapsed="false">
      <c r="A2078" s="5" t="n">
        <v>122</v>
      </c>
      <c r="B2078" s="5" t="n">
        <v>227</v>
      </c>
      <c r="C2078" s="5" t="n">
        <v>16000</v>
      </c>
      <c r="D2078" s="5" t="n">
        <v>0.02</v>
      </c>
      <c r="E2078" s="5" t="n">
        <v>0.016</v>
      </c>
    </row>
    <row r="2079" customFormat="false" ht="12.75" hidden="false" customHeight="true" outlineLevel="0" collapsed="false">
      <c r="A2079" s="5" t="n">
        <v>122</v>
      </c>
      <c r="B2079" s="5" t="n">
        <v>228</v>
      </c>
      <c r="C2079" s="5" t="n">
        <v>51000</v>
      </c>
      <c r="D2079" s="5" t="n">
        <v>0.06</v>
      </c>
      <c r="E2079" s="5" t="n">
        <v>0.051</v>
      </c>
    </row>
    <row r="2080" customFormat="false" ht="12.75" hidden="false" customHeight="true" outlineLevel="0" collapsed="false">
      <c r="A2080" s="5" t="n">
        <v>122</v>
      </c>
      <c r="B2080" s="5" t="n">
        <v>229</v>
      </c>
      <c r="C2080" s="5" t="n">
        <v>165000</v>
      </c>
      <c r="D2080" s="5" t="n">
        <v>0.19</v>
      </c>
      <c r="E2080" s="5" t="n">
        <v>0.165</v>
      </c>
    </row>
    <row r="2081" customFormat="false" ht="12.75" hidden="false" customHeight="true" outlineLevel="0" collapsed="false">
      <c r="A2081" s="5" t="n">
        <v>122</v>
      </c>
      <c r="B2081" s="5" t="n">
        <v>230</v>
      </c>
      <c r="C2081" s="5" t="n">
        <v>487000</v>
      </c>
      <c r="D2081" s="5" t="n">
        <v>0.48</v>
      </c>
      <c r="E2081" s="5" t="n">
        <v>0.487</v>
      </c>
    </row>
    <row r="2082" customFormat="false" ht="12.75" hidden="false" customHeight="true" outlineLevel="0" collapsed="false">
      <c r="A2082" s="5" t="n">
        <v>122</v>
      </c>
      <c r="B2082" s="5" t="n">
        <v>231</v>
      </c>
      <c r="C2082" s="5" t="n">
        <v>1155000</v>
      </c>
      <c r="D2082" s="5" t="n">
        <v>0.86</v>
      </c>
      <c r="E2082" s="5" t="n">
        <v>1.155</v>
      </c>
    </row>
    <row r="2083" customFormat="false" ht="12.75" hidden="false" customHeight="true" outlineLevel="0" collapsed="false">
      <c r="A2083" s="5" t="n">
        <v>122</v>
      </c>
      <c r="B2083" s="5" t="n">
        <v>232</v>
      </c>
      <c r="C2083" s="5" t="n">
        <v>2231000</v>
      </c>
      <c r="D2083" s="5" t="n">
        <v>1.31</v>
      </c>
      <c r="E2083" s="5" t="n">
        <v>2.231</v>
      </c>
    </row>
    <row r="2084" customFormat="false" ht="12.75" hidden="false" customHeight="true" outlineLevel="0" collapsed="false">
      <c r="A2084" s="5" t="n">
        <v>122</v>
      </c>
      <c r="B2084" s="5" t="n">
        <v>233</v>
      </c>
      <c r="C2084" s="5" t="n">
        <v>3800000</v>
      </c>
      <c r="D2084" s="5" t="n">
        <v>1.85</v>
      </c>
      <c r="E2084" s="5" t="n">
        <v>3.8</v>
      </c>
    </row>
    <row r="2085" customFormat="false" ht="12.75" hidden="false" customHeight="true" outlineLevel="0" collapsed="false">
      <c r="A2085" s="5" t="n">
        <v>122</v>
      </c>
      <c r="B2085" s="5" t="n">
        <v>234</v>
      </c>
      <c r="C2085" s="5" t="n">
        <v>6000000</v>
      </c>
      <c r="D2085" s="5" t="n">
        <v>2.45</v>
      </c>
      <c r="E2085" s="5" t="n">
        <v>6</v>
      </c>
    </row>
    <row r="2086" customFormat="false" ht="12.75" hidden="false" customHeight="true" outlineLevel="0" collapsed="false">
      <c r="A2086" s="5" t="n">
        <v>122</v>
      </c>
      <c r="B2086" s="5" t="n">
        <v>235</v>
      </c>
      <c r="C2086" s="5" t="n">
        <v>8820000</v>
      </c>
      <c r="D2086" s="5" t="n">
        <v>3.2</v>
      </c>
      <c r="E2086" s="5" t="n">
        <v>8.82</v>
      </c>
    </row>
    <row r="2087" customFormat="false" ht="12.75" hidden="false" customHeight="true" outlineLevel="0" collapsed="false">
      <c r="A2087" s="5" t="n">
        <v>122</v>
      </c>
      <c r="B2087" s="5" t="n">
        <v>236</v>
      </c>
      <c r="C2087" s="5" t="n">
        <v>12350000</v>
      </c>
      <c r="D2087" s="5" t="n">
        <v>3.84</v>
      </c>
      <c r="E2087" s="5" t="n">
        <v>12.35</v>
      </c>
    </row>
    <row r="2088" customFormat="false" ht="12.75" hidden="false" customHeight="true" outlineLevel="0" collapsed="false">
      <c r="A2088" s="5" t="n">
        <v>122</v>
      </c>
      <c r="B2088" s="5" t="n">
        <v>237</v>
      </c>
      <c r="C2088" s="5" t="n">
        <v>16500000</v>
      </c>
      <c r="D2088" s="5" t="n">
        <v>4.47</v>
      </c>
      <c r="E2088" s="5" t="n">
        <v>16.5</v>
      </c>
    </row>
    <row r="2089" customFormat="false" ht="12.75" hidden="false" customHeight="true" outlineLevel="0" collapsed="false">
      <c r="A2089" s="5" t="n">
        <v>122</v>
      </c>
      <c r="B2089" s="5" t="n">
        <v>238</v>
      </c>
      <c r="C2089" s="5" t="n">
        <v>21300000</v>
      </c>
      <c r="D2089" s="5" t="n">
        <v>5.11</v>
      </c>
      <c r="E2089" s="5" t="n">
        <v>21.3</v>
      </c>
    </row>
    <row r="2090" customFormat="false" ht="12.75" hidden="false" customHeight="true" outlineLevel="0" collapsed="false">
      <c r="A2090" s="5" t="n">
        <v>122</v>
      </c>
      <c r="B2090" s="5" t="n">
        <v>239</v>
      </c>
      <c r="C2090" s="5" t="n">
        <v>26800000</v>
      </c>
      <c r="D2090" s="5" t="n">
        <v>5.86</v>
      </c>
      <c r="E2090" s="5" t="n">
        <v>26.8</v>
      </c>
    </row>
    <row r="2091" customFormat="false" ht="12.75" hidden="false" customHeight="true" outlineLevel="0" collapsed="false">
      <c r="A2091" s="5" t="n">
        <v>122</v>
      </c>
      <c r="B2091" s="5" t="n">
        <v>240</v>
      </c>
      <c r="C2091" s="5" t="n">
        <v>33000000</v>
      </c>
      <c r="D2091" s="5" t="n">
        <v>6.72</v>
      </c>
      <c r="E2091" s="5" t="n">
        <v>33</v>
      </c>
    </row>
    <row r="2092" customFormat="false" ht="12.75" hidden="false" customHeight="true" outlineLevel="0" collapsed="false">
      <c r="A2092" s="5" t="n">
        <v>122</v>
      </c>
      <c r="B2092" s="5" t="n">
        <v>241</v>
      </c>
      <c r="C2092" s="5" t="n">
        <v>40200000</v>
      </c>
      <c r="D2092" s="5" t="n">
        <v>7.72</v>
      </c>
      <c r="E2092" s="5" t="n">
        <v>40.2</v>
      </c>
    </row>
    <row r="2093" customFormat="false" ht="12.75" hidden="false" customHeight="true" outlineLevel="0" collapsed="false">
      <c r="A2093" s="5" t="n">
        <v>122</v>
      </c>
      <c r="B2093" s="5" t="n">
        <v>242</v>
      </c>
      <c r="C2093" s="5" t="n">
        <v>48400000</v>
      </c>
      <c r="D2093" s="5" t="n">
        <v>8.58</v>
      </c>
      <c r="E2093" s="5" t="n">
        <v>48.4</v>
      </c>
    </row>
    <row r="2094" customFormat="false" ht="12.75" hidden="false" customHeight="true" outlineLevel="0" collapsed="false">
      <c r="A2094" s="5" t="n">
        <v>122</v>
      </c>
      <c r="B2094" s="5" t="n">
        <v>243</v>
      </c>
      <c r="C2094" s="5" t="n">
        <v>57000000</v>
      </c>
      <c r="D2094" s="5" t="n">
        <v>9.23</v>
      </c>
      <c r="E2094" s="5" t="n">
        <v>57</v>
      </c>
    </row>
    <row r="2095" customFormat="false" ht="12.75" hidden="false" customHeight="true" outlineLevel="0" collapsed="false">
      <c r="A2095" s="5" t="n">
        <v>122</v>
      </c>
      <c r="B2095" s="5" t="n">
        <v>244</v>
      </c>
      <c r="C2095" s="5" t="n">
        <v>66800000</v>
      </c>
      <c r="D2095" s="5" t="n">
        <v>9.71</v>
      </c>
      <c r="E2095" s="5" t="n">
        <v>66.8</v>
      </c>
    </row>
    <row r="2096" customFormat="false" ht="12.75" hidden="false" customHeight="true" outlineLevel="0" collapsed="false">
      <c r="A2096" s="5" t="n">
        <v>122</v>
      </c>
      <c r="B2096" s="5" t="n">
        <v>245.01</v>
      </c>
      <c r="C2096" s="5" t="n">
        <v>76700000</v>
      </c>
      <c r="D2096" s="5" t="n">
        <v>10.1</v>
      </c>
      <c r="E2096" s="5" t="n">
        <v>76.7</v>
      </c>
    </row>
    <row r="2097" customFormat="false" ht="12.75" hidden="false" customHeight="true" outlineLevel="0" collapsed="false">
      <c r="A2097" s="5" t="n">
        <v>122</v>
      </c>
      <c r="B2097" s="5" t="n">
        <v>250</v>
      </c>
      <c r="C2097" s="5" t="n">
        <v>167220000</v>
      </c>
      <c r="D2097" s="5" t="n">
        <v>18.15</v>
      </c>
      <c r="E2097" s="5" t="n">
        <v>167.22</v>
      </c>
    </row>
    <row r="2098" customFormat="false" ht="12.75" hidden="false" customHeight="true" outlineLevel="0" collapsed="false">
      <c r="A2098" s="5" t="n">
        <v>122</v>
      </c>
      <c r="B2098" s="5" t="n">
        <v>254</v>
      </c>
      <c r="C2098" s="5" t="n">
        <v>268800000</v>
      </c>
      <c r="D2098" s="5" t="n">
        <v>23.43</v>
      </c>
      <c r="E2098" s="5" t="n">
        <v>268.8</v>
      </c>
    </row>
    <row r="2099" customFormat="false" ht="12.75" hidden="false" customHeight="true" outlineLevel="0" collapsed="false">
      <c r="A2099" s="5" t="n">
        <v>122</v>
      </c>
      <c r="B2099" s="5" t="n">
        <v>255</v>
      </c>
      <c r="C2099" s="5" t="n">
        <v>294580000</v>
      </c>
      <c r="D2099" s="5" t="n">
        <v>24.75</v>
      </c>
      <c r="E2099" s="5" t="n">
        <v>294.58</v>
      </c>
    </row>
    <row r="2100" customFormat="false" ht="12.75" hidden="false" customHeight="true" outlineLevel="0" collapsed="false">
      <c r="A2100" s="5" t="n">
        <v>122</v>
      </c>
      <c r="B2100" s="5" t="n">
        <v>256</v>
      </c>
      <c r="C2100" s="5" t="n">
        <v>317790000</v>
      </c>
      <c r="D2100" s="5" t="n">
        <v>25.98</v>
      </c>
      <c r="E2100" s="5" t="n">
        <v>317.79</v>
      </c>
    </row>
    <row r="2101" customFormat="false" ht="12.75" hidden="false" customHeight="true" outlineLevel="0" collapsed="false">
      <c r="A2101" s="5" t="n">
        <v>125</v>
      </c>
      <c r="B2101" s="5" t="n">
        <v>86.96</v>
      </c>
      <c r="C2101" s="5" t="n">
        <v>0</v>
      </c>
      <c r="D2101" s="5" t="n">
        <v>0</v>
      </c>
      <c r="E2101" s="5" t="n">
        <v>0</v>
      </c>
    </row>
    <row r="2102" customFormat="false" ht="12.75" hidden="false" customHeight="true" outlineLevel="0" collapsed="false">
      <c r="A2102" s="5" t="n">
        <v>125</v>
      </c>
      <c r="B2102" s="5" t="n">
        <v>87</v>
      </c>
      <c r="C2102" s="5" t="n">
        <v>39</v>
      </c>
      <c r="D2102" s="5" t="n">
        <v>0.0018</v>
      </c>
      <c r="E2102" s="5" t="n">
        <v>3.9E-005</v>
      </c>
    </row>
    <row r="2103" customFormat="false" ht="12.75" hidden="false" customHeight="true" outlineLevel="0" collapsed="false">
      <c r="A2103" s="5" t="n">
        <v>125</v>
      </c>
      <c r="B2103" s="5" t="n">
        <v>88</v>
      </c>
      <c r="C2103" s="5" t="n">
        <v>20496</v>
      </c>
      <c r="D2103" s="5" t="n">
        <v>0.0358</v>
      </c>
      <c r="E2103" s="5" t="n">
        <v>0.020496</v>
      </c>
    </row>
    <row r="2104" customFormat="false" ht="12.75" hidden="false" customHeight="true" outlineLevel="0" collapsed="false">
      <c r="A2104" s="5" t="n">
        <v>125</v>
      </c>
      <c r="B2104" s="5" t="n">
        <v>89</v>
      </c>
      <c r="C2104" s="5" t="n">
        <v>78695</v>
      </c>
      <c r="D2104" s="5" t="n">
        <v>0.0874</v>
      </c>
      <c r="E2104" s="5" t="n">
        <v>0.078695</v>
      </c>
    </row>
    <row r="2105" customFormat="false" ht="12.75" hidden="false" customHeight="true" outlineLevel="0" collapsed="false">
      <c r="A2105" s="5" t="n">
        <v>125</v>
      </c>
      <c r="B2105" s="5" t="n">
        <v>90</v>
      </c>
      <c r="C2105" s="5" t="n">
        <v>209347</v>
      </c>
      <c r="D2105" s="5" t="n">
        <v>0.1861</v>
      </c>
      <c r="E2105" s="5" t="n">
        <v>0.209347</v>
      </c>
    </row>
    <row r="2106" customFormat="false" ht="12.75" hidden="false" customHeight="true" outlineLevel="0" collapsed="false">
      <c r="A2106" s="5" t="n">
        <v>125</v>
      </c>
      <c r="B2106" s="5" t="n">
        <v>91</v>
      </c>
      <c r="C2106" s="5" t="n">
        <v>487262</v>
      </c>
      <c r="D2106" s="5" t="n">
        <v>0.3809</v>
      </c>
      <c r="E2106" s="5" t="n">
        <v>0.487262</v>
      </c>
    </row>
    <row r="2107" customFormat="false" ht="12.75" hidden="false" customHeight="true" outlineLevel="0" collapsed="false">
      <c r="A2107" s="5" t="n">
        <v>125</v>
      </c>
      <c r="B2107" s="5" t="n">
        <v>92</v>
      </c>
      <c r="C2107" s="5" t="n">
        <v>946839</v>
      </c>
      <c r="D2107" s="5" t="n">
        <v>0.5199</v>
      </c>
      <c r="E2107" s="5" t="n">
        <v>0.946839</v>
      </c>
    </row>
    <row r="2108" customFormat="false" ht="12.75" hidden="false" customHeight="true" outlineLevel="0" collapsed="false">
      <c r="A2108" s="5" t="n">
        <v>125</v>
      </c>
      <c r="B2108" s="5" t="n">
        <v>93</v>
      </c>
      <c r="C2108" s="5" t="n">
        <v>1496051</v>
      </c>
      <c r="D2108" s="5" t="n">
        <v>0.5756</v>
      </c>
      <c r="E2108" s="5" t="n">
        <v>1.496051</v>
      </c>
    </row>
    <row r="2109" customFormat="false" ht="12.75" hidden="false" customHeight="true" outlineLevel="0" collapsed="false">
      <c r="A2109" s="5" t="n">
        <v>125</v>
      </c>
      <c r="B2109" s="5" t="n">
        <v>93.46</v>
      </c>
      <c r="C2109" s="5" t="n">
        <v>1766129</v>
      </c>
      <c r="D2109" s="5" t="n">
        <v>0.6695</v>
      </c>
      <c r="E2109" s="5" t="n">
        <v>1.766129</v>
      </c>
    </row>
    <row r="2110" customFormat="false" ht="12.75" hidden="false" customHeight="true" outlineLevel="0" collapsed="false">
      <c r="A2110" s="5" t="n">
        <v>125</v>
      </c>
      <c r="B2110" s="5" t="n">
        <v>94</v>
      </c>
      <c r="C2110" s="5" t="n">
        <v>2127891</v>
      </c>
      <c r="D2110" s="5" t="n">
        <v>0.7718</v>
      </c>
      <c r="E2110" s="5" t="n">
        <v>2.127891</v>
      </c>
    </row>
    <row r="2111" customFormat="false" ht="12.75" hidden="false" customHeight="true" outlineLevel="0" collapsed="false">
      <c r="A2111" s="5" t="n">
        <v>125</v>
      </c>
      <c r="B2111" s="5" t="n">
        <v>95</v>
      </c>
      <c r="C2111" s="5" t="n">
        <v>2891403</v>
      </c>
      <c r="D2111" s="5" t="n">
        <v>0.9519</v>
      </c>
      <c r="E2111" s="5" t="n">
        <v>2.891403</v>
      </c>
    </row>
    <row r="2112" customFormat="false" ht="12.75" hidden="false" customHeight="true" outlineLevel="0" collapsed="false">
      <c r="A2112" s="5" t="n">
        <v>125</v>
      </c>
      <c r="B2112" s="5" t="n">
        <v>96</v>
      </c>
      <c r="C2112" s="5" t="n">
        <v>3770423</v>
      </c>
      <c r="D2112" s="5" t="n">
        <v>1.1491</v>
      </c>
      <c r="E2112" s="5" t="n">
        <v>3.770423</v>
      </c>
    </row>
    <row r="2113" customFormat="false" ht="12.75" hidden="false" customHeight="true" outlineLevel="0" collapsed="false">
      <c r="A2113" s="5" t="n">
        <v>125</v>
      </c>
      <c r="B2113" s="5" t="n">
        <v>97</v>
      </c>
      <c r="C2113" s="5" t="n">
        <v>4764952</v>
      </c>
      <c r="D2113" s="5" t="n">
        <v>1.3633</v>
      </c>
      <c r="E2113" s="5" t="n">
        <v>4.764952</v>
      </c>
    </row>
    <row r="2114" customFormat="false" ht="12.75" hidden="false" customHeight="true" outlineLevel="0" collapsed="false">
      <c r="A2114" s="5" t="n">
        <v>125</v>
      </c>
      <c r="B2114" s="5" t="n">
        <v>98</v>
      </c>
      <c r="C2114" s="5" t="n">
        <v>5784991</v>
      </c>
      <c r="D2114" s="5" t="n">
        <v>1.5946</v>
      </c>
      <c r="E2114" s="5" t="n">
        <v>5.784991</v>
      </c>
    </row>
    <row r="2115" customFormat="false" ht="12.75" hidden="false" customHeight="true" outlineLevel="0" collapsed="false">
      <c r="A2115" s="5" t="n">
        <v>125</v>
      </c>
      <c r="B2115" s="5" t="n">
        <v>99</v>
      </c>
      <c r="C2115" s="5" t="n">
        <v>7100538</v>
      </c>
      <c r="D2115" s="5" t="n">
        <v>1.8429</v>
      </c>
      <c r="E2115" s="5" t="n">
        <v>7.100538</v>
      </c>
    </row>
    <row r="2116" customFormat="false" ht="12.75" hidden="false" customHeight="true" outlineLevel="0" collapsed="false">
      <c r="A2116" s="5" t="n">
        <v>125</v>
      </c>
      <c r="B2116" s="5" t="n">
        <v>100</v>
      </c>
      <c r="C2116" s="5" t="n">
        <v>8441594</v>
      </c>
      <c r="D2116" s="5" t="n">
        <v>2.1082</v>
      </c>
      <c r="E2116" s="5" t="n">
        <v>8.441594</v>
      </c>
    </row>
    <row r="2117" customFormat="false" ht="12.75" hidden="false" customHeight="true" outlineLevel="0" collapsed="false">
      <c r="A2117" s="5" t="n">
        <v>126</v>
      </c>
      <c r="B2117" s="5" t="n">
        <v>88.29</v>
      </c>
      <c r="C2117" s="5" t="n">
        <v>0</v>
      </c>
      <c r="D2117" s="5" t="n">
        <v>0</v>
      </c>
      <c r="E2117" s="5" t="n">
        <v>0</v>
      </c>
    </row>
    <row r="2118" customFormat="false" ht="12.75" hidden="false" customHeight="true" outlineLevel="0" collapsed="false">
      <c r="A2118" s="5" t="n">
        <v>126</v>
      </c>
      <c r="B2118" s="5" t="n">
        <v>89</v>
      </c>
      <c r="C2118" s="5" t="n">
        <v>700</v>
      </c>
      <c r="D2118" s="5" t="n">
        <v>0</v>
      </c>
      <c r="E2118" s="5" t="n">
        <v>0.0007</v>
      </c>
    </row>
    <row r="2119" customFormat="false" ht="12.75" hidden="false" customHeight="true" outlineLevel="0" collapsed="false">
      <c r="A2119" s="5" t="n">
        <v>126</v>
      </c>
      <c r="B2119" s="5" t="n">
        <v>90</v>
      </c>
      <c r="C2119" s="5" t="n">
        <v>52000</v>
      </c>
      <c r="D2119" s="5" t="n">
        <v>0.19</v>
      </c>
      <c r="E2119" s="5" t="n">
        <v>0.052</v>
      </c>
    </row>
    <row r="2120" customFormat="false" ht="12.75" hidden="false" customHeight="true" outlineLevel="0" collapsed="false">
      <c r="A2120" s="5" t="n">
        <v>126</v>
      </c>
      <c r="B2120" s="5" t="n">
        <v>91</v>
      </c>
      <c r="C2120" s="5" t="n">
        <v>443000</v>
      </c>
      <c r="D2120" s="5" t="n">
        <v>0.64</v>
      </c>
      <c r="E2120" s="5" t="n">
        <v>0.443</v>
      </c>
    </row>
    <row r="2121" customFormat="false" ht="12.75" hidden="false" customHeight="true" outlineLevel="0" collapsed="false">
      <c r="A2121" s="5" t="n">
        <v>126</v>
      </c>
      <c r="B2121" s="5" t="n">
        <v>92</v>
      </c>
      <c r="C2121" s="5" t="n">
        <v>1397000</v>
      </c>
      <c r="D2121" s="5" t="n">
        <v>1.25</v>
      </c>
      <c r="E2121" s="5" t="n">
        <v>1.397</v>
      </c>
    </row>
    <row r="2122" customFormat="false" ht="12.75" hidden="false" customHeight="true" outlineLevel="0" collapsed="false">
      <c r="A2122" s="5" t="n">
        <v>126</v>
      </c>
      <c r="B2122" s="5" t="n">
        <v>93</v>
      </c>
      <c r="C2122" s="5" t="n">
        <v>2735000</v>
      </c>
      <c r="D2122" s="5" t="n">
        <v>1.37</v>
      </c>
      <c r="E2122" s="5" t="n">
        <v>2.735</v>
      </c>
    </row>
    <row r="2123" customFormat="false" ht="12.75" hidden="false" customHeight="true" outlineLevel="0" collapsed="false">
      <c r="A2123" s="5" t="n">
        <v>126</v>
      </c>
      <c r="B2123" s="5" t="n">
        <v>93.14</v>
      </c>
      <c r="C2123" s="5" t="n">
        <v>2930000</v>
      </c>
      <c r="D2123" s="5" t="n">
        <v>1.41</v>
      </c>
      <c r="E2123" s="5" t="n">
        <v>2.93</v>
      </c>
    </row>
    <row r="2124" customFormat="false" ht="12.75" hidden="false" customHeight="true" outlineLevel="0" collapsed="false">
      <c r="A2124" s="5" t="n">
        <v>126</v>
      </c>
      <c r="B2124" s="5" t="n">
        <v>94</v>
      </c>
      <c r="C2124" s="5" t="n">
        <v>4030000</v>
      </c>
      <c r="D2124" s="5" t="n">
        <v>2.15</v>
      </c>
      <c r="E2124" s="5" t="n">
        <v>4.03</v>
      </c>
    </row>
    <row r="2125" customFormat="false" ht="12.75" hidden="false" customHeight="true" outlineLevel="0" collapsed="false">
      <c r="A2125" s="5" t="n">
        <v>126</v>
      </c>
      <c r="B2125" s="5" t="n">
        <v>95</v>
      </c>
      <c r="C2125" s="5" t="n">
        <v>6220000</v>
      </c>
      <c r="D2125" s="5" t="n">
        <v>2.69</v>
      </c>
      <c r="E2125" s="5" t="n">
        <v>6.22</v>
      </c>
    </row>
    <row r="2126" customFormat="false" ht="12.75" hidden="false" customHeight="true" outlineLevel="0" collapsed="false">
      <c r="A2126" s="5" t="n">
        <v>126</v>
      </c>
      <c r="B2126" s="5" t="n">
        <v>96</v>
      </c>
      <c r="C2126" s="5" t="n">
        <v>9280000</v>
      </c>
      <c r="D2126" s="5" t="n">
        <v>3.92</v>
      </c>
      <c r="E2126" s="5" t="n">
        <v>9.28</v>
      </c>
    </row>
    <row r="2127" customFormat="false" ht="12.75" hidden="false" customHeight="true" outlineLevel="0" collapsed="false">
      <c r="A2127" s="5" t="n">
        <v>126</v>
      </c>
      <c r="B2127" s="5" t="n">
        <v>97</v>
      </c>
      <c r="C2127" s="5" t="n">
        <v>13350000</v>
      </c>
      <c r="D2127" s="5" t="n">
        <v>5.07</v>
      </c>
      <c r="E2127" s="5" t="n">
        <v>13.35</v>
      </c>
    </row>
    <row r="2128" customFormat="false" ht="12.75" hidden="false" customHeight="true" outlineLevel="0" collapsed="false">
      <c r="A2128" s="5" t="n">
        <v>126</v>
      </c>
      <c r="B2128" s="5" t="n">
        <v>98</v>
      </c>
      <c r="C2128" s="5" t="n">
        <v>18560000</v>
      </c>
      <c r="D2128" s="5" t="n">
        <v>6.21</v>
      </c>
      <c r="E2128" s="5" t="n">
        <v>18.56</v>
      </c>
    </row>
    <row r="2129" customFormat="false" ht="12.75" hidden="false" customHeight="true" outlineLevel="0" collapsed="false">
      <c r="A2129" s="5" t="n">
        <v>126</v>
      </c>
      <c r="B2129" s="5" t="n">
        <v>99</v>
      </c>
      <c r="C2129" s="5" t="n">
        <v>24830000</v>
      </c>
      <c r="D2129" s="5" t="n">
        <v>7.17</v>
      </c>
      <c r="E2129" s="5" t="n">
        <v>24.83</v>
      </c>
    </row>
    <row r="2130" customFormat="false" ht="12.75" hidden="false" customHeight="true" outlineLevel="0" collapsed="false">
      <c r="A2130" s="5" t="n">
        <v>126</v>
      </c>
      <c r="B2130" s="5" t="n">
        <v>100</v>
      </c>
      <c r="C2130" s="5" t="n">
        <v>31860000</v>
      </c>
      <c r="D2130" s="5" t="n">
        <v>7.74</v>
      </c>
      <c r="E2130" s="5" t="n">
        <v>31.86</v>
      </c>
    </row>
    <row r="2131" customFormat="false" ht="12.75" hidden="false" customHeight="true" outlineLevel="0" collapsed="false">
      <c r="A2131" s="5" t="n">
        <v>126</v>
      </c>
      <c r="B2131" s="5" t="n">
        <v>101</v>
      </c>
      <c r="C2131" s="5" t="n">
        <v>39620000</v>
      </c>
      <c r="D2131" s="5" t="n">
        <v>8.64</v>
      </c>
      <c r="E2131" s="5" t="n">
        <v>39.62</v>
      </c>
    </row>
    <row r="2132" customFormat="false" ht="12.75" hidden="false" customHeight="true" outlineLevel="0" collapsed="false">
      <c r="A2132" s="5" t="n">
        <v>126</v>
      </c>
      <c r="B2132" s="5" t="n">
        <v>102</v>
      </c>
      <c r="C2132" s="5" t="n">
        <v>48220000</v>
      </c>
      <c r="D2132" s="5" t="n">
        <v>9.4</v>
      </c>
      <c r="E2132" s="5" t="n">
        <v>48.22</v>
      </c>
    </row>
    <row r="2133" customFormat="false" ht="12.75" hidden="false" customHeight="true" outlineLevel="0" collapsed="false">
      <c r="A2133" s="5" t="n">
        <v>127</v>
      </c>
      <c r="B2133" s="5" t="n">
        <v>349.4</v>
      </c>
      <c r="C2133" s="5" t="n">
        <v>0</v>
      </c>
      <c r="D2133" s="5" t="n">
        <v>0</v>
      </c>
      <c r="E2133" s="5" t="n">
        <v>0</v>
      </c>
    </row>
    <row r="2134" customFormat="false" ht="12.75" hidden="false" customHeight="true" outlineLevel="0" collapsed="false">
      <c r="A2134" s="5" t="n">
        <v>127</v>
      </c>
      <c r="B2134" s="5" t="n">
        <v>350</v>
      </c>
      <c r="C2134" s="5" t="n">
        <v>0</v>
      </c>
      <c r="D2134" s="5" t="n">
        <v>0</v>
      </c>
      <c r="E2134" s="5" t="n">
        <v>0</v>
      </c>
    </row>
    <row r="2135" customFormat="false" ht="12.75" hidden="false" customHeight="true" outlineLevel="0" collapsed="false">
      <c r="A2135" s="5" t="n">
        <v>127</v>
      </c>
      <c r="B2135" s="5" t="n">
        <v>351</v>
      </c>
      <c r="C2135" s="5" t="n">
        <v>0</v>
      </c>
      <c r="D2135" s="5" t="n">
        <v>0</v>
      </c>
      <c r="E2135" s="5" t="n">
        <v>0</v>
      </c>
    </row>
    <row r="2136" customFormat="false" ht="12.75" hidden="false" customHeight="true" outlineLevel="0" collapsed="false">
      <c r="A2136" s="5" t="n">
        <v>127</v>
      </c>
      <c r="B2136" s="5" t="n">
        <v>352</v>
      </c>
      <c r="C2136" s="5" t="n">
        <v>1</v>
      </c>
      <c r="D2136" s="5" t="n">
        <v>0</v>
      </c>
      <c r="E2136" s="5" t="n">
        <v>1E-006</v>
      </c>
    </row>
    <row r="2137" customFormat="false" ht="12.75" hidden="false" customHeight="true" outlineLevel="0" collapsed="false">
      <c r="A2137" s="5" t="n">
        <v>127</v>
      </c>
      <c r="B2137" s="5" t="n">
        <v>353</v>
      </c>
      <c r="C2137" s="5" t="n">
        <v>4</v>
      </c>
      <c r="D2137" s="5" t="n">
        <v>0</v>
      </c>
      <c r="E2137" s="5" t="n">
        <v>4E-006</v>
      </c>
    </row>
    <row r="2138" customFormat="false" ht="12.75" hidden="false" customHeight="true" outlineLevel="0" collapsed="false">
      <c r="A2138" s="5" t="n">
        <v>127</v>
      </c>
      <c r="B2138" s="5" t="n">
        <v>354</v>
      </c>
      <c r="C2138" s="5" t="n">
        <v>40</v>
      </c>
      <c r="D2138" s="5" t="n">
        <v>0</v>
      </c>
      <c r="E2138" s="5" t="n">
        <v>4E-005</v>
      </c>
    </row>
    <row r="2139" customFormat="false" ht="12.75" hidden="false" customHeight="true" outlineLevel="0" collapsed="false">
      <c r="A2139" s="5" t="n">
        <v>127</v>
      </c>
      <c r="B2139" s="5" t="n">
        <v>355</v>
      </c>
      <c r="C2139" s="5" t="n">
        <v>200</v>
      </c>
      <c r="D2139" s="5" t="n">
        <v>0</v>
      </c>
      <c r="E2139" s="5" t="n">
        <v>0.0002</v>
      </c>
    </row>
    <row r="2140" customFormat="false" ht="12.75" hidden="false" customHeight="true" outlineLevel="0" collapsed="false">
      <c r="A2140" s="5" t="n">
        <v>127</v>
      </c>
      <c r="B2140" s="5" t="n">
        <v>356</v>
      </c>
      <c r="C2140" s="5" t="n">
        <v>500</v>
      </c>
      <c r="D2140" s="5" t="n">
        <v>0</v>
      </c>
      <c r="E2140" s="5" t="n">
        <v>0.0005</v>
      </c>
    </row>
    <row r="2141" customFormat="false" ht="12.75" hidden="false" customHeight="true" outlineLevel="0" collapsed="false">
      <c r="A2141" s="5" t="n">
        <v>127</v>
      </c>
      <c r="B2141" s="5" t="n">
        <v>357</v>
      </c>
      <c r="C2141" s="5" t="n">
        <v>1000</v>
      </c>
      <c r="D2141" s="5" t="n">
        <v>0</v>
      </c>
      <c r="E2141" s="5" t="n">
        <v>0.001</v>
      </c>
    </row>
    <row r="2142" customFormat="false" ht="12.75" hidden="false" customHeight="true" outlineLevel="0" collapsed="false">
      <c r="A2142" s="5" t="n">
        <v>127</v>
      </c>
      <c r="B2142" s="5" t="n">
        <v>358</v>
      </c>
      <c r="C2142" s="5" t="n">
        <v>2300</v>
      </c>
      <c r="D2142" s="5" t="n">
        <v>0</v>
      </c>
      <c r="E2142" s="5" t="n">
        <v>0.0023</v>
      </c>
    </row>
    <row r="2143" customFormat="false" ht="12.75" hidden="false" customHeight="true" outlineLevel="0" collapsed="false">
      <c r="A2143" s="5" t="n">
        <v>127</v>
      </c>
      <c r="B2143" s="5" t="n">
        <v>359</v>
      </c>
      <c r="C2143" s="5" t="n">
        <v>4000</v>
      </c>
      <c r="D2143" s="5" t="n">
        <v>0</v>
      </c>
      <c r="E2143" s="5" t="n">
        <v>0.004</v>
      </c>
    </row>
    <row r="2144" customFormat="false" ht="12.75" hidden="false" customHeight="true" outlineLevel="0" collapsed="false">
      <c r="A2144" s="5" t="n">
        <v>127</v>
      </c>
      <c r="B2144" s="5" t="n">
        <v>360</v>
      </c>
      <c r="C2144" s="5" t="n">
        <v>7000</v>
      </c>
      <c r="D2144" s="5" t="n">
        <v>0</v>
      </c>
      <c r="E2144" s="5" t="n">
        <v>0.007</v>
      </c>
    </row>
    <row r="2145" customFormat="false" ht="12.75" hidden="false" customHeight="true" outlineLevel="0" collapsed="false">
      <c r="A2145" s="5" t="n">
        <v>127</v>
      </c>
      <c r="B2145" s="5" t="n">
        <v>361</v>
      </c>
      <c r="C2145" s="5" t="n">
        <v>11200</v>
      </c>
      <c r="D2145" s="5" t="n">
        <v>0.01</v>
      </c>
      <c r="E2145" s="5" t="n">
        <v>0.0112</v>
      </c>
    </row>
    <row r="2146" customFormat="false" ht="12.75" hidden="false" customHeight="true" outlineLevel="0" collapsed="false">
      <c r="A2146" s="5" t="n">
        <v>127</v>
      </c>
      <c r="B2146" s="5" t="n">
        <v>362</v>
      </c>
      <c r="C2146" s="5" t="n">
        <v>18000</v>
      </c>
      <c r="D2146" s="5" t="n">
        <v>0.01</v>
      </c>
      <c r="E2146" s="5" t="n">
        <v>0.018</v>
      </c>
    </row>
    <row r="2147" customFormat="false" ht="12.75" hidden="false" customHeight="true" outlineLevel="0" collapsed="false">
      <c r="A2147" s="5" t="n">
        <v>127</v>
      </c>
      <c r="B2147" s="5" t="n">
        <v>363</v>
      </c>
      <c r="C2147" s="5" t="n">
        <v>27000</v>
      </c>
      <c r="D2147" s="5" t="n">
        <v>0.01</v>
      </c>
      <c r="E2147" s="5" t="n">
        <v>0.027</v>
      </c>
    </row>
    <row r="2148" customFormat="false" ht="12.75" hidden="false" customHeight="true" outlineLevel="0" collapsed="false">
      <c r="A2148" s="5" t="n">
        <v>127</v>
      </c>
      <c r="B2148" s="5" t="n">
        <v>364</v>
      </c>
      <c r="C2148" s="5" t="n">
        <v>40000</v>
      </c>
      <c r="D2148" s="5" t="n">
        <v>0.02</v>
      </c>
      <c r="E2148" s="5" t="n">
        <v>0.04</v>
      </c>
    </row>
    <row r="2149" customFormat="false" ht="12.75" hidden="false" customHeight="true" outlineLevel="0" collapsed="false">
      <c r="A2149" s="5" t="n">
        <v>127</v>
      </c>
      <c r="B2149" s="5" t="n">
        <v>365</v>
      </c>
      <c r="C2149" s="5" t="n">
        <v>59000</v>
      </c>
      <c r="D2149" s="5" t="n">
        <v>0.02</v>
      </c>
      <c r="E2149" s="5" t="n">
        <v>0.059</v>
      </c>
    </row>
    <row r="2150" customFormat="false" ht="12.75" hidden="false" customHeight="true" outlineLevel="0" collapsed="false">
      <c r="A2150" s="5" t="n">
        <v>127</v>
      </c>
      <c r="B2150" s="5" t="n">
        <v>366</v>
      </c>
      <c r="C2150" s="5" t="n">
        <v>84000</v>
      </c>
      <c r="D2150" s="5" t="n">
        <v>0.03</v>
      </c>
      <c r="E2150" s="5" t="n">
        <v>0.084</v>
      </c>
    </row>
    <row r="2151" customFormat="false" ht="12.75" hidden="false" customHeight="true" outlineLevel="0" collapsed="false">
      <c r="A2151" s="5" t="n">
        <v>127</v>
      </c>
      <c r="B2151" s="5" t="n">
        <v>367</v>
      </c>
      <c r="C2151" s="5" t="n">
        <v>118000</v>
      </c>
      <c r="D2151" s="5" t="n">
        <v>0.04</v>
      </c>
      <c r="E2151" s="5" t="n">
        <v>0.118</v>
      </c>
    </row>
    <row r="2152" customFormat="false" ht="12.75" hidden="false" customHeight="true" outlineLevel="0" collapsed="false">
      <c r="A2152" s="5" t="n">
        <v>127</v>
      </c>
      <c r="B2152" s="5" t="n">
        <v>368</v>
      </c>
      <c r="C2152" s="5" t="n">
        <v>165000</v>
      </c>
      <c r="D2152" s="5" t="n">
        <v>0.06</v>
      </c>
      <c r="E2152" s="5" t="n">
        <v>0.165</v>
      </c>
    </row>
    <row r="2153" customFormat="false" ht="12.75" hidden="false" customHeight="true" outlineLevel="0" collapsed="false">
      <c r="A2153" s="5" t="n">
        <v>127</v>
      </c>
      <c r="B2153" s="5" t="n">
        <v>369</v>
      </c>
      <c r="C2153" s="5" t="n">
        <v>213000</v>
      </c>
      <c r="D2153" s="5" t="n">
        <v>0.07</v>
      </c>
      <c r="E2153" s="5" t="n">
        <v>0.213</v>
      </c>
    </row>
    <row r="2154" customFormat="false" ht="12.75" hidden="false" customHeight="true" outlineLevel="0" collapsed="false">
      <c r="A2154" s="5" t="n">
        <v>127</v>
      </c>
      <c r="B2154" s="5" t="n">
        <v>370</v>
      </c>
      <c r="C2154" s="5" t="n">
        <v>321000</v>
      </c>
      <c r="D2154" s="5" t="n">
        <v>0.1</v>
      </c>
      <c r="E2154" s="5" t="n">
        <v>0.321</v>
      </c>
    </row>
    <row r="2155" customFormat="false" ht="12.75" hidden="false" customHeight="true" outlineLevel="0" collapsed="false">
      <c r="A2155" s="5" t="n">
        <v>127</v>
      </c>
      <c r="B2155" s="5" t="n">
        <v>371</v>
      </c>
      <c r="C2155" s="5" t="n">
        <v>445000</v>
      </c>
      <c r="D2155" s="5" t="n">
        <v>0.15</v>
      </c>
      <c r="E2155" s="5" t="n">
        <v>0.445</v>
      </c>
    </row>
    <row r="2156" customFormat="false" ht="12.75" hidden="false" customHeight="true" outlineLevel="0" collapsed="false">
      <c r="A2156" s="5" t="n">
        <v>127</v>
      </c>
      <c r="B2156" s="5" t="n">
        <v>372</v>
      </c>
      <c r="C2156" s="5" t="n">
        <v>631000</v>
      </c>
      <c r="D2156" s="5" t="n">
        <v>0.23</v>
      </c>
      <c r="E2156" s="5" t="n">
        <v>0.631</v>
      </c>
    </row>
    <row r="2157" customFormat="false" ht="12.75" hidden="false" customHeight="true" outlineLevel="0" collapsed="false">
      <c r="A2157" s="5" t="n">
        <v>127</v>
      </c>
      <c r="B2157" s="5" t="n">
        <v>373</v>
      </c>
      <c r="C2157" s="5" t="n">
        <v>921000</v>
      </c>
      <c r="D2157" s="5" t="n">
        <v>0.36</v>
      </c>
      <c r="E2157" s="5" t="n">
        <v>0.921</v>
      </c>
    </row>
    <row r="2158" customFormat="false" ht="12.75" hidden="false" customHeight="true" outlineLevel="0" collapsed="false">
      <c r="A2158" s="5" t="n">
        <v>127</v>
      </c>
      <c r="B2158" s="5" t="n">
        <v>374</v>
      </c>
      <c r="C2158" s="5" t="n">
        <v>1345000</v>
      </c>
      <c r="D2158" s="5" t="n">
        <v>0.48</v>
      </c>
      <c r="E2158" s="5" t="n">
        <v>1.345</v>
      </c>
    </row>
    <row r="2159" customFormat="false" ht="12.75" hidden="false" customHeight="true" outlineLevel="0" collapsed="false">
      <c r="A2159" s="5" t="n">
        <v>127</v>
      </c>
      <c r="B2159" s="5" t="n">
        <v>375</v>
      </c>
      <c r="C2159" s="5" t="n">
        <v>1896000</v>
      </c>
      <c r="D2159" s="5" t="n">
        <v>0.61</v>
      </c>
      <c r="E2159" s="5" t="n">
        <v>1.896</v>
      </c>
    </row>
    <row r="2160" customFormat="false" ht="12.75" hidden="false" customHeight="true" outlineLevel="0" collapsed="false">
      <c r="A2160" s="5" t="n">
        <v>127</v>
      </c>
      <c r="B2160" s="5" t="n">
        <v>376</v>
      </c>
      <c r="C2160" s="5" t="n">
        <v>2584000</v>
      </c>
      <c r="D2160" s="5" t="n">
        <v>0.76</v>
      </c>
      <c r="E2160" s="5" t="n">
        <v>2.584</v>
      </c>
    </row>
    <row r="2161" customFormat="false" ht="12.75" hidden="false" customHeight="true" outlineLevel="0" collapsed="false">
      <c r="A2161" s="5" t="n">
        <v>127</v>
      </c>
      <c r="B2161" s="5" t="n">
        <v>377</v>
      </c>
      <c r="C2161" s="5" t="n">
        <v>3430000</v>
      </c>
      <c r="D2161" s="5" t="n">
        <v>0.93</v>
      </c>
      <c r="E2161" s="5" t="n">
        <v>3.43</v>
      </c>
    </row>
    <row r="2162" customFormat="false" ht="12.75" hidden="false" customHeight="true" outlineLevel="0" collapsed="false">
      <c r="A2162" s="5" t="n">
        <v>127</v>
      </c>
      <c r="B2162" s="5" t="n">
        <v>378</v>
      </c>
      <c r="C2162" s="5" t="n">
        <v>4480000</v>
      </c>
      <c r="D2162" s="5" t="n">
        <v>1.17</v>
      </c>
      <c r="E2162" s="5" t="n">
        <v>4.48</v>
      </c>
    </row>
    <row r="2163" customFormat="false" ht="12.75" hidden="false" customHeight="true" outlineLevel="0" collapsed="false">
      <c r="A2163" s="5" t="n">
        <v>127</v>
      </c>
      <c r="B2163" s="5" t="n">
        <v>379</v>
      </c>
      <c r="C2163" s="5" t="n">
        <v>5780000</v>
      </c>
      <c r="D2163" s="5" t="n">
        <v>1.45</v>
      </c>
      <c r="E2163" s="5" t="n">
        <v>5.78</v>
      </c>
    </row>
    <row r="2164" customFormat="false" ht="12.75" hidden="false" customHeight="true" outlineLevel="0" collapsed="false">
      <c r="A2164" s="5" t="n">
        <v>127</v>
      </c>
      <c r="B2164" s="5" t="n">
        <v>380</v>
      </c>
      <c r="C2164" s="5" t="n">
        <v>7380000</v>
      </c>
      <c r="D2164" s="5" t="n">
        <v>1.75</v>
      </c>
      <c r="E2164" s="5" t="n">
        <v>7.38</v>
      </c>
    </row>
    <row r="2165" customFormat="false" ht="12.75" hidden="false" customHeight="true" outlineLevel="0" collapsed="false">
      <c r="A2165" s="5" t="n">
        <v>127</v>
      </c>
      <c r="B2165" s="5" t="n">
        <v>381</v>
      </c>
      <c r="C2165" s="5" t="n">
        <v>9300000</v>
      </c>
      <c r="D2165" s="5" t="n">
        <v>2.08</v>
      </c>
      <c r="E2165" s="5" t="n">
        <v>9.3</v>
      </c>
    </row>
    <row r="2166" customFormat="false" ht="12.75" hidden="false" customHeight="true" outlineLevel="0" collapsed="false">
      <c r="A2166" s="5" t="n">
        <v>127</v>
      </c>
      <c r="B2166" s="5" t="n">
        <v>382</v>
      </c>
      <c r="C2166" s="5" t="n">
        <v>11526000</v>
      </c>
      <c r="D2166" s="5" t="n">
        <v>2.37</v>
      </c>
      <c r="E2166" s="5" t="n">
        <v>11.526</v>
      </c>
    </row>
    <row r="2167" customFormat="false" ht="12.75" hidden="false" customHeight="true" outlineLevel="0" collapsed="false">
      <c r="A2167" s="5" t="n">
        <v>127</v>
      </c>
      <c r="B2167" s="5" t="n">
        <v>383</v>
      </c>
      <c r="C2167" s="5" t="n">
        <v>14020000</v>
      </c>
      <c r="D2167" s="5" t="n">
        <v>2.58</v>
      </c>
      <c r="E2167" s="5" t="n">
        <v>14.02</v>
      </c>
    </row>
    <row r="2168" customFormat="false" ht="12.75" hidden="false" customHeight="true" outlineLevel="0" collapsed="false">
      <c r="A2168" s="5" t="n">
        <v>127</v>
      </c>
      <c r="B2168" s="5" t="n">
        <v>384</v>
      </c>
      <c r="C2168" s="5" t="n">
        <v>16690000</v>
      </c>
      <c r="D2168" s="5" t="n">
        <v>2.74</v>
      </c>
      <c r="E2168" s="5" t="n">
        <v>16.69</v>
      </c>
    </row>
    <row r="2169" customFormat="false" ht="12.75" hidden="false" customHeight="true" outlineLevel="0" collapsed="false">
      <c r="A2169" s="5" t="n">
        <v>127</v>
      </c>
      <c r="B2169" s="5" t="n">
        <v>384.31</v>
      </c>
      <c r="C2169" s="5" t="n">
        <v>17550000</v>
      </c>
      <c r="D2169" s="5" t="n">
        <v>2.8</v>
      </c>
      <c r="E2169" s="5" t="n">
        <v>17.55</v>
      </c>
    </row>
    <row r="2170" customFormat="false" ht="12.75" hidden="false" customHeight="true" outlineLevel="0" collapsed="false">
      <c r="A2170" s="5" t="n">
        <v>127</v>
      </c>
      <c r="B2170" s="5" t="n">
        <v>385</v>
      </c>
      <c r="C2170" s="5" t="n">
        <v>25830000</v>
      </c>
      <c r="D2170" s="5" t="n">
        <v>3.08</v>
      </c>
      <c r="E2170" s="5" t="n">
        <v>25.83</v>
      </c>
    </row>
    <row r="2171" customFormat="false" ht="12.75" hidden="false" customHeight="true" outlineLevel="0" collapsed="false">
      <c r="A2171" s="5" t="n">
        <v>127</v>
      </c>
      <c r="B2171" s="5" t="n">
        <v>390</v>
      </c>
      <c r="C2171" s="5" t="n">
        <v>46780000</v>
      </c>
      <c r="D2171" s="5" t="n">
        <v>5.3</v>
      </c>
      <c r="E2171" s="5" t="n">
        <v>46.78</v>
      </c>
    </row>
    <row r="2172" customFormat="false" ht="12.75" hidden="false" customHeight="true" outlineLevel="0" collapsed="false">
      <c r="A2172" s="5" t="n">
        <v>127</v>
      </c>
      <c r="B2172" s="5" t="n">
        <v>393</v>
      </c>
      <c r="C2172" s="5" t="n">
        <v>69250000</v>
      </c>
      <c r="D2172" s="5" t="n">
        <v>6.6</v>
      </c>
      <c r="E2172" s="5" t="n">
        <v>69.25</v>
      </c>
    </row>
    <row r="2173" customFormat="false" ht="12.75" hidden="false" customHeight="true" outlineLevel="0" collapsed="false">
      <c r="A2173" s="5" t="n">
        <v>127</v>
      </c>
      <c r="B2173" s="5" t="n">
        <v>395</v>
      </c>
      <c r="C2173" s="5" t="n">
        <v>83850000</v>
      </c>
      <c r="D2173" s="5" t="n">
        <v>18</v>
      </c>
      <c r="E2173" s="5" t="n">
        <v>83.85</v>
      </c>
    </row>
    <row r="2174" customFormat="false" ht="12.75" hidden="false" customHeight="true" outlineLevel="0" collapsed="false">
      <c r="A2174" s="5" t="n">
        <v>127</v>
      </c>
      <c r="B2174" s="5" t="n">
        <v>400</v>
      </c>
      <c r="C2174" s="5" t="n">
        <v>128850000</v>
      </c>
      <c r="D2174" s="5" t="n">
        <v>20</v>
      </c>
      <c r="E2174" s="5" t="n">
        <v>128.85</v>
      </c>
    </row>
    <row r="2175" customFormat="false" ht="12.75" hidden="false" customHeight="true" outlineLevel="0" collapsed="false">
      <c r="A2175" s="5" t="n">
        <v>128</v>
      </c>
      <c r="B2175" s="5" t="n">
        <v>100</v>
      </c>
      <c r="C2175" s="5" t="n">
        <v>0</v>
      </c>
      <c r="D2175" s="5" t="n">
        <v>0.29</v>
      </c>
      <c r="E2175" s="5" t="n">
        <v>0</v>
      </c>
    </row>
    <row r="2176" customFormat="false" ht="12.75" hidden="false" customHeight="true" outlineLevel="0" collapsed="false">
      <c r="A2176" s="5" t="n">
        <v>128</v>
      </c>
      <c r="B2176" s="5" t="n">
        <v>101</v>
      </c>
      <c r="C2176" s="5" t="n">
        <v>420000</v>
      </c>
      <c r="D2176" s="5" t="n">
        <v>0.54</v>
      </c>
      <c r="E2176" s="5" t="n">
        <v>0.42</v>
      </c>
    </row>
    <row r="2177" customFormat="false" ht="12.75" hidden="false" customHeight="true" outlineLevel="0" collapsed="false">
      <c r="A2177" s="5" t="n">
        <v>128</v>
      </c>
      <c r="B2177" s="5" t="n">
        <v>102</v>
      </c>
      <c r="C2177" s="5" t="n">
        <v>1120000</v>
      </c>
      <c r="D2177" s="5" t="n">
        <v>0.85</v>
      </c>
      <c r="E2177" s="5" t="n">
        <v>1.12</v>
      </c>
    </row>
    <row r="2178" customFormat="false" ht="12.75" hidden="false" customHeight="true" outlineLevel="0" collapsed="false">
      <c r="A2178" s="5" t="n">
        <v>128</v>
      </c>
      <c r="B2178" s="5" t="n">
        <v>103</v>
      </c>
      <c r="C2178" s="5" t="n">
        <v>2150000</v>
      </c>
      <c r="D2178" s="5" t="n">
        <v>1.21</v>
      </c>
      <c r="E2178" s="5" t="n">
        <v>2.15</v>
      </c>
    </row>
    <row r="2179" customFormat="false" ht="12.75" hidden="false" customHeight="true" outlineLevel="0" collapsed="false">
      <c r="A2179" s="5" t="n">
        <v>128</v>
      </c>
      <c r="B2179" s="5" t="n">
        <v>104</v>
      </c>
      <c r="C2179" s="5" t="n">
        <v>3590000</v>
      </c>
      <c r="D2179" s="5" t="n">
        <v>1.66</v>
      </c>
      <c r="E2179" s="5" t="n">
        <v>3.59</v>
      </c>
    </row>
    <row r="2180" customFormat="false" ht="12.75" hidden="false" customHeight="true" outlineLevel="0" collapsed="false">
      <c r="A2180" s="5" t="n">
        <v>128</v>
      </c>
      <c r="B2180" s="5" t="n">
        <v>105</v>
      </c>
      <c r="C2180" s="5" t="n">
        <v>5480000</v>
      </c>
      <c r="D2180" s="5" t="n">
        <v>2.13</v>
      </c>
      <c r="E2180" s="5" t="n">
        <v>5.48</v>
      </c>
    </row>
    <row r="2181" customFormat="false" ht="12.75" hidden="false" customHeight="true" outlineLevel="0" collapsed="false">
      <c r="A2181" s="5" t="n">
        <v>128</v>
      </c>
      <c r="B2181" s="5" t="n">
        <v>106</v>
      </c>
      <c r="C2181" s="5" t="n">
        <v>7860000</v>
      </c>
      <c r="D2181" s="5" t="n">
        <v>2.62</v>
      </c>
      <c r="E2181" s="5" t="n">
        <v>7.86</v>
      </c>
    </row>
    <row r="2182" customFormat="false" ht="12.75" hidden="false" customHeight="true" outlineLevel="0" collapsed="false">
      <c r="A2182" s="5" t="n">
        <v>128</v>
      </c>
      <c r="B2182" s="5" t="n">
        <v>106.5</v>
      </c>
      <c r="C2182" s="5" t="n">
        <v>9500000</v>
      </c>
      <c r="D2182" s="5" t="n">
        <v>2.85</v>
      </c>
      <c r="E2182" s="5" t="n">
        <v>9.5</v>
      </c>
    </row>
    <row r="2183" customFormat="false" ht="12.75" hidden="false" customHeight="true" outlineLevel="0" collapsed="false">
      <c r="A2183" s="5" t="n">
        <v>128</v>
      </c>
      <c r="B2183" s="5" t="n">
        <v>107</v>
      </c>
      <c r="C2183" s="5" t="n">
        <v>11000000</v>
      </c>
      <c r="D2183" s="5" t="n">
        <v>3.07</v>
      </c>
      <c r="E2183" s="5" t="n">
        <v>11</v>
      </c>
    </row>
    <row r="2184" customFormat="false" ht="12.75" hidden="false" customHeight="true" outlineLevel="0" collapsed="false">
      <c r="A2184" s="5" t="n">
        <v>128</v>
      </c>
      <c r="B2184" s="5" t="n">
        <v>108</v>
      </c>
      <c r="C2184" s="5" t="n">
        <v>14400000</v>
      </c>
      <c r="D2184" s="5" t="n">
        <v>3.27</v>
      </c>
      <c r="E2184" s="5" t="n">
        <v>14.4</v>
      </c>
    </row>
    <row r="2185" customFormat="false" ht="12.75" hidden="false" customHeight="true" outlineLevel="0" collapsed="false">
      <c r="A2185" s="5" t="n">
        <v>128</v>
      </c>
      <c r="B2185" s="5" t="n">
        <v>109</v>
      </c>
      <c r="C2185" s="5" t="n">
        <v>18400000</v>
      </c>
      <c r="D2185" s="5" t="n">
        <v>4.1</v>
      </c>
      <c r="E2185" s="5" t="n">
        <v>18.4</v>
      </c>
    </row>
    <row r="2186" customFormat="false" ht="12.75" hidden="false" customHeight="true" outlineLevel="0" collapsed="false">
      <c r="A2186" s="5" t="n">
        <v>128</v>
      </c>
      <c r="B2186" s="5" t="n">
        <v>110</v>
      </c>
      <c r="C2186" s="5" t="n">
        <v>22600000</v>
      </c>
      <c r="D2186" s="5" t="n">
        <v>4.7</v>
      </c>
      <c r="E2186" s="5" t="n">
        <v>22.6</v>
      </c>
    </row>
    <row r="2187" customFormat="false" ht="12.75" hidden="false" customHeight="true" outlineLevel="0" collapsed="false">
      <c r="A2187" s="5" t="n">
        <v>128</v>
      </c>
      <c r="B2187" s="5" t="n">
        <v>111</v>
      </c>
      <c r="C2187" s="5" t="n">
        <v>27400000</v>
      </c>
      <c r="D2187" s="5" t="n">
        <v>5.3</v>
      </c>
      <c r="E2187" s="5" t="n">
        <v>27.4</v>
      </c>
    </row>
    <row r="2188" customFormat="false" ht="12.75" hidden="false" customHeight="true" outlineLevel="0" collapsed="false">
      <c r="A2188" s="5" t="n">
        <v>128</v>
      </c>
      <c r="B2188" s="5" t="n">
        <v>112</v>
      </c>
      <c r="C2188" s="5" t="n">
        <v>33200000</v>
      </c>
      <c r="D2188" s="5" t="n">
        <v>5.7</v>
      </c>
      <c r="E2188" s="5" t="n">
        <v>33.2</v>
      </c>
    </row>
    <row r="2189" customFormat="false" ht="12.75" hidden="false" customHeight="true" outlineLevel="0" collapsed="false">
      <c r="A2189" s="5" t="n">
        <v>128</v>
      </c>
      <c r="B2189" s="5" t="n">
        <v>113</v>
      </c>
      <c r="C2189" s="5" t="n">
        <v>39200000</v>
      </c>
      <c r="D2189" s="5" t="n">
        <v>6.1</v>
      </c>
      <c r="E2189" s="5" t="n">
        <v>39.2</v>
      </c>
    </row>
    <row r="2190" customFormat="false" ht="12.75" hidden="false" customHeight="true" outlineLevel="0" collapsed="false">
      <c r="A2190" s="5" t="n">
        <v>128</v>
      </c>
      <c r="B2190" s="5" t="n">
        <v>114</v>
      </c>
      <c r="C2190" s="5" t="n">
        <v>45400000</v>
      </c>
      <c r="D2190" s="5" t="n">
        <v>6.78</v>
      </c>
      <c r="E2190" s="5" t="n">
        <v>45.4</v>
      </c>
    </row>
    <row r="2191" customFormat="false" ht="12.75" hidden="false" customHeight="true" outlineLevel="0" collapsed="false">
      <c r="A2191" s="5" t="n">
        <v>128</v>
      </c>
      <c r="B2191" s="5" t="n">
        <v>115</v>
      </c>
      <c r="C2191" s="5" t="n">
        <v>52760000</v>
      </c>
      <c r="D2191" s="5" t="n">
        <v>7.46</v>
      </c>
      <c r="E2191" s="5" t="n">
        <v>52.76</v>
      </c>
    </row>
    <row r="2192" customFormat="false" ht="12.75" hidden="false" customHeight="true" outlineLevel="0" collapsed="false">
      <c r="A2192" s="5" t="n">
        <v>129</v>
      </c>
      <c r="B2192" s="5" t="n">
        <v>85</v>
      </c>
      <c r="C2192" s="5" t="n">
        <v>0</v>
      </c>
      <c r="D2192" s="5" t="n">
        <v>0</v>
      </c>
      <c r="E2192" s="5" t="n">
        <v>0</v>
      </c>
    </row>
    <row r="2193" customFormat="false" ht="12.75" hidden="false" customHeight="true" outlineLevel="0" collapsed="false">
      <c r="A2193" s="5" t="n">
        <v>129</v>
      </c>
      <c r="B2193" s="5" t="n">
        <v>86</v>
      </c>
      <c r="C2193" s="5" t="n">
        <v>1250</v>
      </c>
      <c r="D2193" s="5" t="n">
        <v>0.0025</v>
      </c>
      <c r="E2193" s="5" t="n">
        <v>0.00125</v>
      </c>
    </row>
    <row r="2194" customFormat="false" ht="12.75" hidden="false" customHeight="true" outlineLevel="0" collapsed="false">
      <c r="A2194" s="5" t="n">
        <v>129</v>
      </c>
      <c r="B2194" s="5" t="n">
        <v>87</v>
      </c>
      <c r="C2194" s="5" t="n">
        <v>6250</v>
      </c>
      <c r="D2194" s="5" t="n">
        <v>0.0075</v>
      </c>
      <c r="E2194" s="5" t="n">
        <v>0.00625</v>
      </c>
    </row>
    <row r="2195" customFormat="false" ht="12.75" hidden="false" customHeight="true" outlineLevel="0" collapsed="false">
      <c r="A2195" s="5" t="n">
        <v>129</v>
      </c>
      <c r="B2195" s="5" t="n">
        <v>88</v>
      </c>
      <c r="C2195" s="5" t="n">
        <v>10000</v>
      </c>
      <c r="D2195" s="5" t="n">
        <v>0.01</v>
      </c>
      <c r="E2195" s="5" t="n">
        <v>0.01</v>
      </c>
    </row>
    <row r="2196" customFormat="false" ht="12.75" hidden="false" customHeight="true" outlineLevel="0" collapsed="false">
      <c r="A2196" s="5" t="n">
        <v>129</v>
      </c>
      <c r="B2196" s="5" t="n">
        <v>89</v>
      </c>
      <c r="C2196" s="5" t="n">
        <v>40000</v>
      </c>
      <c r="D2196" s="5" t="n">
        <v>0.03</v>
      </c>
      <c r="E2196" s="5" t="n">
        <v>0.04</v>
      </c>
    </row>
    <row r="2197" customFormat="false" ht="12.75" hidden="false" customHeight="true" outlineLevel="0" collapsed="false">
      <c r="A2197" s="5" t="n">
        <v>129</v>
      </c>
      <c r="B2197" s="5" t="n">
        <v>90</v>
      </c>
      <c r="C2197" s="5" t="n">
        <v>110000</v>
      </c>
      <c r="D2197" s="5" t="n">
        <v>0.09</v>
      </c>
      <c r="E2197" s="5" t="n">
        <v>0.11</v>
      </c>
    </row>
    <row r="2198" customFormat="false" ht="12.75" hidden="false" customHeight="true" outlineLevel="0" collapsed="false">
      <c r="A2198" s="5" t="n">
        <v>129</v>
      </c>
      <c r="B2198" s="5" t="n">
        <v>91</v>
      </c>
      <c r="C2198" s="5" t="n">
        <v>220000</v>
      </c>
      <c r="D2198" s="5" t="n">
        <v>0.13</v>
      </c>
      <c r="E2198" s="5" t="n">
        <v>0.22</v>
      </c>
    </row>
    <row r="2199" customFormat="false" ht="12.75" hidden="false" customHeight="true" outlineLevel="0" collapsed="false">
      <c r="A2199" s="5" t="n">
        <v>129</v>
      </c>
      <c r="B2199" s="5" t="n">
        <v>92</v>
      </c>
      <c r="C2199" s="5" t="n">
        <v>390000</v>
      </c>
      <c r="D2199" s="5" t="n">
        <v>0.2</v>
      </c>
      <c r="E2199" s="5" t="n">
        <v>0.39</v>
      </c>
    </row>
    <row r="2200" customFormat="false" ht="12.75" hidden="false" customHeight="true" outlineLevel="0" collapsed="false">
      <c r="A2200" s="5" t="n">
        <v>129</v>
      </c>
      <c r="B2200" s="5" t="n">
        <v>93</v>
      </c>
      <c r="C2200" s="5" t="n">
        <v>620000</v>
      </c>
      <c r="D2200" s="5" t="n">
        <v>0.25</v>
      </c>
      <c r="E2200" s="5" t="n">
        <v>0.62</v>
      </c>
    </row>
    <row r="2201" customFormat="false" ht="12.75" hidden="false" customHeight="true" outlineLevel="0" collapsed="false">
      <c r="A2201" s="5" t="n">
        <v>129</v>
      </c>
      <c r="B2201" s="5" t="n">
        <v>94</v>
      </c>
      <c r="C2201" s="5" t="n">
        <v>930000</v>
      </c>
      <c r="D2201" s="5" t="n">
        <v>0.35</v>
      </c>
      <c r="E2201" s="5" t="n">
        <v>0.93</v>
      </c>
    </row>
    <row r="2202" customFormat="false" ht="12.75" hidden="false" customHeight="true" outlineLevel="0" collapsed="false">
      <c r="A2202" s="5" t="n">
        <v>129</v>
      </c>
      <c r="B2202" s="5" t="n">
        <v>95</v>
      </c>
      <c r="C2202" s="5" t="n">
        <v>1330000</v>
      </c>
      <c r="D2202" s="5" t="n">
        <v>0.45</v>
      </c>
      <c r="E2202" s="5" t="n">
        <v>1.33</v>
      </c>
    </row>
    <row r="2203" customFormat="false" ht="12.75" hidden="false" customHeight="true" outlineLevel="0" collapsed="false">
      <c r="A2203" s="5" t="n">
        <v>129</v>
      </c>
      <c r="B2203" s="5" t="n">
        <v>96</v>
      </c>
      <c r="C2203" s="5" t="n">
        <v>1850000</v>
      </c>
      <c r="D2203" s="5" t="n">
        <v>0.57</v>
      </c>
      <c r="E2203" s="5" t="n">
        <v>1.85</v>
      </c>
    </row>
    <row r="2204" customFormat="false" ht="12.75" hidden="false" customHeight="true" outlineLevel="0" collapsed="false">
      <c r="A2204" s="5" t="n">
        <v>129</v>
      </c>
      <c r="B2204" s="5" t="n">
        <v>97</v>
      </c>
      <c r="C2204" s="5" t="n">
        <v>2490000</v>
      </c>
      <c r="D2204" s="5" t="n">
        <v>0.71</v>
      </c>
      <c r="E2204" s="5" t="n">
        <v>2.49</v>
      </c>
    </row>
    <row r="2205" customFormat="false" ht="12.75" hidden="false" customHeight="true" outlineLevel="0" collapsed="false">
      <c r="A2205" s="5" t="n">
        <v>129</v>
      </c>
      <c r="B2205" s="5" t="n">
        <v>98</v>
      </c>
      <c r="C2205" s="5" t="n">
        <v>3300000</v>
      </c>
      <c r="D2205" s="5" t="n">
        <v>0.9</v>
      </c>
      <c r="E2205" s="5" t="n">
        <v>3.3</v>
      </c>
    </row>
    <row r="2206" customFormat="false" ht="12.75" hidden="false" customHeight="true" outlineLevel="0" collapsed="false">
      <c r="A2206" s="5" t="n">
        <v>129</v>
      </c>
      <c r="B2206" s="5" t="n">
        <v>99</v>
      </c>
      <c r="C2206" s="5" t="n">
        <v>4300000</v>
      </c>
      <c r="D2206" s="5" t="n">
        <v>1.11</v>
      </c>
      <c r="E2206" s="5" t="n">
        <v>4.3</v>
      </c>
    </row>
    <row r="2207" customFormat="false" ht="12.75" hidden="false" customHeight="true" outlineLevel="0" collapsed="false">
      <c r="A2207" s="5" t="n">
        <v>129</v>
      </c>
      <c r="B2207" s="5" t="n">
        <v>100</v>
      </c>
      <c r="C2207" s="5" t="n">
        <v>5510000</v>
      </c>
      <c r="D2207" s="5" t="n">
        <v>1.3</v>
      </c>
      <c r="E2207" s="5" t="n">
        <v>5.51</v>
      </c>
    </row>
    <row r="2208" customFormat="false" ht="12.75" hidden="false" customHeight="true" outlineLevel="0" collapsed="false">
      <c r="A2208" s="5" t="n">
        <v>129</v>
      </c>
      <c r="B2208" s="5" t="n">
        <v>101</v>
      </c>
      <c r="C2208" s="5" t="n">
        <v>6880000</v>
      </c>
      <c r="D2208" s="5" t="n">
        <v>1.57</v>
      </c>
      <c r="E2208" s="5" t="n">
        <v>6.88</v>
      </c>
    </row>
    <row r="2209" customFormat="false" ht="12.75" hidden="false" customHeight="true" outlineLevel="0" collapsed="false">
      <c r="A2209" s="5" t="n">
        <v>130</v>
      </c>
      <c r="B2209" s="5" t="n">
        <v>83.81</v>
      </c>
      <c r="C2209" s="5" t="n">
        <v>0</v>
      </c>
      <c r="D2209" s="5" t="n">
        <v>0</v>
      </c>
      <c r="E2209" s="5" t="n">
        <v>0</v>
      </c>
    </row>
    <row r="2210" customFormat="false" ht="12.75" hidden="false" customHeight="true" outlineLevel="0" collapsed="false">
      <c r="A2210" s="5" t="n">
        <v>130</v>
      </c>
      <c r="B2210" s="5" t="n">
        <v>84</v>
      </c>
      <c r="C2210" s="5" t="n">
        <v>300</v>
      </c>
      <c r="D2210" s="5" t="n">
        <v>0</v>
      </c>
      <c r="E2210" s="5" t="n">
        <v>0.0003</v>
      </c>
    </row>
    <row r="2211" customFormat="false" ht="12.75" hidden="false" customHeight="true" outlineLevel="0" collapsed="false">
      <c r="A2211" s="5" t="n">
        <v>130</v>
      </c>
      <c r="B2211" s="5" t="n">
        <v>85</v>
      </c>
      <c r="C2211" s="5" t="n">
        <v>4600</v>
      </c>
      <c r="D2211" s="5" t="n">
        <v>0.01</v>
      </c>
      <c r="E2211" s="5" t="n">
        <v>0.0046</v>
      </c>
    </row>
    <row r="2212" customFormat="false" ht="12.75" hidden="false" customHeight="true" outlineLevel="0" collapsed="false">
      <c r="A2212" s="5" t="n">
        <v>130</v>
      </c>
      <c r="B2212" s="5" t="n">
        <v>86</v>
      </c>
      <c r="C2212" s="5" t="n">
        <v>18000</v>
      </c>
      <c r="D2212" s="5" t="n">
        <v>0.02</v>
      </c>
      <c r="E2212" s="5" t="n">
        <v>0.018</v>
      </c>
    </row>
    <row r="2213" customFormat="false" ht="12.75" hidden="false" customHeight="true" outlineLevel="0" collapsed="false">
      <c r="A2213" s="5" t="n">
        <v>130</v>
      </c>
      <c r="B2213" s="5" t="n">
        <v>87</v>
      </c>
      <c r="C2213" s="5" t="n">
        <v>55000</v>
      </c>
      <c r="D2213" s="5" t="n">
        <v>0.06</v>
      </c>
      <c r="E2213" s="5" t="n">
        <v>0.055</v>
      </c>
    </row>
    <row r="2214" customFormat="false" ht="12.75" hidden="false" customHeight="true" outlineLevel="0" collapsed="false">
      <c r="A2214" s="5" t="n">
        <v>130</v>
      </c>
      <c r="B2214" s="5" t="n">
        <v>88</v>
      </c>
      <c r="C2214" s="5" t="n">
        <v>138000</v>
      </c>
      <c r="D2214" s="5" t="n">
        <v>0.12</v>
      </c>
      <c r="E2214" s="5" t="n">
        <v>0.138</v>
      </c>
    </row>
    <row r="2215" customFormat="false" ht="12.75" hidden="false" customHeight="true" outlineLevel="0" collapsed="false">
      <c r="A2215" s="5" t="n">
        <v>130</v>
      </c>
      <c r="B2215" s="5" t="n">
        <v>89</v>
      </c>
      <c r="C2215" s="5" t="n">
        <v>293000</v>
      </c>
      <c r="D2215" s="5" t="n">
        <v>0.2</v>
      </c>
      <c r="E2215" s="5" t="n">
        <v>0.293</v>
      </c>
    </row>
    <row r="2216" customFormat="false" ht="12.75" hidden="false" customHeight="true" outlineLevel="0" collapsed="false">
      <c r="A2216" s="5" t="n">
        <v>130</v>
      </c>
      <c r="B2216" s="5" t="n">
        <v>90</v>
      </c>
      <c r="C2216" s="5" t="n">
        <v>563000</v>
      </c>
      <c r="D2216" s="5" t="n">
        <v>0.36</v>
      </c>
      <c r="E2216" s="5" t="n">
        <v>0.563</v>
      </c>
    </row>
    <row r="2217" customFormat="false" ht="12.75" hidden="false" customHeight="true" outlineLevel="0" collapsed="false">
      <c r="A2217" s="5" t="n">
        <v>130</v>
      </c>
      <c r="B2217" s="5" t="n">
        <v>91</v>
      </c>
      <c r="C2217" s="5" t="n">
        <v>1013000</v>
      </c>
      <c r="D2217" s="5" t="n">
        <v>0.55</v>
      </c>
      <c r="E2217" s="5" t="n">
        <v>1.013</v>
      </c>
    </row>
    <row r="2218" customFormat="false" ht="12.75" hidden="false" customHeight="true" outlineLevel="0" collapsed="false">
      <c r="A2218" s="5" t="n">
        <v>130</v>
      </c>
      <c r="B2218" s="5" t="n">
        <v>92</v>
      </c>
      <c r="C2218" s="5" t="n">
        <v>1660000</v>
      </c>
      <c r="D2218" s="5" t="n">
        <v>0.73</v>
      </c>
      <c r="E2218" s="5" t="n">
        <v>1.66</v>
      </c>
    </row>
    <row r="2219" customFormat="false" ht="12.75" hidden="false" customHeight="true" outlineLevel="0" collapsed="false">
      <c r="A2219" s="5" t="n">
        <v>130</v>
      </c>
      <c r="B2219" s="5" t="n">
        <v>93</v>
      </c>
      <c r="C2219" s="5" t="n">
        <v>2440000</v>
      </c>
      <c r="D2219" s="5" t="n">
        <v>0.83</v>
      </c>
      <c r="E2219" s="5" t="n">
        <v>2.44</v>
      </c>
    </row>
    <row r="2220" customFormat="false" ht="12.75" hidden="false" customHeight="true" outlineLevel="0" collapsed="false">
      <c r="A2220" s="5" t="n">
        <v>130</v>
      </c>
      <c r="B2220" s="5" t="n">
        <v>93.3</v>
      </c>
      <c r="C2220" s="5" t="n">
        <v>2700000</v>
      </c>
      <c r="D2220" s="5" t="n">
        <v>0.92</v>
      </c>
      <c r="E2220" s="5" t="n">
        <v>2.7</v>
      </c>
    </row>
    <row r="2221" customFormat="false" ht="12.75" hidden="false" customHeight="true" outlineLevel="0" collapsed="false">
      <c r="A2221" s="5" t="n">
        <v>130</v>
      </c>
      <c r="B2221" s="5" t="n">
        <v>94</v>
      </c>
      <c r="C2221" s="5" t="n">
        <v>3350000</v>
      </c>
      <c r="D2221" s="5" t="n">
        <v>1.1</v>
      </c>
      <c r="E2221" s="5" t="n">
        <v>3.35</v>
      </c>
    </row>
    <row r="2222" customFormat="false" ht="12.75" hidden="false" customHeight="true" outlineLevel="0" collapsed="false">
      <c r="A2222" s="5" t="n">
        <v>130</v>
      </c>
      <c r="B2222" s="5" t="n">
        <v>95</v>
      </c>
      <c r="C2222" s="5" t="n">
        <v>4550000</v>
      </c>
      <c r="D2222" s="5" t="n">
        <v>1.37</v>
      </c>
      <c r="E2222" s="5" t="n">
        <v>4.55</v>
      </c>
    </row>
    <row r="2223" customFormat="false" ht="12.75" hidden="false" customHeight="true" outlineLevel="0" collapsed="false">
      <c r="A2223" s="5" t="n">
        <v>130</v>
      </c>
      <c r="B2223" s="5" t="n">
        <v>96</v>
      </c>
      <c r="C2223" s="5" t="n">
        <v>6014000</v>
      </c>
      <c r="D2223" s="5" t="n">
        <v>1.64</v>
      </c>
      <c r="E2223" s="5" t="n">
        <v>6.014</v>
      </c>
    </row>
    <row r="2224" customFormat="false" ht="12.75" hidden="false" customHeight="true" outlineLevel="0" collapsed="false">
      <c r="A2224" s="5" t="n">
        <v>130</v>
      </c>
      <c r="B2224" s="5" t="n">
        <v>97</v>
      </c>
      <c r="C2224" s="5" t="n">
        <v>7760000</v>
      </c>
      <c r="D2224" s="5" t="n">
        <v>1.93</v>
      </c>
      <c r="E2224" s="5" t="n">
        <v>7.76</v>
      </c>
    </row>
    <row r="2225" customFormat="false" ht="12.75" hidden="false" customHeight="true" outlineLevel="0" collapsed="false">
      <c r="A2225" s="5" t="n">
        <v>130</v>
      </c>
      <c r="B2225" s="5" t="n">
        <v>98</v>
      </c>
      <c r="C2225" s="5" t="n">
        <v>9830000</v>
      </c>
      <c r="D2225" s="5" t="n">
        <v>2.27</v>
      </c>
      <c r="E2225" s="5" t="n">
        <v>9.83</v>
      </c>
    </row>
    <row r="2226" customFormat="false" ht="12.75" hidden="false" customHeight="true" outlineLevel="0" collapsed="false">
      <c r="A2226" s="5" t="n">
        <v>130</v>
      </c>
      <c r="B2226" s="5" t="n">
        <v>99</v>
      </c>
      <c r="C2226" s="5" t="n">
        <v>12250000</v>
      </c>
      <c r="D2226" s="5" t="n">
        <v>2.63</v>
      </c>
      <c r="E2226" s="5" t="n">
        <v>12.25</v>
      </c>
    </row>
    <row r="2227" customFormat="false" ht="12.75" hidden="false" customHeight="true" outlineLevel="0" collapsed="false">
      <c r="A2227" s="5" t="n">
        <v>130</v>
      </c>
      <c r="B2227" s="5" t="n">
        <v>100</v>
      </c>
      <c r="C2227" s="5" t="n">
        <v>15080000</v>
      </c>
      <c r="D2227" s="5" t="n">
        <v>3.14</v>
      </c>
      <c r="E2227" s="5" t="n">
        <v>15.08</v>
      </c>
    </row>
    <row r="2228" customFormat="false" ht="12.75" hidden="false" customHeight="true" outlineLevel="0" collapsed="false">
      <c r="A2228" s="5" t="n">
        <v>130</v>
      </c>
      <c r="B2228" s="5" t="n">
        <v>101</v>
      </c>
      <c r="C2228" s="5" t="n">
        <v>18600000</v>
      </c>
      <c r="D2228" s="5" t="n">
        <v>3.96</v>
      </c>
      <c r="E2228" s="5" t="n">
        <v>18.6</v>
      </c>
    </row>
    <row r="2229" customFormat="false" ht="12.75" hidden="false" customHeight="true" outlineLevel="0" collapsed="false">
      <c r="A2229" s="5" t="n">
        <v>130</v>
      </c>
      <c r="B2229" s="5" t="n">
        <v>101.5</v>
      </c>
      <c r="C2229" s="5" t="n">
        <v>20700000</v>
      </c>
      <c r="D2229" s="5" t="n">
        <v>4.59</v>
      </c>
      <c r="E2229" s="5" t="n">
        <v>20.7</v>
      </c>
    </row>
    <row r="2230" customFormat="false" ht="12.75" hidden="false" customHeight="true" outlineLevel="0" collapsed="false">
      <c r="A2230" s="5" t="n">
        <v>130</v>
      </c>
      <c r="B2230" s="5" t="n">
        <v>102.5</v>
      </c>
      <c r="C2230" s="5" t="n">
        <v>24750000</v>
      </c>
      <c r="D2230" s="5" t="n">
        <v>5.04</v>
      </c>
      <c r="E2230" s="5" t="n">
        <v>24.75</v>
      </c>
    </row>
    <row r="2231" customFormat="false" ht="12.75" hidden="false" customHeight="true" outlineLevel="0" collapsed="false">
      <c r="A2231" s="5" t="n">
        <v>131</v>
      </c>
      <c r="B2231" s="5" t="n">
        <v>266</v>
      </c>
      <c r="C2231" s="5" t="n">
        <v>5000</v>
      </c>
      <c r="D2231" s="5" t="n">
        <v>0.01</v>
      </c>
      <c r="E2231" s="5" t="n">
        <v>0.005</v>
      </c>
    </row>
    <row r="2232" customFormat="false" ht="12.75" hidden="false" customHeight="true" outlineLevel="0" collapsed="false">
      <c r="A2232" s="5" t="n">
        <v>131</v>
      </c>
      <c r="B2232" s="5" t="n">
        <v>267</v>
      </c>
      <c r="C2232" s="5" t="n">
        <v>20000</v>
      </c>
      <c r="D2232" s="5" t="n">
        <v>0.02</v>
      </c>
      <c r="E2232" s="5" t="n">
        <v>0.02</v>
      </c>
    </row>
    <row r="2233" customFormat="false" ht="12.75" hidden="false" customHeight="true" outlineLevel="0" collapsed="false">
      <c r="A2233" s="5" t="n">
        <v>131</v>
      </c>
      <c r="B2233" s="5" t="n">
        <v>268</v>
      </c>
      <c r="C2233" s="5" t="n">
        <v>50000</v>
      </c>
      <c r="D2233" s="5" t="n">
        <v>0.04</v>
      </c>
      <c r="E2233" s="5" t="n">
        <v>0.05</v>
      </c>
    </row>
    <row r="2234" customFormat="false" ht="12.75" hidden="false" customHeight="true" outlineLevel="0" collapsed="false">
      <c r="A2234" s="5" t="n">
        <v>131</v>
      </c>
      <c r="B2234" s="5" t="n">
        <v>269</v>
      </c>
      <c r="C2234" s="5" t="n">
        <v>110000</v>
      </c>
      <c r="D2234" s="5" t="n">
        <v>0.08</v>
      </c>
      <c r="E2234" s="5" t="n">
        <v>0.11</v>
      </c>
    </row>
    <row r="2235" customFormat="false" ht="12.75" hidden="false" customHeight="true" outlineLevel="0" collapsed="false">
      <c r="A2235" s="5" t="n">
        <v>131</v>
      </c>
      <c r="B2235" s="5" t="n">
        <v>270</v>
      </c>
      <c r="C2235" s="5" t="n">
        <v>230000</v>
      </c>
      <c r="D2235" s="5" t="n">
        <v>0.15</v>
      </c>
      <c r="E2235" s="5" t="n">
        <v>0.23</v>
      </c>
    </row>
    <row r="2236" customFormat="false" ht="12.75" hidden="false" customHeight="true" outlineLevel="0" collapsed="false">
      <c r="A2236" s="5" t="n">
        <v>131</v>
      </c>
      <c r="B2236" s="5" t="n">
        <v>271</v>
      </c>
      <c r="C2236" s="5" t="n">
        <v>440000</v>
      </c>
      <c r="D2236" s="5" t="n">
        <v>0.24</v>
      </c>
      <c r="E2236" s="5" t="n">
        <v>0.44</v>
      </c>
    </row>
    <row r="2237" customFormat="false" ht="12.75" hidden="false" customHeight="true" outlineLevel="0" collapsed="false">
      <c r="A2237" s="5" t="n">
        <v>131</v>
      </c>
      <c r="B2237" s="5" t="n">
        <v>272</v>
      </c>
      <c r="C2237" s="5" t="n">
        <v>740000</v>
      </c>
      <c r="D2237" s="5" t="n">
        <v>0.37</v>
      </c>
      <c r="E2237" s="5" t="n">
        <v>0.74</v>
      </c>
    </row>
    <row r="2238" customFormat="false" ht="12.75" hidden="false" customHeight="true" outlineLevel="0" collapsed="false">
      <c r="A2238" s="5" t="n">
        <v>131</v>
      </c>
      <c r="B2238" s="5" t="n">
        <v>273</v>
      </c>
      <c r="C2238" s="5" t="n">
        <v>1200000</v>
      </c>
      <c r="D2238" s="5" t="n">
        <v>0.53</v>
      </c>
      <c r="E2238" s="5" t="n">
        <v>1.2</v>
      </c>
    </row>
    <row r="2239" customFormat="false" ht="12.75" hidden="false" customHeight="true" outlineLevel="0" collapsed="false">
      <c r="A2239" s="5" t="n">
        <v>131</v>
      </c>
      <c r="B2239" s="5" t="n">
        <v>274</v>
      </c>
      <c r="C2239" s="5" t="n">
        <v>1830000</v>
      </c>
      <c r="D2239" s="5" t="n">
        <v>0.73</v>
      </c>
      <c r="E2239" s="5" t="n">
        <v>1.83</v>
      </c>
    </row>
    <row r="2240" customFormat="false" ht="12.75" hidden="false" customHeight="true" outlineLevel="0" collapsed="false">
      <c r="A2240" s="5" t="n">
        <v>131</v>
      </c>
      <c r="B2240" s="5" t="n">
        <v>275</v>
      </c>
      <c r="C2240" s="5" t="n">
        <v>2690000</v>
      </c>
      <c r="D2240" s="5" t="n">
        <v>0.98</v>
      </c>
      <c r="E2240" s="5" t="n">
        <v>2.69</v>
      </c>
    </row>
    <row r="2241" customFormat="false" ht="12.75" hidden="false" customHeight="true" outlineLevel="0" collapsed="false">
      <c r="A2241" s="5" t="n">
        <v>131</v>
      </c>
      <c r="B2241" s="5" t="n">
        <v>276</v>
      </c>
      <c r="C2241" s="5" t="n">
        <v>3820000</v>
      </c>
      <c r="D2241" s="5" t="n">
        <v>1.58</v>
      </c>
      <c r="E2241" s="5" t="n">
        <v>3.82</v>
      </c>
    </row>
    <row r="2242" customFormat="false" ht="12.75" hidden="false" customHeight="true" outlineLevel="0" collapsed="false">
      <c r="A2242" s="5" t="n">
        <v>131</v>
      </c>
      <c r="B2242" s="5" t="n">
        <v>277</v>
      </c>
      <c r="C2242" s="5" t="n">
        <v>5450000</v>
      </c>
      <c r="D2242" s="5" t="n">
        <v>1.65</v>
      </c>
      <c r="E2242" s="5" t="n">
        <v>5.45</v>
      </c>
    </row>
    <row r="2243" customFormat="false" ht="12.75" hidden="false" customHeight="true" outlineLevel="0" collapsed="false">
      <c r="A2243" s="5" t="n">
        <v>131</v>
      </c>
      <c r="B2243" s="5" t="n">
        <v>278</v>
      </c>
      <c r="C2243" s="5" t="n">
        <v>7220000</v>
      </c>
      <c r="D2243" s="5" t="n">
        <v>1.9</v>
      </c>
      <c r="E2243" s="5" t="n">
        <v>7.22</v>
      </c>
    </row>
    <row r="2244" customFormat="false" ht="12.75" hidden="false" customHeight="true" outlineLevel="0" collapsed="false">
      <c r="A2244" s="5" t="n">
        <v>131</v>
      </c>
      <c r="B2244" s="5" t="n">
        <v>279</v>
      </c>
      <c r="C2244" s="5" t="n">
        <v>9300000</v>
      </c>
      <c r="D2244" s="5" t="n">
        <v>2.23</v>
      </c>
      <c r="E2244" s="5" t="n">
        <v>9.3</v>
      </c>
    </row>
    <row r="2245" customFormat="false" ht="12.75" hidden="false" customHeight="true" outlineLevel="0" collapsed="false">
      <c r="A2245" s="5" t="n">
        <v>131</v>
      </c>
      <c r="B2245" s="5" t="n">
        <v>280</v>
      </c>
      <c r="C2245" s="5" t="n">
        <v>11770000</v>
      </c>
      <c r="D2245" s="5" t="n">
        <v>2.7</v>
      </c>
      <c r="E2245" s="5" t="n">
        <v>11.77</v>
      </c>
    </row>
    <row r="2246" customFormat="false" ht="12.75" hidden="false" customHeight="true" outlineLevel="0" collapsed="false">
      <c r="A2246" s="5" t="n">
        <v>131</v>
      </c>
      <c r="B2246" s="5" t="n">
        <v>281</v>
      </c>
      <c r="C2246" s="5" t="n">
        <v>14710000</v>
      </c>
      <c r="D2246" s="5" t="n">
        <v>3.17</v>
      </c>
      <c r="E2246" s="5" t="n">
        <v>14.71</v>
      </c>
    </row>
    <row r="2247" customFormat="false" ht="12.75" hidden="false" customHeight="true" outlineLevel="0" collapsed="false">
      <c r="A2247" s="5" t="n">
        <v>132</v>
      </c>
      <c r="B2247" s="5" t="n">
        <v>351.13</v>
      </c>
      <c r="C2247" s="5" t="n">
        <v>0</v>
      </c>
      <c r="D2247" s="5" t="n">
        <v>0</v>
      </c>
      <c r="E2247" s="5" t="n">
        <v>0</v>
      </c>
    </row>
    <row r="2248" customFormat="false" ht="12.75" hidden="false" customHeight="true" outlineLevel="0" collapsed="false">
      <c r="A2248" s="5" t="n">
        <v>132</v>
      </c>
      <c r="B2248" s="5" t="n">
        <v>352</v>
      </c>
      <c r="C2248" s="5" t="n">
        <v>15</v>
      </c>
      <c r="D2248" s="5" t="n">
        <v>0.0001</v>
      </c>
      <c r="E2248" s="5" t="n">
        <v>1.5E-005</v>
      </c>
    </row>
    <row r="2249" customFormat="false" ht="12.75" hidden="false" customHeight="true" outlineLevel="0" collapsed="false">
      <c r="A2249" s="5" t="n">
        <v>132</v>
      </c>
      <c r="B2249" s="5" t="n">
        <v>353</v>
      </c>
      <c r="C2249" s="5" t="n">
        <v>266</v>
      </c>
      <c r="D2249" s="5" t="n">
        <v>0.0008</v>
      </c>
      <c r="E2249" s="5" t="n">
        <v>0.000266</v>
      </c>
    </row>
    <row r="2250" customFormat="false" ht="12.75" hidden="false" customHeight="true" outlineLevel="0" collapsed="false">
      <c r="A2250" s="5" t="n">
        <v>132</v>
      </c>
      <c r="B2250" s="5" t="n">
        <v>354</v>
      </c>
      <c r="C2250" s="5" t="n">
        <v>2572</v>
      </c>
      <c r="D2250" s="5" t="n">
        <v>0.0042</v>
      </c>
      <c r="E2250" s="5" t="n">
        <v>0.002572</v>
      </c>
    </row>
    <row r="2251" customFormat="false" ht="12.75" hidden="false" customHeight="true" outlineLevel="0" collapsed="false">
      <c r="A2251" s="5" t="n">
        <v>132</v>
      </c>
      <c r="B2251" s="5" t="n">
        <v>355</v>
      </c>
      <c r="C2251" s="5" t="n">
        <v>9922</v>
      </c>
      <c r="D2251" s="5" t="n">
        <v>0.1058</v>
      </c>
      <c r="E2251" s="5" t="n">
        <v>0.009922</v>
      </c>
    </row>
    <row r="2252" customFormat="false" ht="12.75" hidden="false" customHeight="true" outlineLevel="0" collapsed="false">
      <c r="A2252" s="5" t="n">
        <v>132</v>
      </c>
      <c r="B2252" s="5" t="n">
        <v>356</v>
      </c>
      <c r="C2252" s="5" t="n">
        <v>23300</v>
      </c>
      <c r="D2252" s="5" t="n">
        <v>0.0158</v>
      </c>
      <c r="E2252" s="5" t="n">
        <v>0.0233</v>
      </c>
    </row>
    <row r="2253" customFormat="false" ht="12.75" hidden="false" customHeight="true" outlineLevel="0" collapsed="false">
      <c r="A2253" s="5" t="n">
        <v>132</v>
      </c>
      <c r="B2253" s="5" t="n">
        <v>357</v>
      </c>
      <c r="C2253" s="5" t="n">
        <v>42154</v>
      </c>
      <c r="D2253" s="5" t="n">
        <v>0.0219</v>
      </c>
      <c r="E2253" s="5" t="n">
        <v>0.042154</v>
      </c>
    </row>
    <row r="2254" customFormat="false" ht="12.75" hidden="false" customHeight="true" outlineLevel="0" collapsed="false">
      <c r="A2254" s="5" t="n">
        <v>132</v>
      </c>
      <c r="B2254" s="5" t="n">
        <v>358</v>
      </c>
      <c r="C2254" s="5" t="n">
        <v>67355</v>
      </c>
      <c r="D2254" s="5" t="n">
        <v>0.0292</v>
      </c>
      <c r="E2254" s="5" t="n">
        <v>0.067355</v>
      </c>
    </row>
    <row r="2255" customFormat="false" ht="12.75" hidden="false" customHeight="true" outlineLevel="0" collapsed="false">
      <c r="A2255" s="5" t="n">
        <v>132</v>
      </c>
      <c r="B2255" s="5" t="n">
        <v>359</v>
      </c>
      <c r="C2255" s="5" t="n">
        <v>104609</v>
      </c>
      <c r="D2255" s="5" t="n">
        <v>0.0454</v>
      </c>
      <c r="E2255" s="5" t="n">
        <v>0.104609</v>
      </c>
    </row>
    <row r="2256" customFormat="false" ht="12.75" hidden="false" customHeight="true" outlineLevel="0" collapsed="false">
      <c r="A2256" s="5" t="n">
        <v>132</v>
      </c>
      <c r="B2256" s="5" t="n">
        <v>360</v>
      </c>
      <c r="C2256" s="5" t="n">
        <v>159544</v>
      </c>
      <c r="D2256" s="5" t="n">
        <v>0.0666</v>
      </c>
      <c r="E2256" s="5" t="n">
        <v>0.159544</v>
      </c>
    </row>
    <row r="2257" customFormat="false" ht="12.75" hidden="false" customHeight="true" outlineLevel="0" collapsed="false">
      <c r="A2257" s="5" t="n">
        <v>132</v>
      </c>
      <c r="B2257" s="5" t="n">
        <v>361</v>
      </c>
      <c r="C2257" s="5" t="n">
        <v>234000</v>
      </c>
      <c r="D2257" s="5" t="n">
        <v>0.0793</v>
      </c>
      <c r="E2257" s="5" t="n">
        <v>0.234</v>
      </c>
    </row>
    <row r="2258" customFormat="false" ht="12.75" hidden="false" customHeight="true" outlineLevel="0" collapsed="false">
      <c r="A2258" s="5" t="n">
        <v>132</v>
      </c>
      <c r="B2258" s="5" t="n">
        <v>362</v>
      </c>
      <c r="C2258" s="5" t="n">
        <v>315303</v>
      </c>
      <c r="D2258" s="5" t="n">
        <v>0.0828</v>
      </c>
      <c r="E2258" s="5" t="n">
        <v>0.315303</v>
      </c>
    </row>
    <row r="2259" customFormat="false" ht="12.75" hidden="false" customHeight="true" outlineLevel="0" collapsed="false">
      <c r="A2259" s="5" t="n">
        <v>132</v>
      </c>
      <c r="B2259" s="5" t="n">
        <v>363</v>
      </c>
      <c r="C2259" s="5" t="n">
        <v>399581</v>
      </c>
      <c r="D2259" s="5" t="n">
        <v>0.0857</v>
      </c>
      <c r="E2259" s="5" t="n">
        <v>0.399581</v>
      </c>
    </row>
    <row r="2260" customFormat="false" ht="12.75" hidden="false" customHeight="true" outlineLevel="0" collapsed="false">
      <c r="A2260" s="5" t="n">
        <v>132</v>
      </c>
      <c r="B2260" s="5" t="n">
        <v>363.05</v>
      </c>
      <c r="C2260" s="5" t="n">
        <v>403871</v>
      </c>
      <c r="D2260" s="5" t="n">
        <v>0.0859</v>
      </c>
      <c r="E2260" s="5" t="n">
        <v>0.403871</v>
      </c>
    </row>
    <row r="2261" customFormat="false" ht="12.75" hidden="false" customHeight="true" outlineLevel="0" collapsed="false">
      <c r="A2261" s="5" t="n">
        <v>132</v>
      </c>
      <c r="B2261" s="5" t="n">
        <v>363.17</v>
      </c>
      <c r="C2261" s="5" t="n">
        <v>421067</v>
      </c>
      <c r="D2261" s="5" t="n">
        <v>0.08707</v>
      </c>
      <c r="E2261" s="5" t="n">
        <v>0.421067</v>
      </c>
    </row>
    <row r="2262" customFormat="false" ht="12.75" hidden="false" customHeight="true" outlineLevel="0" collapsed="false">
      <c r="A2262" s="5" t="n">
        <v>132</v>
      </c>
      <c r="B2262" s="5" t="n">
        <v>363.5</v>
      </c>
      <c r="C2262" s="5" t="n">
        <v>468067</v>
      </c>
      <c r="D2262" s="5" t="n">
        <v>0.09037</v>
      </c>
      <c r="E2262" s="5" t="n">
        <v>0.468067</v>
      </c>
    </row>
    <row r="2263" customFormat="false" ht="12.75" hidden="false" customHeight="true" outlineLevel="0" collapsed="false">
      <c r="A2263" s="5" t="n">
        <v>132</v>
      </c>
      <c r="B2263" s="5" t="n">
        <v>364.35</v>
      </c>
      <c r="C2263" s="5" t="n">
        <v>557067</v>
      </c>
      <c r="D2263" s="5" t="n">
        <v>0.10037</v>
      </c>
      <c r="E2263" s="5" t="n">
        <v>0.557067</v>
      </c>
    </row>
    <row r="2264" customFormat="false" ht="12.75" hidden="false" customHeight="true" outlineLevel="0" collapsed="false">
      <c r="A2264" s="5" t="n">
        <v>132</v>
      </c>
      <c r="B2264" s="5" t="n">
        <v>364.5</v>
      </c>
      <c r="C2264" s="5" t="n">
        <v>623067</v>
      </c>
      <c r="D2264" s="5" t="n">
        <v>0.11037</v>
      </c>
      <c r="E2264" s="5" t="n">
        <v>0.623067</v>
      </c>
    </row>
    <row r="2265" customFormat="false" ht="12.75" hidden="false" customHeight="true" outlineLevel="0" collapsed="false">
      <c r="A2265" s="5" t="n">
        <v>132</v>
      </c>
      <c r="B2265" s="5" t="n">
        <v>365</v>
      </c>
      <c r="C2265" s="5" t="n">
        <v>705067</v>
      </c>
      <c r="D2265" s="5" t="n">
        <v>0.12037</v>
      </c>
      <c r="E2265" s="5" t="n">
        <v>0.705067</v>
      </c>
    </row>
    <row r="2266" customFormat="false" ht="12.75" hidden="false" customHeight="true" outlineLevel="0" collapsed="false">
      <c r="A2266" s="5" t="n">
        <v>133</v>
      </c>
      <c r="B2266" s="5" t="n">
        <v>88</v>
      </c>
      <c r="C2266" s="5" t="n">
        <v>0</v>
      </c>
      <c r="D2266" s="5" t="n">
        <v>0</v>
      </c>
      <c r="E2266" s="5" t="n">
        <v>0</v>
      </c>
    </row>
    <row r="2267" customFormat="false" ht="12.75" hidden="false" customHeight="true" outlineLevel="0" collapsed="false">
      <c r="A2267" s="5" t="n">
        <v>133</v>
      </c>
      <c r="B2267" s="5" t="n">
        <v>89.14</v>
      </c>
      <c r="C2267" s="5" t="n">
        <v>0</v>
      </c>
      <c r="D2267" s="5" t="n">
        <v>0</v>
      </c>
      <c r="E2267" s="5" t="n">
        <v>0</v>
      </c>
    </row>
    <row r="2268" customFormat="false" ht="12.75" hidden="false" customHeight="true" outlineLevel="0" collapsed="false">
      <c r="A2268" s="5" t="n">
        <v>133</v>
      </c>
      <c r="B2268" s="5" t="n">
        <v>90</v>
      </c>
      <c r="C2268" s="5" t="n">
        <v>1667</v>
      </c>
      <c r="D2268" s="5" t="n">
        <v>0.0062</v>
      </c>
      <c r="E2268" s="5" t="n">
        <v>0.001667</v>
      </c>
    </row>
    <row r="2269" customFormat="false" ht="12.75" hidden="false" customHeight="true" outlineLevel="0" collapsed="false">
      <c r="A2269" s="5" t="n">
        <v>133</v>
      </c>
      <c r="B2269" s="5" t="n">
        <v>91</v>
      </c>
      <c r="C2269" s="5" t="n">
        <v>17892</v>
      </c>
      <c r="D2269" s="5" t="n">
        <v>0.0303</v>
      </c>
      <c r="E2269" s="5" t="n">
        <v>0.017892</v>
      </c>
    </row>
    <row r="2270" customFormat="false" ht="12.75" hidden="false" customHeight="true" outlineLevel="0" collapsed="false">
      <c r="A2270" s="5" t="n">
        <v>133</v>
      </c>
      <c r="B2270" s="5" t="n">
        <v>92</v>
      </c>
      <c r="C2270" s="5" t="n">
        <v>82574</v>
      </c>
      <c r="D2270" s="5" t="n">
        <v>0.1122</v>
      </c>
      <c r="E2270" s="5" t="n">
        <v>0.082574</v>
      </c>
    </row>
    <row r="2271" customFormat="false" ht="12.75" hidden="false" customHeight="true" outlineLevel="0" collapsed="false">
      <c r="A2271" s="5" t="n">
        <v>133</v>
      </c>
      <c r="B2271" s="5" t="n">
        <v>93</v>
      </c>
      <c r="C2271" s="5" t="n">
        <v>271683</v>
      </c>
      <c r="D2271" s="5" t="n">
        <v>0.2825</v>
      </c>
      <c r="E2271" s="5" t="n">
        <v>0.271683</v>
      </c>
    </row>
    <row r="2272" customFormat="false" ht="12.75" hidden="false" customHeight="true" outlineLevel="0" collapsed="false">
      <c r="A2272" s="5" t="n">
        <v>133</v>
      </c>
      <c r="B2272" s="5" t="n">
        <v>94</v>
      </c>
      <c r="C2272" s="5" t="n">
        <v>649422</v>
      </c>
      <c r="D2272" s="5" t="n">
        <v>0.4579</v>
      </c>
      <c r="E2272" s="5" t="n">
        <v>0.649422</v>
      </c>
    </row>
    <row r="2273" customFormat="false" ht="12.75" hidden="false" customHeight="true" outlineLevel="0" collapsed="false">
      <c r="A2273" s="5" t="n">
        <v>133</v>
      </c>
      <c r="B2273" s="5" t="n">
        <v>95</v>
      </c>
      <c r="C2273" s="5" t="n">
        <v>1194789</v>
      </c>
      <c r="D2273" s="5" t="n">
        <v>0.6504</v>
      </c>
      <c r="E2273" s="5" t="n">
        <v>1.194789</v>
      </c>
    </row>
    <row r="2274" customFormat="false" ht="12.75" hidden="false" customHeight="true" outlineLevel="0" collapsed="false">
      <c r="A2274" s="5" t="n">
        <v>133</v>
      </c>
      <c r="B2274" s="5" t="n">
        <v>96</v>
      </c>
      <c r="C2274" s="5" t="n">
        <v>1991164</v>
      </c>
      <c r="D2274" s="5" t="n">
        <v>0.9314</v>
      </c>
      <c r="E2274" s="5" t="n">
        <v>1.991164</v>
      </c>
    </row>
    <row r="2275" customFormat="false" ht="12.75" hidden="false" customHeight="true" outlineLevel="0" collapsed="false">
      <c r="A2275" s="5" t="n">
        <v>133</v>
      </c>
      <c r="B2275" s="5" t="n">
        <v>97</v>
      </c>
      <c r="C2275" s="5" t="n">
        <v>3047633</v>
      </c>
      <c r="D2275" s="5" t="n">
        <v>1.1831</v>
      </c>
      <c r="E2275" s="5" t="n">
        <v>3.047633</v>
      </c>
    </row>
    <row r="2276" customFormat="false" ht="12.75" hidden="false" customHeight="true" outlineLevel="0" collapsed="false">
      <c r="A2276" s="5" t="n">
        <v>133</v>
      </c>
      <c r="B2276" s="5" t="n">
        <v>98</v>
      </c>
      <c r="C2276" s="5" t="n">
        <v>4297203</v>
      </c>
      <c r="D2276" s="5" t="n">
        <v>1.2949</v>
      </c>
      <c r="E2276" s="5" t="n">
        <v>4.297203</v>
      </c>
    </row>
    <row r="2277" customFormat="false" ht="12.75" hidden="false" customHeight="true" outlineLevel="0" collapsed="false">
      <c r="A2277" s="5" t="n">
        <v>133</v>
      </c>
      <c r="B2277" s="5" t="n">
        <v>99</v>
      </c>
      <c r="C2277" s="5" t="n">
        <v>5546700</v>
      </c>
      <c r="D2277" s="5" t="n">
        <v>1.4067</v>
      </c>
      <c r="E2277" s="5" t="n">
        <v>5.5467</v>
      </c>
    </row>
    <row r="2278" customFormat="false" ht="12.75" hidden="false" customHeight="true" outlineLevel="0" collapsed="false">
      <c r="A2278" s="5" t="n">
        <v>133</v>
      </c>
      <c r="B2278" s="5" t="n">
        <v>100</v>
      </c>
      <c r="C2278" s="5" t="n">
        <v>6796300</v>
      </c>
      <c r="D2278" s="5" t="n">
        <v>1.5185</v>
      </c>
      <c r="E2278" s="5" t="n">
        <v>6.7963</v>
      </c>
    </row>
    <row r="2279" customFormat="false" ht="12.75" hidden="false" customHeight="true" outlineLevel="0" collapsed="false">
      <c r="A2279" s="5" t="n">
        <v>134</v>
      </c>
      <c r="B2279" s="5" t="n">
        <v>321</v>
      </c>
      <c r="C2279" s="5" t="n">
        <v>0</v>
      </c>
      <c r="D2279" s="5" t="n">
        <v>0</v>
      </c>
      <c r="E2279" s="5" t="n">
        <v>0</v>
      </c>
    </row>
    <row r="2280" customFormat="false" ht="12.75" hidden="false" customHeight="true" outlineLevel="0" collapsed="false">
      <c r="A2280" s="5" t="n">
        <v>134</v>
      </c>
      <c r="B2280" s="5" t="n">
        <v>322</v>
      </c>
      <c r="C2280" s="5" t="n">
        <v>400</v>
      </c>
      <c r="D2280" s="5" t="n">
        <v>0</v>
      </c>
      <c r="E2280" s="5" t="n">
        <v>0.0004</v>
      </c>
    </row>
    <row r="2281" customFormat="false" ht="12.75" hidden="false" customHeight="true" outlineLevel="0" collapsed="false">
      <c r="A2281" s="5" t="n">
        <v>134</v>
      </c>
      <c r="B2281" s="5" t="n">
        <v>323</v>
      </c>
      <c r="C2281" s="5" t="n">
        <v>5000</v>
      </c>
      <c r="D2281" s="5" t="n">
        <v>0</v>
      </c>
      <c r="E2281" s="5" t="n">
        <v>0.005</v>
      </c>
    </row>
    <row r="2282" customFormat="false" ht="12.75" hidden="false" customHeight="true" outlineLevel="0" collapsed="false">
      <c r="A2282" s="5" t="n">
        <v>134</v>
      </c>
      <c r="B2282" s="5" t="n">
        <v>324</v>
      </c>
      <c r="C2282" s="5" t="n">
        <v>10000</v>
      </c>
      <c r="D2282" s="5" t="n">
        <v>0.01</v>
      </c>
      <c r="E2282" s="5" t="n">
        <v>0.01</v>
      </c>
    </row>
    <row r="2283" customFormat="false" ht="12.75" hidden="false" customHeight="true" outlineLevel="0" collapsed="false">
      <c r="A2283" s="5" t="n">
        <v>134</v>
      </c>
      <c r="B2283" s="5" t="n">
        <v>325</v>
      </c>
      <c r="C2283" s="5" t="n">
        <v>40000</v>
      </c>
      <c r="D2283" s="5" t="n">
        <v>0.03</v>
      </c>
      <c r="E2283" s="5" t="n">
        <v>0.04</v>
      </c>
    </row>
    <row r="2284" customFormat="false" ht="12.75" hidden="false" customHeight="true" outlineLevel="0" collapsed="false">
      <c r="A2284" s="5" t="n">
        <v>134</v>
      </c>
      <c r="B2284" s="5" t="n">
        <v>326</v>
      </c>
      <c r="C2284" s="5" t="n">
        <v>80000</v>
      </c>
      <c r="D2284" s="5" t="n">
        <v>0.05</v>
      </c>
      <c r="E2284" s="5" t="n">
        <v>0.08</v>
      </c>
    </row>
    <row r="2285" customFormat="false" ht="12.75" hidden="false" customHeight="true" outlineLevel="0" collapsed="false">
      <c r="A2285" s="5" t="n">
        <v>134</v>
      </c>
      <c r="B2285" s="5" t="n">
        <v>327</v>
      </c>
      <c r="C2285" s="5" t="n">
        <v>150000</v>
      </c>
      <c r="D2285" s="5" t="n">
        <v>0.07</v>
      </c>
      <c r="E2285" s="5" t="n">
        <v>0.15</v>
      </c>
    </row>
    <row r="2286" customFormat="false" ht="12.75" hidden="false" customHeight="true" outlineLevel="0" collapsed="false">
      <c r="A2286" s="5" t="n">
        <v>134</v>
      </c>
      <c r="B2286" s="5" t="n">
        <v>328</v>
      </c>
      <c r="C2286" s="5" t="n">
        <v>240000</v>
      </c>
      <c r="D2286" s="5" t="n">
        <v>0.1</v>
      </c>
      <c r="E2286" s="5" t="n">
        <v>0.24</v>
      </c>
    </row>
    <row r="2287" customFormat="false" ht="12.75" hidden="false" customHeight="true" outlineLevel="0" collapsed="false">
      <c r="A2287" s="5" t="n">
        <v>134</v>
      </c>
      <c r="B2287" s="5" t="n">
        <v>329</v>
      </c>
      <c r="C2287" s="5" t="n">
        <v>360000</v>
      </c>
      <c r="D2287" s="5" t="n">
        <v>0.13</v>
      </c>
      <c r="E2287" s="5" t="n">
        <v>0.36</v>
      </c>
    </row>
    <row r="2288" customFormat="false" ht="12.75" hidden="false" customHeight="true" outlineLevel="0" collapsed="false">
      <c r="A2288" s="5" t="n">
        <v>134</v>
      </c>
      <c r="B2288" s="5" t="n">
        <v>330</v>
      </c>
      <c r="C2288" s="5" t="n">
        <v>510000</v>
      </c>
      <c r="D2288" s="5" t="n">
        <v>0.17</v>
      </c>
      <c r="E2288" s="5" t="n">
        <v>0.51</v>
      </c>
    </row>
    <row r="2289" customFormat="false" ht="12.75" hidden="false" customHeight="true" outlineLevel="0" collapsed="false">
      <c r="A2289" s="5" t="n">
        <v>134</v>
      </c>
      <c r="B2289" s="5" t="n">
        <v>331</v>
      </c>
      <c r="C2289" s="5" t="n">
        <v>710000</v>
      </c>
      <c r="D2289" s="5" t="n">
        <v>0.22</v>
      </c>
      <c r="E2289" s="5" t="n">
        <v>0.71</v>
      </c>
    </row>
    <row r="2290" customFormat="false" ht="12.75" hidden="false" customHeight="true" outlineLevel="0" collapsed="false">
      <c r="A2290" s="5" t="n">
        <v>134</v>
      </c>
      <c r="B2290" s="5" t="n">
        <v>332</v>
      </c>
      <c r="C2290" s="5" t="n">
        <v>970000</v>
      </c>
      <c r="D2290" s="5" t="n">
        <v>0.29</v>
      </c>
      <c r="E2290" s="5" t="n">
        <v>0.97</v>
      </c>
    </row>
    <row r="2291" customFormat="false" ht="12.75" hidden="false" customHeight="true" outlineLevel="0" collapsed="false">
      <c r="A2291" s="5" t="n">
        <v>134</v>
      </c>
      <c r="B2291" s="5" t="n">
        <v>333</v>
      </c>
      <c r="C2291" s="5" t="n">
        <v>1320000</v>
      </c>
      <c r="D2291" s="5" t="n">
        <v>0.39</v>
      </c>
      <c r="E2291" s="5" t="n">
        <v>1.32</v>
      </c>
    </row>
    <row r="2292" customFormat="false" ht="12.75" hidden="false" customHeight="true" outlineLevel="0" collapsed="false">
      <c r="A2292" s="5" t="n">
        <v>134</v>
      </c>
      <c r="B2292" s="5" t="n">
        <v>334</v>
      </c>
      <c r="C2292" s="5" t="n">
        <v>1770000</v>
      </c>
      <c r="D2292" s="5" t="n">
        <v>0.5</v>
      </c>
      <c r="E2292" s="5" t="n">
        <v>1.77</v>
      </c>
    </row>
    <row r="2293" customFormat="false" ht="12.75" hidden="false" customHeight="true" outlineLevel="0" collapsed="false">
      <c r="A2293" s="5" t="n">
        <v>134</v>
      </c>
      <c r="B2293" s="5" t="n">
        <v>335</v>
      </c>
      <c r="C2293" s="5" t="n">
        <v>2350000</v>
      </c>
      <c r="D2293" s="5" t="n">
        <v>0.65</v>
      </c>
      <c r="E2293" s="5" t="n">
        <v>2.35</v>
      </c>
    </row>
    <row r="2294" customFormat="false" ht="12.75" hidden="false" customHeight="true" outlineLevel="0" collapsed="false">
      <c r="A2294" s="5" t="n">
        <v>134</v>
      </c>
      <c r="B2294" s="5" t="n">
        <v>336</v>
      </c>
      <c r="C2294" s="5" t="n">
        <v>3000000</v>
      </c>
      <c r="D2294" s="5" t="n">
        <v>1</v>
      </c>
      <c r="E2294" s="5" t="n">
        <v>3</v>
      </c>
    </row>
    <row r="2295" customFormat="false" ht="12.75" hidden="false" customHeight="true" outlineLevel="0" collapsed="false">
      <c r="A2295" s="5" t="n">
        <v>135</v>
      </c>
      <c r="B2295" s="5" t="n">
        <v>205</v>
      </c>
      <c r="C2295" s="5" t="n">
        <v>0</v>
      </c>
      <c r="D2295" s="5" t="n">
        <v>0</v>
      </c>
      <c r="E2295" s="5" t="n">
        <v>0</v>
      </c>
    </row>
    <row r="2296" customFormat="false" ht="12.75" hidden="false" customHeight="true" outlineLevel="0" collapsed="false">
      <c r="A2296" s="5" t="n">
        <v>135</v>
      </c>
      <c r="B2296" s="5" t="n">
        <v>206</v>
      </c>
      <c r="C2296" s="5" t="n">
        <v>4750</v>
      </c>
      <c r="D2296" s="5" t="n">
        <v>0.007</v>
      </c>
      <c r="E2296" s="5" t="n">
        <v>0.00475</v>
      </c>
    </row>
    <row r="2297" customFormat="false" ht="12.75" hidden="false" customHeight="true" outlineLevel="0" collapsed="false">
      <c r="A2297" s="5" t="n">
        <v>135</v>
      </c>
      <c r="B2297" s="5" t="n">
        <v>207</v>
      </c>
      <c r="C2297" s="5" t="n">
        <v>20000</v>
      </c>
      <c r="D2297" s="5" t="n">
        <v>0.04</v>
      </c>
      <c r="E2297" s="5" t="n">
        <v>0.02</v>
      </c>
    </row>
    <row r="2298" customFormat="false" ht="12.75" hidden="false" customHeight="true" outlineLevel="0" collapsed="false">
      <c r="A2298" s="5" t="n">
        <v>135</v>
      </c>
      <c r="B2298" s="5" t="n">
        <v>208</v>
      </c>
      <c r="C2298" s="5" t="n">
        <v>70000</v>
      </c>
      <c r="D2298" s="5" t="n">
        <v>0.05</v>
      </c>
      <c r="E2298" s="5" t="n">
        <v>0.07</v>
      </c>
    </row>
    <row r="2299" customFormat="false" ht="12.75" hidden="false" customHeight="true" outlineLevel="0" collapsed="false">
      <c r="A2299" s="5" t="n">
        <v>135</v>
      </c>
      <c r="B2299" s="5" t="n">
        <v>209</v>
      </c>
      <c r="C2299" s="5" t="n">
        <v>140000</v>
      </c>
      <c r="D2299" s="5" t="n">
        <v>0.08</v>
      </c>
      <c r="E2299" s="5" t="n">
        <v>0.14</v>
      </c>
    </row>
    <row r="2300" customFormat="false" ht="12.75" hidden="false" customHeight="true" outlineLevel="0" collapsed="false">
      <c r="A2300" s="5" t="n">
        <v>135</v>
      </c>
      <c r="B2300" s="5" t="n">
        <v>210</v>
      </c>
      <c r="C2300" s="5" t="n">
        <v>230000</v>
      </c>
      <c r="D2300" s="5" t="n">
        <v>0.1</v>
      </c>
      <c r="E2300" s="5" t="n">
        <v>0.23</v>
      </c>
    </row>
    <row r="2301" customFormat="false" ht="12.75" hidden="false" customHeight="true" outlineLevel="0" collapsed="false">
      <c r="A2301" s="5" t="n">
        <v>135</v>
      </c>
      <c r="B2301" s="5" t="n">
        <v>211</v>
      </c>
      <c r="C2301" s="5" t="n">
        <v>370000</v>
      </c>
      <c r="D2301" s="5" t="n">
        <v>0.16</v>
      </c>
      <c r="E2301" s="5" t="n">
        <v>0.37</v>
      </c>
    </row>
    <row r="2302" customFormat="false" ht="12.75" hidden="false" customHeight="true" outlineLevel="0" collapsed="false">
      <c r="A2302" s="5" t="n">
        <v>135</v>
      </c>
      <c r="B2302" s="5" t="n">
        <v>212</v>
      </c>
      <c r="C2302" s="5" t="n">
        <v>550000</v>
      </c>
      <c r="D2302" s="5" t="n">
        <v>0.2</v>
      </c>
      <c r="E2302" s="5" t="n">
        <v>0.55</v>
      </c>
    </row>
    <row r="2303" customFormat="false" ht="12.75" hidden="false" customHeight="true" outlineLevel="0" collapsed="false">
      <c r="A2303" s="5" t="n">
        <v>135</v>
      </c>
      <c r="B2303" s="5" t="n">
        <v>213</v>
      </c>
      <c r="C2303" s="5" t="n">
        <v>780000</v>
      </c>
      <c r="D2303" s="5" t="n">
        <v>0.25</v>
      </c>
      <c r="E2303" s="5" t="n">
        <v>0.78</v>
      </c>
    </row>
    <row r="2304" customFormat="false" ht="12.75" hidden="false" customHeight="true" outlineLevel="0" collapsed="false">
      <c r="A2304" s="5" t="n">
        <v>135</v>
      </c>
      <c r="B2304" s="5" t="n">
        <v>214</v>
      </c>
      <c r="C2304" s="5" t="n">
        <v>1070000</v>
      </c>
      <c r="D2304" s="5" t="n">
        <v>0.3</v>
      </c>
      <c r="E2304" s="5" t="n">
        <v>1.07</v>
      </c>
    </row>
    <row r="2305" customFormat="false" ht="12.75" hidden="false" customHeight="true" outlineLevel="0" collapsed="false">
      <c r="A2305" s="5" t="n">
        <v>135</v>
      </c>
      <c r="B2305" s="5" t="n">
        <v>215</v>
      </c>
      <c r="C2305" s="5" t="n">
        <v>1400000</v>
      </c>
      <c r="D2305" s="5" t="n">
        <v>0.36</v>
      </c>
      <c r="E2305" s="5" t="n">
        <v>1.4</v>
      </c>
    </row>
    <row r="2306" customFormat="false" ht="12.75" hidden="false" customHeight="true" outlineLevel="0" collapsed="false">
      <c r="A2306" s="5" t="n">
        <v>135</v>
      </c>
      <c r="B2306" s="5" t="n">
        <v>216</v>
      </c>
      <c r="C2306" s="5" t="n">
        <v>1790000</v>
      </c>
      <c r="D2306" s="5" t="n">
        <v>0.41</v>
      </c>
      <c r="E2306" s="5" t="n">
        <v>1.79</v>
      </c>
    </row>
    <row r="2307" customFormat="false" ht="12.75" hidden="false" customHeight="true" outlineLevel="0" collapsed="false">
      <c r="A2307" s="5" t="n">
        <v>135</v>
      </c>
      <c r="B2307" s="5" t="n">
        <v>217</v>
      </c>
      <c r="C2307" s="5" t="n">
        <v>2240000</v>
      </c>
      <c r="D2307" s="5" t="n">
        <v>0.47</v>
      </c>
      <c r="E2307" s="5" t="n">
        <v>2.24</v>
      </c>
    </row>
    <row r="2308" customFormat="false" ht="12.75" hidden="false" customHeight="true" outlineLevel="0" collapsed="false">
      <c r="A2308" s="5" t="n">
        <v>141</v>
      </c>
      <c r="B2308" s="5" t="n">
        <v>85.72</v>
      </c>
      <c r="C2308" s="5" t="n">
        <v>0</v>
      </c>
      <c r="D2308" s="5" t="n">
        <v>0</v>
      </c>
      <c r="E2308" s="5" t="n">
        <v>0</v>
      </c>
    </row>
    <row r="2309" customFormat="false" ht="12.75" hidden="false" customHeight="true" outlineLevel="0" collapsed="false">
      <c r="A2309" s="5" t="n">
        <v>141</v>
      </c>
      <c r="B2309" s="5" t="n">
        <v>86</v>
      </c>
      <c r="C2309" s="5" t="n">
        <v>12</v>
      </c>
      <c r="D2309" s="5" t="n">
        <v>0.0001</v>
      </c>
      <c r="E2309" s="5" t="n">
        <v>1.2E-005</v>
      </c>
    </row>
    <row r="2310" customFormat="false" ht="12.75" hidden="false" customHeight="true" outlineLevel="0" collapsed="false">
      <c r="A2310" s="5" t="n">
        <v>141</v>
      </c>
      <c r="B2310" s="5" t="n">
        <v>87</v>
      </c>
      <c r="C2310" s="5" t="n">
        <v>820</v>
      </c>
      <c r="D2310" s="5" t="n">
        <v>0.0025</v>
      </c>
      <c r="E2310" s="5" t="n">
        <v>0.00082</v>
      </c>
    </row>
    <row r="2311" customFormat="false" ht="12.75" hidden="false" customHeight="true" outlineLevel="0" collapsed="false">
      <c r="A2311" s="5" t="n">
        <v>141</v>
      </c>
      <c r="B2311" s="5" t="n">
        <v>88</v>
      </c>
      <c r="C2311" s="5" t="n">
        <v>7403</v>
      </c>
      <c r="D2311" s="5" t="n">
        <v>0.0121</v>
      </c>
      <c r="E2311" s="5" t="n">
        <v>0.007403</v>
      </c>
    </row>
    <row r="2312" customFormat="false" ht="12.75" hidden="false" customHeight="true" outlineLevel="0" collapsed="false">
      <c r="A2312" s="5" t="n">
        <v>141</v>
      </c>
      <c r="B2312" s="5" t="n">
        <v>89</v>
      </c>
      <c r="C2312" s="5" t="n">
        <v>27738</v>
      </c>
      <c r="D2312" s="5" t="n">
        <v>0.0315</v>
      </c>
      <c r="E2312" s="5" t="n">
        <v>0.027738</v>
      </c>
    </row>
    <row r="2313" customFormat="false" ht="12.75" hidden="false" customHeight="true" outlineLevel="0" collapsed="false">
      <c r="A2313" s="5" t="n">
        <v>141</v>
      </c>
      <c r="B2313" s="5" t="n">
        <v>90</v>
      </c>
      <c r="C2313" s="5" t="n">
        <v>79299</v>
      </c>
      <c r="D2313" s="5" t="n">
        <v>0.0763</v>
      </c>
      <c r="E2313" s="5" t="n">
        <v>0.079299</v>
      </c>
    </row>
    <row r="2314" customFormat="false" ht="12.75" hidden="false" customHeight="true" outlineLevel="0" collapsed="false">
      <c r="A2314" s="5" t="n">
        <v>141</v>
      </c>
      <c r="B2314" s="5" t="n">
        <v>91</v>
      </c>
      <c r="C2314" s="5" t="n">
        <v>179972</v>
      </c>
      <c r="D2314" s="5" t="n">
        <v>0.1296</v>
      </c>
      <c r="E2314" s="5" t="n">
        <v>0.179972</v>
      </c>
    </row>
    <row r="2315" customFormat="false" ht="12.75" hidden="false" customHeight="true" outlineLevel="0" collapsed="false">
      <c r="A2315" s="5" t="n">
        <v>141</v>
      </c>
      <c r="B2315" s="5" t="n">
        <v>92</v>
      </c>
      <c r="C2315" s="5" t="n">
        <v>340925</v>
      </c>
      <c r="D2315" s="5" t="n">
        <v>0.1975</v>
      </c>
      <c r="E2315" s="5" t="n">
        <v>0.340925</v>
      </c>
    </row>
    <row r="2316" customFormat="false" ht="12.75" hidden="false" customHeight="true" outlineLevel="0" collapsed="false">
      <c r="A2316" s="5" t="n">
        <v>141</v>
      </c>
      <c r="B2316" s="5" t="n">
        <v>93</v>
      </c>
      <c r="C2316" s="5" t="n">
        <v>576186</v>
      </c>
      <c r="D2316" s="5" t="n">
        <v>0.2704</v>
      </c>
      <c r="E2316" s="5" t="n">
        <v>0.576186</v>
      </c>
    </row>
    <row r="2317" customFormat="false" ht="12.75" hidden="false" customHeight="true" outlineLevel="0" collapsed="false">
      <c r="A2317" s="5" t="n">
        <v>141</v>
      </c>
      <c r="B2317" s="5" t="n">
        <v>94</v>
      </c>
      <c r="C2317" s="5" t="n">
        <v>879519</v>
      </c>
      <c r="D2317" s="5" t="n">
        <v>0.3344</v>
      </c>
      <c r="E2317" s="5" t="n">
        <v>0.879519</v>
      </c>
    </row>
    <row r="2318" customFormat="false" ht="12.75" hidden="false" customHeight="true" outlineLevel="0" collapsed="false">
      <c r="A2318" s="5" t="n">
        <v>141</v>
      </c>
      <c r="B2318" s="5" t="n">
        <v>95</v>
      </c>
      <c r="C2318" s="5" t="n">
        <v>1234927</v>
      </c>
      <c r="D2318" s="5" t="n">
        <v>0.3732</v>
      </c>
      <c r="E2318" s="5" t="n">
        <v>1.234927</v>
      </c>
    </row>
    <row r="2319" customFormat="false" ht="12.75" hidden="false" customHeight="true" outlineLevel="0" collapsed="false">
      <c r="A2319" s="5" t="n">
        <v>141</v>
      </c>
      <c r="B2319" s="5" t="n">
        <v>95.8</v>
      </c>
      <c r="C2319" s="5" t="n">
        <v>1543677</v>
      </c>
      <c r="D2319" s="5" t="n">
        <v>0.398</v>
      </c>
      <c r="E2319" s="5" t="n">
        <v>1.543677</v>
      </c>
    </row>
    <row r="2320" customFormat="false" ht="12.75" hidden="false" customHeight="true" outlineLevel="0" collapsed="false">
      <c r="A2320" s="5" t="n">
        <v>141</v>
      </c>
      <c r="B2320" s="5" t="n">
        <v>96</v>
      </c>
      <c r="C2320" s="5" t="n">
        <v>1665000</v>
      </c>
      <c r="D2320" s="5" t="n">
        <v>0.403</v>
      </c>
      <c r="E2320" s="5" t="n">
        <v>1.665</v>
      </c>
    </row>
    <row r="2321" customFormat="false" ht="12.75" hidden="false" customHeight="true" outlineLevel="0" collapsed="false">
      <c r="A2321" s="5" t="n">
        <v>141</v>
      </c>
      <c r="B2321" s="5" t="n">
        <v>97</v>
      </c>
      <c r="C2321" s="5" t="n">
        <v>2200000</v>
      </c>
      <c r="D2321" s="5" t="n">
        <v>0.442</v>
      </c>
      <c r="E2321" s="5" t="n">
        <v>2.2</v>
      </c>
    </row>
    <row r="2322" customFormat="false" ht="12.75" hidden="false" customHeight="true" outlineLevel="0" collapsed="false">
      <c r="A2322" s="5" t="n">
        <v>141</v>
      </c>
      <c r="B2322" s="5" t="n">
        <v>98</v>
      </c>
      <c r="C2322" s="5" t="n">
        <v>2840000</v>
      </c>
      <c r="D2322" s="5" t="n">
        <v>0.555</v>
      </c>
      <c r="E2322" s="5" t="n">
        <v>2.84</v>
      </c>
    </row>
    <row r="2323" customFormat="false" ht="12.75" hidden="false" customHeight="true" outlineLevel="0" collapsed="false">
      <c r="A2323" s="5" t="n">
        <v>141</v>
      </c>
      <c r="B2323" s="5" t="n">
        <v>98.5</v>
      </c>
      <c r="C2323" s="5" t="n">
        <v>3200000</v>
      </c>
      <c r="D2323" s="5" t="n">
        <v>0.672</v>
      </c>
      <c r="E2323" s="5" t="n">
        <v>3.2</v>
      </c>
    </row>
    <row r="2324" customFormat="false" ht="12.75" hidden="false" customHeight="true" outlineLevel="0" collapsed="false">
      <c r="A2324" s="5" t="n">
        <v>141</v>
      </c>
      <c r="B2324" s="5" t="n">
        <v>99</v>
      </c>
      <c r="C2324" s="5" t="n">
        <v>3585000</v>
      </c>
      <c r="D2324" s="5" t="n">
        <v>0.82</v>
      </c>
      <c r="E2324" s="5" t="n">
        <v>3.585</v>
      </c>
    </row>
    <row r="2325" customFormat="false" ht="12.75" hidden="false" customHeight="true" outlineLevel="0" collapsed="false">
      <c r="A2325" s="5" t="n">
        <v>143</v>
      </c>
      <c r="B2325" s="5" t="n">
        <v>88</v>
      </c>
      <c r="C2325" s="5" t="n">
        <v>0</v>
      </c>
      <c r="D2325" s="5" t="n">
        <v>0</v>
      </c>
      <c r="E2325" s="5" t="n">
        <v>0</v>
      </c>
    </row>
    <row r="2326" customFormat="false" ht="12.75" hidden="false" customHeight="true" outlineLevel="0" collapsed="false">
      <c r="A2326" s="5" t="n">
        <v>143</v>
      </c>
      <c r="B2326" s="5" t="n">
        <v>89</v>
      </c>
      <c r="C2326" s="5" t="n">
        <v>20000</v>
      </c>
      <c r="D2326" s="5" t="n">
        <v>0.04</v>
      </c>
      <c r="E2326" s="5" t="n">
        <v>0.02</v>
      </c>
    </row>
    <row r="2327" customFormat="false" ht="12.75" hidden="false" customHeight="true" outlineLevel="0" collapsed="false">
      <c r="A2327" s="5" t="n">
        <v>143</v>
      </c>
      <c r="B2327" s="5" t="n">
        <v>90</v>
      </c>
      <c r="C2327" s="5" t="n">
        <v>70000</v>
      </c>
      <c r="D2327" s="5" t="n">
        <v>0.1</v>
      </c>
      <c r="E2327" s="5" t="n">
        <v>0.07</v>
      </c>
    </row>
    <row r="2328" customFormat="false" ht="12.75" hidden="false" customHeight="true" outlineLevel="0" collapsed="false">
      <c r="A2328" s="5" t="n">
        <v>143</v>
      </c>
      <c r="B2328" s="5" t="n">
        <v>91</v>
      </c>
      <c r="C2328" s="5" t="n">
        <v>160000</v>
      </c>
      <c r="D2328" s="5" t="n">
        <v>0.18</v>
      </c>
      <c r="E2328" s="5" t="n">
        <v>0.16</v>
      </c>
    </row>
    <row r="2329" customFormat="false" ht="12.75" hidden="false" customHeight="true" outlineLevel="0" collapsed="false">
      <c r="A2329" s="5" t="n">
        <v>143</v>
      </c>
      <c r="B2329" s="5" t="n">
        <v>92</v>
      </c>
      <c r="C2329" s="5" t="n">
        <v>310000</v>
      </c>
      <c r="D2329" s="5" t="n">
        <v>0.29</v>
      </c>
      <c r="E2329" s="5" t="n">
        <v>0.31</v>
      </c>
    </row>
    <row r="2330" customFormat="false" ht="12.75" hidden="false" customHeight="true" outlineLevel="0" collapsed="false">
      <c r="A2330" s="5" t="n">
        <v>143</v>
      </c>
      <c r="B2330" s="5" t="n">
        <v>93</v>
      </c>
      <c r="C2330" s="5" t="n">
        <v>520000</v>
      </c>
      <c r="D2330" s="5" t="n">
        <v>0.43</v>
      </c>
      <c r="E2330" s="5" t="n">
        <v>0.52</v>
      </c>
    </row>
    <row r="2331" customFormat="false" ht="12.75" hidden="false" customHeight="true" outlineLevel="0" collapsed="false">
      <c r="A2331" s="5" t="n">
        <v>143</v>
      </c>
      <c r="B2331" s="5" t="n">
        <v>94</v>
      </c>
      <c r="C2331" s="5" t="n">
        <v>820000</v>
      </c>
      <c r="D2331" s="5" t="n">
        <v>0.59</v>
      </c>
      <c r="E2331" s="5" t="n">
        <v>0.82</v>
      </c>
    </row>
    <row r="2332" customFormat="false" ht="12.75" hidden="false" customHeight="true" outlineLevel="0" collapsed="false">
      <c r="A2332" s="5" t="n">
        <v>143</v>
      </c>
      <c r="B2332" s="5" t="n">
        <v>95</v>
      </c>
      <c r="C2332" s="5" t="n">
        <v>1210000</v>
      </c>
      <c r="D2332" s="5" t="n">
        <v>0.78</v>
      </c>
      <c r="E2332" s="5" t="n">
        <v>1.21</v>
      </c>
    </row>
    <row r="2333" customFormat="false" ht="12.75" hidden="false" customHeight="true" outlineLevel="0" collapsed="false">
      <c r="A2333" s="5" t="n">
        <v>143</v>
      </c>
      <c r="B2333" s="5" t="n">
        <v>96</v>
      </c>
      <c r="C2333" s="5" t="n">
        <v>1710000</v>
      </c>
      <c r="D2333" s="5" t="n">
        <v>0.99</v>
      </c>
      <c r="E2333" s="5" t="n">
        <v>1.71</v>
      </c>
    </row>
    <row r="2334" customFormat="false" ht="12.75" hidden="false" customHeight="true" outlineLevel="0" collapsed="false">
      <c r="A2334" s="5" t="n">
        <v>143</v>
      </c>
      <c r="B2334" s="5" t="n">
        <v>97</v>
      </c>
      <c r="C2334" s="5" t="n">
        <v>2320000</v>
      </c>
      <c r="D2334" s="5" t="n">
        <v>1.23</v>
      </c>
      <c r="E2334" s="5" t="n">
        <v>2.32</v>
      </c>
    </row>
    <row r="2335" customFormat="false" ht="12.75" hidden="false" customHeight="true" outlineLevel="0" collapsed="false">
      <c r="A2335" s="5" t="n">
        <v>143</v>
      </c>
      <c r="B2335" s="5" t="n">
        <v>98</v>
      </c>
      <c r="C2335" s="5" t="n">
        <v>3060000</v>
      </c>
      <c r="D2335" s="5" t="n">
        <v>1.48</v>
      </c>
      <c r="E2335" s="5" t="n">
        <v>3.06</v>
      </c>
    </row>
    <row r="2336" customFormat="false" ht="12.75" hidden="false" customHeight="true" outlineLevel="0" collapsed="false">
      <c r="A2336" s="5" t="n">
        <v>143</v>
      </c>
      <c r="B2336" s="5" t="n">
        <v>98.5</v>
      </c>
      <c r="C2336" s="5" t="n">
        <v>3510000</v>
      </c>
      <c r="D2336" s="5" t="n">
        <v>1.79</v>
      </c>
      <c r="E2336" s="5" t="n">
        <v>3.51</v>
      </c>
    </row>
    <row r="2337" customFormat="false" ht="12.75" hidden="false" customHeight="true" outlineLevel="0" collapsed="false">
      <c r="A2337" s="5" t="n">
        <v>145</v>
      </c>
      <c r="B2337" s="5" t="n">
        <v>92</v>
      </c>
      <c r="C2337" s="5" t="n">
        <v>0</v>
      </c>
      <c r="D2337" s="5" t="n">
        <v>0.02</v>
      </c>
      <c r="E2337" s="5" t="n">
        <v>0</v>
      </c>
    </row>
    <row r="2338" customFormat="false" ht="12.75" hidden="false" customHeight="true" outlineLevel="0" collapsed="false">
      <c r="A2338" s="5" t="n">
        <v>145</v>
      </c>
      <c r="B2338" s="5" t="n">
        <v>93</v>
      </c>
      <c r="C2338" s="5" t="n">
        <v>70000</v>
      </c>
      <c r="D2338" s="5" t="n">
        <v>0.11</v>
      </c>
      <c r="E2338" s="5" t="n">
        <v>0.07</v>
      </c>
    </row>
    <row r="2339" customFormat="false" ht="12.75" hidden="false" customHeight="true" outlineLevel="0" collapsed="false">
      <c r="A2339" s="5" t="n">
        <v>145</v>
      </c>
      <c r="B2339" s="5" t="n">
        <v>94</v>
      </c>
      <c r="C2339" s="5" t="n">
        <v>210000</v>
      </c>
      <c r="D2339" s="5" t="n">
        <v>0.17</v>
      </c>
      <c r="E2339" s="5" t="n">
        <v>0.21</v>
      </c>
    </row>
    <row r="2340" customFormat="false" ht="12.75" hidden="false" customHeight="true" outlineLevel="0" collapsed="false">
      <c r="A2340" s="5" t="n">
        <v>145</v>
      </c>
      <c r="B2340" s="5" t="n">
        <v>95</v>
      </c>
      <c r="C2340" s="5" t="n">
        <v>440000</v>
      </c>
      <c r="D2340" s="5" t="n">
        <v>0.28</v>
      </c>
      <c r="E2340" s="5" t="n">
        <v>0.44</v>
      </c>
    </row>
    <row r="2341" customFormat="false" ht="12.75" hidden="false" customHeight="true" outlineLevel="0" collapsed="false">
      <c r="A2341" s="5" t="n">
        <v>145</v>
      </c>
      <c r="B2341" s="5" t="n">
        <v>96</v>
      </c>
      <c r="C2341" s="5" t="n">
        <v>800000</v>
      </c>
      <c r="D2341" s="5" t="n">
        <v>0.41</v>
      </c>
      <c r="E2341" s="5" t="n">
        <v>0.8</v>
      </c>
    </row>
    <row r="2342" customFormat="false" ht="12.75" hidden="false" customHeight="true" outlineLevel="0" collapsed="false">
      <c r="A2342" s="5" t="n">
        <v>145</v>
      </c>
      <c r="B2342" s="5" t="n">
        <v>97</v>
      </c>
      <c r="C2342" s="5" t="n">
        <v>1280000</v>
      </c>
      <c r="D2342" s="5" t="n">
        <v>0.55</v>
      </c>
      <c r="E2342" s="5" t="n">
        <v>1.28</v>
      </c>
    </row>
    <row r="2343" customFormat="false" ht="12.75" hidden="false" customHeight="true" outlineLevel="0" collapsed="false">
      <c r="A2343" s="5" t="n">
        <v>145</v>
      </c>
      <c r="B2343" s="5" t="n">
        <v>98</v>
      </c>
      <c r="C2343" s="5" t="n">
        <v>1910000</v>
      </c>
      <c r="D2343" s="5" t="n">
        <v>0.69</v>
      </c>
      <c r="E2343" s="5" t="n">
        <v>1.91</v>
      </c>
    </row>
    <row r="2344" customFormat="false" ht="12.75" hidden="false" customHeight="true" outlineLevel="0" collapsed="false">
      <c r="A2344" s="5" t="n">
        <v>145</v>
      </c>
      <c r="B2344" s="5" t="n">
        <v>99</v>
      </c>
      <c r="C2344" s="5" t="n">
        <v>2700000</v>
      </c>
      <c r="D2344" s="5" t="n">
        <v>0.88</v>
      </c>
      <c r="E2344" s="5" t="n">
        <v>2.7</v>
      </c>
    </row>
    <row r="2345" customFormat="false" ht="12.75" hidden="false" customHeight="true" outlineLevel="0" collapsed="false">
      <c r="A2345" s="5" t="n">
        <v>145</v>
      </c>
      <c r="B2345" s="5" t="n">
        <v>100</v>
      </c>
      <c r="C2345" s="5" t="n">
        <v>3670000</v>
      </c>
      <c r="D2345" s="5" t="n">
        <v>1.06</v>
      </c>
      <c r="E2345" s="5" t="n">
        <v>3.67</v>
      </c>
    </row>
    <row r="2346" customFormat="false" ht="12.75" hidden="false" customHeight="true" outlineLevel="0" collapsed="false">
      <c r="A2346" s="5" t="n">
        <v>147</v>
      </c>
      <c r="B2346" s="5" t="n">
        <v>81.32</v>
      </c>
      <c r="C2346" s="5" t="n">
        <v>0</v>
      </c>
      <c r="D2346" s="5" t="n">
        <v>0</v>
      </c>
      <c r="E2346" s="5" t="n">
        <v>0</v>
      </c>
    </row>
    <row r="2347" customFormat="false" ht="12.75" hidden="false" customHeight="true" outlineLevel="0" collapsed="false">
      <c r="A2347" s="5" t="n">
        <v>147</v>
      </c>
      <c r="B2347" s="5" t="n">
        <v>82</v>
      </c>
      <c r="C2347" s="5" t="n">
        <v>21</v>
      </c>
      <c r="D2347" s="5" t="n">
        <v>0.0001</v>
      </c>
      <c r="E2347" s="5" t="n">
        <v>2.1E-005</v>
      </c>
    </row>
    <row r="2348" customFormat="false" ht="12.75" hidden="false" customHeight="true" outlineLevel="0" collapsed="false">
      <c r="A2348" s="5" t="n">
        <v>147</v>
      </c>
      <c r="B2348" s="5" t="n">
        <v>83</v>
      </c>
      <c r="C2348" s="5" t="n">
        <v>1450</v>
      </c>
      <c r="D2348" s="5" t="n">
        <v>0.005</v>
      </c>
      <c r="E2348" s="5" t="n">
        <v>0.00145</v>
      </c>
    </row>
    <row r="2349" customFormat="false" ht="12.75" hidden="false" customHeight="true" outlineLevel="0" collapsed="false">
      <c r="A2349" s="5" t="n">
        <v>147</v>
      </c>
      <c r="B2349" s="5" t="n">
        <v>84</v>
      </c>
      <c r="C2349" s="5" t="n">
        <v>12000</v>
      </c>
      <c r="D2349" s="5" t="n">
        <v>0.02</v>
      </c>
      <c r="E2349" s="5" t="n">
        <v>0.012</v>
      </c>
    </row>
    <row r="2350" customFormat="false" ht="12.75" hidden="false" customHeight="true" outlineLevel="0" collapsed="false">
      <c r="A2350" s="5" t="n">
        <v>147</v>
      </c>
      <c r="B2350" s="5" t="n">
        <v>85</v>
      </c>
      <c r="C2350" s="5" t="n">
        <v>40000</v>
      </c>
      <c r="D2350" s="5" t="n">
        <v>0.04</v>
      </c>
      <c r="E2350" s="5" t="n">
        <v>0.04</v>
      </c>
    </row>
    <row r="2351" customFormat="false" ht="12.75" hidden="false" customHeight="true" outlineLevel="0" collapsed="false">
      <c r="A2351" s="5" t="n">
        <v>147</v>
      </c>
      <c r="B2351" s="5" t="n">
        <v>86</v>
      </c>
      <c r="C2351" s="5" t="n">
        <v>92000</v>
      </c>
      <c r="D2351" s="5" t="n">
        <v>0.07</v>
      </c>
      <c r="E2351" s="5" t="n">
        <v>0.092</v>
      </c>
    </row>
    <row r="2352" customFormat="false" ht="12.75" hidden="false" customHeight="true" outlineLevel="0" collapsed="false">
      <c r="A2352" s="5" t="n">
        <v>147</v>
      </c>
      <c r="B2352" s="5" t="n">
        <v>87</v>
      </c>
      <c r="C2352" s="5" t="n">
        <v>174000</v>
      </c>
      <c r="D2352" s="5" t="n">
        <v>0.1</v>
      </c>
      <c r="E2352" s="5" t="n">
        <v>0.174</v>
      </c>
    </row>
    <row r="2353" customFormat="false" ht="12.75" hidden="false" customHeight="true" outlineLevel="0" collapsed="false">
      <c r="A2353" s="5" t="n">
        <v>147</v>
      </c>
      <c r="B2353" s="5" t="n">
        <v>88</v>
      </c>
      <c r="C2353" s="5" t="n">
        <v>296000</v>
      </c>
      <c r="D2353" s="5" t="n">
        <v>0.15</v>
      </c>
      <c r="E2353" s="5" t="n">
        <v>0.296</v>
      </c>
    </row>
    <row r="2354" customFormat="false" ht="12.75" hidden="false" customHeight="true" outlineLevel="0" collapsed="false">
      <c r="A2354" s="5" t="n">
        <v>147</v>
      </c>
      <c r="B2354" s="5" t="n">
        <v>89</v>
      </c>
      <c r="C2354" s="5" t="n">
        <v>471000</v>
      </c>
      <c r="D2354" s="5" t="n">
        <v>0.2</v>
      </c>
      <c r="E2354" s="5" t="n">
        <v>0.471</v>
      </c>
    </row>
    <row r="2355" customFormat="false" ht="12.75" hidden="false" customHeight="true" outlineLevel="0" collapsed="false">
      <c r="A2355" s="5" t="n">
        <v>147</v>
      </c>
      <c r="B2355" s="5" t="n">
        <v>90</v>
      </c>
      <c r="C2355" s="5" t="n">
        <v>701000</v>
      </c>
      <c r="D2355" s="5" t="n">
        <v>0.25</v>
      </c>
      <c r="E2355" s="5" t="n">
        <v>0.701</v>
      </c>
    </row>
    <row r="2356" customFormat="false" ht="12.75" hidden="false" customHeight="true" outlineLevel="0" collapsed="false">
      <c r="A2356" s="5" t="n">
        <v>147</v>
      </c>
      <c r="B2356" s="5" t="n">
        <v>91</v>
      </c>
      <c r="C2356" s="5" t="n">
        <v>978000</v>
      </c>
      <c r="D2356" s="5" t="n">
        <v>0.3</v>
      </c>
      <c r="E2356" s="5" t="n">
        <v>0.978</v>
      </c>
    </row>
    <row r="2357" customFormat="false" ht="12.75" hidden="false" customHeight="true" outlineLevel="0" collapsed="false">
      <c r="A2357" s="5" t="n">
        <v>147</v>
      </c>
      <c r="B2357" s="5" t="n">
        <v>92</v>
      </c>
      <c r="C2357" s="5" t="n">
        <v>1296000</v>
      </c>
      <c r="D2357" s="5" t="n">
        <v>0.34</v>
      </c>
      <c r="E2357" s="5" t="n">
        <v>1.296</v>
      </c>
    </row>
    <row r="2358" customFormat="false" ht="12.75" hidden="false" customHeight="true" outlineLevel="0" collapsed="false">
      <c r="A2358" s="5" t="n">
        <v>147</v>
      </c>
      <c r="B2358" s="5" t="n">
        <v>93</v>
      </c>
      <c r="C2358" s="5" t="n">
        <v>1640000</v>
      </c>
      <c r="D2358" s="5" t="n">
        <v>0.36</v>
      </c>
      <c r="E2358" s="5" t="n">
        <v>1.64</v>
      </c>
    </row>
    <row r="2359" customFormat="false" ht="12.75" hidden="false" customHeight="true" outlineLevel="0" collapsed="false">
      <c r="A2359" s="5" t="n">
        <v>147</v>
      </c>
      <c r="B2359" s="5" t="n">
        <v>94</v>
      </c>
      <c r="C2359" s="5" t="n">
        <v>2010000</v>
      </c>
      <c r="D2359" s="5" t="n">
        <v>0.37</v>
      </c>
      <c r="E2359" s="5" t="n">
        <v>2.01</v>
      </c>
    </row>
    <row r="2360" customFormat="false" ht="12.75" hidden="false" customHeight="true" outlineLevel="0" collapsed="false">
      <c r="A2360" s="5" t="n">
        <v>147</v>
      </c>
      <c r="B2360" s="5" t="n">
        <v>94.7</v>
      </c>
      <c r="C2360" s="5" t="n">
        <v>2270000</v>
      </c>
      <c r="D2360" s="5" t="n">
        <v>0.38</v>
      </c>
      <c r="E2360" s="5" t="n">
        <v>2.27</v>
      </c>
    </row>
    <row r="2361" customFormat="false" ht="12.75" hidden="false" customHeight="true" outlineLevel="0" collapsed="false">
      <c r="A2361" s="5" t="n">
        <v>147</v>
      </c>
      <c r="B2361" s="5" t="n">
        <v>95</v>
      </c>
      <c r="C2361" s="5" t="n">
        <v>2390000</v>
      </c>
      <c r="D2361" s="5" t="n">
        <v>0.38</v>
      </c>
      <c r="E2361" s="5" t="n">
        <v>2.39</v>
      </c>
    </row>
    <row r="2362" customFormat="false" ht="12.75" hidden="false" customHeight="true" outlineLevel="0" collapsed="false">
      <c r="A2362" s="5" t="n">
        <v>147</v>
      </c>
      <c r="B2362" s="5" t="n">
        <v>96</v>
      </c>
      <c r="C2362" s="5" t="n">
        <v>2770000</v>
      </c>
      <c r="D2362" s="5" t="n">
        <v>0.38</v>
      </c>
      <c r="E2362" s="5" t="n">
        <v>2.77</v>
      </c>
    </row>
    <row r="2363" customFormat="false" ht="12.75" hidden="false" customHeight="true" outlineLevel="0" collapsed="false">
      <c r="A2363" s="5" t="n">
        <v>147</v>
      </c>
      <c r="B2363" s="5" t="n">
        <v>97</v>
      </c>
      <c r="C2363" s="5" t="n">
        <v>3150000</v>
      </c>
      <c r="D2363" s="5" t="n">
        <v>0.38</v>
      </c>
      <c r="E2363" s="5" t="n">
        <v>3.15</v>
      </c>
    </row>
    <row r="2364" customFormat="false" ht="12.75" hidden="false" customHeight="true" outlineLevel="0" collapsed="false">
      <c r="A2364" s="5" t="n">
        <v>147</v>
      </c>
      <c r="B2364" s="5" t="n">
        <v>98</v>
      </c>
      <c r="C2364" s="5" t="n">
        <v>3534000</v>
      </c>
      <c r="D2364" s="5" t="n">
        <v>0.38</v>
      </c>
      <c r="E2364" s="5" t="n">
        <v>3.534</v>
      </c>
    </row>
    <row r="2365" customFormat="false" ht="12.75" hidden="false" customHeight="true" outlineLevel="0" collapsed="false">
      <c r="A2365" s="5" t="n">
        <v>147</v>
      </c>
      <c r="B2365" s="5" t="n">
        <v>99</v>
      </c>
      <c r="C2365" s="5" t="n">
        <v>3917000</v>
      </c>
      <c r="D2365" s="5" t="n">
        <v>0.38</v>
      </c>
      <c r="E2365" s="5" t="n">
        <v>3.917</v>
      </c>
    </row>
    <row r="2366" customFormat="false" ht="12.75" hidden="false" customHeight="true" outlineLevel="0" collapsed="false">
      <c r="A2366" s="5" t="n">
        <v>147</v>
      </c>
      <c r="B2366" s="5" t="n">
        <v>100</v>
      </c>
      <c r="C2366" s="5" t="n">
        <v>4300000</v>
      </c>
      <c r="D2366" s="5" t="n">
        <v>0.38</v>
      </c>
      <c r="E2366" s="5" t="n">
        <v>4.3</v>
      </c>
    </row>
    <row r="2367" customFormat="false" ht="12.75" hidden="false" customHeight="true" outlineLevel="0" collapsed="false">
      <c r="A2367" s="5" t="n">
        <v>148</v>
      </c>
      <c r="B2367" s="5" t="n">
        <v>986.88</v>
      </c>
      <c r="C2367" s="5" t="n">
        <v>0</v>
      </c>
      <c r="D2367" s="5" t="n">
        <v>0</v>
      </c>
      <c r="E2367" s="5" t="n">
        <v>0</v>
      </c>
    </row>
    <row r="2368" customFormat="false" ht="12.75" hidden="false" customHeight="true" outlineLevel="0" collapsed="false">
      <c r="A2368" s="5" t="n">
        <v>148</v>
      </c>
      <c r="B2368" s="5" t="n">
        <v>987</v>
      </c>
      <c r="C2368" s="5" t="n">
        <v>3</v>
      </c>
      <c r="D2368" s="5" t="n">
        <v>8E-005</v>
      </c>
      <c r="E2368" s="5" t="n">
        <v>3E-006</v>
      </c>
    </row>
    <row r="2369" customFormat="false" ht="12.75" hidden="false" customHeight="true" outlineLevel="0" collapsed="false">
      <c r="A2369" s="5" t="n">
        <v>148</v>
      </c>
      <c r="B2369" s="5" t="n">
        <v>988</v>
      </c>
      <c r="C2369" s="5" t="n">
        <v>5000</v>
      </c>
      <c r="D2369" s="5" t="n">
        <v>0.012</v>
      </c>
      <c r="E2369" s="5" t="n">
        <v>0.005</v>
      </c>
    </row>
    <row r="2370" customFormat="false" ht="12.75" hidden="false" customHeight="true" outlineLevel="0" collapsed="false">
      <c r="A2370" s="5" t="n">
        <v>148</v>
      </c>
      <c r="B2370" s="5" t="n">
        <v>989</v>
      </c>
      <c r="C2370" s="5" t="n">
        <v>27000</v>
      </c>
      <c r="D2370" s="5" t="n">
        <v>0.03</v>
      </c>
      <c r="E2370" s="5" t="n">
        <v>0.027</v>
      </c>
    </row>
    <row r="2371" customFormat="false" ht="12.75" hidden="false" customHeight="true" outlineLevel="0" collapsed="false">
      <c r="A2371" s="5" t="n">
        <v>148</v>
      </c>
      <c r="B2371" s="5" t="n">
        <v>990</v>
      </c>
      <c r="C2371" s="5" t="n">
        <v>76000</v>
      </c>
      <c r="D2371" s="5" t="n">
        <v>0.07</v>
      </c>
      <c r="E2371" s="5" t="n">
        <v>0.076</v>
      </c>
    </row>
    <row r="2372" customFormat="false" ht="12.75" hidden="false" customHeight="true" outlineLevel="0" collapsed="false">
      <c r="A2372" s="5" t="n">
        <v>148</v>
      </c>
      <c r="B2372" s="5" t="n">
        <v>991</v>
      </c>
      <c r="C2372" s="5" t="n">
        <v>167000</v>
      </c>
      <c r="D2372" s="5" t="n">
        <v>0.11</v>
      </c>
      <c r="E2372" s="5" t="n">
        <v>0.167</v>
      </c>
    </row>
    <row r="2373" customFormat="false" ht="12.75" hidden="false" customHeight="true" outlineLevel="0" collapsed="false">
      <c r="A2373" s="5" t="n">
        <v>148</v>
      </c>
      <c r="B2373" s="5" t="n">
        <v>992</v>
      </c>
      <c r="C2373" s="5" t="n">
        <v>287000</v>
      </c>
      <c r="D2373" s="5" t="n">
        <v>0.13</v>
      </c>
      <c r="E2373" s="5" t="n">
        <v>0.287</v>
      </c>
    </row>
    <row r="2374" customFormat="false" ht="12.75" hidden="false" customHeight="true" outlineLevel="0" collapsed="false">
      <c r="A2374" s="5" t="n">
        <v>148</v>
      </c>
      <c r="B2374" s="5" t="n">
        <v>992.31</v>
      </c>
      <c r="C2374" s="5" t="n">
        <v>327000</v>
      </c>
      <c r="D2374" s="5" t="n">
        <v>0.13</v>
      </c>
      <c r="E2374" s="5" t="n">
        <v>0.327</v>
      </c>
    </row>
    <row r="2375" customFormat="false" ht="12.75" hidden="false" customHeight="true" outlineLevel="0" collapsed="false">
      <c r="A2375" s="5" t="n">
        <v>148</v>
      </c>
      <c r="B2375" s="5" t="n">
        <v>993</v>
      </c>
      <c r="C2375" s="5" t="n">
        <v>450000</v>
      </c>
      <c r="D2375" s="5" t="n">
        <v>0.19</v>
      </c>
      <c r="E2375" s="5" t="n">
        <v>0.45</v>
      </c>
    </row>
    <row r="2376" customFormat="false" ht="12.75" hidden="false" customHeight="true" outlineLevel="0" collapsed="false">
      <c r="A2376" s="5" t="n">
        <v>148</v>
      </c>
      <c r="B2376" s="5" t="n">
        <v>994</v>
      </c>
      <c r="C2376" s="5" t="n">
        <v>715000</v>
      </c>
      <c r="D2376" s="5" t="n">
        <v>0.28</v>
      </c>
      <c r="E2376" s="5" t="n">
        <v>0.715</v>
      </c>
    </row>
    <row r="2377" customFormat="false" ht="12.75" hidden="false" customHeight="true" outlineLevel="0" collapsed="false">
      <c r="A2377" s="5" t="n">
        <v>148</v>
      </c>
      <c r="B2377" s="5" t="n">
        <v>995</v>
      </c>
      <c r="C2377" s="5" t="n">
        <v>1064000</v>
      </c>
      <c r="D2377" s="5" t="n">
        <v>0.36</v>
      </c>
      <c r="E2377" s="5" t="n">
        <v>1.064</v>
      </c>
    </row>
    <row r="2378" customFormat="false" ht="12.75" hidden="false" customHeight="true" outlineLevel="0" collapsed="false">
      <c r="A2378" s="5" t="n">
        <v>148</v>
      </c>
      <c r="B2378" s="5" t="n">
        <v>996</v>
      </c>
      <c r="C2378" s="5" t="n">
        <v>1300000</v>
      </c>
      <c r="D2378" s="5" t="n">
        <v>0.49</v>
      </c>
      <c r="E2378" s="5" t="n">
        <v>1.3</v>
      </c>
    </row>
    <row r="2379" customFormat="false" ht="12.75" hidden="false" customHeight="true" outlineLevel="0" collapsed="false">
      <c r="A2379" s="5" t="n">
        <v>148</v>
      </c>
      <c r="B2379" s="5" t="n">
        <v>997</v>
      </c>
      <c r="C2379" s="5" t="n">
        <v>1570000</v>
      </c>
      <c r="D2379" s="5" t="n">
        <v>0.62</v>
      </c>
      <c r="E2379" s="5" t="n">
        <v>1.57</v>
      </c>
    </row>
    <row r="2380" customFormat="false" ht="12.75" hidden="false" customHeight="true" outlineLevel="0" collapsed="false">
      <c r="A2380" s="5" t="n">
        <v>148</v>
      </c>
      <c r="B2380" s="5" t="n">
        <v>998</v>
      </c>
      <c r="C2380" s="5" t="n">
        <v>1863000</v>
      </c>
      <c r="D2380" s="5" t="n">
        <v>0.78</v>
      </c>
      <c r="E2380" s="5" t="n">
        <v>1.863</v>
      </c>
    </row>
    <row r="2381" customFormat="false" ht="12.75" hidden="false" customHeight="true" outlineLevel="0" collapsed="false">
      <c r="A2381" s="5" t="n">
        <v>148</v>
      </c>
      <c r="B2381" s="5" t="n">
        <v>998.09</v>
      </c>
      <c r="C2381" s="5" t="n">
        <v>1900000</v>
      </c>
      <c r="D2381" s="5" t="n">
        <v>0.79</v>
      </c>
      <c r="E2381" s="5" t="n">
        <v>1.9</v>
      </c>
    </row>
    <row r="2382" customFormat="false" ht="12.75" hidden="false" customHeight="true" outlineLevel="0" collapsed="false">
      <c r="A2382" s="5" t="n">
        <v>148</v>
      </c>
      <c r="B2382" s="5" t="n">
        <v>999</v>
      </c>
      <c r="C2382" s="5" t="n">
        <v>2265000</v>
      </c>
      <c r="D2382" s="5" t="n">
        <v>0.93</v>
      </c>
      <c r="E2382" s="5" t="n">
        <v>2.265</v>
      </c>
    </row>
    <row r="2383" customFormat="false" ht="12.75" hidden="false" customHeight="true" outlineLevel="0" collapsed="false">
      <c r="A2383" s="5" t="n">
        <v>148</v>
      </c>
      <c r="B2383" s="5" t="n">
        <v>1000</v>
      </c>
      <c r="C2383" s="5" t="n">
        <v>2690000</v>
      </c>
      <c r="D2383" s="5" t="n">
        <v>1.11</v>
      </c>
      <c r="E2383" s="5" t="n">
        <v>2.69</v>
      </c>
    </row>
    <row r="2384" customFormat="false" ht="12.75" hidden="false" customHeight="true" outlineLevel="0" collapsed="false">
      <c r="A2384" s="5" t="n">
        <v>155</v>
      </c>
      <c r="B2384" s="5" t="n">
        <v>328.47</v>
      </c>
      <c r="C2384" s="5" t="n">
        <v>0</v>
      </c>
      <c r="D2384" s="5" t="n">
        <v>0</v>
      </c>
      <c r="E2384" s="5" t="n">
        <v>0</v>
      </c>
    </row>
    <row r="2385" customFormat="false" ht="12.75" hidden="false" customHeight="true" outlineLevel="0" collapsed="false">
      <c r="A2385" s="5" t="n">
        <v>155</v>
      </c>
      <c r="B2385" s="5" t="n">
        <v>329</v>
      </c>
      <c r="C2385" s="5" t="n">
        <v>20</v>
      </c>
      <c r="D2385" s="5" t="n">
        <v>0.0002</v>
      </c>
      <c r="E2385" s="5" t="n">
        <v>2E-005</v>
      </c>
    </row>
    <row r="2386" customFormat="false" ht="12.75" hidden="false" customHeight="true" outlineLevel="0" collapsed="false">
      <c r="A2386" s="5" t="n">
        <v>155</v>
      </c>
      <c r="B2386" s="5" t="n">
        <v>330</v>
      </c>
      <c r="C2386" s="5" t="n">
        <v>6000</v>
      </c>
      <c r="D2386" s="5" t="n">
        <v>0.014</v>
      </c>
      <c r="E2386" s="5" t="n">
        <v>0.006</v>
      </c>
    </row>
    <row r="2387" customFormat="false" ht="12.75" hidden="false" customHeight="true" outlineLevel="0" collapsed="false">
      <c r="A2387" s="5" t="n">
        <v>155</v>
      </c>
      <c r="B2387" s="5" t="n">
        <v>331</v>
      </c>
      <c r="C2387" s="5" t="n">
        <v>34000</v>
      </c>
      <c r="D2387" s="5" t="n">
        <v>0.04</v>
      </c>
      <c r="E2387" s="5" t="n">
        <v>0.034</v>
      </c>
    </row>
    <row r="2388" customFormat="false" ht="12.75" hidden="false" customHeight="true" outlineLevel="0" collapsed="false">
      <c r="A2388" s="5" t="n">
        <v>155</v>
      </c>
      <c r="B2388" s="5" t="n">
        <v>332</v>
      </c>
      <c r="C2388" s="5" t="n">
        <v>106000</v>
      </c>
      <c r="D2388" s="5" t="n">
        <v>0.12</v>
      </c>
      <c r="E2388" s="5" t="n">
        <v>0.106</v>
      </c>
    </row>
    <row r="2389" customFormat="false" ht="12.75" hidden="false" customHeight="true" outlineLevel="0" collapsed="false">
      <c r="A2389" s="5" t="n">
        <v>155</v>
      </c>
      <c r="B2389" s="5" t="n">
        <v>333</v>
      </c>
      <c r="C2389" s="5" t="n">
        <v>287000</v>
      </c>
      <c r="D2389" s="5" t="n">
        <v>0.24</v>
      </c>
      <c r="E2389" s="5" t="n">
        <v>0.287</v>
      </c>
    </row>
    <row r="2390" customFormat="false" ht="12.75" hidden="false" customHeight="true" outlineLevel="0" collapsed="false">
      <c r="A2390" s="5" t="n">
        <v>155</v>
      </c>
      <c r="B2390" s="5" t="n">
        <v>334</v>
      </c>
      <c r="C2390" s="5" t="n">
        <v>583000</v>
      </c>
      <c r="D2390" s="5" t="n">
        <v>0.35</v>
      </c>
      <c r="E2390" s="5" t="n">
        <v>0.583</v>
      </c>
    </row>
    <row r="2391" customFormat="false" ht="12.75" hidden="false" customHeight="true" outlineLevel="0" collapsed="false">
      <c r="A2391" s="5" t="n">
        <v>155</v>
      </c>
      <c r="B2391" s="5" t="n">
        <v>335</v>
      </c>
      <c r="C2391" s="5" t="n">
        <v>985000</v>
      </c>
      <c r="D2391" s="5" t="n">
        <v>0.45</v>
      </c>
      <c r="E2391" s="5" t="n">
        <v>0.985</v>
      </c>
    </row>
    <row r="2392" customFormat="false" ht="12.75" hidden="false" customHeight="true" outlineLevel="0" collapsed="false">
      <c r="A2392" s="5" t="n">
        <v>155</v>
      </c>
      <c r="B2392" s="5" t="n">
        <v>336</v>
      </c>
      <c r="C2392" s="5" t="n">
        <v>1476000</v>
      </c>
      <c r="D2392" s="5" t="n">
        <v>0.54</v>
      </c>
      <c r="E2392" s="5" t="n">
        <v>1.476</v>
      </c>
    </row>
    <row r="2393" customFormat="false" ht="12.75" hidden="false" customHeight="true" outlineLevel="0" collapsed="false">
      <c r="A2393" s="5" t="n">
        <v>155</v>
      </c>
      <c r="B2393" s="5" t="n">
        <v>337</v>
      </c>
      <c r="C2393" s="5" t="n">
        <v>2063000</v>
      </c>
      <c r="D2393" s="5" t="n">
        <v>0.64</v>
      </c>
      <c r="E2393" s="5" t="n">
        <v>2.063</v>
      </c>
    </row>
    <row r="2394" customFormat="false" ht="12.75" hidden="false" customHeight="true" outlineLevel="0" collapsed="false">
      <c r="A2394" s="5" t="n">
        <v>155</v>
      </c>
      <c r="B2394" s="5" t="n">
        <v>338</v>
      </c>
      <c r="C2394" s="5" t="n">
        <v>2753000</v>
      </c>
      <c r="D2394" s="5" t="n">
        <v>0.75</v>
      </c>
      <c r="E2394" s="5" t="n">
        <v>2.753</v>
      </c>
    </row>
    <row r="2395" customFormat="false" ht="12.75" hidden="false" customHeight="true" outlineLevel="0" collapsed="false">
      <c r="A2395" s="5" t="n">
        <v>155</v>
      </c>
      <c r="B2395" s="5" t="n">
        <v>339</v>
      </c>
      <c r="C2395" s="5" t="n">
        <v>3570000</v>
      </c>
      <c r="D2395" s="5" t="n">
        <v>0.89</v>
      </c>
      <c r="E2395" s="5" t="n">
        <v>3.57</v>
      </c>
    </row>
    <row r="2396" customFormat="false" ht="12.75" hidden="false" customHeight="true" outlineLevel="0" collapsed="false">
      <c r="A2396" s="5" t="n">
        <v>155</v>
      </c>
      <c r="B2396" s="5" t="n">
        <v>340</v>
      </c>
      <c r="C2396" s="5" t="n">
        <v>4514000</v>
      </c>
      <c r="D2396" s="5" t="n">
        <v>1</v>
      </c>
      <c r="E2396" s="5" t="n">
        <v>4.514</v>
      </c>
    </row>
    <row r="2397" customFormat="false" ht="12.75" hidden="false" customHeight="true" outlineLevel="0" collapsed="false">
      <c r="A2397" s="5" t="n">
        <v>155</v>
      </c>
      <c r="B2397" s="5" t="n">
        <v>341</v>
      </c>
      <c r="C2397" s="5" t="n">
        <v>5567000</v>
      </c>
      <c r="D2397" s="5" t="n">
        <v>1.1</v>
      </c>
      <c r="E2397" s="5" t="n">
        <v>5.567</v>
      </c>
    </row>
    <row r="2398" customFormat="false" ht="12.75" hidden="false" customHeight="true" outlineLevel="0" collapsed="false">
      <c r="A2398" s="5" t="n">
        <v>155</v>
      </c>
      <c r="B2398" s="5" t="n">
        <v>342</v>
      </c>
      <c r="C2398" s="5" t="n">
        <v>6700000</v>
      </c>
      <c r="D2398" s="5" t="n">
        <v>1.17</v>
      </c>
      <c r="E2398" s="5" t="n">
        <v>6.7</v>
      </c>
    </row>
    <row r="2399" customFormat="false" ht="12.75" hidden="false" customHeight="true" outlineLevel="0" collapsed="false">
      <c r="A2399" s="5" t="n">
        <v>155</v>
      </c>
      <c r="B2399" s="5" t="n">
        <v>343</v>
      </c>
      <c r="C2399" s="5" t="n">
        <v>7897000</v>
      </c>
      <c r="D2399" s="5" t="n">
        <v>1.22</v>
      </c>
      <c r="E2399" s="5" t="n">
        <v>7.897</v>
      </c>
    </row>
    <row r="2400" customFormat="false" ht="12.75" hidden="false" customHeight="true" outlineLevel="0" collapsed="false">
      <c r="A2400" s="5" t="n">
        <v>155</v>
      </c>
      <c r="B2400" s="5" t="n">
        <v>344</v>
      </c>
      <c r="C2400" s="5" t="n">
        <v>9134000</v>
      </c>
      <c r="D2400" s="5" t="n">
        <v>1.25</v>
      </c>
      <c r="E2400" s="5" t="n">
        <v>9.134</v>
      </c>
    </row>
    <row r="2401" customFormat="false" ht="12.75" hidden="false" customHeight="true" outlineLevel="0" collapsed="false">
      <c r="A2401" s="5" t="n">
        <v>155</v>
      </c>
      <c r="B2401" s="5" t="n">
        <v>345</v>
      </c>
      <c r="C2401" s="5" t="n">
        <v>10400000</v>
      </c>
      <c r="D2401" s="5" t="n">
        <v>1.28</v>
      </c>
      <c r="E2401" s="5" t="n">
        <v>10.4</v>
      </c>
    </row>
    <row r="2402" customFormat="false" ht="12.75" hidden="false" customHeight="true" outlineLevel="0" collapsed="false">
      <c r="A2402" s="5" t="n">
        <v>155</v>
      </c>
      <c r="B2402" s="5" t="n">
        <v>345.19</v>
      </c>
      <c r="C2402" s="5" t="n">
        <v>10645000</v>
      </c>
      <c r="D2402" s="5" t="n">
        <v>1.29</v>
      </c>
      <c r="E2402" s="5" t="n">
        <v>10.645</v>
      </c>
    </row>
    <row r="2403" customFormat="false" ht="12.75" hidden="false" customHeight="true" outlineLevel="0" collapsed="false">
      <c r="A2403" s="5" t="n">
        <v>155</v>
      </c>
      <c r="B2403" s="5" t="n">
        <v>346</v>
      </c>
      <c r="C2403" s="5" t="n">
        <v>11890000</v>
      </c>
      <c r="D2403" s="5" t="n">
        <v>1.34</v>
      </c>
      <c r="E2403" s="5" t="n">
        <v>11.89</v>
      </c>
    </row>
    <row r="2404" customFormat="false" ht="12.75" hidden="false" customHeight="true" outlineLevel="0" collapsed="false">
      <c r="A2404" s="5" t="n">
        <v>155</v>
      </c>
      <c r="B2404" s="5" t="n">
        <v>347</v>
      </c>
      <c r="C2404" s="5" t="n">
        <v>13490000</v>
      </c>
      <c r="D2404" s="5" t="n">
        <v>1.41</v>
      </c>
      <c r="E2404" s="5" t="n">
        <v>13.49</v>
      </c>
    </row>
    <row r="2405" customFormat="false" ht="12.75" hidden="false" customHeight="true" outlineLevel="0" collapsed="false">
      <c r="A2405" s="5" t="n">
        <v>155</v>
      </c>
      <c r="B2405" s="5" t="n">
        <v>348</v>
      </c>
      <c r="C2405" s="5" t="n">
        <v>15170000</v>
      </c>
      <c r="D2405" s="5" t="n">
        <v>1.49</v>
      </c>
      <c r="E2405" s="5" t="n">
        <v>15.17</v>
      </c>
    </row>
    <row r="2406" customFormat="false" ht="12.75" hidden="false" customHeight="true" outlineLevel="0" collapsed="false">
      <c r="A2406" s="5" t="n">
        <v>155</v>
      </c>
      <c r="B2406" s="5" t="n">
        <v>349</v>
      </c>
      <c r="C2406" s="5" t="n">
        <v>17000000</v>
      </c>
      <c r="D2406" s="5" t="n">
        <v>1.58</v>
      </c>
      <c r="E2406" s="5" t="n">
        <v>17</v>
      </c>
    </row>
    <row r="2407" customFormat="false" ht="12.75" hidden="false" customHeight="true" outlineLevel="0" collapsed="false">
      <c r="A2407" s="5" t="n">
        <v>155</v>
      </c>
      <c r="B2407" s="5" t="n">
        <v>350</v>
      </c>
      <c r="C2407" s="5" t="n">
        <v>19000000</v>
      </c>
      <c r="D2407" s="5" t="n">
        <v>1.71</v>
      </c>
      <c r="E2407" s="5" t="n">
        <v>19</v>
      </c>
    </row>
    <row r="2408" customFormat="false" ht="12.75" hidden="false" customHeight="true" outlineLevel="0" collapsed="false">
      <c r="A2408" s="5" t="n">
        <v>155</v>
      </c>
      <c r="B2408" s="5" t="n">
        <v>351</v>
      </c>
      <c r="C2408" s="5" t="n">
        <v>20780000</v>
      </c>
      <c r="D2408" s="5" t="n">
        <v>1.77</v>
      </c>
      <c r="E2408" s="5" t="n">
        <v>20.78</v>
      </c>
    </row>
    <row r="2409" customFormat="false" ht="12.75" hidden="false" customHeight="true" outlineLevel="0" collapsed="false">
      <c r="A2409" s="5" t="n">
        <v>155</v>
      </c>
      <c r="B2409" s="5" t="n">
        <v>352</v>
      </c>
      <c r="C2409" s="5" t="n">
        <v>23530000</v>
      </c>
      <c r="D2409" s="5" t="n">
        <v>3.27</v>
      </c>
      <c r="E2409" s="5" t="n">
        <v>23.53</v>
      </c>
    </row>
    <row r="2410" customFormat="false" ht="12.75" hidden="false" customHeight="true" outlineLevel="0" collapsed="false">
      <c r="A2410" s="5" t="n">
        <v>156</v>
      </c>
      <c r="B2410" s="5" t="n">
        <v>103</v>
      </c>
      <c r="C2410" s="5" t="n">
        <v>110000</v>
      </c>
      <c r="D2410" s="5" t="n">
        <v>0.07</v>
      </c>
      <c r="E2410" s="5" t="n">
        <v>0.11</v>
      </c>
    </row>
    <row r="2411" customFormat="false" ht="12.75" hidden="false" customHeight="true" outlineLevel="0" collapsed="false">
      <c r="A2411" s="5" t="n">
        <v>156</v>
      </c>
      <c r="B2411" s="5" t="n">
        <v>105</v>
      </c>
      <c r="C2411" s="5" t="n">
        <v>510000</v>
      </c>
      <c r="D2411" s="5" t="n">
        <v>0.32</v>
      </c>
      <c r="E2411" s="5" t="n">
        <v>0.51</v>
      </c>
    </row>
    <row r="2412" customFormat="false" ht="12.75" hidden="false" customHeight="true" outlineLevel="0" collapsed="false">
      <c r="A2412" s="5" t="n">
        <v>156</v>
      </c>
      <c r="B2412" s="5" t="n">
        <v>108</v>
      </c>
      <c r="C2412" s="5" t="n">
        <v>2270000</v>
      </c>
      <c r="D2412" s="5" t="n">
        <v>0.84</v>
      </c>
      <c r="E2412" s="5" t="n">
        <v>2.27</v>
      </c>
    </row>
    <row r="2413" customFormat="false" ht="12.75" hidden="false" customHeight="true" outlineLevel="0" collapsed="false">
      <c r="A2413" s="5" t="n">
        <v>156</v>
      </c>
      <c r="B2413" s="5" t="n">
        <v>110</v>
      </c>
      <c r="C2413" s="5" t="n">
        <v>4340000</v>
      </c>
      <c r="D2413" s="5" t="n">
        <v>1.22</v>
      </c>
      <c r="E2413" s="5" t="n">
        <v>4.34</v>
      </c>
    </row>
    <row r="2414" customFormat="false" ht="12.75" hidden="false" customHeight="true" outlineLevel="0" collapsed="false">
      <c r="A2414" s="5" t="n">
        <v>156</v>
      </c>
      <c r="B2414" s="5" t="n">
        <v>112</v>
      </c>
      <c r="C2414" s="5" t="n">
        <v>7010000</v>
      </c>
      <c r="D2414" s="5" t="n">
        <v>1.43</v>
      </c>
      <c r="E2414" s="5" t="n">
        <v>7.01</v>
      </c>
    </row>
    <row r="2415" customFormat="false" ht="12.75" hidden="false" customHeight="true" outlineLevel="0" collapsed="false">
      <c r="A2415" s="5" t="n">
        <v>156</v>
      </c>
      <c r="B2415" s="5" t="n">
        <v>113</v>
      </c>
      <c r="C2415" s="5" t="n">
        <v>8600000</v>
      </c>
      <c r="D2415" s="5" t="n">
        <v>1.76</v>
      </c>
      <c r="E2415" s="5" t="n">
        <v>8.6</v>
      </c>
    </row>
    <row r="2416" customFormat="false" ht="12.75" hidden="false" customHeight="true" outlineLevel="0" collapsed="false">
      <c r="A2416" s="5" t="n">
        <v>156</v>
      </c>
      <c r="B2416" s="5" t="n">
        <v>115</v>
      </c>
      <c r="C2416" s="5" t="n">
        <v>14990000</v>
      </c>
      <c r="D2416" s="5" t="n">
        <v>4.62</v>
      </c>
      <c r="E2416" s="5" t="n">
        <v>14.99</v>
      </c>
    </row>
    <row r="2417" customFormat="false" ht="12.75" hidden="false" customHeight="true" outlineLevel="0" collapsed="false">
      <c r="A2417" s="5" t="n">
        <v>158</v>
      </c>
      <c r="B2417" s="5" t="n">
        <v>28</v>
      </c>
      <c r="C2417" s="5" t="n">
        <v>0</v>
      </c>
      <c r="D2417" s="5" t="n">
        <v>0</v>
      </c>
      <c r="E2417" s="5" t="n">
        <v>0</v>
      </c>
    </row>
    <row r="2418" customFormat="false" ht="12.75" hidden="false" customHeight="true" outlineLevel="0" collapsed="false">
      <c r="A2418" s="5" t="n">
        <v>158</v>
      </c>
      <c r="B2418" s="5" t="n">
        <v>29</v>
      </c>
      <c r="C2418" s="5" t="n">
        <v>11000</v>
      </c>
      <c r="D2418" s="5" t="n">
        <v>0.02</v>
      </c>
      <c r="E2418" s="5" t="n">
        <v>0.011</v>
      </c>
    </row>
    <row r="2419" customFormat="false" ht="12.75" hidden="false" customHeight="true" outlineLevel="0" collapsed="false">
      <c r="A2419" s="5" t="n">
        <v>158</v>
      </c>
      <c r="B2419" s="5" t="n">
        <v>30</v>
      </c>
      <c r="C2419" s="5" t="n">
        <v>119000</v>
      </c>
      <c r="D2419" s="5" t="n">
        <v>0.19</v>
      </c>
      <c r="E2419" s="5" t="n">
        <v>0.119</v>
      </c>
    </row>
    <row r="2420" customFormat="false" ht="12.75" hidden="false" customHeight="true" outlineLevel="0" collapsed="false">
      <c r="A2420" s="5" t="n">
        <v>158</v>
      </c>
      <c r="B2420" s="5" t="n">
        <v>31</v>
      </c>
      <c r="C2420" s="5" t="n">
        <v>498000</v>
      </c>
      <c r="D2420" s="5" t="n">
        <v>0.57</v>
      </c>
      <c r="E2420" s="5" t="n">
        <v>0.498</v>
      </c>
    </row>
    <row r="2421" customFormat="false" ht="12.75" hidden="false" customHeight="true" outlineLevel="0" collapsed="false">
      <c r="A2421" s="5" t="n">
        <v>158</v>
      </c>
      <c r="B2421" s="5" t="n">
        <v>32</v>
      </c>
      <c r="C2421" s="5" t="n">
        <v>1252000</v>
      </c>
      <c r="D2421" s="5" t="n">
        <v>0.94</v>
      </c>
      <c r="E2421" s="5" t="n">
        <v>1.252</v>
      </c>
    </row>
    <row r="2422" customFormat="false" ht="12.75" hidden="false" customHeight="true" outlineLevel="0" collapsed="false">
      <c r="A2422" s="5" t="n">
        <v>158</v>
      </c>
      <c r="B2422" s="5" t="n">
        <v>33</v>
      </c>
      <c r="C2422" s="5" t="n">
        <v>2396000</v>
      </c>
      <c r="D2422" s="5" t="n">
        <v>1.35</v>
      </c>
      <c r="E2422" s="5" t="n">
        <v>2.396</v>
      </c>
    </row>
    <row r="2423" customFormat="false" ht="12.75" hidden="false" customHeight="true" outlineLevel="0" collapsed="false">
      <c r="A2423" s="5" t="n">
        <v>158</v>
      </c>
      <c r="B2423" s="5" t="n">
        <v>34</v>
      </c>
      <c r="C2423" s="5" t="n">
        <v>4045000</v>
      </c>
      <c r="D2423" s="5" t="n">
        <v>1.95</v>
      </c>
      <c r="E2423" s="5" t="n">
        <v>4.045</v>
      </c>
    </row>
    <row r="2424" customFormat="false" ht="12.75" hidden="false" customHeight="true" outlineLevel="0" collapsed="false">
      <c r="A2424" s="5" t="n">
        <v>158</v>
      </c>
      <c r="B2424" s="5" t="n">
        <v>35</v>
      </c>
      <c r="C2424" s="5" t="n">
        <v>5935000</v>
      </c>
      <c r="D2424" s="5" t="n">
        <v>2.62</v>
      </c>
      <c r="E2424" s="5" t="n">
        <v>5.935</v>
      </c>
    </row>
    <row r="2425" customFormat="false" ht="12.75" hidden="false" customHeight="true" outlineLevel="0" collapsed="false">
      <c r="A2425" s="5" t="n">
        <v>158</v>
      </c>
      <c r="B2425" s="5" t="n">
        <v>36</v>
      </c>
      <c r="C2425" s="5" t="n">
        <v>8928000</v>
      </c>
      <c r="D2425" s="5" t="n">
        <v>3.37</v>
      </c>
      <c r="E2425" s="5" t="n">
        <v>8.928</v>
      </c>
    </row>
    <row r="2426" customFormat="false" ht="12.75" hidden="false" customHeight="true" outlineLevel="0" collapsed="false">
      <c r="A2426" s="5" t="n">
        <v>158</v>
      </c>
      <c r="B2426" s="5" t="n">
        <v>36.89</v>
      </c>
      <c r="C2426" s="5" t="n">
        <v>12000000</v>
      </c>
      <c r="D2426" s="5" t="n">
        <v>3.9</v>
      </c>
      <c r="E2426" s="5" t="n">
        <v>12</v>
      </c>
    </row>
    <row r="2427" customFormat="false" ht="12.75" hidden="false" customHeight="true" outlineLevel="0" collapsed="false">
      <c r="A2427" s="5" t="n">
        <v>158</v>
      </c>
      <c r="B2427" s="5" t="n">
        <v>37</v>
      </c>
      <c r="C2427" s="5" t="n">
        <v>12595000</v>
      </c>
      <c r="D2427" s="5" t="n">
        <v>3.97</v>
      </c>
      <c r="E2427" s="5" t="n">
        <v>12.595</v>
      </c>
    </row>
    <row r="2428" customFormat="false" ht="12.75" hidden="false" customHeight="true" outlineLevel="0" collapsed="false">
      <c r="A2428" s="5" t="n">
        <v>158</v>
      </c>
      <c r="B2428" s="5" t="n">
        <v>38</v>
      </c>
      <c r="C2428" s="5" t="n">
        <v>16865000</v>
      </c>
      <c r="D2428" s="5" t="n">
        <v>4.57</v>
      </c>
      <c r="E2428" s="5" t="n">
        <v>16.865</v>
      </c>
    </row>
    <row r="2429" customFormat="false" ht="12.75" hidden="false" customHeight="true" outlineLevel="0" collapsed="false">
      <c r="A2429" s="5" t="n">
        <v>158</v>
      </c>
      <c r="B2429" s="5" t="n">
        <v>39</v>
      </c>
      <c r="C2429" s="5" t="n">
        <v>21786000</v>
      </c>
      <c r="D2429" s="5" t="n">
        <v>5.27</v>
      </c>
      <c r="E2429" s="5" t="n">
        <v>21.786</v>
      </c>
    </row>
    <row r="2430" customFormat="false" ht="12.75" hidden="false" customHeight="true" outlineLevel="0" collapsed="false">
      <c r="A2430" s="5" t="n">
        <v>159</v>
      </c>
      <c r="B2430" s="5" t="n">
        <v>27.28</v>
      </c>
      <c r="C2430" s="5" t="n">
        <v>0</v>
      </c>
      <c r="D2430" s="5" t="n">
        <v>0</v>
      </c>
      <c r="E2430" s="5" t="n">
        <v>0</v>
      </c>
    </row>
    <row r="2431" customFormat="false" ht="12.75" hidden="false" customHeight="true" outlineLevel="0" collapsed="false">
      <c r="A2431" s="5" t="n">
        <v>159</v>
      </c>
      <c r="B2431" s="5" t="n">
        <v>28</v>
      </c>
      <c r="C2431" s="5" t="n">
        <v>197</v>
      </c>
      <c r="D2431" s="5" t="n">
        <v>0.0009</v>
      </c>
      <c r="E2431" s="5" t="n">
        <v>0.000197</v>
      </c>
    </row>
    <row r="2432" customFormat="false" ht="12.75" hidden="false" customHeight="true" outlineLevel="0" collapsed="false">
      <c r="A2432" s="5" t="n">
        <v>159</v>
      </c>
      <c r="B2432" s="5" t="n">
        <v>29</v>
      </c>
      <c r="C2432" s="5" t="n">
        <v>7600</v>
      </c>
      <c r="D2432" s="5" t="n">
        <v>0.026</v>
      </c>
      <c r="E2432" s="5" t="n">
        <v>0.0076</v>
      </c>
    </row>
    <row r="2433" customFormat="false" ht="12.75" hidden="false" customHeight="true" outlineLevel="0" collapsed="false">
      <c r="A2433" s="5" t="n">
        <v>159</v>
      </c>
      <c r="B2433" s="5" t="n">
        <v>30</v>
      </c>
      <c r="C2433" s="5" t="n">
        <v>88900</v>
      </c>
      <c r="D2433" s="5" t="n">
        <v>0.153</v>
      </c>
      <c r="E2433" s="5" t="n">
        <v>0.0889</v>
      </c>
    </row>
    <row r="2434" customFormat="false" ht="12.75" hidden="false" customHeight="true" outlineLevel="0" collapsed="false">
      <c r="A2434" s="5" t="n">
        <v>159</v>
      </c>
      <c r="B2434" s="5" t="n">
        <v>31</v>
      </c>
      <c r="C2434" s="5" t="n">
        <v>378000</v>
      </c>
      <c r="D2434" s="5" t="n">
        <v>0.496</v>
      </c>
      <c r="E2434" s="5" t="n">
        <v>0.378</v>
      </c>
    </row>
    <row r="2435" customFormat="false" ht="12.75" hidden="false" customHeight="true" outlineLevel="0" collapsed="false">
      <c r="A2435" s="5" t="n">
        <v>159</v>
      </c>
      <c r="B2435" s="5" t="n">
        <v>32</v>
      </c>
      <c r="C2435" s="5" t="n">
        <v>1140000</v>
      </c>
      <c r="D2435" s="5" t="n">
        <v>1.054</v>
      </c>
      <c r="E2435" s="5" t="n">
        <v>1.14</v>
      </c>
    </row>
    <row r="2436" customFormat="false" ht="12.75" hidden="false" customHeight="true" outlineLevel="0" collapsed="false">
      <c r="A2436" s="5" t="n">
        <v>159</v>
      </c>
      <c r="B2436" s="5" t="n">
        <v>33</v>
      </c>
      <c r="C2436" s="5" t="n">
        <v>2565000</v>
      </c>
      <c r="D2436" s="5" t="n">
        <v>1.87</v>
      </c>
      <c r="E2436" s="5" t="n">
        <v>2.565</v>
      </c>
    </row>
    <row r="2437" customFormat="false" ht="12.75" hidden="false" customHeight="true" outlineLevel="0" collapsed="false">
      <c r="A2437" s="5" t="n">
        <v>159</v>
      </c>
      <c r="B2437" s="5" t="n">
        <v>34</v>
      </c>
      <c r="C2437" s="5" t="n">
        <v>4903000</v>
      </c>
      <c r="D2437" s="5" t="n">
        <v>2.823</v>
      </c>
      <c r="E2437" s="5" t="n">
        <v>4.903</v>
      </c>
    </row>
    <row r="2438" customFormat="false" ht="12.75" hidden="false" customHeight="true" outlineLevel="0" collapsed="false">
      <c r="A2438" s="5" t="n">
        <v>159</v>
      </c>
      <c r="B2438" s="5" t="n">
        <v>35</v>
      </c>
      <c r="C2438" s="5" t="n">
        <v>8264000</v>
      </c>
      <c r="D2438" s="5" t="n">
        <v>3.891</v>
      </c>
      <c r="E2438" s="5" t="n">
        <v>8.264</v>
      </c>
    </row>
    <row r="2439" customFormat="false" ht="12.75" hidden="false" customHeight="true" outlineLevel="0" collapsed="false">
      <c r="A2439" s="5" t="n">
        <v>159</v>
      </c>
      <c r="B2439" s="5" t="n">
        <v>36</v>
      </c>
      <c r="C2439" s="5" t="n">
        <v>12664000</v>
      </c>
      <c r="D2439" s="5" t="n">
        <v>4.926</v>
      </c>
      <c r="E2439" s="5" t="n">
        <v>12.664</v>
      </c>
    </row>
    <row r="2440" customFormat="false" ht="12.75" hidden="false" customHeight="true" outlineLevel="0" collapsed="false">
      <c r="A2440" s="5" t="n">
        <v>159</v>
      </c>
      <c r="B2440" s="5" t="n">
        <v>37</v>
      </c>
      <c r="C2440" s="5" t="n">
        <v>18209000</v>
      </c>
      <c r="D2440" s="5" t="n">
        <v>6.176</v>
      </c>
      <c r="E2440" s="5" t="n">
        <v>18.209</v>
      </c>
    </row>
    <row r="2441" customFormat="false" ht="12.75" hidden="false" customHeight="true" outlineLevel="0" collapsed="false">
      <c r="A2441" s="5" t="n">
        <v>159</v>
      </c>
      <c r="B2441" s="5" t="n">
        <v>38</v>
      </c>
      <c r="C2441" s="5" t="n">
        <v>25000000</v>
      </c>
      <c r="D2441" s="5" t="n">
        <v>7.36</v>
      </c>
      <c r="E2441" s="5" t="n">
        <v>25</v>
      </c>
    </row>
    <row r="2442" customFormat="false" ht="12.75" hidden="false" customHeight="true" outlineLevel="0" collapsed="false">
      <c r="A2442" s="5" t="n">
        <v>159</v>
      </c>
      <c r="B2442" s="5" t="n">
        <v>39</v>
      </c>
      <c r="C2442" s="5" t="n">
        <v>32790000</v>
      </c>
      <c r="D2442" s="5" t="n">
        <v>8.085</v>
      </c>
      <c r="E2442" s="5" t="n">
        <v>32.79</v>
      </c>
    </row>
    <row r="2443" customFormat="false" ht="12.75" hidden="false" customHeight="true" outlineLevel="0" collapsed="false">
      <c r="A2443" s="5" t="n">
        <v>159</v>
      </c>
      <c r="B2443" s="5" t="n">
        <v>40</v>
      </c>
      <c r="C2443" s="5" t="n">
        <v>41003000</v>
      </c>
      <c r="D2443" s="5" t="n">
        <v>8.323</v>
      </c>
      <c r="E2443" s="5" t="n">
        <v>41.003</v>
      </c>
    </row>
    <row r="2444" customFormat="false" ht="12.75" hidden="false" customHeight="true" outlineLevel="0" collapsed="false">
      <c r="A2444" s="5" t="n">
        <v>159</v>
      </c>
      <c r="B2444" s="5" t="n">
        <v>40.17</v>
      </c>
      <c r="C2444" s="5" t="n">
        <v>42421000</v>
      </c>
      <c r="D2444" s="5" t="n">
        <v>8.607</v>
      </c>
      <c r="E2444" s="5" t="n">
        <v>42.421</v>
      </c>
    </row>
    <row r="2445" customFormat="false" ht="12.75" hidden="false" customHeight="true" outlineLevel="0" collapsed="false">
      <c r="A2445" s="5" t="n">
        <v>159</v>
      </c>
      <c r="B2445" s="5" t="n">
        <v>41</v>
      </c>
      <c r="C2445" s="5" t="n">
        <v>57740000</v>
      </c>
      <c r="D2445" s="5" t="n">
        <v>23.39</v>
      </c>
      <c r="E2445" s="5" t="n">
        <v>57.74</v>
      </c>
    </row>
    <row r="2446" customFormat="false" ht="12.75" hidden="false" customHeight="true" outlineLevel="0" collapsed="false">
      <c r="A2446" s="5" t="n">
        <v>159</v>
      </c>
      <c r="B2446" s="5" t="n">
        <v>42</v>
      </c>
      <c r="C2446" s="5" t="n">
        <v>71200000</v>
      </c>
      <c r="D2446" s="5" t="n">
        <v>26.93</v>
      </c>
      <c r="E2446" s="5" t="n">
        <v>71.2</v>
      </c>
    </row>
    <row r="2447" customFormat="false" ht="12.75" hidden="false" customHeight="true" outlineLevel="0" collapsed="false">
      <c r="A2447" s="5" t="n">
        <v>159</v>
      </c>
      <c r="B2447" s="5" t="n">
        <v>43</v>
      </c>
      <c r="C2447" s="5" t="n">
        <v>86500000</v>
      </c>
      <c r="D2447" s="5" t="n">
        <v>30.59</v>
      </c>
      <c r="E2447" s="5" t="n">
        <v>86.5</v>
      </c>
    </row>
    <row r="2448" customFormat="false" ht="12.75" hidden="false" customHeight="true" outlineLevel="0" collapsed="false">
      <c r="A2448" s="5" t="n">
        <v>159</v>
      </c>
      <c r="B2448" s="5" t="n">
        <v>44</v>
      </c>
      <c r="C2448" s="5" t="n">
        <v>103670000</v>
      </c>
      <c r="D2448" s="5" t="n">
        <v>34.33</v>
      </c>
      <c r="E2448" s="5" t="n">
        <v>103.67</v>
      </c>
    </row>
    <row r="2449" customFormat="false" ht="12.75" hidden="false" customHeight="true" outlineLevel="0" collapsed="false">
      <c r="A2449" s="5" t="n">
        <v>159</v>
      </c>
      <c r="B2449" s="5" t="n">
        <v>45</v>
      </c>
      <c r="C2449" s="5" t="n">
        <v>123230000</v>
      </c>
      <c r="D2449" s="5" t="n">
        <v>38.11</v>
      </c>
      <c r="E2449" s="5" t="n">
        <v>123.23</v>
      </c>
    </row>
    <row r="2450" customFormat="false" ht="12.75" hidden="false" customHeight="true" outlineLevel="0" collapsed="false">
      <c r="A2450" s="5" t="n">
        <v>159</v>
      </c>
      <c r="B2450" s="5" t="n">
        <v>45.15</v>
      </c>
      <c r="C2450" s="5" t="n">
        <v>126000000</v>
      </c>
      <c r="D2450" s="5" t="n">
        <v>38.73</v>
      </c>
      <c r="E2450" s="5" t="n">
        <v>126</v>
      </c>
    </row>
    <row r="2451" customFormat="false" ht="12.75" hidden="false" customHeight="true" outlineLevel="0" collapsed="false">
      <c r="A2451" s="5" t="n">
        <v>159</v>
      </c>
      <c r="B2451" s="5" t="n">
        <v>46</v>
      </c>
      <c r="C2451" s="5" t="n">
        <v>144340000</v>
      </c>
      <c r="D2451" s="5" t="n">
        <v>42.22</v>
      </c>
      <c r="E2451" s="5" t="n">
        <v>144.34</v>
      </c>
    </row>
    <row r="2452" customFormat="false" ht="12.75" hidden="false" customHeight="true" outlineLevel="0" collapsed="false">
      <c r="A2452" s="5" t="n">
        <v>159</v>
      </c>
      <c r="B2452" s="5" t="n">
        <v>47</v>
      </c>
      <c r="C2452" s="5" t="n">
        <v>167550000</v>
      </c>
      <c r="D2452" s="5" t="n">
        <v>46.41</v>
      </c>
      <c r="E2452" s="5" t="n">
        <v>167.55</v>
      </c>
    </row>
    <row r="2453" customFormat="false" ht="12.75" hidden="false" customHeight="true" outlineLevel="0" collapsed="false">
      <c r="A2453" s="5" t="n">
        <v>159</v>
      </c>
      <c r="B2453" s="5" t="n">
        <v>48</v>
      </c>
      <c r="C2453" s="5" t="n">
        <v>192670000</v>
      </c>
      <c r="D2453" s="5" t="n">
        <v>50.23</v>
      </c>
      <c r="E2453" s="5" t="n">
        <v>192.67</v>
      </c>
    </row>
    <row r="2454" customFormat="false" ht="12.75" hidden="false" customHeight="true" outlineLevel="0" collapsed="false">
      <c r="A2454" s="5" t="n">
        <v>159</v>
      </c>
      <c r="B2454" s="5" t="n">
        <v>49</v>
      </c>
      <c r="C2454" s="5" t="n">
        <v>219580000</v>
      </c>
      <c r="D2454" s="5" t="n">
        <v>53.83</v>
      </c>
      <c r="E2454" s="5" t="n">
        <v>219.58</v>
      </c>
    </row>
    <row r="2455" customFormat="false" ht="12.75" hidden="false" customHeight="true" outlineLevel="0" collapsed="false">
      <c r="A2455" s="5" t="n">
        <v>159</v>
      </c>
      <c r="B2455" s="5" t="n">
        <v>50</v>
      </c>
      <c r="C2455" s="5" t="n">
        <v>248280000</v>
      </c>
      <c r="D2455" s="5" t="n">
        <v>57.39</v>
      </c>
      <c r="E2455" s="5" t="n">
        <v>248.28</v>
      </c>
    </row>
    <row r="2456" customFormat="false" ht="12.75" hidden="false" customHeight="true" outlineLevel="0" collapsed="false">
      <c r="A2456" s="5" t="n">
        <v>160</v>
      </c>
      <c r="B2456" s="5" t="n">
        <v>147.5</v>
      </c>
      <c r="C2456" s="5" t="n">
        <v>0</v>
      </c>
      <c r="D2456" s="5" t="n">
        <v>0</v>
      </c>
      <c r="E2456" s="5" t="n">
        <v>0</v>
      </c>
    </row>
    <row r="2457" customFormat="false" ht="12.75" hidden="false" customHeight="true" outlineLevel="0" collapsed="false">
      <c r="A2457" s="5" t="n">
        <v>160</v>
      </c>
      <c r="B2457" s="5" t="n">
        <v>148</v>
      </c>
      <c r="C2457" s="5" t="n">
        <v>34000</v>
      </c>
      <c r="D2457" s="5" t="n">
        <v>0.051</v>
      </c>
      <c r="E2457" s="5" t="n">
        <v>0.034</v>
      </c>
    </row>
    <row r="2458" customFormat="false" ht="12.75" hidden="false" customHeight="true" outlineLevel="0" collapsed="false">
      <c r="A2458" s="5" t="n">
        <v>160</v>
      </c>
      <c r="B2458" s="5" t="n">
        <v>149</v>
      </c>
      <c r="C2458" s="5" t="n">
        <v>118000</v>
      </c>
      <c r="D2458" s="5" t="n">
        <v>0.117</v>
      </c>
      <c r="E2458" s="5" t="n">
        <v>0.118</v>
      </c>
    </row>
    <row r="2459" customFormat="false" ht="12.75" hidden="false" customHeight="true" outlineLevel="0" collapsed="false">
      <c r="A2459" s="5" t="n">
        <v>160</v>
      </c>
      <c r="B2459" s="5" t="n">
        <v>150</v>
      </c>
      <c r="C2459" s="5" t="n">
        <v>283000</v>
      </c>
      <c r="D2459" s="5" t="n">
        <v>0.212</v>
      </c>
      <c r="E2459" s="5" t="n">
        <v>0.283</v>
      </c>
    </row>
    <row r="2460" customFormat="false" ht="12.75" hidden="false" customHeight="true" outlineLevel="0" collapsed="false">
      <c r="A2460" s="5" t="n">
        <v>160</v>
      </c>
      <c r="B2460" s="5" t="n">
        <v>151</v>
      </c>
      <c r="C2460" s="5" t="n">
        <v>528000</v>
      </c>
      <c r="D2460" s="5" t="n">
        <v>0.274</v>
      </c>
      <c r="E2460" s="5" t="n">
        <v>0.528</v>
      </c>
    </row>
    <row r="2461" customFormat="false" ht="12.75" hidden="false" customHeight="true" outlineLevel="0" collapsed="false">
      <c r="A2461" s="5" t="n">
        <v>160</v>
      </c>
      <c r="B2461" s="5" t="n">
        <v>151.49</v>
      </c>
      <c r="C2461" s="5" t="n">
        <v>670000</v>
      </c>
      <c r="D2461" s="5" t="n">
        <v>0.3</v>
      </c>
      <c r="E2461" s="5" t="n">
        <v>0.67</v>
      </c>
    </row>
    <row r="2462" customFormat="false" ht="12.75" hidden="false" customHeight="true" outlineLevel="0" collapsed="false">
      <c r="A2462" s="5" t="n">
        <v>160</v>
      </c>
      <c r="B2462" s="5" t="n">
        <v>152</v>
      </c>
      <c r="C2462" s="5" t="n">
        <v>2070000</v>
      </c>
      <c r="D2462" s="5" t="n">
        <v>0.73</v>
      </c>
      <c r="E2462" s="5" t="n">
        <v>2.07</v>
      </c>
    </row>
    <row r="2463" customFormat="false" ht="12.75" hidden="false" customHeight="true" outlineLevel="0" collapsed="false">
      <c r="A2463" s="5" t="n">
        <v>160</v>
      </c>
      <c r="B2463" s="5" t="n">
        <v>153</v>
      </c>
      <c r="C2463" s="5" t="n">
        <v>2910000</v>
      </c>
      <c r="D2463" s="5" t="n">
        <v>0.94</v>
      </c>
      <c r="E2463" s="5" t="n">
        <v>2.91</v>
      </c>
    </row>
    <row r="2464" customFormat="false" ht="12.75" hidden="false" customHeight="true" outlineLevel="0" collapsed="false">
      <c r="A2464" s="5" t="n">
        <v>160</v>
      </c>
      <c r="B2464" s="5" t="n">
        <v>154</v>
      </c>
      <c r="C2464" s="5" t="n">
        <v>3940000</v>
      </c>
      <c r="D2464" s="5" t="n">
        <v>1.1</v>
      </c>
      <c r="E2464" s="5" t="n">
        <v>3.94</v>
      </c>
    </row>
    <row r="2465" customFormat="false" ht="12.75" hidden="false" customHeight="true" outlineLevel="0" collapsed="false">
      <c r="A2465" s="5" t="n">
        <v>160</v>
      </c>
      <c r="B2465" s="5" t="n">
        <v>155</v>
      </c>
      <c r="C2465" s="5" t="n">
        <v>5250000</v>
      </c>
      <c r="D2465" s="5" t="n">
        <v>1.5</v>
      </c>
      <c r="E2465" s="5" t="n">
        <v>5.25</v>
      </c>
    </row>
    <row r="2466" customFormat="false" ht="12.75" hidden="false" customHeight="true" outlineLevel="0" collapsed="false">
      <c r="A2466" s="5" t="n">
        <v>160</v>
      </c>
      <c r="B2466" s="5" t="n">
        <v>156</v>
      </c>
      <c r="C2466" s="5" t="n">
        <v>6920000</v>
      </c>
      <c r="D2466" s="5" t="n">
        <v>1.83</v>
      </c>
      <c r="E2466" s="5" t="n">
        <v>6.92</v>
      </c>
    </row>
    <row r="2467" customFormat="false" ht="12.75" hidden="false" customHeight="true" outlineLevel="0" collapsed="false">
      <c r="A2467" s="5" t="n">
        <v>160</v>
      </c>
      <c r="B2467" s="5" t="n">
        <v>157</v>
      </c>
      <c r="C2467" s="5" t="n">
        <v>8940000</v>
      </c>
      <c r="D2467" s="5" t="n">
        <v>2.2</v>
      </c>
      <c r="E2467" s="5" t="n">
        <v>8.94</v>
      </c>
    </row>
    <row r="2468" customFormat="false" ht="12.75" hidden="false" customHeight="true" outlineLevel="0" collapsed="false">
      <c r="A2468" s="5" t="n">
        <v>160</v>
      </c>
      <c r="B2468" s="5" t="n">
        <v>158</v>
      </c>
      <c r="C2468" s="5" t="n">
        <v>11400000</v>
      </c>
      <c r="D2468" s="5" t="n">
        <v>2.7</v>
      </c>
      <c r="E2468" s="5" t="n">
        <v>11.4</v>
      </c>
    </row>
    <row r="2469" customFormat="false" ht="12.75" hidden="false" customHeight="true" outlineLevel="0" collapsed="false">
      <c r="A2469" s="5" t="n">
        <v>160</v>
      </c>
      <c r="B2469" s="5" t="n">
        <v>159</v>
      </c>
      <c r="C2469" s="5" t="n">
        <v>14390000</v>
      </c>
      <c r="D2469" s="5" t="n">
        <v>3.3</v>
      </c>
      <c r="E2469" s="5" t="n">
        <v>14.39</v>
      </c>
    </row>
    <row r="2470" customFormat="false" ht="12.75" hidden="false" customHeight="true" outlineLevel="0" collapsed="false">
      <c r="A2470" s="5" t="n">
        <v>160</v>
      </c>
      <c r="B2470" s="5" t="n">
        <v>160</v>
      </c>
      <c r="C2470" s="5" t="n">
        <v>18040000</v>
      </c>
      <c r="D2470" s="5" t="n">
        <v>4</v>
      </c>
      <c r="E2470" s="5" t="n">
        <v>18.04</v>
      </c>
    </row>
    <row r="2471" customFormat="false" ht="12.75" hidden="false" customHeight="true" outlineLevel="0" collapsed="false">
      <c r="A2471" s="5" t="n">
        <v>160</v>
      </c>
      <c r="B2471" s="5" t="n">
        <v>161</v>
      </c>
      <c r="C2471" s="5" t="n">
        <v>22510000</v>
      </c>
      <c r="D2471" s="5" t="n">
        <v>5</v>
      </c>
      <c r="E2471" s="5" t="n">
        <v>22.51</v>
      </c>
    </row>
    <row r="2472" customFormat="false" ht="12.75" hidden="false" customHeight="true" outlineLevel="0" collapsed="false">
      <c r="A2472" s="5" t="n">
        <v>160</v>
      </c>
      <c r="B2472" s="5" t="n">
        <v>162</v>
      </c>
      <c r="C2472" s="5" t="n">
        <v>28090000</v>
      </c>
      <c r="D2472" s="5" t="n">
        <v>6.2</v>
      </c>
      <c r="E2472" s="5" t="n">
        <v>28.09</v>
      </c>
    </row>
    <row r="2473" customFormat="false" ht="12.75" hidden="false" customHeight="true" outlineLevel="0" collapsed="false">
      <c r="A2473" s="5" t="n">
        <v>160</v>
      </c>
      <c r="B2473" s="5" t="n">
        <v>162.5</v>
      </c>
      <c r="C2473" s="5" t="n">
        <v>30840000</v>
      </c>
      <c r="D2473" s="5" t="n">
        <v>6.84</v>
      </c>
      <c r="E2473" s="5" t="n">
        <v>30.84</v>
      </c>
    </row>
    <row r="2474" customFormat="false" ht="12.75" hidden="false" customHeight="true" outlineLevel="0" collapsed="false">
      <c r="A2474" s="5" t="n">
        <v>160</v>
      </c>
      <c r="B2474" s="5" t="n">
        <v>163</v>
      </c>
      <c r="C2474" s="5" t="n">
        <v>33660000</v>
      </c>
      <c r="D2474" s="5" t="n">
        <v>7.47</v>
      </c>
      <c r="E2474" s="5" t="n">
        <v>33.66</v>
      </c>
    </row>
    <row r="2475" customFormat="false" ht="12.75" hidden="false" customHeight="true" outlineLevel="0" collapsed="false">
      <c r="A2475" s="5" t="n">
        <v>160</v>
      </c>
      <c r="B2475" s="5" t="n">
        <v>164</v>
      </c>
      <c r="C2475" s="5" t="n">
        <v>39240000</v>
      </c>
      <c r="D2475" s="5" t="n">
        <v>8.74</v>
      </c>
      <c r="E2475" s="5" t="n">
        <v>39.24</v>
      </c>
    </row>
    <row r="2476" customFormat="false" ht="12.75" hidden="false" customHeight="true" outlineLevel="0" collapsed="false">
      <c r="A2476" s="5" t="n">
        <v>161</v>
      </c>
      <c r="B2476" s="5" t="n">
        <v>635.8</v>
      </c>
      <c r="C2476" s="5" t="n">
        <v>0</v>
      </c>
      <c r="D2476" s="5" t="n">
        <v>0</v>
      </c>
      <c r="E2476" s="5" t="n">
        <v>0</v>
      </c>
    </row>
    <row r="2477" customFormat="false" ht="12.75" hidden="false" customHeight="true" outlineLevel="0" collapsed="false">
      <c r="A2477" s="5" t="n">
        <v>161</v>
      </c>
      <c r="B2477" s="5" t="n">
        <v>636</v>
      </c>
      <c r="C2477" s="5" t="n">
        <v>17</v>
      </c>
      <c r="D2477" s="5" t="n">
        <v>0.0002</v>
      </c>
      <c r="E2477" s="5" t="n">
        <v>1.7E-005</v>
      </c>
    </row>
    <row r="2478" customFormat="false" ht="12.75" hidden="false" customHeight="true" outlineLevel="0" collapsed="false">
      <c r="A2478" s="5" t="n">
        <v>161</v>
      </c>
      <c r="B2478" s="5" t="n">
        <v>637</v>
      </c>
      <c r="C2478" s="5" t="n">
        <v>2987</v>
      </c>
      <c r="D2478" s="5" t="n">
        <v>0.0074</v>
      </c>
      <c r="E2478" s="5" t="n">
        <v>0.002987</v>
      </c>
    </row>
    <row r="2479" customFormat="false" ht="12.75" hidden="false" customHeight="true" outlineLevel="0" collapsed="false">
      <c r="A2479" s="5" t="n">
        <v>161</v>
      </c>
      <c r="B2479" s="5" t="n">
        <v>638</v>
      </c>
      <c r="C2479" s="5" t="n">
        <v>16790</v>
      </c>
      <c r="D2479" s="5" t="n">
        <v>0.0212</v>
      </c>
      <c r="E2479" s="5" t="n">
        <v>0.01679</v>
      </c>
    </row>
    <row r="2480" customFormat="false" ht="12.75" hidden="false" customHeight="true" outlineLevel="0" collapsed="false">
      <c r="A2480" s="5" t="n">
        <v>161</v>
      </c>
      <c r="B2480" s="5" t="n">
        <v>639</v>
      </c>
      <c r="C2480" s="5" t="n">
        <v>43948</v>
      </c>
      <c r="D2480" s="5" t="n">
        <v>0.031</v>
      </c>
      <c r="E2480" s="5" t="n">
        <v>0.043948</v>
      </c>
    </row>
    <row r="2481" customFormat="false" ht="12.75" hidden="false" customHeight="true" outlineLevel="0" collapsed="false">
      <c r="A2481" s="5" t="n">
        <v>161</v>
      </c>
      <c r="B2481" s="5" t="n">
        <v>639.05</v>
      </c>
      <c r="C2481" s="5" t="n">
        <v>45505</v>
      </c>
      <c r="D2481" s="5" t="n">
        <v>0.0312</v>
      </c>
      <c r="E2481" s="5" t="n">
        <v>0.045505</v>
      </c>
    </row>
    <row r="2482" customFormat="false" ht="12.75" hidden="false" customHeight="true" outlineLevel="0" collapsed="false">
      <c r="A2482" s="5" t="n">
        <v>161</v>
      </c>
      <c r="B2482" s="5" t="n">
        <v>642</v>
      </c>
      <c r="C2482" s="5" t="n">
        <v>281506</v>
      </c>
      <c r="D2482" s="5" t="n">
        <v>0.0902</v>
      </c>
      <c r="E2482" s="5" t="n">
        <v>0.281506</v>
      </c>
    </row>
    <row r="2483" customFormat="false" ht="12.75" hidden="false" customHeight="true" outlineLevel="0" collapsed="false">
      <c r="A2483" s="5" t="n">
        <v>161</v>
      </c>
      <c r="B2483" s="5" t="n">
        <v>647</v>
      </c>
      <c r="C2483" s="5" t="n">
        <v>2061506</v>
      </c>
      <c r="D2483" s="5" t="n">
        <v>0.4802</v>
      </c>
      <c r="E2483" s="5" t="n">
        <v>2.061506</v>
      </c>
    </row>
    <row r="2484" customFormat="false" ht="12.75" hidden="false" customHeight="true" outlineLevel="0" collapsed="false">
      <c r="A2484" s="5" t="n">
        <v>161</v>
      </c>
      <c r="B2484" s="5" t="n">
        <v>650</v>
      </c>
      <c r="C2484" s="5" t="n">
        <v>4271506</v>
      </c>
      <c r="D2484" s="5" t="n">
        <v>0.8502</v>
      </c>
      <c r="E2484" s="5" t="n">
        <v>4.271506</v>
      </c>
    </row>
    <row r="2485" customFormat="false" ht="12.75" hidden="false" customHeight="true" outlineLevel="0" collapsed="false">
      <c r="A2485" s="5" t="n">
        <v>161</v>
      </c>
      <c r="B2485" s="5" t="n">
        <v>652</v>
      </c>
      <c r="C2485" s="5" t="n">
        <v>6441506</v>
      </c>
      <c r="D2485" s="5" t="n">
        <v>1.1802</v>
      </c>
      <c r="E2485" s="5" t="n">
        <v>6.441506</v>
      </c>
    </row>
    <row r="2486" customFormat="false" ht="12.75" hidden="false" customHeight="true" outlineLevel="0" collapsed="false">
      <c r="A2486" s="5" t="n">
        <v>161</v>
      </c>
      <c r="B2486" s="5" t="n">
        <v>655</v>
      </c>
      <c r="C2486" s="5" t="n">
        <v>11700000</v>
      </c>
      <c r="D2486" s="5" t="n">
        <v>1.7442</v>
      </c>
      <c r="E2486" s="5" t="n">
        <v>11.7</v>
      </c>
    </row>
    <row r="2487" customFormat="false" ht="12.75" hidden="false" customHeight="true" outlineLevel="0" collapsed="false">
      <c r="A2487" s="5" t="n">
        <v>161</v>
      </c>
      <c r="B2487" s="5" t="n">
        <v>657</v>
      </c>
      <c r="C2487" s="5" t="n">
        <v>15041506</v>
      </c>
      <c r="D2487" s="5" t="n">
        <v>2.1202</v>
      </c>
      <c r="E2487" s="5" t="n">
        <v>15.041506</v>
      </c>
    </row>
    <row r="2488" customFormat="false" ht="12.75" hidden="false" customHeight="true" outlineLevel="0" collapsed="false">
      <c r="A2488" s="5" t="n">
        <v>161</v>
      </c>
      <c r="B2488" s="5" t="n">
        <v>680</v>
      </c>
      <c r="C2488" s="5" t="n">
        <v>22361506</v>
      </c>
      <c r="D2488" s="5" t="n">
        <v>2.6202</v>
      </c>
      <c r="E2488" s="5" t="n">
        <v>22.361506</v>
      </c>
    </row>
    <row r="2489" customFormat="false" ht="12.75" hidden="false" customHeight="true" outlineLevel="0" collapsed="false">
      <c r="A2489" s="5" t="n">
        <v>162</v>
      </c>
      <c r="B2489" s="5" t="n">
        <v>281</v>
      </c>
      <c r="C2489" s="5" t="n">
        <v>0</v>
      </c>
      <c r="D2489" s="5" t="n">
        <v>0</v>
      </c>
      <c r="E2489" s="5" t="n">
        <v>0</v>
      </c>
    </row>
    <row r="2490" customFormat="false" ht="12.75" hidden="false" customHeight="true" outlineLevel="0" collapsed="false">
      <c r="A2490" s="5" t="n">
        <v>162</v>
      </c>
      <c r="B2490" s="5" t="n">
        <v>285</v>
      </c>
      <c r="C2490" s="5" t="n">
        <v>1520000</v>
      </c>
      <c r="D2490" s="5" t="n">
        <v>0.76</v>
      </c>
      <c r="E2490" s="5" t="n">
        <v>1.52</v>
      </c>
    </row>
    <row r="2491" customFormat="false" ht="12.75" hidden="false" customHeight="true" outlineLevel="0" collapsed="false">
      <c r="A2491" s="5" t="n">
        <v>162</v>
      </c>
      <c r="B2491" s="5" t="n">
        <v>290</v>
      </c>
      <c r="C2491" s="5" t="n">
        <v>10600000</v>
      </c>
      <c r="D2491" s="5" t="n">
        <v>2.61</v>
      </c>
      <c r="E2491" s="5" t="n">
        <v>10.6</v>
      </c>
    </row>
    <row r="2492" customFormat="false" ht="12.75" hidden="false" customHeight="true" outlineLevel="0" collapsed="false">
      <c r="A2492" s="5" t="n">
        <v>162</v>
      </c>
      <c r="B2492" s="5" t="n">
        <v>295</v>
      </c>
      <c r="C2492" s="5" t="n">
        <v>31800000</v>
      </c>
      <c r="D2492" s="5" t="n">
        <v>5.61</v>
      </c>
      <c r="E2492" s="5" t="n">
        <v>31.8</v>
      </c>
    </row>
    <row r="2493" customFormat="false" ht="12.75" hidden="false" customHeight="true" outlineLevel="0" collapsed="false">
      <c r="A2493" s="5" t="n">
        <v>162</v>
      </c>
      <c r="B2493" s="5" t="n">
        <v>300</v>
      </c>
      <c r="C2493" s="5" t="n">
        <v>66650000</v>
      </c>
      <c r="D2493" s="5" t="n">
        <v>8.32</v>
      </c>
      <c r="E2493" s="5" t="n">
        <v>66.65</v>
      </c>
    </row>
    <row r="2494" customFormat="false" ht="12.75" hidden="false" customHeight="true" outlineLevel="0" collapsed="false">
      <c r="A2494" s="5" t="n">
        <v>162</v>
      </c>
      <c r="B2494" s="5" t="n">
        <v>305</v>
      </c>
      <c r="C2494" s="5" t="n">
        <v>119790000</v>
      </c>
      <c r="D2494" s="5" t="n">
        <v>12.93</v>
      </c>
      <c r="E2494" s="5" t="n">
        <v>119.79</v>
      </c>
    </row>
    <row r="2495" customFormat="false" ht="12.75" hidden="false" customHeight="true" outlineLevel="0" collapsed="false">
      <c r="A2495" s="5" t="n">
        <v>162</v>
      </c>
      <c r="B2495" s="5" t="n">
        <v>319</v>
      </c>
      <c r="C2495" s="5" t="n">
        <v>201960000</v>
      </c>
      <c r="D2495" s="5" t="n">
        <v>19.93</v>
      </c>
      <c r="E2495" s="5" t="n">
        <v>201.96</v>
      </c>
    </row>
    <row r="2496" customFormat="false" ht="12.75" hidden="false" customHeight="true" outlineLevel="0" collapsed="false">
      <c r="A2496" s="5" t="n">
        <v>163</v>
      </c>
      <c r="B2496" s="5" t="n">
        <v>320</v>
      </c>
      <c r="C2496" s="5" t="n">
        <v>0</v>
      </c>
      <c r="D2496" s="5" t="n">
        <v>0</v>
      </c>
      <c r="E2496" s="5" t="n">
        <v>0</v>
      </c>
    </row>
    <row r="2497" customFormat="false" ht="12.75" hidden="false" customHeight="true" outlineLevel="0" collapsed="false">
      <c r="A2497" s="5" t="n">
        <v>163</v>
      </c>
      <c r="B2497" s="5" t="n">
        <v>320.84</v>
      </c>
      <c r="C2497" s="5" t="n">
        <v>0</v>
      </c>
      <c r="D2497" s="5" t="n">
        <v>0</v>
      </c>
      <c r="E2497" s="5" t="n">
        <v>0</v>
      </c>
    </row>
    <row r="2498" customFormat="false" ht="12.75" hidden="false" customHeight="true" outlineLevel="0" collapsed="false">
      <c r="A2498" s="5" t="n">
        <v>163</v>
      </c>
      <c r="B2498" s="5" t="n">
        <v>321</v>
      </c>
      <c r="C2498" s="5" t="n">
        <v>2</v>
      </c>
      <c r="D2498" s="5" t="n">
        <v>0</v>
      </c>
      <c r="E2498" s="5" t="n">
        <v>2E-006</v>
      </c>
    </row>
    <row r="2499" customFormat="false" ht="12.75" hidden="false" customHeight="true" outlineLevel="0" collapsed="false">
      <c r="A2499" s="5" t="n">
        <v>163</v>
      </c>
      <c r="B2499" s="5" t="n">
        <v>322</v>
      </c>
      <c r="C2499" s="5" t="n">
        <v>12000</v>
      </c>
      <c r="D2499" s="5" t="n">
        <v>0.0514</v>
      </c>
      <c r="E2499" s="5" t="n">
        <v>0.012</v>
      </c>
    </row>
    <row r="2500" customFormat="false" ht="12.75" hidden="false" customHeight="true" outlineLevel="0" collapsed="false">
      <c r="A2500" s="5" t="n">
        <v>163</v>
      </c>
      <c r="B2500" s="5" t="n">
        <v>323</v>
      </c>
      <c r="C2500" s="5" t="n">
        <v>257000</v>
      </c>
      <c r="D2500" s="5" t="n">
        <v>0.5873</v>
      </c>
      <c r="E2500" s="5" t="n">
        <v>0.257</v>
      </c>
    </row>
    <row r="2501" customFormat="false" ht="12.75" hidden="false" customHeight="true" outlineLevel="0" collapsed="false">
      <c r="A2501" s="5" t="n">
        <v>163</v>
      </c>
      <c r="B2501" s="5" t="n">
        <v>324</v>
      </c>
      <c r="C2501" s="5" t="n">
        <v>1405300</v>
      </c>
      <c r="D2501" s="5" t="n">
        <v>0.7117</v>
      </c>
      <c r="E2501" s="5" t="n">
        <v>1.4053</v>
      </c>
    </row>
    <row r="2502" customFormat="false" ht="12.75" hidden="false" customHeight="true" outlineLevel="0" collapsed="false">
      <c r="A2502" s="5" t="n">
        <v>163</v>
      </c>
      <c r="B2502" s="5" t="n">
        <v>325</v>
      </c>
      <c r="C2502" s="5" t="n">
        <v>3732000</v>
      </c>
      <c r="D2502" s="5" t="n">
        <v>2.723</v>
      </c>
      <c r="E2502" s="5" t="n">
        <v>3.732</v>
      </c>
    </row>
    <row r="2503" customFormat="false" ht="12.75" hidden="false" customHeight="true" outlineLevel="0" collapsed="false">
      <c r="A2503" s="5" t="n">
        <v>163</v>
      </c>
      <c r="B2503" s="5" t="n">
        <v>325.83</v>
      </c>
      <c r="C2503" s="5" t="n">
        <v>6032000</v>
      </c>
      <c r="D2503" s="5" t="n">
        <v>2.815</v>
      </c>
      <c r="E2503" s="5" t="n">
        <v>6.032</v>
      </c>
    </row>
    <row r="2504" customFormat="false" ht="12.75" hidden="false" customHeight="true" outlineLevel="0" collapsed="false">
      <c r="A2504" s="5" t="n">
        <v>163</v>
      </c>
      <c r="B2504" s="5" t="n">
        <v>326</v>
      </c>
      <c r="C2504" s="5" t="n">
        <v>6612000</v>
      </c>
      <c r="D2504" s="5" t="n">
        <v>3.68574</v>
      </c>
      <c r="E2504" s="5" t="n">
        <v>6.612</v>
      </c>
    </row>
    <row r="2505" customFormat="false" ht="12.75" hidden="false" customHeight="true" outlineLevel="0" collapsed="false">
      <c r="A2505" s="5" t="n">
        <v>163</v>
      </c>
      <c r="B2505" s="5" t="n">
        <v>326.86</v>
      </c>
      <c r="C2505" s="5" t="n">
        <v>9794000</v>
      </c>
      <c r="D2505" s="5" t="n">
        <v>3.74574</v>
      </c>
      <c r="E2505" s="5" t="n">
        <v>9.794</v>
      </c>
    </row>
    <row r="2506" customFormat="false" ht="12.75" hidden="false" customHeight="true" outlineLevel="0" collapsed="false">
      <c r="A2506" s="5" t="n">
        <v>163</v>
      </c>
      <c r="B2506" s="5" t="n">
        <v>328</v>
      </c>
      <c r="C2506" s="5" t="n">
        <v>22324000</v>
      </c>
      <c r="D2506" s="5" t="n">
        <v>4.35574</v>
      </c>
      <c r="E2506" s="5" t="n">
        <v>22.324</v>
      </c>
    </row>
    <row r="2507" customFormat="false" ht="12.75" hidden="false" customHeight="true" outlineLevel="0" collapsed="false">
      <c r="A2507" s="5" t="n">
        <v>163</v>
      </c>
      <c r="B2507" s="5" t="n">
        <v>329</v>
      </c>
      <c r="C2507" s="5" t="n">
        <v>32134000</v>
      </c>
      <c r="D2507" s="5" t="n">
        <v>6.66574</v>
      </c>
      <c r="E2507" s="5" t="n">
        <v>32.134</v>
      </c>
    </row>
    <row r="2508" customFormat="false" ht="12.75" hidden="false" customHeight="true" outlineLevel="0" collapsed="false">
      <c r="A2508" s="5" t="n">
        <v>163</v>
      </c>
      <c r="B2508" s="5" t="n">
        <v>330</v>
      </c>
      <c r="C2508" s="5" t="n">
        <v>41574000</v>
      </c>
      <c r="D2508" s="5" t="n">
        <v>8.77574</v>
      </c>
      <c r="E2508" s="5" t="n">
        <v>41.574</v>
      </c>
    </row>
    <row r="2509" customFormat="false" ht="12.75" hidden="false" customHeight="true" outlineLevel="0" collapsed="false">
      <c r="A2509" s="5" t="n">
        <v>163</v>
      </c>
      <c r="B2509" s="5" t="n">
        <v>331</v>
      </c>
      <c r="C2509" s="5" t="n">
        <v>56064000</v>
      </c>
      <c r="D2509" s="5" t="n">
        <v>10.31574</v>
      </c>
      <c r="E2509" s="5" t="n">
        <v>56.064</v>
      </c>
    </row>
    <row r="2510" customFormat="false" ht="12.75" hidden="false" customHeight="true" outlineLevel="0" collapsed="false">
      <c r="A2510" s="5" t="n">
        <v>163</v>
      </c>
      <c r="B2510" s="5" t="n">
        <v>332</v>
      </c>
      <c r="C2510" s="5" t="n">
        <v>68934000</v>
      </c>
      <c r="D2510" s="5" t="n">
        <v>11.85574</v>
      </c>
      <c r="E2510" s="5" t="n">
        <v>68.934</v>
      </c>
    </row>
    <row r="2511" customFormat="false" ht="12.75" hidden="false" customHeight="true" outlineLevel="0" collapsed="false">
      <c r="A2511" s="5" t="n">
        <v>163</v>
      </c>
      <c r="B2511" s="5" t="n">
        <v>333</v>
      </c>
      <c r="C2511" s="5" t="n">
        <v>86864000</v>
      </c>
      <c r="D2511" s="5" t="n">
        <v>13.96574</v>
      </c>
      <c r="E2511" s="5" t="n">
        <v>86.864</v>
      </c>
    </row>
    <row r="2512" customFormat="false" ht="12.75" hidden="false" customHeight="true" outlineLevel="0" collapsed="false">
      <c r="A2512" s="5" t="n">
        <v>163</v>
      </c>
      <c r="B2512" s="5" t="n">
        <v>333.6</v>
      </c>
      <c r="C2512" s="5" t="n">
        <v>99560000</v>
      </c>
      <c r="D2512" s="5" t="n">
        <v>15.52574</v>
      </c>
      <c r="E2512" s="5" t="n">
        <v>99.56</v>
      </c>
    </row>
    <row r="2513" customFormat="false" ht="12.75" hidden="false" customHeight="true" outlineLevel="0" collapsed="false">
      <c r="A2513" s="5" t="n">
        <v>163</v>
      </c>
      <c r="B2513" s="5" t="n">
        <v>334</v>
      </c>
      <c r="C2513" s="5" t="n">
        <v>105730000</v>
      </c>
      <c r="D2513" s="5" t="n">
        <v>16.46574</v>
      </c>
      <c r="E2513" s="5" t="n">
        <v>105.73</v>
      </c>
    </row>
    <row r="2514" customFormat="false" ht="12.75" hidden="false" customHeight="true" outlineLevel="0" collapsed="false">
      <c r="A2514" s="5" t="n">
        <v>163</v>
      </c>
      <c r="B2514" s="5" t="n">
        <v>335</v>
      </c>
      <c r="C2514" s="5" t="n">
        <v>126500000</v>
      </c>
      <c r="D2514" s="5" t="n">
        <v>19.54574</v>
      </c>
      <c r="E2514" s="5" t="n">
        <v>126.5</v>
      </c>
    </row>
    <row r="2515" customFormat="false" ht="12.75" hidden="false" customHeight="true" outlineLevel="0" collapsed="false">
      <c r="A2515" s="5" t="n">
        <v>164</v>
      </c>
      <c r="B2515" s="5" t="n">
        <v>81</v>
      </c>
      <c r="C2515" s="5" t="n">
        <v>0</v>
      </c>
      <c r="D2515" s="5" t="n">
        <v>0</v>
      </c>
      <c r="E2515" s="5" t="n">
        <v>0</v>
      </c>
    </row>
    <row r="2516" customFormat="false" ht="12.75" hidden="false" customHeight="true" outlineLevel="0" collapsed="false">
      <c r="A2516" s="5" t="n">
        <v>164</v>
      </c>
      <c r="B2516" s="5" t="n">
        <v>82</v>
      </c>
      <c r="C2516" s="5" t="n">
        <v>30000</v>
      </c>
      <c r="D2516" s="5" t="n">
        <v>0.04</v>
      </c>
      <c r="E2516" s="5" t="n">
        <v>0.03</v>
      </c>
    </row>
    <row r="2517" customFormat="false" ht="12.75" hidden="false" customHeight="true" outlineLevel="0" collapsed="false">
      <c r="A2517" s="5" t="n">
        <v>164</v>
      </c>
      <c r="B2517" s="5" t="n">
        <v>83</v>
      </c>
      <c r="C2517" s="5" t="n">
        <v>70000</v>
      </c>
      <c r="D2517" s="5" t="n">
        <v>0.08</v>
      </c>
      <c r="E2517" s="5" t="n">
        <v>0.07</v>
      </c>
    </row>
    <row r="2518" customFormat="false" ht="12.75" hidden="false" customHeight="true" outlineLevel="0" collapsed="false">
      <c r="A2518" s="5" t="n">
        <v>164</v>
      </c>
      <c r="B2518" s="5" t="n">
        <v>84</v>
      </c>
      <c r="C2518" s="5" t="n">
        <v>140000</v>
      </c>
      <c r="D2518" s="5" t="n">
        <v>0.13</v>
      </c>
      <c r="E2518" s="5" t="n">
        <v>0.14</v>
      </c>
    </row>
    <row r="2519" customFormat="false" ht="12.75" hidden="false" customHeight="true" outlineLevel="0" collapsed="false">
      <c r="A2519" s="5" t="n">
        <v>164</v>
      </c>
      <c r="B2519" s="5" t="n">
        <v>85</v>
      </c>
      <c r="C2519" s="5" t="n">
        <v>240000</v>
      </c>
      <c r="D2519" s="5" t="n">
        <v>0.19</v>
      </c>
      <c r="E2519" s="5" t="n">
        <v>0.24</v>
      </c>
    </row>
    <row r="2520" customFormat="false" ht="12.75" hidden="false" customHeight="true" outlineLevel="0" collapsed="false">
      <c r="A2520" s="5" t="n">
        <v>164</v>
      </c>
      <c r="B2520" s="5" t="n">
        <v>86</v>
      </c>
      <c r="C2520" s="5" t="n">
        <v>370000</v>
      </c>
      <c r="D2520" s="5" t="n">
        <v>0.26</v>
      </c>
      <c r="E2520" s="5" t="n">
        <v>0.37</v>
      </c>
    </row>
    <row r="2521" customFormat="false" ht="12.75" hidden="false" customHeight="true" outlineLevel="0" collapsed="false">
      <c r="A2521" s="5" t="n">
        <v>164</v>
      </c>
      <c r="B2521" s="5" t="n">
        <v>87</v>
      </c>
      <c r="C2521" s="5" t="n">
        <v>540000</v>
      </c>
      <c r="D2521" s="5" t="n">
        <v>0.35</v>
      </c>
      <c r="E2521" s="5" t="n">
        <v>0.54</v>
      </c>
    </row>
    <row r="2522" customFormat="false" ht="12.75" hidden="false" customHeight="true" outlineLevel="0" collapsed="false">
      <c r="A2522" s="5" t="n">
        <v>164</v>
      </c>
      <c r="B2522" s="5" t="n">
        <v>88</v>
      </c>
      <c r="C2522" s="5" t="n">
        <v>780000</v>
      </c>
      <c r="D2522" s="5" t="n">
        <v>0.46</v>
      </c>
      <c r="E2522" s="5" t="n">
        <v>0.78</v>
      </c>
    </row>
    <row r="2523" customFormat="false" ht="12.75" hidden="false" customHeight="true" outlineLevel="0" collapsed="false">
      <c r="A2523" s="5" t="n">
        <v>164</v>
      </c>
      <c r="B2523" s="5" t="n">
        <v>89</v>
      </c>
      <c r="C2523" s="5" t="n">
        <v>1070000</v>
      </c>
      <c r="D2523" s="5" t="n">
        <v>0.57</v>
      </c>
      <c r="E2523" s="5" t="n">
        <v>1.07</v>
      </c>
    </row>
    <row r="2524" customFormat="false" ht="12.75" hidden="false" customHeight="true" outlineLevel="0" collapsed="false">
      <c r="A2524" s="5" t="n">
        <v>164</v>
      </c>
      <c r="B2524" s="5" t="n">
        <v>90</v>
      </c>
      <c r="C2524" s="5" t="n">
        <v>1400000</v>
      </c>
      <c r="D2524" s="5" t="n">
        <v>0.67</v>
      </c>
      <c r="E2524" s="5" t="n">
        <v>1.4</v>
      </c>
    </row>
    <row r="2525" customFormat="false" ht="12.75" hidden="false" customHeight="true" outlineLevel="0" collapsed="false">
      <c r="A2525" s="5" t="n">
        <v>164</v>
      </c>
      <c r="B2525" s="5" t="n">
        <v>91</v>
      </c>
      <c r="C2525" s="5" t="n">
        <v>1790000</v>
      </c>
      <c r="D2525" s="5" t="n">
        <v>0.78</v>
      </c>
      <c r="E2525" s="5" t="n">
        <v>1.79</v>
      </c>
    </row>
    <row r="2526" customFormat="false" ht="12.75" hidden="false" customHeight="true" outlineLevel="0" collapsed="false">
      <c r="A2526" s="5" t="n">
        <v>164</v>
      </c>
      <c r="B2526" s="5" t="n">
        <v>92</v>
      </c>
      <c r="C2526" s="5" t="n">
        <v>2260000</v>
      </c>
      <c r="D2526" s="5" t="n">
        <v>0.93</v>
      </c>
      <c r="E2526" s="5" t="n">
        <v>2.26</v>
      </c>
    </row>
    <row r="2527" customFormat="false" ht="12.75" hidden="false" customHeight="true" outlineLevel="0" collapsed="false">
      <c r="A2527" s="5" t="n">
        <v>164</v>
      </c>
      <c r="B2527" s="5" t="n">
        <v>93</v>
      </c>
      <c r="C2527" s="5" t="n">
        <v>2810000</v>
      </c>
      <c r="D2527" s="5" t="n">
        <v>1.1</v>
      </c>
      <c r="E2527" s="5" t="n">
        <v>2.81</v>
      </c>
    </row>
    <row r="2528" customFormat="false" ht="12.75" hidden="false" customHeight="true" outlineLevel="0" collapsed="false">
      <c r="A2528" s="5" t="n">
        <v>166</v>
      </c>
      <c r="B2528" s="5" t="n">
        <v>89.23</v>
      </c>
      <c r="C2528" s="5" t="n">
        <v>0</v>
      </c>
      <c r="D2528" s="5" t="n">
        <v>0</v>
      </c>
      <c r="E2528" s="5" t="n">
        <v>0</v>
      </c>
    </row>
    <row r="2529" customFormat="false" ht="12.75" hidden="false" customHeight="true" outlineLevel="0" collapsed="false">
      <c r="A2529" s="5" t="n">
        <v>166</v>
      </c>
      <c r="B2529" s="5" t="n">
        <v>90</v>
      </c>
      <c r="C2529" s="5" t="n">
        <v>750</v>
      </c>
      <c r="D2529" s="5" t="n">
        <v>0.0036</v>
      </c>
      <c r="E2529" s="5" t="n">
        <v>0.00075</v>
      </c>
    </row>
    <row r="2530" customFormat="false" ht="12.75" hidden="false" customHeight="true" outlineLevel="0" collapsed="false">
      <c r="A2530" s="5" t="n">
        <v>166</v>
      </c>
      <c r="B2530" s="5" t="n">
        <v>91</v>
      </c>
      <c r="C2530" s="5" t="n">
        <v>16577</v>
      </c>
      <c r="D2530" s="5" t="n">
        <v>0.035</v>
      </c>
      <c r="E2530" s="5" t="n">
        <v>0.016577</v>
      </c>
    </row>
    <row r="2531" customFormat="false" ht="12.75" hidden="false" customHeight="true" outlineLevel="0" collapsed="false">
      <c r="A2531" s="5" t="n">
        <v>166</v>
      </c>
      <c r="B2531" s="5" t="n">
        <v>92</v>
      </c>
      <c r="C2531" s="5" t="n">
        <v>94577</v>
      </c>
      <c r="D2531" s="5" t="n">
        <v>0.1546</v>
      </c>
      <c r="E2531" s="5" t="n">
        <v>0.094577</v>
      </c>
    </row>
    <row r="2532" customFormat="false" ht="12.75" hidden="false" customHeight="true" outlineLevel="0" collapsed="false">
      <c r="A2532" s="5" t="n">
        <v>166</v>
      </c>
      <c r="B2532" s="5" t="n">
        <v>93</v>
      </c>
      <c r="C2532" s="5" t="n">
        <v>394776</v>
      </c>
      <c r="D2532" s="5" t="n">
        <v>0.4472</v>
      </c>
      <c r="E2532" s="5" t="n">
        <v>0.394776</v>
      </c>
    </row>
    <row r="2533" customFormat="false" ht="12.75" hidden="false" customHeight="true" outlineLevel="0" collapsed="false">
      <c r="A2533" s="5" t="n">
        <v>166</v>
      </c>
      <c r="B2533" s="5" t="n">
        <v>94</v>
      </c>
      <c r="C2533" s="5" t="n">
        <v>952824</v>
      </c>
      <c r="D2533" s="5" t="n">
        <v>0.6251</v>
      </c>
      <c r="E2533" s="5" t="n">
        <v>0.952824</v>
      </c>
    </row>
    <row r="2534" customFormat="false" ht="12.75" hidden="false" customHeight="true" outlineLevel="0" collapsed="false">
      <c r="A2534" s="5" t="n">
        <v>166</v>
      </c>
      <c r="B2534" s="5" t="n">
        <v>94.63</v>
      </c>
      <c r="C2534" s="5" t="n">
        <v>1354461</v>
      </c>
      <c r="D2534" s="5" t="n">
        <v>0.6498</v>
      </c>
      <c r="E2534" s="5" t="n">
        <v>1.354461</v>
      </c>
    </row>
    <row r="2535" customFormat="false" ht="12.75" hidden="false" customHeight="true" outlineLevel="0" collapsed="false">
      <c r="A2535" s="5" t="n">
        <v>166</v>
      </c>
      <c r="B2535" s="5" t="n">
        <v>95</v>
      </c>
      <c r="C2535" s="5" t="n">
        <v>1499502</v>
      </c>
      <c r="D2535" s="5" t="n">
        <v>0.7423</v>
      </c>
      <c r="E2535" s="5" t="n">
        <v>1.499502</v>
      </c>
    </row>
    <row r="2536" customFormat="false" ht="12.75" hidden="false" customHeight="true" outlineLevel="0" collapsed="false">
      <c r="A2536" s="5" t="n">
        <v>166</v>
      </c>
      <c r="B2536" s="5" t="n">
        <v>96</v>
      </c>
      <c r="C2536" s="5" t="n">
        <v>2200502</v>
      </c>
      <c r="D2536" s="5" t="n">
        <v>1.1023</v>
      </c>
      <c r="E2536" s="5" t="n">
        <v>2.200502</v>
      </c>
    </row>
    <row r="2537" customFormat="false" ht="12.75" hidden="false" customHeight="true" outlineLevel="0" collapsed="false">
      <c r="A2537" s="5" t="n">
        <v>166</v>
      </c>
      <c r="B2537" s="5" t="n">
        <v>97</v>
      </c>
      <c r="C2537" s="5" t="n">
        <v>3272502</v>
      </c>
      <c r="D2537" s="5" t="n">
        <v>1.4923</v>
      </c>
      <c r="E2537" s="5" t="n">
        <v>3.272502</v>
      </c>
    </row>
    <row r="2538" customFormat="false" ht="12.75" hidden="false" customHeight="true" outlineLevel="0" collapsed="false">
      <c r="A2538" s="5" t="n">
        <v>166</v>
      </c>
      <c r="B2538" s="5" t="n">
        <v>98</v>
      </c>
      <c r="C2538" s="5" t="n">
        <v>4776702</v>
      </c>
      <c r="D2538" s="5" t="n">
        <v>1.9623</v>
      </c>
      <c r="E2538" s="5" t="n">
        <v>4.776702</v>
      </c>
    </row>
    <row r="2539" customFormat="false" ht="12.75" hidden="false" customHeight="true" outlineLevel="0" collapsed="false">
      <c r="A2539" s="5" t="n">
        <v>166</v>
      </c>
      <c r="B2539" s="5" t="n">
        <v>99</v>
      </c>
      <c r="C2539" s="5" t="n">
        <v>6720000</v>
      </c>
      <c r="D2539" s="5" t="n">
        <v>2.3623</v>
      </c>
      <c r="E2539" s="5" t="n">
        <v>6.72</v>
      </c>
    </row>
    <row r="2540" customFormat="false" ht="12.75" hidden="false" customHeight="true" outlineLevel="0" collapsed="false">
      <c r="A2540" s="5" t="n">
        <v>166</v>
      </c>
      <c r="B2540" s="5" t="n">
        <v>100</v>
      </c>
      <c r="C2540" s="5" t="n">
        <v>9030000</v>
      </c>
      <c r="D2540" s="5" t="n">
        <v>2.7123</v>
      </c>
      <c r="E2540" s="5" t="n">
        <v>9.03</v>
      </c>
    </row>
    <row r="2541" customFormat="false" ht="12.75" hidden="false" customHeight="true" outlineLevel="0" collapsed="false">
      <c r="A2541" s="5" t="n">
        <v>167</v>
      </c>
      <c r="B2541" s="5" t="n">
        <v>234</v>
      </c>
      <c r="C2541" s="5" t="n">
        <v>0</v>
      </c>
      <c r="D2541" s="5" t="n">
        <v>0</v>
      </c>
      <c r="E2541" s="5" t="n">
        <v>0</v>
      </c>
    </row>
    <row r="2542" customFormat="false" ht="12.75" hidden="false" customHeight="true" outlineLevel="0" collapsed="false">
      <c r="A2542" s="5" t="n">
        <v>167</v>
      </c>
      <c r="B2542" s="5" t="n">
        <v>235</v>
      </c>
      <c r="C2542" s="5" t="n">
        <v>260000</v>
      </c>
      <c r="D2542" s="5" t="n">
        <v>0.43</v>
      </c>
      <c r="E2542" s="5" t="n">
        <v>0.26</v>
      </c>
    </row>
    <row r="2543" customFormat="false" ht="12.75" hidden="false" customHeight="true" outlineLevel="0" collapsed="false">
      <c r="A2543" s="5" t="n">
        <v>167</v>
      </c>
      <c r="B2543" s="5" t="n">
        <v>236</v>
      </c>
      <c r="C2543" s="5" t="n">
        <v>1020000</v>
      </c>
      <c r="D2543" s="5" t="n">
        <v>1.1</v>
      </c>
      <c r="E2543" s="5" t="n">
        <v>1.02</v>
      </c>
    </row>
    <row r="2544" customFormat="false" ht="12.75" hidden="false" customHeight="true" outlineLevel="0" collapsed="false">
      <c r="A2544" s="5" t="n">
        <v>167</v>
      </c>
      <c r="B2544" s="5" t="n">
        <v>237</v>
      </c>
      <c r="C2544" s="5" t="n">
        <v>2470000</v>
      </c>
      <c r="D2544" s="5" t="n">
        <v>1.8</v>
      </c>
      <c r="E2544" s="5" t="n">
        <v>2.47</v>
      </c>
    </row>
    <row r="2545" customFormat="false" ht="12.75" hidden="false" customHeight="true" outlineLevel="0" collapsed="false">
      <c r="A2545" s="5" t="n">
        <v>167</v>
      </c>
      <c r="B2545" s="5" t="n">
        <v>238</v>
      </c>
      <c r="C2545" s="5" t="n">
        <v>4820000</v>
      </c>
      <c r="D2545" s="5" t="n">
        <v>2.9</v>
      </c>
      <c r="E2545" s="5" t="n">
        <v>4.82</v>
      </c>
    </row>
    <row r="2546" customFormat="false" ht="12.75" hidden="false" customHeight="true" outlineLevel="0" collapsed="false">
      <c r="A2546" s="5" t="n">
        <v>167</v>
      </c>
      <c r="B2546" s="5" t="n">
        <v>239</v>
      </c>
      <c r="C2546" s="5" t="n">
        <v>8260000</v>
      </c>
      <c r="D2546" s="5" t="n">
        <v>3.99</v>
      </c>
      <c r="E2546" s="5" t="n">
        <v>8.26</v>
      </c>
    </row>
    <row r="2547" customFormat="false" ht="12.75" hidden="false" customHeight="true" outlineLevel="0" collapsed="false">
      <c r="A2547" s="5" t="n">
        <v>167</v>
      </c>
      <c r="B2547" s="5" t="n">
        <v>240</v>
      </c>
      <c r="C2547" s="5" t="n">
        <v>12860000</v>
      </c>
      <c r="D2547" s="5" t="n">
        <v>5.22</v>
      </c>
      <c r="E2547" s="5" t="n">
        <v>12.86</v>
      </c>
    </row>
    <row r="2548" customFormat="false" ht="12.75" hidden="false" customHeight="true" outlineLevel="0" collapsed="false">
      <c r="A2548" s="5" t="n">
        <v>167</v>
      </c>
      <c r="B2548" s="5" t="n">
        <v>241</v>
      </c>
      <c r="C2548" s="5" t="n">
        <v>18660000</v>
      </c>
      <c r="D2548" s="5" t="n">
        <v>6.36</v>
      </c>
      <c r="E2548" s="5" t="n">
        <v>18.66</v>
      </c>
    </row>
    <row r="2549" customFormat="false" ht="12.75" hidden="false" customHeight="true" outlineLevel="0" collapsed="false">
      <c r="A2549" s="5" t="n">
        <v>167</v>
      </c>
      <c r="B2549" s="5" t="n">
        <v>242</v>
      </c>
      <c r="C2549" s="5" t="n">
        <v>25780000</v>
      </c>
      <c r="D2549" s="5" t="n">
        <v>7.88</v>
      </c>
      <c r="E2549" s="5" t="n">
        <v>25.78</v>
      </c>
    </row>
    <row r="2550" customFormat="false" ht="12.75" hidden="false" customHeight="true" outlineLevel="0" collapsed="false">
      <c r="A2550" s="5" t="n">
        <v>167</v>
      </c>
      <c r="B2550" s="5" t="n">
        <v>243</v>
      </c>
      <c r="C2550" s="5" t="n">
        <v>34560000</v>
      </c>
      <c r="D2550" s="5" t="n">
        <v>9.9</v>
      </c>
      <c r="E2550" s="5" t="n">
        <v>34.56</v>
      </c>
    </row>
    <row r="2551" customFormat="false" ht="12.75" hidden="false" customHeight="true" outlineLevel="0" collapsed="false">
      <c r="A2551" s="5" t="n">
        <v>167</v>
      </c>
      <c r="B2551" s="5" t="n">
        <v>244</v>
      </c>
      <c r="C2551" s="5" t="n">
        <v>45550000</v>
      </c>
      <c r="D2551" s="5" t="n">
        <v>12.27</v>
      </c>
      <c r="E2551" s="5" t="n">
        <v>45.55</v>
      </c>
    </row>
    <row r="2552" customFormat="false" ht="12.75" hidden="false" customHeight="true" outlineLevel="0" collapsed="false">
      <c r="A2552" s="5" t="n">
        <v>167</v>
      </c>
      <c r="B2552" s="5" t="n">
        <v>245</v>
      </c>
      <c r="C2552" s="5" t="n">
        <v>58730000</v>
      </c>
      <c r="D2552" s="5" t="n">
        <v>14.09</v>
      </c>
      <c r="E2552" s="5" t="n">
        <v>58.73</v>
      </c>
    </row>
    <row r="2553" customFormat="false" ht="12.75" hidden="false" customHeight="true" outlineLevel="0" collapsed="false">
      <c r="A2553" s="5" t="n">
        <v>167</v>
      </c>
      <c r="B2553" s="5" t="n">
        <v>246</v>
      </c>
      <c r="C2553" s="5" t="n">
        <v>74000000</v>
      </c>
      <c r="D2553" s="5" t="n">
        <v>16.23</v>
      </c>
      <c r="E2553" s="5" t="n">
        <v>74</v>
      </c>
    </row>
    <row r="2554" customFormat="false" ht="12.75" hidden="false" customHeight="true" outlineLevel="0" collapsed="false">
      <c r="A2554" s="5" t="n">
        <v>167</v>
      </c>
      <c r="B2554" s="5" t="n">
        <v>247</v>
      </c>
      <c r="C2554" s="5" t="n">
        <v>90920000</v>
      </c>
      <c r="D2554" s="5" t="n">
        <v>17.83</v>
      </c>
      <c r="E2554" s="5" t="n">
        <v>90.92</v>
      </c>
    </row>
    <row r="2555" customFormat="false" ht="12.75" hidden="false" customHeight="true" outlineLevel="0" collapsed="false">
      <c r="A2555" s="5" t="n">
        <v>167</v>
      </c>
      <c r="B2555" s="5" t="n">
        <v>248</v>
      </c>
      <c r="C2555" s="5" t="n">
        <v>109420000</v>
      </c>
      <c r="D2555" s="5" t="n">
        <v>19.19</v>
      </c>
      <c r="E2555" s="5" t="n">
        <v>109.42</v>
      </c>
    </row>
    <row r="2556" customFormat="false" ht="12.75" hidden="false" customHeight="true" outlineLevel="0" collapsed="false">
      <c r="A2556" s="5" t="n">
        <v>167</v>
      </c>
      <c r="B2556" s="5" t="n">
        <v>249</v>
      </c>
      <c r="C2556" s="5" t="n">
        <v>129530000</v>
      </c>
      <c r="D2556" s="5" t="n">
        <v>21.02</v>
      </c>
      <c r="E2556" s="5" t="n">
        <v>129.53</v>
      </c>
    </row>
    <row r="2557" customFormat="false" ht="12.75" hidden="false" customHeight="true" outlineLevel="0" collapsed="false">
      <c r="A2557" s="5" t="n">
        <v>168</v>
      </c>
      <c r="B2557" s="5" t="n">
        <v>242</v>
      </c>
      <c r="C2557" s="5" t="n">
        <v>0</v>
      </c>
      <c r="D2557" s="5" t="n">
        <v>0</v>
      </c>
      <c r="E2557" s="5" t="n">
        <v>0</v>
      </c>
    </row>
    <row r="2558" customFormat="false" ht="12.75" hidden="false" customHeight="true" outlineLevel="0" collapsed="false">
      <c r="A2558" s="5" t="n">
        <v>168</v>
      </c>
      <c r="B2558" s="5" t="n">
        <v>243</v>
      </c>
      <c r="C2558" s="5" t="n">
        <v>60</v>
      </c>
      <c r="D2558" s="5" t="n">
        <v>0.0002</v>
      </c>
      <c r="E2558" s="5" t="n">
        <v>6E-005</v>
      </c>
    </row>
    <row r="2559" customFormat="false" ht="12.75" hidden="false" customHeight="true" outlineLevel="0" collapsed="false">
      <c r="A2559" s="5" t="n">
        <v>168</v>
      </c>
      <c r="B2559" s="5" t="n">
        <v>244</v>
      </c>
      <c r="C2559" s="5" t="n">
        <v>1900</v>
      </c>
      <c r="D2559" s="5" t="n">
        <v>0.004</v>
      </c>
      <c r="E2559" s="5" t="n">
        <v>0.0019</v>
      </c>
    </row>
    <row r="2560" customFormat="false" ht="12.75" hidden="false" customHeight="true" outlineLevel="0" collapsed="false">
      <c r="A2560" s="5" t="n">
        <v>168</v>
      </c>
      <c r="B2560" s="5" t="n">
        <v>245</v>
      </c>
      <c r="C2560" s="5" t="n">
        <v>12000</v>
      </c>
      <c r="D2560" s="5" t="n">
        <v>0.02</v>
      </c>
      <c r="E2560" s="5" t="n">
        <v>0.012</v>
      </c>
    </row>
    <row r="2561" customFormat="false" ht="12.75" hidden="false" customHeight="true" outlineLevel="0" collapsed="false">
      <c r="A2561" s="5" t="n">
        <v>168</v>
      </c>
      <c r="B2561" s="5" t="n">
        <v>246</v>
      </c>
      <c r="C2561" s="5" t="n">
        <v>37000</v>
      </c>
      <c r="D2561" s="5" t="n">
        <v>0.04</v>
      </c>
      <c r="E2561" s="5" t="n">
        <v>0.037</v>
      </c>
    </row>
    <row r="2562" customFormat="false" ht="12.75" hidden="false" customHeight="true" outlineLevel="0" collapsed="false">
      <c r="A2562" s="5" t="n">
        <v>168</v>
      </c>
      <c r="B2562" s="5" t="n">
        <v>247</v>
      </c>
      <c r="C2562" s="5" t="n">
        <v>90000</v>
      </c>
      <c r="D2562" s="5" t="n">
        <v>0.08</v>
      </c>
      <c r="E2562" s="5" t="n">
        <v>0.09</v>
      </c>
    </row>
    <row r="2563" customFormat="false" ht="12.75" hidden="false" customHeight="true" outlineLevel="0" collapsed="false">
      <c r="A2563" s="5" t="n">
        <v>168</v>
      </c>
      <c r="B2563" s="5" t="n">
        <v>248</v>
      </c>
      <c r="C2563" s="5" t="n">
        <v>208000</v>
      </c>
      <c r="D2563" s="5" t="n">
        <v>0.17</v>
      </c>
      <c r="E2563" s="5" t="n">
        <v>0.208</v>
      </c>
    </row>
    <row r="2564" customFormat="false" ht="12.75" hidden="false" customHeight="true" outlineLevel="0" collapsed="false">
      <c r="A2564" s="5" t="n">
        <v>168</v>
      </c>
      <c r="B2564" s="5" t="n">
        <v>249</v>
      </c>
      <c r="C2564" s="5" t="n">
        <v>450000</v>
      </c>
      <c r="D2564" s="5" t="n">
        <v>0.33</v>
      </c>
      <c r="E2564" s="5" t="n">
        <v>0.45</v>
      </c>
    </row>
    <row r="2565" customFormat="false" ht="12.75" hidden="false" customHeight="true" outlineLevel="0" collapsed="false">
      <c r="A2565" s="5" t="n">
        <v>168</v>
      </c>
      <c r="B2565" s="5" t="n">
        <v>250</v>
      </c>
      <c r="C2565" s="5" t="n">
        <v>882000</v>
      </c>
      <c r="D2565" s="5" t="n">
        <v>0.5</v>
      </c>
      <c r="E2565" s="5" t="n">
        <v>0.882</v>
      </c>
    </row>
    <row r="2566" customFormat="false" ht="12.75" hidden="false" customHeight="true" outlineLevel="0" collapsed="false">
      <c r="A2566" s="5" t="n">
        <v>168</v>
      </c>
      <c r="B2566" s="5" t="n">
        <v>251</v>
      </c>
      <c r="C2566" s="5" t="n">
        <v>1526000</v>
      </c>
      <c r="D2566" s="5" t="n">
        <v>0.75</v>
      </c>
      <c r="E2566" s="5" t="n">
        <v>1.526</v>
      </c>
    </row>
    <row r="2567" customFormat="false" ht="12.75" hidden="false" customHeight="true" outlineLevel="0" collapsed="false">
      <c r="A2567" s="5" t="n">
        <v>168</v>
      </c>
      <c r="B2567" s="5" t="n">
        <v>252</v>
      </c>
      <c r="C2567" s="5" t="n">
        <v>2385000</v>
      </c>
      <c r="D2567" s="5" t="n">
        <v>1</v>
      </c>
      <c r="E2567" s="5" t="n">
        <v>2.385</v>
      </c>
    </row>
    <row r="2568" customFormat="false" ht="12.75" hidden="false" customHeight="true" outlineLevel="0" collapsed="false">
      <c r="A2568" s="5" t="n">
        <v>168</v>
      </c>
      <c r="B2568" s="5" t="n">
        <v>253</v>
      </c>
      <c r="C2568" s="5" t="n">
        <v>3472000</v>
      </c>
      <c r="D2568" s="5" t="n">
        <v>1</v>
      </c>
      <c r="E2568" s="5" t="n">
        <v>3.472</v>
      </c>
    </row>
    <row r="2569" customFormat="false" ht="12.75" hidden="false" customHeight="true" outlineLevel="0" collapsed="false">
      <c r="A2569" s="5" t="n">
        <v>168</v>
      </c>
      <c r="B2569" s="5" t="n">
        <v>254</v>
      </c>
      <c r="C2569" s="5" t="n">
        <v>4805000</v>
      </c>
      <c r="D2569" s="5" t="n">
        <v>1</v>
      </c>
      <c r="E2569" s="5" t="n">
        <v>4.805</v>
      </c>
    </row>
    <row r="2570" customFormat="false" ht="12.75" hidden="false" customHeight="true" outlineLevel="0" collapsed="false">
      <c r="A2570" s="5" t="n">
        <v>168</v>
      </c>
      <c r="B2570" s="5" t="n">
        <v>255</v>
      </c>
      <c r="C2570" s="5" t="n">
        <v>6420000</v>
      </c>
      <c r="D2570" s="5" t="n">
        <v>1.7</v>
      </c>
      <c r="E2570" s="5" t="n">
        <v>6.42</v>
      </c>
    </row>
    <row r="2571" customFormat="false" ht="12.75" hidden="false" customHeight="true" outlineLevel="0" collapsed="false">
      <c r="A2571" s="5" t="n">
        <v>168</v>
      </c>
      <c r="B2571" s="5" t="n">
        <v>256</v>
      </c>
      <c r="C2571" s="5" t="n">
        <v>8351000</v>
      </c>
      <c r="D2571" s="5" t="n">
        <v>2.1</v>
      </c>
      <c r="E2571" s="5" t="n">
        <v>8.351</v>
      </c>
    </row>
    <row r="2572" customFormat="false" ht="12.75" hidden="false" customHeight="true" outlineLevel="0" collapsed="false">
      <c r="A2572" s="5" t="n">
        <v>168</v>
      </c>
      <c r="B2572" s="5" t="n">
        <v>257</v>
      </c>
      <c r="C2572" s="5" t="n">
        <v>10613000</v>
      </c>
      <c r="D2572" s="5" t="n">
        <v>2.4</v>
      </c>
      <c r="E2572" s="5" t="n">
        <v>10.613</v>
      </c>
    </row>
    <row r="2573" customFormat="false" ht="12.75" hidden="false" customHeight="true" outlineLevel="0" collapsed="false">
      <c r="A2573" s="5" t="n">
        <v>168</v>
      </c>
      <c r="B2573" s="5" t="n">
        <v>258</v>
      </c>
      <c r="C2573" s="5" t="n">
        <v>13200000</v>
      </c>
      <c r="D2573" s="5" t="n">
        <v>2.7</v>
      </c>
      <c r="E2573" s="5" t="n">
        <v>13.2</v>
      </c>
    </row>
    <row r="2574" customFormat="false" ht="12.75" hidden="false" customHeight="true" outlineLevel="0" collapsed="false">
      <c r="A2574" s="5" t="n">
        <v>168</v>
      </c>
      <c r="B2574" s="5" t="n">
        <v>259</v>
      </c>
      <c r="C2574" s="5" t="n">
        <v>16067000</v>
      </c>
      <c r="D2574" s="5" t="n">
        <v>3</v>
      </c>
      <c r="E2574" s="5" t="n">
        <v>16.067</v>
      </c>
    </row>
    <row r="2575" customFormat="false" ht="12.75" hidden="false" customHeight="true" outlineLevel="0" collapsed="false">
      <c r="A2575" s="5" t="n">
        <v>168</v>
      </c>
      <c r="B2575" s="5" t="n">
        <v>259.73</v>
      </c>
      <c r="C2575" s="5" t="n">
        <v>18306000</v>
      </c>
      <c r="D2575" s="5" t="n">
        <v>3.14</v>
      </c>
      <c r="E2575" s="5" t="n">
        <v>18.306</v>
      </c>
    </row>
    <row r="2576" customFormat="false" ht="12.75" hidden="false" customHeight="true" outlineLevel="0" collapsed="false">
      <c r="A2576" s="5" t="n">
        <v>168</v>
      </c>
      <c r="B2576" s="5" t="n">
        <v>260</v>
      </c>
      <c r="C2576" s="5" t="n">
        <v>19074000</v>
      </c>
      <c r="D2576" s="5" t="n">
        <v>3.3</v>
      </c>
      <c r="E2576" s="5" t="n">
        <v>19.074</v>
      </c>
    </row>
    <row r="2577" customFormat="false" ht="12.75" hidden="false" customHeight="true" outlineLevel="0" collapsed="false">
      <c r="A2577" s="5" t="n">
        <v>168</v>
      </c>
      <c r="B2577" s="5" t="n">
        <v>261</v>
      </c>
      <c r="C2577" s="5" t="n">
        <v>22200000</v>
      </c>
      <c r="D2577" s="5" t="n">
        <v>3.85</v>
      </c>
      <c r="E2577" s="5" t="n">
        <v>22.2</v>
      </c>
    </row>
    <row r="2578" customFormat="false" ht="12.75" hidden="false" customHeight="true" outlineLevel="0" collapsed="false">
      <c r="A2578" s="5" t="n">
        <v>168</v>
      </c>
      <c r="B2578" s="5" t="n">
        <v>262</v>
      </c>
      <c r="C2578" s="5" t="n">
        <v>25570000</v>
      </c>
      <c r="D2578" s="5" t="n">
        <v>4.36</v>
      </c>
      <c r="E2578" s="5" t="n">
        <v>25.57</v>
      </c>
    </row>
    <row r="2579" customFormat="false" ht="12.75" hidden="false" customHeight="true" outlineLevel="0" collapsed="false">
      <c r="A2579" s="5" t="n">
        <v>168</v>
      </c>
      <c r="B2579" s="5" t="n">
        <v>263</v>
      </c>
      <c r="C2579" s="5" t="n">
        <v>29200000</v>
      </c>
      <c r="D2579" s="5" t="n">
        <v>4.85</v>
      </c>
      <c r="E2579" s="5" t="n">
        <v>29.2</v>
      </c>
    </row>
    <row r="2580" customFormat="false" ht="12.75" hidden="false" customHeight="true" outlineLevel="0" collapsed="false">
      <c r="A2580" s="5" t="n">
        <v>168</v>
      </c>
      <c r="B2580" s="5" t="n">
        <v>264</v>
      </c>
      <c r="C2580" s="5" t="n">
        <v>33100000</v>
      </c>
      <c r="D2580" s="5" t="n">
        <v>5.38</v>
      </c>
      <c r="E2580" s="5" t="n">
        <v>33.1</v>
      </c>
    </row>
    <row r="2581" customFormat="false" ht="12.75" hidden="false" customHeight="true" outlineLevel="0" collapsed="false">
      <c r="A2581" s="5" t="n">
        <v>168</v>
      </c>
      <c r="B2581" s="5" t="n">
        <v>265</v>
      </c>
      <c r="C2581" s="5" t="n">
        <v>37250000</v>
      </c>
      <c r="D2581" s="5" t="n">
        <v>5.95</v>
      </c>
      <c r="E2581" s="5" t="n">
        <v>37.25</v>
      </c>
    </row>
    <row r="2582" customFormat="false" ht="12.75" hidden="false" customHeight="true" outlineLevel="0" collapsed="false">
      <c r="A2582" s="5" t="n">
        <v>168</v>
      </c>
      <c r="B2582" s="5" t="n">
        <v>266</v>
      </c>
      <c r="C2582" s="5" t="n">
        <v>41750000</v>
      </c>
      <c r="D2582" s="5" t="n">
        <v>6.61</v>
      </c>
      <c r="E2582" s="5" t="n">
        <v>41.75</v>
      </c>
    </row>
    <row r="2583" customFormat="false" ht="12.75" hidden="false" customHeight="true" outlineLevel="0" collapsed="false">
      <c r="A2583" s="5" t="n">
        <v>168</v>
      </c>
      <c r="B2583" s="5" t="n">
        <v>267</v>
      </c>
      <c r="C2583" s="5" t="n">
        <v>46550000</v>
      </c>
      <c r="D2583" s="5" t="n">
        <v>7.23</v>
      </c>
      <c r="E2583" s="5" t="n">
        <v>46.55</v>
      </c>
    </row>
    <row r="2584" customFormat="false" ht="12.75" hidden="false" customHeight="true" outlineLevel="0" collapsed="false">
      <c r="A2584" s="5" t="n">
        <v>168</v>
      </c>
      <c r="B2584" s="5" t="n">
        <v>268</v>
      </c>
      <c r="C2584" s="5" t="n">
        <v>51600000</v>
      </c>
      <c r="D2584" s="5" t="n">
        <v>7.7</v>
      </c>
      <c r="E2584" s="5" t="n">
        <v>51.6</v>
      </c>
    </row>
    <row r="2585" customFormat="false" ht="12.75" hidden="false" customHeight="true" outlineLevel="0" collapsed="false">
      <c r="A2585" s="5" t="n">
        <v>168</v>
      </c>
      <c r="B2585" s="5" t="n">
        <v>269</v>
      </c>
      <c r="C2585" s="5" t="n">
        <v>56870000</v>
      </c>
      <c r="D2585" s="5" t="n">
        <v>8.16</v>
      </c>
      <c r="E2585" s="5" t="n">
        <v>56.87</v>
      </c>
    </row>
    <row r="2586" customFormat="false" ht="12.75" hidden="false" customHeight="true" outlineLevel="0" collapsed="false">
      <c r="A2586" s="5" t="n">
        <v>168</v>
      </c>
      <c r="B2586" s="5" t="n">
        <v>270</v>
      </c>
      <c r="C2586" s="5" t="n">
        <v>62370000</v>
      </c>
      <c r="D2586" s="5" t="n">
        <v>8.61</v>
      </c>
      <c r="E2586" s="5" t="n">
        <v>62.37</v>
      </c>
    </row>
    <row r="2587" customFormat="false" ht="12.75" hidden="false" customHeight="true" outlineLevel="0" collapsed="false">
      <c r="A2587" s="5" t="n">
        <v>168</v>
      </c>
      <c r="B2587" s="5" t="n">
        <v>271</v>
      </c>
      <c r="C2587" s="5" t="n">
        <v>68228000</v>
      </c>
      <c r="D2587" s="5" t="n">
        <v>9.33</v>
      </c>
      <c r="E2587" s="5" t="n">
        <v>68.228</v>
      </c>
    </row>
    <row r="2588" customFormat="false" ht="12.75" hidden="false" customHeight="true" outlineLevel="0" collapsed="false">
      <c r="A2588" s="5" t="n">
        <v>168</v>
      </c>
      <c r="B2588" s="5" t="n">
        <v>272</v>
      </c>
      <c r="C2588" s="5" t="n">
        <v>74600000</v>
      </c>
      <c r="D2588" s="5" t="n">
        <v>10.36</v>
      </c>
      <c r="E2588" s="5" t="n">
        <v>74.6</v>
      </c>
    </row>
    <row r="2589" customFormat="false" ht="12.75" hidden="false" customHeight="true" outlineLevel="0" collapsed="false">
      <c r="A2589" s="5" t="n">
        <v>168</v>
      </c>
      <c r="B2589" s="5" t="n">
        <v>273</v>
      </c>
      <c r="C2589" s="5" t="n">
        <v>81521000</v>
      </c>
      <c r="D2589" s="5" t="n">
        <v>11.45</v>
      </c>
      <c r="E2589" s="5" t="n">
        <v>81.521</v>
      </c>
    </row>
    <row r="2590" customFormat="false" ht="12.75" hidden="false" customHeight="true" outlineLevel="0" collapsed="false">
      <c r="A2590" s="5" t="n">
        <v>169</v>
      </c>
      <c r="B2590" s="5" t="n">
        <v>21.66</v>
      </c>
      <c r="C2590" s="5" t="n">
        <v>0</v>
      </c>
      <c r="D2590" s="5" t="n">
        <v>0</v>
      </c>
      <c r="E2590" s="5" t="n">
        <v>0</v>
      </c>
    </row>
    <row r="2591" customFormat="false" ht="12.75" hidden="false" customHeight="true" outlineLevel="0" collapsed="false">
      <c r="A2591" s="5" t="n">
        <v>169</v>
      </c>
      <c r="B2591" s="5" t="n">
        <v>22</v>
      </c>
      <c r="C2591" s="5" t="n">
        <v>21</v>
      </c>
      <c r="D2591" s="5" t="n">
        <v>0</v>
      </c>
      <c r="E2591" s="5" t="n">
        <v>2.1E-005</v>
      </c>
    </row>
    <row r="2592" customFormat="false" ht="12.75" hidden="false" customHeight="true" outlineLevel="0" collapsed="false">
      <c r="A2592" s="5" t="n">
        <v>169</v>
      </c>
      <c r="B2592" s="5" t="n">
        <v>23</v>
      </c>
      <c r="C2592" s="5" t="n">
        <v>1500</v>
      </c>
      <c r="D2592" s="5" t="n">
        <v>0</v>
      </c>
      <c r="E2592" s="5" t="n">
        <v>0.0015</v>
      </c>
    </row>
    <row r="2593" customFormat="false" ht="12.75" hidden="false" customHeight="true" outlineLevel="0" collapsed="false">
      <c r="A2593" s="5" t="n">
        <v>169</v>
      </c>
      <c r="B2593" s="5" t="n">
        <v>24</v>
      </c>
      <c r="C2593" s="5" t="n">
        <v>10300</v>
      </c>
      <c r="D2593" s="5" t="n">
        <v>0</v>
      </c>
      <c r="E2593" s="5" t="n">
        <v>0.0103</v>
      </c>
    </row>
    <row r="2594" customFormat="false" ht="12.75" hidden="false" customHeight="true" outlineLevel="0" collapsed="false">
      <c r="A2594" s="5" t="n">
        <v>169</v>
      </c>
      <c r="B2594" s="5" t="n">
        <v>25</v>
      </c>
      <c r="C2594" s="5" t="n">
        <v>39600</v>
      </c>
      <c r="D2594" s="5" t="n">
        <v>0</v>
      </c>
      <c r="E2594" s="5" t="n">
        <v>0.0396</v>
      </c>
    </row>
    <row r="2595" customFormat="false" ht="12.75" hidden="false" customHeight="true" outlineLevel="0" collapsed="false">
      <c r="A2595" s="5" t="n">
        <v>169</v>
      </c>
      <c r="B2595" s="5" t="n">
        <v>26</v>
      </c>
      <c r="C2595" s="5" t="n">
        <v>130900</v>
      </c>
      <c r="D2595" s="5" t="n">
        <v>0</v>
      </c>
      <c r="E2595" s="5" t="n">
        <v>0.1309</v>
      </c>
    </row>
    <row r="2596" customFormat="false" ht="12.75" hidden="false" customHeight="true" outlineLevel="0" collapsed="false">
      <c r="A2596" s="5" t="n">
        <v>169</v>
      </c>
      <c r="B2596" s="5" t="n">
        <v>27</v>
      </c>
      <c r="C2596" s="5" t="n">
        <v>353000</v>
      </c>
      <c r="D2596" s="5" t="n">
        <v>0</v>
      </c>
      <c r="E2596" s="5" t="n">
        <v>0.353</v>
      </c>
    </row>
    <row r="2597" customFormat="false" ht="12.75" hidden="false" customHeight="true" outlineLevel="0" collapsed="false">
      <c r="A2597" s="5" t="n">
        <v>169</v>
      </c>
      <c r="B2597" s="5" t="n">
        <v>28</v>
      </c>
      <c r="C2597" s="5" t="n">
        <v>772000</v>
      </c>
      <c r="D2597" s="5" t="n">
        <v>1</v>
      </c>
      <c r="E2597" s="5" t="n">
        <v>0.772</v>
      </c>
    </row>
    <row r="2598" customFormat="false" ht="12.75" hidden="false" customHeight="true" outlineLevel="0" collapsed="false">
      <c r="A2598" s="5" t="n">
        <v>169</v>
      </c>
      <c r="B2598" s="5" t="n">
        <v>29</v>
      </c>
      <c r="C2598" s="5" t="n">
        <v>1511000</v>
      </c>
      <c r="D2598" s="5" t="n">
        <v>1</v>
      </c>
      <c r="E2598" s="5" t="n">
        <v>1.511</v>
      </c>
    </row>
    <row r="2599" customFormat="false" ht="12.75" hidden="false" customHeight="true" outlineLevel="0" collapsed="false">
      <c r="A2599" s="5" t="n">
        <v>169</v>
      </c>
      <c r="B2599" s="5" t="n">
        <v>30</v>
      </c>
      <c r="C2599" s="5" t="n">
        <v>2716000</v>
      </c>
      <c r="D2599" s="5" t="n">
        <v>2</v>
      </c>
      <c r="E2599" s="5" t="n">
        <v>2.716</v>
      </c>
    </row>
    <row r="2600" customFormat="false" ht="12.75" hidden="false" customHeight="true" outlineLevel="0" collapsed="false">
      <c r="A2600" s="5" t="n">
        <v>169</v>
      </c>
      <c r="B2600" s="5" t="n">
        <v>31</v>
      </c>
      <c r="C2600" s="5" t="n">
        <v>4570900</v>
      </c>
      <c r="D2600" s="5" t="n">
        <v>2</v>
      </c>
      <c r="E2600" s="5" t="n">
        <v>4.5709</v>
      </c>
    </row>
    <row r="2601" customFormat="false" ht="12.75" hidden="false" customHeight="true" outlineLevel="0" collapsed="false">
      <c r="A2601" s="5" t="n">
        <v>169</v>
      </c>
      <c r="B2601" s="5" t="n">
        <v>32</v>
      </c>
      <c r="C2601" s="5" t="n">
        <v>7210000</v>
      </c>
      <c r="D2601" s="5" t="n">
        <v>3</v>
      </c>
      <c r="E2601" s="5" t="n">
        <v>7.21</v>
      </c>
    </row>
    <row r="2602" customFormat="false" ht="12.75" hidden="false" customHeight="true" outlineLevel="0" collapsed="false">
      <c r="A2602" s="5" t="n">
        <v>169</v>
      </c>
      <c r="B2602" s="5" t="n">
        <v>33</v>
      </c>
      <c r="C2602" s="5" t="n">
        <v>10512000</v>
      </c>
      <c r="D2602" s="5" t="n">
        <v>3</v>
      </c>
      <c r="E2602" s="5" t="n">
        <v>10.512</v>
      </c>
    </row>
    <row r="2603" customFormat="false" ht="12.75" hidden="false" customHeight="true" outlineLevel="0" collapsed="false">
      <c r="A2603" s="5" t="n">
        <v>169</v>
      </c>
      <c r="B2603" s="5" t="n">
        <v>33.54</v>
      </c>
      <c r="C2603" s="5" t="n">
        <v>12360000</v>
      </c>
      <c r="D2603" s="5" t="n">
        <v>4</v>
      </c>
      <c r="E2603" s="5" t="n">
        <v>12.36</v>
      </c>
    </row>
    <row r="2604" customFormat="false" ht="12.75" hidden="false" customHeight="true" outlineLevel="0" collapsed="false">
      <c r="A2604" s="5" t="n">
        <v>169</v>
      </c>
      <c r="B2604" s="5" t="n">
        <v>34</v>
      </c>
      <c r="C2604" s="5" t="n">
        <v>15200000</v>
      </c>
      <c r="D2604" s="5" t="n">
        <v>4</v>
      </c>
      <c r="E2604" s="5" t="n">
        <v>15.2</v>
      </c>
    </row>
    <row r="2605" customFormat="false" ht="12.75" hidden="false" customHeight="true" outlineLevel="0" collapsed="false">
      <c r="A2605" s="5" t="n">
        <v>169</v>
      </c>
      <c r="B2605" s="5" t="n">
        <v>35</v>
      </c>
      <c r="C2605" s="5" t="n">
        <v>22700000</v>
      </c>
      <c r="D2605" s="5" t="n">
        <v>6</v>
      </c>
      <c r="E2605" s="5" t="n">
        <v>22.7</v>
      </c>
    </row>
    <row r="2606" customFormat="false" ht="12.75" hidden="false" customHeight="true" outlineLevel="0" collapsed="false">
      <c r="A2606" s="5" t="n">
        <v>169</v>
      </c>
      <c r="B2606" s="5" t="n">
        <v>36</v>
      </c>
      <c r="C2606" s="5" t="n">
        <v>31700000</v>
      </c>
      <c r="D2606" s="5" t="n">
        <v>7</v>
      </c>
      <c r="E2606" s="5" t="n">
        <v>31.7</v>
      </c>
    </row>
    <row r="2607" customFormat="false" ht="12.75" hidden="false" customHeight="true" outlineLevel="0" collapsed="false">
      <c r="A2607" s="5" t="n">
        <v>169</v>
      </c>
      <c r="B2607" s="5" t="n">
        <v>37</v>
      </c>
      <c r="C2607" s="5" t="n">
        <v>42200000</v>
      </c>
      <c r="D2607" s="5" t="n">
        <v>9</v>
      </c>
      <c r="E2607" s="5" t="n">
        <v>42.2</v>
      </c>
    </row>
    <row r="2608" customFormat="false" ht="12.75" hidden="false" customHeight="true" outlineLevel="0" collapsed="false">
      <c r="A2608" s="5" t="n">
        <v>169</v>
      </c>
      <c r="B2608" s="5" t="n">
        <v>38</v>
      </c>
      <c r="C2608" s="5" t="n">
        <v>54400000</v>
      </c>
      <c r="D2608" s="5" t="n">
        <v>10</v>
      </c>
      <c r="E2608" s="5" t="n">
        <v>54.4</v>
      </c>
    </row>
    <row r="2609" customFormat="false" ht="12.75" hidden="false" customHeight="true" outlineLevel="0" collapsed="false">
      <c r="A2609" s="5" t="n">
        <v>169</v>
      </c>
      <c r="B2609" s="5" t="n">
        <v>39</v>
      </c>
      <c r="C2609" s="5" t="n">
        <v>68300000</v>
      </c>
      <c r="D2609" s="5" t="n">
        <v>12</v>
      </c>
      <c r="E2609" s="5" t="n">
        <v>68.3</v>
      </c>
    </row>
    <row r="2610" customFormat="false" ht="12.75" hidden="false" customHeight="true" outlineLevel="0" collapsed="false">
      <c r="A2610" s="5" t="n">
        <v>169</v>
      </c>
      <c r="B2610" s="5" t="n">
        <v>40</v>
      </c>
      <c r="C2610" s="5" t="n">
        <v>84100000</v>
      </c>
      <c r="D2610" s="5" t="n">
        <v>14</v>
      </c>
      <c r="E2610" s="5" t="n">
        <v>84.1</v>
      </c>
    </row>
    <row r="2611" customFormat="false" ht="12.75" hidden="false" customHeight="true" outlineLevel="0" collapsed="false">
      <c r="A2611" s="5" t="n">
        <v>170</v>
      </c>
      <c r="B2611" s="5" t="n">
        <v>284</v>
      </c>
      <c r="C2611" s="5" t="n">
        <v>0</v>
      </c>
      <c r="D2611" s="5" t="n">
        <v>0</v>
      </c>
      <c r="E2611" s="5" t="n">
        <v>0</v>
      </c>
    </row>
    <row r="2612" customFormat="false" ht="12.75" hidden="false" customHeight="true" outlineLevel="0" collapsed="false">
      <c r="A2612" s="5" t="n">
        <v>170</v>
      </c>
      <c r="B2612" s="5" t="n">
        <v>285</v>
      </c>
      <c r="C2612" s="5" t="n">
        <v>0</v>
      </c>
      <c r="D2612" s="5" t="n">
        <v>0.01</v>
      </c>
      <c r="E2612" s="5" t="n">
        <v>0</v>
      </c>
    </row>
    <row r="2613" customFormat="false" ht="12.75" hidden="false" customHeight="true" outlineLevel="0" collapsed="false">
      <c r="A2613" s="5" t="n">
        <v>170</v>
      </c>
      <c r="B2613" s="5" t="n">
        <v>286</v>
      </c>
      <c r="C2613" s="5" t="n">
        <v>0</v>
      </c>
      <c r="D2613" s="5" t="n">
        <v>0.0263</v>
      </c>
      <c r="E2613" s="5" t="n">
        <v>0</v>
      </c>
    </row>
    <row r="2614" customFormat="false" ht="12.75" hidden="false" customHeight="true" outlineLevel="0" collapsed="false">
      <c r="A2614" s="5" t="n">
        <v>170</v>
      </c>
      <c r="B2614" s="5" t="n">
        <v>287</v>
      </c>
      <c r="C2614" s="5" t="n">
        <v>70000</v>
      </c>
      <c r="D2614" s="5" t="n">
        <v>0.089</v>
      </c>
      <c r="E2614" s="5" t="n">
        <v>0.07</v>
      </c>
    </row>
    <row r="2615" customFormat="false" ht="12.75" hidden="false" customHeight="true" outlineLevel="0" collapsed="false">
      <c r="A2615" s="5" t="n">
        <v>170</v>
      </c>
      <c r="B2615" s="5" t="n">
        <v>288</v>
      </c>
      <c r="C2615" s="5" t="n">
        <v>180000</v>
      </c>
      <c r="D2615" s="5" t="n">
        <v>0.165</v>
      </c>
      <c r="E2615" s="5" t="n">
        <v>0.18</v>
      </c>
    </row>
    <row r="2616" customFormat="false" ht="12.75" hidden="false" customHeight="true" outlineLevel="0" collapsed="false">
      <c r="A2616" s="5" t="n">
        <v>170</v>
      </c>
      <c r="B2616" s="5" t="n">
        <v>289</v>
      </c>
      <c r="C2616" s="5" t="n">
        <v>320000</v>
      </c>
      <c r="D2616" s="5" t="n">
        <v>0.1973</v>
      </c>
      <c r="E2616" s="5" t="n">
        <v>0.32</v>
      </c>
    </row>
    <row r="2617" customFormat="false" ht="12.75" hidden="false" customHeight="true" outlineLevel="0" collapsed="false">
      <c r="A2617" s="5" t="n">
        <v>170</v>
      </c>
      <c r="B2617" s="5" t="n">
        <v>290</v>
      </c>
      <c r="C2617" s="5" t="n">
        <v>540000</v>
      </c>
      <c r="D2617" s="5" t="n">
        <v>0.3551</v>
      </c>
      <c r="E2617" s="5" t="n">
        <v>0.54</v>
      </c>
    </row>
    <row r="2618" customFormat="false" ht="12.75" hidden="false" customHeight="true" outlineLevel="0" collapsed="false">
      <c r="A2618" s="5" t="n">
        <v>170</v>
      </c>
      <c r="B2618" s="5" t="n">
        <v>291</v>
      </c>
      <c r="C2618" s="5" t="n">
        <v>1080000</v>
      </c>
      <c r="D2618" s="5" t="n">
        <v>0.5523</v>
      </c>
      <c r="E2618" s="5" t="n">
        <v>1.08</v>
      </c>
    </row>
    <row r="2619" customFormat="false" ht="12.75" hidden="false" customHeight="true" outlineLevel="0" collapsed="false">
      <c r="A2619" s="5" t="n">
        <v>170</v>
      </c>
      <c r="B2619" s="5" t="n">
        <v>292</v>
      </c>
      <c r="C2619" s="5" t="n">
        <v>1620000</v>
      </c>
      <c r="D2619" s="5" t="n">
        <v>0.7233</v>
      </c>
      <c r="E2619" s="5" t="n">
        <v>1.62</v>
      </c>
    </row>
    <row r="2620" customFormat="false" ht="12.75" hidden="false" customHeight="true" outlineLevel="0" collapsed="false">
      <c r="A2620" s="5" t="n">
        <v>170</v>
      </c>
      <c r="B2620" s="5" t="n">
        <v>293</v>
      </c>
      <c r="C2620" s="5" t="n">
        <v>2390000</v>
      </c>
      <c r="D2620" s="5" t="n">
        <v>0.8811</v>
      </c>
      <c r="E2620" s="5" t="n">
        <v>2.39</v>
      </c>
    </row>
    <row r="2621" customFormat="false" ht="12.75" hidden="false" customHeight="true" outlineLevel="0" collapsed="false">
      <c r="A2621" s="5" t="n">
        <v>170</v>
      </c>
      <c r="B2621" s="5" t="n">
        <v>294</v>
      </c>
      <c r="C2621" s="5" t="n">
        <v>3690000</v>
      </c>
      <c r="D2621" s="5" t="n">
        <v>1.1046</v>
      </c>
      <c r="E2621" s="5" t="n">
        <v>3.69</v>
      </c>
    </row>
    <row r="2622" customFormat="false" ht="12.75" hidden="false" customHeight="true" outlineLevel="0" collapsed="false">
      <c r="A2622" s="5" t="n">
        <v>170</v>
      </c>
      <c r="B2622" s="5" t="n">
        <v>295</v>
      </c>
      <c r="C2622" s="5" t="n">
        <v>4770000</v>
      </c>
      <c r="D2622" s="5" t="n">
        <v>1.3939</v>
      </c>
      <c r="E2622" s="5" t="n">
        <v>4.77</v>
      </c>
    </row>
    <row r="2623" customFormat="false" ht="12.75" hidden="false" customHeight="true" outlineLevel="0" collapsed="false">
      <c r="A2623" s="5" t="n">
        <v>170</v>
      </c>
      <c r="B2623" s="5" t="n">
        <v>296</v>
      </c>
      <c r="C2623" s="5" t="n">
        <v>6300000</v>
      </c>
      <c r="D2623" s="5" t="n">
        <v>1.6438</v>
      </c>
      <c r="E2623" s="5" t="n">
        <v>6.3</v>
      </c>
    </row>
    <row r="2624" customFormat="false" ht="12.75" hidden="false" customHeight="true" outlineLevel="0" collapsed="false">
      <c r="A2624" s="5" t="n">
        <v>170</v>
      </c>
      <c r="B2624" s="5" t="n">
        <v>297</v>
      </c>
      <c r="C2624" s="5" t="n">
        <v>8100000</v>
      </c>
      <c r="D2624" s="5" t="n">
        <v>1.9199</v>
      </c>
      <c r="E2624" s="5" t="n">
        <v>8.1</v>
      </c>
    </row>
    <row r="2625" customFormat="false" ht="12.75" hidden="false" customHeight="true" outlineLevel="0" collapsed="false">
      <c r="A2625" s="5" t="n">
        <v>170</v>
      </c>
      <c r="B2625" s="5" t="n">
        <v>298</v>
      </c>
      <c r="C2625" s="5" t="n">
        <v>10270000</v>
      </c>
      <c r="D2625" s="5" t="n">
        <v>2.2487</v>
      </c>
      <c r="E2625" s="5" t="n">
        <v>10.27</v>
      </c>
    </row>
    <row r="2626" customFormat="false" ht="12.75" hidden="false" customHeight="true" outlineLevel="0" collapsed="false">
      <c r="A2626" s="5" t="n">
        <v>170</v>
      </c>
      <c r="B2626" s="5" t="n">
        <v>299</v>
      </c>
      <c r="C2626" s="5" t="n">
        <v>12430000</v>
      </c>
      <c r="D2626" s="5" t="n">
        <v>2.5511</v>
      </c>
      <c r="E2626" s="5" t="n">
        <v>12.43</v>
      </c>
    </row>
    <row r="2627" customFormat="false" ht="12.75" hidden="false" customHeight="true" outlineLevel="0" collapsed="false">
      <c r="A2627" s="5" t="n">
        <v>170</v>
      </c>
      <c r="B2627" s="5" t="n">
        <v>300</v>
      </c>
      <c r="C2627" s="5" t="n">
        <v>15310000</v>
      </c>
      <c r="D2627" s="5" t="n">
        <v>2.893</v>
      </c>
      <c r="E2627" s="5" t="n">
        <v>15.31</v>
      </c>
    </row>
    <row r="2628" customFormat="false" ht="12.75" hidden="false" customHeight="true" outlineLevel="0" collapsed="false">
      <c r="A2628" s="5" t="n">
        <v>170</v>
      </c>
      <c r="B2628" s="5" t="n">
        <v>305</v>
      </c>
      <c r="C2628" s="5" t="n">
        <v>34330000</v>
      </c>
      <c r="D2628" s="5" t="n">
        <v>4.8</v>
      </c>
      <c r="E2628" s="5" t="n">
        <v>34.33</v>
      </c>
    </row>
    <row r="2629" customFormat="false" ht="12.75" hidden="false" customHeight="true" outlineLevel="0" collapsed="false">
      <c r="A2629" s="5" t="n">
        <v>170</v>
      </c>
      <c r="B2629" s="5" t="n">
        <v>306</v>
      </c>
      <c r="C2629" s="5" t="n">
        <v>40000000</v>
      </c>
      <c r="D2629" s="5" t="n">
        <v>6</v>
      </c>
      <c r="E2629" s="5" t="n">
        <v>40</v>
      </c>
    </row>
    <row r="2630" customFormat="false" ht="12.75" hidden="false" customHeight="true" outlineLevel="0" collapsed="false">
      <c r="A2630" s="5" t="n">
        <v>170</v>
      </c>
      <c r="B2630" s="5" t="n">
        <v>307</v>
      </c>
      <c r="C2630" s="5" t="n">
        <v>43000000</v>
      </c>
      <c r="D2630" s="5" t="n">
        <v>9</v>
      </c>
      <c r="E2630" s="5" t="n">
        <v>43</v>
      </c>
    </row>
    <row r="2631" customFormat="false" ht="12.75" hidden="false" customHeight="true" outlineLevel="0" collapsed="false">
      <c r="A2631" s="5" t="n">
        <v>171</v>
      </c>
      <c r="B2631" s="5" t="n">
        <v>84</v>
      </c>
      <c r="C2631" s="5" t="n">
        <v>0</v>
      </c>
      <c r="D2631" s="5" t="n">
        <v>0</v>
      </c>
      <c r="E2631" s="5" t="n">
        <v>0</v>
      </c>
    </row>
    <row r="2632" customFormat="false" ht="12.75" hidden="false" customHeight="true" outlineLevel="0" collapsed="false">
      <c r="A2632" s="5" t="n">
        <v>171</v>
      </c>
      <c r="B2632" s="5" t="n">
        <v>85</v>
      </c>
      <c r="C2632" s="5" t="n">
        <v>3</v>
      </c>
      <c r="D2632" s="5" t="n">
        <v>0</v>
      </c>
      <c r="E2632" s="5" t="n">
        <v>3E-006</v>
      </c>
    </row>
    <row r="2633" customFormat="false" ht="12.75" hidden="false" customHeight="true" outlineLevel="0" collapsed="false">
      <c r="A2633" s="5" t="n">
        <v>171</v>
      </c>
      <c r="B2633" s="5" t="n">
        <v>86</v>
      </c>
      <c r="C2633" s="5" t="n">
        <v>1223</v>
      </c>
      <c r="D2633" s="5" t="n">
        <v>0.0038</v>
      </c>
      <c r="E2633" s="5" t="n">
        <v>0.001223</v>
      </c>
    </row>
    <row r="2634" customFormat="false" ht="12.75" hidden="false" customHeight="true" outlineLevel="0" collapsed="false">
      <c r="A2634" s="5" t="n">
        <v>171</v>
      </c>
      <c r="B2634" s="5" t="n">
        <v>87</v>
      </c>
      <c r="C2634" s="5" t="n">
        <v>15082</v>
      </c>
      <c r="D2634" s="5" t="n">
        <v>0.0319</v>
      </c>
      <c r="E2634" s="5" t="n">
        <v>0.015082</v>
      </c>
    </row>
    <row r="2635" customFormat="false" ht="12.75" hidden="false" customHeight="true" outlineLevel="0" collapsed="false">
      <c r="A2635" s="5" t="n">
        <v>171</v>
      </c>
      <c r="B2635" s="5" t="n">
        <v>88</v>
      </c>
      <c r="C2635" s="5" t="n">
        <v>81528</v>
      </c>
      <c r="D2635" s="5" t="n">
        <v>0.1106</v>
      </c>
      <c r="E2635" s="5" t="n">
        <v>0.081528</v>
      </c>
    </row>
    <row r="2636" customFormat="false" ht="12.75" hidden="false" customHeight="true" outlineLevel="0" collapsed="false">
      <c r="A2636" s="5" t="n">
        <v>171</v>
      </c>
      <c r="B2636" s="5" t="n">
        <v>89</v>
      </c>
      <c r="C2636" s="5" t="n">
        <v>251084</v>
      </c>
      <c r="D2636" s="5" t="n">
        <v>0.2264</v>
      </c>
      <c r="E2636" s="5" t="n">
        <v>0.251084</v>
      </c>
    </row>
    <row r="2637" customFormat="false" ht="12.75" hidden="false" customHeight="true" outlineLevel="0" collapsed="false">
      <c r="A2637" s="5" t="n">
        <v>171</v>
      </c>
      <c r="B2637" s="5" t="n">
        <v>90</v>
      </c>
      <c r="C2637" s="5" t="n">
        <v>553973</v>
      </c>
      <c r="D2637" s="5" t="n">
        <v>0.3908</v>
      </c>
      <c r="E2637" s="5" t="n">
        <v>0.553973</v>
      </c>
    </row>
    <row r="2638" customFormat="false" ht="12.75" hidden="false" customHeight="true" outlineLevel="0" collapsed="false">
      <c r="A2638" s="5" t="n">
        <v>171</v>
      </c>
      <c r="B2638" s="5" t="n">
        <v>91</v>
      </c>
      <c r="C2638" s="5" t="n">
        <v>1044715</v>
      </c>
      <c r="D2638" s="5" t="n">
        <v>0.5865</v>
      </c>
      <c r="E2638" s="5" t="n">
        <v>1.044715</v>
      </c>
    </row>
    <row r="2639" customFormat="false" ht="12.75" hidden="false" customHeight="true" outlineLevel="0" collapsed="false">
      <c r="A2639" s="5" t="n">
        <v>171</v>
      </c>
      <c r="B2639" s="5" t="n">
        <v>92</v>
      </c>
      <c r="C2639" s="5" t="n">
        <v>1702926</v>
      </c>
      <c r="D2639" s="5" t="n">
        <v>0.7418</v>
      </c>
      <c r="E2639" s="5" t="n">
        <v>1.702926</v>
      </c>
    </row>
    <row r="2640" customFormat="false" ht="12.75" hidden="false" customHeight="true" outlineLevel="0" collapsed="false">
      <c r="A2640" s="5" t="n">
        <v>171</v>
      </c>
      <c r="B2640" s="5" t="n">
        <v>93</v>
      </c>
      <c r="C2640" s="5" t="n">
        <v>2527990</v>
      </c>
      <c r="D2640" s="5" t="n">
        <v>0.8526</v>
      </c>
      <c r="E2640" s="5" t="n">
        <v>2.52799</v>
      </c>
    </row>
    <row r="2641" customFormat="false" ht="12.75" hidden="false" customHeight="true" outlineLevel="0" collapsed="false">
      <c r="A2641" s="5" t="n">
        <v>171</v>
      </c>
      <c r="B2641" s="5" t="n">
        <v>93.63</v>
      </c>
      <c r="C2641" s="5" t="n">
        <v>3070358</v>
      </c>
      <c r="D2641" s="5" t="n">
        <v>0.9077</v>
      </c>
      <c r="E2641" s="5" t="n">
        <v>3.070358</v>
      </c>
    </row>
    <row r="2642" customFormat="false" ht="12.75" hidden="false" customHeight="true" outlineLevel="0" collapsed="false">
      <c r="A2642" s="5" t="n">
        <v>171</v>
      </c>
      <c r="B2642" s="5" t="n">
        <v>95</v>
      </c>
      <c r="C2642" s="5" t="n">
        <v>4656821</v>
      </c>
      <c r="D2642" s="5" t="n">
        <v>1.2639</v>
      </c>
      <c r="E2642" s="5" t="n">
        <v>4.656821</v>
      </c>
    </row>
    <row r="2643" customFormat="false" ht="12.75" hidden="false" customHeight="true" outlineLevel="0" collapsed="false">
      <c r="A2643" s="5" t="n">
        <v>171</v>
      </c>
      <c r="B2643" s="5" t="n">
        <v>98.5</v>
      </c>
      <c r="C2643" s="5" t="n">
        <v>14586821</v>
      </c>
      <c r="D2643" s="5" t="n">
        <v>1.6839</v>
      </c>
      <c r="E2643" s="5" t="n">
        <v>14.586821</v>
      </c>
    </row>
    <row r="2644" customFormat="false" ht="12.75" hidden="false" customHeight="true" outlineLevel="0" collapsed="false">
      <c r="A2644" s="5" t="n">
        <v>171</v>
      </c>
      <c r="B2644" s="5" t="n">
        <v>100</v>
      </c>
      <c r="C2644" s="5" t="n">
        <v>18716821</v>
      </c>
      <c r="D2644" s="5" t="n">
        <v>3.3439</v>
      </c>
      <c r="E2644" s="5" t="n">
        <v>18.716821</v>
      </c>
    </row>
    <row r="2645" customFormat="false" ht="12.75" hidden="false" customHeight="true" outlineLevel="0" collapsed="false">
      <c r="A2645" s="5" t="n">
        <v>172</v>
      </c>
      <c r="B2645" s="5" t="n">
        <v>333.49</v>
      </c>
      <c r="C2645" s="5" t="n">
        <v>0</v>
      </c>
      <c r="D2645" s="5" t="n">
        <v>0</v>
      </c>
      <c r="E2645" s="5" t="n">
        <v>0</v>
      </c>
    </row>
    <row r="2646" customFormat="false" ht="12.75" hidden="false" customHeight="true" outlineLevel="0" collapsed="false">
      <c r="A2646" s="5" t="n">
        <v>172</v>
      </c>
      <c r="B2646" s="5" t="n">
        <v>334</v>
      </c>
      <c r="C2646" s="5" t="n">
        <v>117</v>
      </c>
      <c r="D2646" s="5" t="n">
        <v>0.0005</v>
      </c>
      <c r="E2646" s="5" t="n">
        <v>0.000117</v>
      </c>
    </row>
    <row r="2647" customFormat="false" ht="12.75" hidden="false" customHeight="true" outlineLevel="0" collapsed="false">
      <c r="A2647" s="5" t="n">
        <v>172</v>
      </c>
      <c r="B2647" s="5" t="n">
        <v>335</v>
      </c>
      <c r="C2647" s="5" t="n">
        <v>1468</v>
      </c>
      <c r="D2647" s="5" t="n">
        <v>0.003</v>
      </c>
      <c r="E2647" s="5" t="n">
        <v>0.001468</v>
      </c>
    </row>
    <row r="2648" customFormat="false" ht="12.75" hidden="false" customHeight="true" outlineLevel="0" collapsed="false">
      <c r="A2648" s="5" t="n">
        <v>172</v>
      </c>
      <c r="B2648" s="5" t="n">
        <v>336</v>
      </c>
      <c r="C2648" s="5" t="n">
        <v>9225</v>
      </c>
      <c r="D2648" s="5" t="n">
        <v>0.017</v>
      </c>
      <c r="E2648" s="5" t="n">
        <v>0.009225</v>
      </c>
    </row>
    <row r="2649" customFormat="false" ht="12.75" hidden="false" customHeight="true" outlineLevel="0" collapsed="false">
      <c r="A2649" s="5" t="n">
        <v>172</v>
      </c>
      <c r="B2649" s="5" t="n">
        <v>337</v>
      </c>
      <c r="C2649" s="5" t="n">
        <v>56500</v>
      </c>
      <c r="D2649" s="5" t="n">
        <v>0.13</v>
      </c>
      <c r="E2649" s="5" t="n">
        <v>0.0565</v>
      </c>
    </row>
    <row r="2650" customFormat="false" ht="12.75" hidden="false" customHeight="true" outlineLevel="0" collapsed="false">
      <c r="A2650" s="5" t="n">
        <v>172</v>
      </c>
      <c r="B2650" s="5" t="n">
        <v>338</v>
      </c>
      <c r="C2650" s="5" t="n">
        <v>495000</v>
      </c>
      <c r="D2650" s="5" t="n">
        <v>0.87</v>
      </c>
      <c r="E2650" s="5" t="n">
        <v>0.495</v>
      </c>
    </row>
    <row r="2651" customFormat="false" ht="12.75" hidden="false" customHeight="true" outlineLevel="0" collapsed="false">
      <c r="A2651" s="5" t="n">
        <v>172</v>
      </c>
      <c r="B2651" s="5" t="n">
        <v>339</v>
      </c>
      <c r="C2651" s="5" t="n">
        <v>1762400</v>
      </c>
      <c r="D2651" s="5" t="n">
        <v>1.66</v>
      </c>
      <c r="E2651" s="5" t="n">
        <v>1.7624</v>
      </c>
    </row>
    <row r="2652" customFormat="false" ht="12.75" hidden="false" customHeight="true" outlineLevel="0" collapsed="false">
      <c r="A2652" s="5" t="n">
        <v>172</v>
      </c>
      <c r="B2652" s="5" t="n">
        <v>340</v>
      </c>
      <c r="C2652" s="5" t="n">
        <v>3792560</v>
      </c>
      <c r="D2652" s="5" t="n">
        <v>2.43</v>
      </c>
      <c r="E2652" s="5" t="n">
        <v>3.79256</v>
      </c>
    </row>
    <row r="2653" customFormat="false" ht="12.75" hidden="false" customHeight="true" outlineLevel="0" collapsed="false">
      <c r="A2653" s="5" t="n">
        <v>172</v>
      </c>
      <c r="B2653" s="5" t="n">
        <v>341</v>
      </c>
      <c r="C2653" s="5" t="n">
        <v>6611400</v>
      </c>
      <c r="D2653" s="5" t="n">
        <v>3.15</v>
      </c>
      <c r="E2653" s="5" t="n">
        <v>6.6114</v>
      </c>
    </row>
    <row r="2654" customFormat="false" ht="12.75" hidden="false" customHeight="true" outlineLevel="0" collapsed="false">
      <c r="A2654" s="5" t="n">
        <v>172</v>
      </c>
      <c r="B2654" s="5" t="n">
        <v>342</v>
      </c>
      <c r="C2654" s="5" t="n">
        <v>10107510</v>
      </c>
      <c r="D2654" s="5" t="n">
        <v>3.82</v>
      </c>
      <c r="E2654" s="5" t="n">
        <v>10.10751</v>
      </c>
    </row>
    <row r="2655" customFormat="false" ht="12.75" hidden="false" customHeight="true" outlineLevel="0" collapsed="false">
      <c r="A2655" s="5" t="n">
        <v>172</v>
      </c>
      <c r="B2655" s="5" t="n">
        <v>343</v>
      </c>
      <c r="C2655" s="5" t="n">
        <v>14174600</v>
      </c>
      <c r="D2655" s="5" t="n">
        <v>4.3</v>
      </c>
      <c r="E2655" s="5" t="n">
        <v>14.1746</v>
      </c>
    </row>
    <row r="2656" customFormat="false" ht="12.75" hidden="false" customHeight="true" outlineLevel="0" collapsed="false">
      <c r="A2656" s="5" t="n">
        <v>172</v>
      </c>
      <c r="B2656" s="5" t="n">
        <v>343.64</v>
      </c>
      <c r="C2656" s="5" t="n">
        <v>17030710</v>
      </c>
      <c r="D2656" s="5" t="n">
        <v>4.67</v>
      </c>
      <c r="E2656" s="5" t="n">
        <v>17.03071</v>
      </c>
    </row>
    <row r="2657" customFormat="false" ht="12.75" hidden="false" customHeight="true" outlineLevel="0" collapsed="false">
      <c r="A2657" s="5" t="n">
        <v>172</v>
      </c>
      <c r="B2657" s="5" t="n">
        <v>344</v>
      </c>
      <c r="C2657" s="5" t="n">
        <v>19400000</v>
      </c>
      <c r="D2657" s="5" t="n">
        <v>5.39</v>
      </c>
      <c r="E2657" s="5" t="n">
        <v>19.4</v>
      </c>
    </row>
    <row r="2658" customFormat="false" ht="12.75" hidden="false" customHeight="true" outlineLevel="0" collapsed="false">
      <c r="A2658" s="5" t="n">
        <v>172</v>
      </c>
      <c r="B2658" s="5" t="n">
        <v>345</v>
      </c>
      <c r="C2658" s="5" t="n">
        <v>26900000</v>
      </c>
      <c r="D2658" s="5" t="n">
        <v>6.61</v>
      </c>
      <c r="E2658" s="5" t="n">
        <v>26.9</v>
      </c>
    </row>
    <row r="2659" customFormat="false" ht="12.75" hidden="false" customHeight="true" outlineLevel="0" collapsed="false">
      <c r="A2659" s="5" t="n">
        <v>172</v>
      </c>
      <c r="B2659" s="5" t="n">
        <v>346</v>
      </c>
      <c r="C2659" s="5" t="n">
        <v>35900000</v>
      </c>
      <c r="D2659" s="5" t="n">
        <v>8.2</v>
      </c>
      <c r="E2659" s="5" t="n">
        <v>35.9</v>
      </c>
    </row>
    <row r="2660" customFormat="false" ht="12.75" hidden="false" customHeight="true" outlineLevel="0" collapsed="false">
      <c r="A2660" s="5" t="n">
        <v>172</v>
      </c>
      <c r="B2660" s="5" t="n">
        <v>347</v>
      </c>
      <c r="C2660" s="5" t="n">
        <v>46900000</v>
      </c>
      <c r="D2660" s="5" t="n">
        <v>9.73</v>
      </c>
      <c r="E2660" s="5" t="n">
        <v>46.9</v>
      </c>
    </row>
    <row r="2661" customFormat="false" ht="12.75" hidden="false" customHeight="true" outlineLevel="0" collapsed="false">
      <c r="A2661" s="5" t="n">
        <v>172</v>
      </c>
      <c r="B2661" s="5" t="n">
        <v>348</v>
      </c>
      <c r="C2661" s="5" t="n">
        <v>58600000</v>
      </c>
      <c r="D2661" s="5" t="n">
        <v>11.45</v>
      </c>
      <c r="E2661" s="5" t="n">
        <v>58.6</v>
      </c>
    </row>
    <row r="2662" customFormat="false" ht="12.75" hidden="false" customHeight="true" outlineLevel="0" collapsed="false">
      <c r="A2662" s="5" t="n">
        <v>172</v>
      </c>
      <c r="B2662" s="5" t="n">
        <v>349</v>
      </c>
      <c r="C2662" s="5" t="n">
        <v>72400000</v>
      </c>
      <c r="D2662" s="5" t="n">
        <v>13.1</v>
      </c>
      <c r="E2662" s="5" t="n">
        <v>72.4</v>
      </c>
    </row>
    <row r="2663" customFormat="false" ht="12.75" hidden="false" customHeight="true" outlineLevel="0" collapsed="false">
      <c r="A2663" s="5" t="n">
        <v>172</v>
      </c>
      <c r="B2663" s="5" t="n">
        <v>350</v>
      </c>
      <c r="C2663" s="5" t="n">
        <v>88000000</v>
      </c>
      <c r="D2663" s="5" t="n">
        <v>14.85</v>
      </c>
      <c r="E2663" s="5" t="n">
        <v>88</v>
      </c>
    </row>
    <row r="2664" customFormat="false" ht="12.75" hidden="false" customHeight="true" outlineLevel="0" collapsed="false">
      <c r="A2664" s="5" t="n">
        <v>172</v>
      </c>
      <c r="B2664" s="5" t="n">
        <v>351</v>
      </c>
      <c r="C2664" s="5" t="n">
        <v>105000000</v>
      </c>
      <c r="D2664" s="5" t="n">
        <v>16.82</v>
      </c>
      <c r="E2664" s="5" t="n">
        <v>105</v>
      </c>
    </row>
    <row r="2665" customFormat="false" ht="12.75" hidden="false" customHeight="true" outlineLevel="0" collapsed="false">
      <c r="A2665" s="5" t="n">
        <v>172</v>
      </c>
      <c r="B2665" s="5" t="n">
        <v>352</v>
      </c>
      <c r="C2665" s="5" t="n">
        <v>125000000</v>
      </c>
      <c r="D2665" s="5" t="n">
        <v>18.78</v>
      </c>
      <c r="E2665" s="5" t="n">
        <v>125</v>
      </c>
    </row>
    <row r="2666" customFormat="false" ht="12.75" hidden="false" customHeight="true" outlineLevel="0" collapsed="false">
      <c r="A2666" s="5" t="n">
        <v>172</v>
      </c>
      <c r="B2666" s="5" t="n">
        <v>353</v>
      </c>
      <c r="C2666" s="5" t="n">
        <v>146000000</v>
      </c>
      <c r="D2666" s="5" t="n">
        <v>20.62</v>
      </c>
      <c r="E2666" s="5" t="n">
        <v>146</v>
      </c>
    </row>
    <row r="2667" customFormat="false" ht="12.75" hidden="false" customHeight="true" outlineLevel="0" collapsed="false">
      <c r="A2667" s="5" t="n">
        <v>172</v>
      </c>
      <c r="B2667" s="5" t="n">
        <v>354</v>
      </c>
      <c r="C2667" s="5" t="n">
        <v>169100000</v>
      </c>
      <c r="D2667" s="5" t="n">
        <v>22.51</v>
      </c>
      <c r="E2667" s="5" t="n">
        <v>169.1</v>
      </c>
    </row>
    <row r="2668" customFormat="false" ht="12.75" hidden="false" customHeight="true" outlineLevel="0" collapsed="false">
      <c r="A2668" s="5" t="n">
        <v>172</v>
      </c>
      <c r="B2668" s="5" t="n">
        <v>355</v>
      </c>
      <c r="C2668" s="5" t="n">
        <v>194100000</v>
      </c>
      <c r="D2668" s="5" t="n">
        <v>24.52</v>
      </c>
      <c r="E2668" s="5" t="n">
        <v>194.1</v>
      </c>
    </row>
    <row r="2669" customFormat="false" ht="12.75" hidden="false" customHeight="true" outlineLevel="0" collapsed="false">
      <c r="A2669" s="5" t="n">
        <v>173</v>
      </c>
      <c r="B2669" s="5" t="n">
        <v>59.74</v>
      </c>
      <c r="C2669" s="5" t="n">
        <v>0</v>
      </c>
      <c r="D2669" s="5" t="n">
        <v>0</v>
      </c>
      <c r="E2669" s="5" t="n">
        <v>0</v>
      </c>
    </row>
    <row r="2670" customFormat="false" ht="12.75" hidden="false" customHeight="true" outlineLevel="0" collapsed="false">
      <c r="A2670" s="5" t="n">
        <v>173</v>
      </c>
      <c r="B2670" s="5" t="n">
        <v>60</v>
      </c>
      <c r="C2670" s="5" t="n">
        <v>14</v>
      </c>
      <c r="D2670" s="5" t="n">
        <v>0.0002</v>
      </c>
      <c r="E2670" s="5" t="n">
        <v>1.4E-005</v>
      </c>
    </row>
    <row r="2671" customFormat="false" ht="12.75" hidden="false" customHeight="true" outlineLevel="0" collapsed="false">
      <c r="A2671" s="5" t="n">
        <v>173</v>
      </c>
      <c r="B2671" s="5" t="n">
        <v>61</v>
      </c>
      <c r="C2671" s="5" t="n">
        <v>2025</v>
      </c>
      <c r="D2671" s="5" t="n">
        <v>0.0051</v>
      </c>
      <c r="E2671" s="5" t="n">
        <v>0.002025</v>
      </c>
    </row>
    <row r="2672" customFormat="false" ht="12.75" hidden="false" customHeight="true" outlineLevel="0" collapsed="false">
      <c r="A2672" s="5" t="n">
        <v>173</v>
      </c>
      <c r="B2672" s="5" t="n">
        <v>62</v>
      </c>
      <c r="C2672" s="5" t="n">
        <v>16786</v>
      </c>
      <c r="D2672" s="5" t="n">
        <v>0.0282</v>
      </c>
      <c r="E2672" s="5" t="n">
        <v>0.016786</v>
      </c>
    </row>
    <row r="2673" customFormat="false" ht="12.75" hidden="false" customHeight="true" outlineLevel="0" collapsed="false">
      <c r="A2673" s="5" t="n">
        <v>173</v>
      </c>
      <c r="B2673" s="5" t="n">
        <v>63</v>
      </c>
      <c r="C2673" s="5" t="n">
        <v>72513</v>
      </c>
      <c r="D2673" s="5" t="n">
        <v>0.0962</v>
      </c>
      <c r="E2673" s="5" t="n">
        <v>0.072513</v>
      </c>
    </row>
    <row r="2674" customFormat="false" ht="12.75" hidden="false" customHeight="true" outlineLevel="0" collapsed="false">
      <c r="A2674" s="5" t="n">
        <v>173</v>
      </c>
      <c r="B2674" s="5" t="n">
        <v>64</v>
      </c>
      <c r="C2674" s="5" t="n">
        <v>301443</v>
      </c>
      <c r="D2674" s="5" t="n">
        <v>0.4471</v>
      </c>
      <c r="E2674" s="5" t="n">
        <v>0.301443</v>
      </c>
    </row>
    <row r="2675" customFormat="false" ht="12.75" hidden="false" customHeight="true" outlineLevel="0" collapsed="false">
      <c r="A2675" s="5" t="n">
        <v>173</v>
      </c>
      <c r="B2675" s="5" t="n">
        <v>65</v>
      </c>
      <c r="C2675" s="5" t="n">
        <v>1083073</v>
      </c>
      <c r="D2675" s="5" t="n">
        <v>1.1092</v>
      </c>
      <c r="E2675" s="5" t="n">
        <v>1.083073</v>
      </c>
    </row>
    <row r="2676" customFormat="false" ht="12.75" hidden="false" customHeight="true" outlineLevel="0" collapsed="false">
      <c r="A2676" s="5" t="n">
        <v>173</v>
      </c>
      <c r="B2676" s="5" t="n">
        <v>66</v>
      </c>
      <c r="C2676" s="5" t="n">
        <v>2669551</v>
      </c>
      <c r="D2676" s="5" t="n">
        <v>2.1566</v>
      </c>
      <c r="E2676" s="5" t="n">
        <v>2.669551</v>
      </c>
    </row>
    <row r="2677" customFormat="false" ht="12.75" hidden="false" customHeight="true" outlineLevel="0" collapsed="false">
      <c r="A2677" s="5" t="n">
        <v>173</v>
      </c>
      <c r="B2677" s="5" t="n">
        <v>67</v>
      </c>
      <c r="C2677" s="5" t="n">
        <v>5569780</v>
      </c>
      <c r="D2677" s="5" t="n">
        <v>3.6446</v>
      </c>
      <c r="E2677" s="5" t="n">
        <v>5.56978</v>
      </c>
    </row>
    <row r="2678" customFormat="false" ht="12.75" hidden="false" customHeight="true" outlineLevel="0" collapsed="false">
      <c r="A2678" s="5" t="n">
        <v>173</v>
      </c>
      <c r="B2678" s="5" t="n">
        <v>68</v>
      </c>
      <c r="C2678" s="5" t="n">
        <v>9903865</v>
      </c>
      <c r="D2678" s="5" t="n">
        <v>4.9944</v>
      </c>
      <c r="E2678" s="5" t="n">
        <v>9.903865</v>
      </c>
    </row>
    <row r="2679" customFormat="false" ht="12.75" hidden="false" customHeight="true" outlineLevel="0" collapsed="false">
      <c r="A2679" s="5" t="n">
        <v>173</v>
      </c>
      <c r="B2679" s="5" t="n">
        <v>69</v>
      </c>
      <c r="C2679" s="5" t="n">
        <v>15596169</v>
      </c>
      <c r="D2679" s="5" t="n">
        <v>6.3667</v>
      </c>
      <c r="E2679" s="5" t="n">
        <v>15.596169</v>
      </c>
    </row>
    <row r="2680" customFormat="false" ht="12.75" hidden="false" customHeight="true" outlineLevel="0" collapsed="false">
      <c r="A2680" s="5" t="n">
        <v>173</v>
      </c>
      <c r="B2680" s="5" t="n">
        <v>70</v>
      </c>
      <c r="C2680" s="5" t="n">
        <v>22533860</v>
      </c>
      <c r="D2680" s="5" t="n">
        <v>7.4609</v>
      </c>
      <c r="E2680" s="5" t="n">
        <v>22.53386</v>
      </c>
    </row>
    <row r="2681" customFormat="false" ht="12.75" hidden="false" customHeight="true" outlineLevel="0" collapsed="false">
      <c r="A2681" s="5" t="n">
        <v>173</v>
      </c>
      <c r="B2681" s="5" t="n">
        <v>71</v>
      </c>
      <c r="C2681" s="5" t="n">
        <v>30205362</v>
      </c>
      <c r="D2681" s="5" t="n">
        <v>7.8057</v>
      </c>
      <c r="E2681" s="5" t="n">
        <v>30.205362</v>
      </c>
    </row>
    <row r="2682" customFormat="false" ht="12.75" hidden="false" customHeight="true" outlineLevel="0" collapsed="false">
      <c r="A2682" s="5" t="n">
        <v>173</v>
      </c>
      <c r="B2682" s="5" t="n">
        <v>71.86</v>
      </c>
      <c r="C2682" s="5" t="n">
        <v>37000000</v>
      </c>
      <c r="D2682" s="5" t="n">
        <v>7.9724</v>
      </c>
      <c r="E2682" s="5" t="n">
        <v>37</v>
      </c>
    </row>
    <row r="2683" customFormat="false" ht="12.75" hidden="false" customHeight="true" outlineLevel="0" collapsed="false">
      <c r="A2683" s="5" t="n">
        <v>173</v>
      </c>
      <c r="B2683" s="5" t="n">
        <v>71.88</v>
      </c>
      <c r="C2683" s="5" t="n">
        <v>37152000</v>
      </c>
      <c r="D2683" s="5" t="n">
        <v>7.9758</v>
      </c>
      <c r="E2683" s="5" t="n">
        <v>37.152</v>
      </c>
    </row>
    <row r="2684" customFormat="false" ht="12.75" hidden="false" customHeight="true" outlineLevel="0" collapsed="false">
      <c r="A2684" s="5" t="n">
        <v>173</v>
      </c>
      <c r="B2684" s="5" t="n">
        <v>72</v>
      </c>
      <c r="C2684" s="5" t="n">
        <v>38110548</v>
      </c>
      <c r="D2684" s="5" t="n">
        <v>8</v>
      </c>
      <c r="E2684" s="5" t="n">
        <v>38.110548</v>
      </c>
    </row>
    <row r="2685" customFormat="false" ht="12.75" hidden="false" customHeight="true" outlineLevel="0" collapsed="false">
      <c r="A2685" s="5" t="n">
        <v>173</v>
      </c>
      <c r="B2685" s="5" t="n">
        <v>73</v>
      </c>
      <c r="C2685" s="5" t="n">
        <v>46460548</v>
      </c>
      <c r="D2685" s="5" t="n">
        <v>8.7</v>
      </c>
      <c r="E2685" s="5" t="n">
        <v>46.460548</v>
      </c>
    </row>
    <row r="2686" customFormat="false" ht="12.75" hidden="false" customHeight="true" outlineLevel="0" collapsed="false">
      <c r="A2686" s="5" t="n">
        <v>173</v>
      </c>
      <c r="B2686" s="5" t="n">
        <v>74</v>
      </c>
      <c r="C2686" s="5" t="n">
        <v>56060548</v>
      </c>
      <c r="D2686" s="5" t="n">
        <v>10.5</v>
      </c>
      <c r="E2686" s="5" t="n">
        <v>56.060548</v>
      </c>
    </row>
    <row r="2687" customFormat="false" ht="12.75" hidden="false" customHeight="true" outlineLevel="0" collapsed="false">
      <c r="A2687" s="5" t="n">
        <v>174</v>
      </c>
      <c r="B2687" s="5" t="n">
        <v>980.26</v>
      </c>
      <c r="C2687" s="5" t="n">
        <v>0</v>
      </c>
      <c r="D2687" s="5" t="n">
        <v>0</v>
      </c>
      <c r="E2687" s="5" t="n">
        <v>0</v>
      </c>
    </row>
    <row r="2688" customFormat="false" ht="12.75" hidden="false" customHeight="true" outlineLevel="0" collapsed="false">
      <c r="A2688" s="5" t="n">
        <v>174</v>
      </c>
      <c r="B2688" s="5" t="n">
        <v>981</v>
      </c>
      <c r="C2688" s="5" t="n">
        <v>50</v>
      </c>
      <c r="D2688" s="5" t="n">
        <v>0.0002</v>
      </c>
      <c r="E2688" s="5" t="n">
        <v>5E-005</v>
      </c>
    </row>
    <row r="2689" customFormat="false" ht="12.75" hidden="false" customHeight="true" outlineLevel="0" collapsed="false">
      <c r="A2689" s="5" t="n">
        <v>174</v>
      </c>
      <c r="B2689" s="5" t="n">
        <v>982</v>
      </c>
      <c r="C2689" s="5" t="n">
        <v>900</v>
      </c>
      <c r="D2689" s="5" t="n">
        <v>0.002</v>
      </c>
      <c r="E2689" s="5" t="n">
        <v>0.0009</v>
      </c>
    </row>
    <row r="2690" customFormat="false" ht="12.75" hidden="false" customHeight="true" outlineLevel="0" collapsed="false">
      <c r="A2690" s="5" t="n">
        <v>174</v>
      </c>
      <c r="B2690" s="5" t="n">
        <v>983</v>
      </c>
      <c r="C2690" s="5" t="n">
        <v>7500</v>
      </c>
      <c r="D2690" s="5" t="n">
        <v>0.012</v>
      </c>
      <c r="E2690" s="5" t="n">
        <v>0.0075</v>
      </c>
    </row>
    <row r="2691" customFormat="false" ht="12.75" hidden="false" customHeight="true" outlineLevel="0" collapsed="false">
      <c r="A2691" s="5" t="n">
        <v>174</v>
      </c>
      <c r="B2691" s="5" t="n">
        <v>984</v>
      </c>
      <c r="C2691" s="5" t="n">
        <v>32000</v>
      </c>
      <c r="D2691" s="5" t="n">
        <v>0.04</v>
      </c>
      <c r="E2691" s="5" t="n">
        <v>0.032</v>
      </c>
    </row>
    <row r="2692" customFormat="false" ht="12.75" hidden="false" customHeight="true" outlineLevel="0" collapsed="false">
      <c r="A2692" s="5" t="n">
        <v>174</v>
      </c>
      <c r="B2692" s="5" t="n">
        <v>985</v>
      </c>
      <c r="C2692" s="5" t="n">
        <v>103000</v>
      </c>
      <c r="D2692" s="5" t="n">
        <v>0.11</v>
      </c>
      <c r="E2692" s="5" t="n">
        <v>0.103</v>
      </c>
    </row>
    <row r="2693" customFormat="false" ht="12.75" hidden="false" customHeight="true" outlineLevel="0" collapsed="false">
      <c r="A2693" s="5" t="n">
        <v>174</v>
      </c>
      <c r="B2693" s="5" t="n">
        <v>986</v>
      </c>
      <c r="C2693" s="5" t="n">
        <v>298000</v>
      </c>
      <c r="D2693" s="5" t="n">
        <v>0.3</v>
      </c>
      <c r="E2693" s="5" t="n">
        <v>0.298</v>
      </c>
    </row>
    <row r="2694" customFormat="false" ht="12.75" hidden="false" customHeight="true" outlineLevel="0" collapsed="false">
      <c r="A2694" s="5" t="n">
        <v>174</v>
      </c>
      <c r="B2694" s="5" t="n">
        <v>987</v>
      </c>
      <c r="C2694" s="5" t="n">
        <v>705000</v>
      </c>
      <c r="D2694" s="5" t="n">
        <v>0.52</v>
      </c>
      <c r="E2694" s="5" t="n">
        <v>0.705</v>
      </c>
    </row>
    <row r="2695" customFormat="false" ht="12.75" hidden="false" customHeight="true" outlineLevel="0" collapsed="false">
      <c r="A2695" s="5" t="n">
        <v>174</v>
      </c>
      <c r="B2695" s="5" t="n">
        <v>988</v>
      </c>
      <c r="C2695" s="5" t="n">
        <v>1368000</v>
      </c>
      <c r="D2695" s="5" t="n">
        <v>0.79</v>
      </c>
      <c r="E2695" s="5" t="n">
        <v>1.368</v>
      </c>
    </row>
    <row r="2696" customFormat="false" ht="12.75" hidden="false" customHeight="true" outlineLevel="0" collapsed="false">
      <c r="A2696" s="5" t="n">
        <v>174</v>
      </c>
      <c r="B2696" s="5" t="n">
        <v>989</v>
      </c>
      <c r="C2696" s="5" t="n">
        <v>2250000</v>
      </c>
      <c r="D2696" s="5" t="n">
        <v>0.92</v>
      </c>
      <c r="E2696" s="5" t="n">
        <v>2.25</v>
      </c>
    </row>
    <row r="2697" customFormat="false" ht="12.75" hidden="false" customHeight="true" outlineLevel="0" collapsed="false">
      <c r="A2697" s="5" t="n">
        <v>174</v>
      </c>
      <c r="B2697" s="5" t="n">
        <v>990</v>
      </c>
      <c r="C2697" s="5" t="n">
        <v>3210000</v>
      </c>
      <c r="D2697" s="5" t="n">
        <v>0.98</v>
      </c>
      <c r="E2697" s="5" t="n">
        <v>3.21</v>
      </c>
    </row>
    <row r="2698" customFormat="false" ht="12.75" hidden="false" customHeight="true" outlineLevel="0" collapsed="false">
      <c r="A2698" s="5" t="n">
        <v>174</v>
      </c>
      <c r="B2698" s="5" t="n">
        <v>990.18</v>
      </c>
      <c r="C2698" s="5" t="n">
        <v>3390000</v>
      </c>
      <c r="D2698" s="5" t="n">
        <v>0.99</v>
      </c>
      <c r="E2698" s="5" t="n">
        <v>3.39</v>
      </c>
    </row>
    <row r="2699" customFormat="false" ht="12.75" hidden="false" customHeight="true" outlineLevel="0" collapsed="false">
      <c r="A2699" s="5" t="n">
        <v>174</v>
      </c>
      <c r="B2699" s="5" t="n">
        <v>991</v>
      </c>
      <c r="C2699" s="5" t="n">
        <v>4417000</v>
      </c>
      <c r="D2699" s="5" t="n">
        <v>1.3</v>
      </c>
      <c r="E2699" s="5" t="n">
        <v>4.417</v>
      </c>
    </row>
    <row r="2700" customFormat="false" ht="12.75" hidden="false" customHeight="true" outlineLevel="0" collapsed="false">
      <c r="A2700" s="5" t="n">
        <v>174</v>
      </c>
      <c r="B2700" s="5" t="n">
        <v>992</v>
      </c>
      <c r="C2700" s="5" t="n">
        <v>6010000</v>
      </c>
      <c r="D2700" s="5" t="n">
        <v>1.6</v>
      </c>
      <c r="E2700" s="5" t="n">
        <v>6.01</v>
      </c>
    </row>
    <row r="2701" customFormat="false" ht="12.75" hidden="false" customHeight="true" outlineLevel="0" collapsed="false">
      <c r="A2701" s="5" t="n">
        <v>174</v>
      </c>
      <c r="B2701" s="5" t="n">
        <v>993</v>
      </c>
      <c r="C2701" s="5" t="n">
        <v>8000000</v>
      </c>
      <c r="D2701" s="5" t="n">
        <v>1.9</v>
      </c>
      <c r="E2701" s="5" t="n">
        <v>8</v>
      </c>
    </row>
    <row r="2702" customFormat="false" ht="12.75" hidden="false" customHeight="true" outlineLevel="0" collapsed="false">
      <c r="A2702" s="5" t="n">
        <v>174</v>
      </c>
      <c r="B2702" s="5" t="n">
        <v>994</v>
      </c>
      <c r="C2702" s="5" t="n">
        <v>10100000</v>
      </c>
      <c r="D2702" s="5" t="n">
        <v>2.2</v>
      </c>
      <c r="E2702" s="5" t="n">
        <v>10.1</v>
      </c>
    </row>
    <row r="2703" customFormat="false" ht="12.75" hidden="false" customHeight="true" outlineLevel="0" collapsed="false">
      <c r="A2703" s="5" t="n">
        <v>174</v>
      </c>
      <c r="B2703" s="5" t="n">
        <v>995</v>
      </c>
      <c r="C2703" s="5" t="n">
        <v>12600000</v>
      </c>
      <c r="D2703" s="5" t="n">
        <v>2.5</v>
      </c>
      <c r="E2703" s="5" t="n">
        <v>12.6</v>
      </c>
    </row>
    <row r="2704" customFormat="false" ht="12.75" hidden="false" customHeight="true" outlineLevel="0" collapsed="false">
      <c r="A2704" s="5" t="n">
        <v>174</v>
      </c>
      <c r="B2704" s="5" t="n">
        <v>996</v>
      </c>
      <c r="C2704" s="5" t="n">
        <v>15400000</v>
      </c>
      <c r="D2704" s="5" t="n">
        <v>2.8</v>
      </c>
      <c r="E2704" s="5" t="n">
        <v>15.4</v>
      </c>
    </row>
    <row r="2705" customFormat="false" ht="12.75" hidden="false" customHeight="true" outlineLevel="0" collapsed="false">
      <c r="A2705" s="5" t="n">
        <v>174</v>
      </c>
      <c r="B2705" s="5" t="n">
        <v>997</v>
      </c>
      <c r="C2705" s="5" t="n">
        <v>18400000</v>
      </c>
      <c r="D2705" s="5" t="n">
        <v>3.1</v>
      </c>
      <c r="E2705" s="5" t="n">
        <v>18.4</v>
      </c>
    </row>
    <row r="2706" customFormat="false" ht="12.75" hidden="false" customHeight="true" outlineLevel="0" collapsed="false">
      <c r="A2706" s="5" t="n">
        <v>174</v>
      </c>
      <c r="B2706" s="5" t="n">
        <v>997.5</v>
      </c>
      <c r="C2706" s="5" t="n">
        <v>20100000</v>
      </c>
      <c r="D2706" s="5" t="n">
        <v>3.4</v>
      </c>
      <c r="E2706" s="5" t="n">
        <v>20.1</v>
      </c>
    </row>
    <row r="2707" customFormat="false" ht="12.75" hidden="false" customHeight="true" outlineLevel="0" collapsed="false">
      <c r="A2707" s="5" t="n">
        <v>174</v>
      </c>
      <c r="B2707" s="5" t="n">
        <v>998.5</v>
      </c>
      <c r="C2707" s="5" t="n">
        <v>23000000</v>
      </c>
      <c r="D2707" s="5" t="n">
        <v>3.9</v>
      </c>
      <c r="E2707" s="5" t="n">
        <v>23</v>
      </c>
    </row>
    <row r="2708" customFormat="false" ht="12.75" hidden="false" customHeight="true" outlineLevel="0" collapsed="false">
      <c r="A2708" s="5" t="n">
        <v>176</v>
      </c>
      <c r="B2708" s="5" t="n">
        <v>75</v>
      </c>
      <c r="C2708" s="5" t="n">
        <v>0</v>
      </c>
      <c r="D2708" s="5" t="n">
        <v>0.02</v>
      </c>
      <c r="E2708" s="5" t="n">
        <v>0</v>
      </c>
    </row>
    <row r="2709" customFormat="false" ht="12.75" hidden="false" customHeight="true" outlineLevel="0" collapsed="false">
      <c r="A2709" s="5" t="n">
        <v>176</v>
      </c>
      <c r="B2709" s="5" t="n">
        <v>76</v>
      </c>
      <c r="C2709" s="5" t="n">
        <v>410000</v>
      </c>
      <c r="D2709" s="5" t="n">
        <v>0.62</v>
      </c>
      <c r="E2709" s="5" t="n">
        <v>0.41</v>
      </c>
    </row>
    <row r="2710" customFormat="false" ht="12.75" hidden="false" customHeight="true" outlineLevel="0" collapsed="false">
      <c r="A2710" s="5" t="n">
        <v>176</v>
      </c>
      <c r="B2710" s="5" t="n">
        <v>77</v>
      </c>
      <c r="C2710" s="5" t="n">
        <v>140000</v>
      </c>
      <c r="D2710" s="5" t="n">
        <v>0.13</v>
      </c>
      <c r="E2710" s="5" t="n">
        <v>0.14</v>
      </c>
    </row>
    <row r="2711" customFormat="false" ht="12.75" hidden="false" customHeight="true" outlineLevel="0" collapsed="false">
      <c r="A2711" s="5" t="n">
        <v>176</v>
      </c>
      <c r="B2711" s="5" t="n">
        <v>78</v>
      </c>
      <c r="C2711" s="5" t="n">
        <v>320000</v>
      </c>
      <c r="D2711" s="5" t="n">
        <v>0.23</v>
      </c>
      <c r="E2711" s="5" t="n">
        <v>0.32</v>
      </c>
    </row>
    <row r="2712" customFormat="false" ht="12.75" hidden="false" customHeight="true" outlineLevel="0" collapsed="false">
      <c r="A2712" s="5" t="n">
        <v>176</v>
      </c>
      <c r="B2712" s="5" t="n">
        <v>79</v>
      </c>
      <c r="C2712" s="5" t="n">
        <v>610000</v>
      </c>
      <c r="D2712" s="5" t="n">
        <v>0.34</v>
      </c>
      <c r="E2712" s="5" t="n">
        <v>0.61</v>
      </c>
    </row>
    <row r="2713" customFormat="false" ht="12.75" hidden="false" customHeight="true" outlineLevel="0" collapsed="false">
      <c r="A2713" s="5" t="n">
        <v>176</v>
      </c>
      <c r="B2713" s="5" t="n">
        <v>80</v>
      </c>
      <c r="C2713" s="5" t="n">
        <v>1010000</v>
      </c>
      <c r="D2713" s="5" t="n">
        <v>0.45</v>
      </c>
      <c r="E2713" s="5" t="n">
        <v>1.01</v>
      </c>
    </row>
    <row r="2714" customFormat="false" ht="12.75" hidden="false" customHeight="true" outlineLevel="0" collapsed="false">
      <c r="A2714" s="5" t="n">
        <v>176</v>
      </c>
      <c r="B2714" s="5" t="n">
        <v>81</v>
      </c>
      <c r="C2714" s="5" t="n">
        <v>1520000</v>
      </c>
      <c r="D2714" s="5" t="n">
        <v>0.56</v>
      </c>
      <c r="E2714" s="5" t="n">
        <v>1.52</v>
      </c>
    </row>
    <row r="2715" customFormat="false" ht="12.75" hidden="false" customHeight="true" outlineLevel="0" collapsed="false">
      <c r="A2715" s="5" t="n">
        <v>176</v>
      </c>
      <c r="B2715" s="5" t="n">
        <v>82</v>
      </c>
      <c r="C2715" s="5" t="n">
        <v>2140000</v>
      </c>
      <c r="D2715" s="5" t="n">
        <v>0.68</v>
      </c>
      <c r="E2715" s="5" t="n">
        <v>2.14</v>
      </c>
    </row>
    <row r="2716" customFormat="false" ht="12.75" hidden="false" customHeight="true" outlineLevel="0" collapsed="false">
      <c r="A2716" s="5" t="n">
        <v>176</v>
      </c>
      <c r="B2716" s="5" t="n">
        <v>83</v>
      </c>
      <c r="C2716" s="5" t="n">
        <v>2880000</v>
      </c>
      <c r="D2716" s="5" t="n">
        <v>0.8</v>
      </c>
      <c r="E2716" s="5" t="n">
        <v>2.88</v>
      </c>
    </row>
    <row r="2717" customFormat="false" ht="12.75" hidden="false" customHeight="true" outlineLevel="0" collapsed="false">
      <c r="A2717" s="5" t="n">
        <v>177</v>
      </c>
      <c r="B2717" s="5" t="n">
        <v>428.25</v>
      </c>
      <c r="C2717" s="5" t="n">
        <v>0</v>
      </c>
      <c r="D2717" s="5" t="n">
        <v>0</v>
      </c>
      <c r="E2717" s="5" t="n">
        <v>0</v>
      </c>
    </row>
    <row r="2718" customFormat="false" ht="12.75" hidden="false" customHeight="true" outlineLevel="0" collapsed="false">
      <c r="A2718" s="5" t="n">
        <v>177</v>
      </c>
      <c r="B2718" s="5" t="n">
        <v>429</v>
      </c>
      <c r="C2718" s="5" t="n">
        <v>255</v>
      </c>
      <c r="D2718" s="5" t="n">
        <v>0.00105</v>
      </c>
      <c r="E2718" s="5" t="n">
        <v>0.000255</v>
      </c>
    </row>
    <row r="2719" customFormat="false" ht="12.75" hidden="false" customHeight="true" outlineLevel="0" collapsed="false">
      <c r="A2719" s="5" t="n">
        <v>177</v>
      </c>
      <c r="B2719" s="5" t="n">
        <v>430</v>
      </c>
      <c r="C2719" s="5" t="n">
        <v>3529</v>
      </c>
      <c r="D2719" s="5" t="n">
        <v>0.00679</v>
      </c>
      <c r="E2719" s="5" t="n">
        <v>0.003529</v>
      </c>
    </row>
    <row r="2720" customFormat="false" ht="12.75" hidden="false" customHeight="true" outlineLevel="0" collapsed="false">
      <c r="A2720" s="5" t="n">
        <v>177</v>
      </c>
      <c r="B2720" s="5" t="n">
        <v>431</v>
      </c>
      <c r="C2720" s="5" t="n">
        <v>18802</v>
      </c>
      <c r="D2720" s="5" t="n">
        <v>0.02722</v>
      </c>
      <c r="E2720" s="5" t="n">
        <v>0.018802</v>
      </c>
    </row>
    <row r="2721" customFormat="false" ht="12.75" hidden="false" customHeight="true" outlineLevel="0" collapsed="false">
      <c r="A2721" s="5" t="n">
        <v>177</v>
      </c>
      <c r="B2721" s="5" t="n">
        <v>432</v>
      </c>
      <c r="C2721" s="5" t="n">
        <v>61907</v>
      </c>
      <c r="D2721" s="5" t="n">
        <v>0.06098</v>
      </c>
      <c r="E2721" s="5" t="n">
        <v>0.061907</v>
      </c>
    </row>
    <row r="2722" customFormat="false" ht="12.75" hidden="false" customHeight="true" outlineLevel="0" collapsed="false">
      <c r="A2722" s="5" t="n">
        <v>177</v>
      </c>
      <c r="B2722" s="5" t="n">
        <v>433</v>
      </c>
      <c r="C2722" s="5" t="n">
        <v>146381</v>
      </c>
      <c r="D2722" s="5" t="n">
        <v>0.11029</v>
      </c>
      <c r="E2722" s="5" t="n">
        <v>0.146381</v>
      </c>
    </row>
    <row r="2723" customFormat="false" ht="12.75" hidden="false" customHeight="true" outlineLevel="0" collapsed="false">
      <c r="A2723" s="5" t="n">
        <v>177</v>
      </c>
      <c r="B2723" s="5" t="n">
        <v>434</v>
      </c>
      <c r="C2723" s="5" t="n">
        <v>288690</v>
      </c>
      <c r="D2723" s="5" t="n">
        <v>0.1785</v>
      </c>
      <c r="E2723" s="5" t="n">
        <v>0.28869</v>
      </c>
    </row>
    <row r="2724" customFormat="false" ht="12.75" hidden="false" customHeight="true" outlineLevel="0" collapsed="false">
      <c r="A2724" s="5" t="n">
        <v>177</v>
      </c>
      <c r="B2724" s="5" t="n">
        <v>435</v>
      </c>
      <c r="C2724" s="5" t="n">
        <v>513242</v>
      </c>
      <c r="D2724" s="5" t="n">
        <v>0.27598</v>
      </c>
      <c r="E2724" s="5" t="n">
        <v>0.513242</v>
      </c>
    </row>
    <row r="2725" customFormat="false" ht="12.75" hidden="false" customHeight="true" outlineLevel="0" collapsed="false">
      <c r="A2725" s="5" t="n">
        <v>177</v>
      </c>
      <c r="B2725" s="5" t="n">
        <v>436</v>
      </c>
      <c r="C2725" s="5" t="n">
        <v>855500</v>
      </c>
      <c r="D2725" s="5" t="n">
        <v>0.41531</v>
      </c>
      <c r="E2725" s="5" t="n">
        <v>0.8555</v>
      </c>
    </row>
    <row r="2726" customFormat="false" ht="12.75" hidden="false" customHeight="true" outlineLevel="0" collapsed="false">
      <c r="A2726" s="5" t="n">
        <v>177</v>
      </c>
      <c r="B2726" s="5" t="n">
        <v>437</v>
      </c>
      <c r="C2726" s="5" t="n">
        <v>1356883</v>
      </c>
      <c r="D2726" s="5" t="n">
        <v>0.58569</v>
      </c>
      <c r="E2726" s="5" t="n">
        <v>1.356883</v>
      </c>
    </row>
    <row r="2727" customFormat="false" ht="12.75" hidden="false" customHeight="true" outlineLevel="0" collapsed="false">
      <c r="A2727" s="5" t="n">
        <v>177</v>
      </c>
      <c r="B2727" s="5" t="n">
        <v>438</v>
      </c>
      <c r="C2727" s="5" t="n">
        <v>1987528</v>
      </c>
      <c r="D2727" s="5" t="n">
        <v>0.66369</v>
      </c>
      <c r="E2727" s="5" t="n">
        <v>1.987528</v>
      </c>
    </row>
    <row r="2728" customFormat="false" ht="12.75" hidden="false" customHeight="true" outlineLevel="0" collapsed="false">
      <c r="A2728" s="5" t="n">
        <v>177</v>
      </c>
      <c r="B2728" s="5" t="n">
        <v>439</v>
      </c>
      <c r="C2728" s="5" t="n">
        <v>2681688</v>
      </c>
      <c r="D2728" s="5" t="n">
        <v>0.72445</v>
      </c>
      <c r="E2728" s="5" t="n">
        <v>2.681688</v>
      </c>
    </row>
    <row r="2729" customFormat="false" ht="12.75" hidden="false" customHeight="true" outlineLevel="0" collapsed="false">
      <c r="A2729" s="5" t="n">
        <v>177</v>
      </c>
      <c r="B2729" s="5" t="n">
        <v>439.17</v>
      </c>
      <c r="C2729" s="5" t="n">
        <v>2805714</v>
      </c>
      <c r="D2729" s="5" t="n">
        <v>0.73469</v>
      </c>
      <c r="E2729" s="5" t="n">
        <v>2.805714</v>
      </c>
    </row>
    <row r="2730" customFormat="false" ht="12.75" hidden="false" customHeight="true" outlineLevel="0" collapsed="false">
      <c r="A2730" s="5" t="n">
        <v>177</v>
      </c>
      <c r="B2730" s="5" t="n">
        <v>440</v>
      </c>
      <c r="C2730" s="5" t="n">
        <v>3528632</v>
      </c>
      <c r="D2730" s="5" t="n">
        <v>0.85919</v>
      </c>
      <c r="E2730" s="5" t="n">
        <v>3.528632</v>
      </c>
    </row>
    <row r="2731" customFormat="false" ht="12.75" hidden="false" customHeight="true" outlineLevel="0" collapsed="false">
      <c r="A2731" s="5" t="n">
        <v>177</v>
      </c>
      <c r="B2731" s="5" t="n">
        <v>441</v>
      </c>
      <c r="C2731" s="5" t="n">
        <v>4563632</v>
      </c>
      <c r="D2731" s="5" t="n">
        <v>1.02919</v>
      </c>
      <c r="E2731" s="5" t="n">
        <v>4.563632</v>
      </c>
    </row>
    <row r="2732" customFormat="false" ht="12.75" hidden="false" customHeight="true" outlineLevel="0" collapsed="false">
      <c r="A2732" s="5" t="n">
        <v>177</v>
      </c>
      <c r="B2732" s="5" t="n">
        <v>442</v>
      </c>
      <c r="C2732" s="5" t="n">
        <v>5763632</v>
      </c>
      <c r="D2732" s="5" t="n">
        <v>1.18919</v>
      </c>
      <c r="E2732" s="5" t="n">
        <v>5.763632</v>
      </c>
    </row>
    <row r="2733" customFormat="false" ht="12.75" hidden="false" customHeight="true" outlineLevel="0" collapsed="false">
      <c r="A2733" s="5" t="n">
        <v>177</v>
      </c>
      <c r="B2733" s="5" t="n">
        <v>443</v>
      </c>
      <c r="C2733" s="5" t="n">
        <v>7115632</v>
      </c>
      <c r="D2733" s="5" t="n">
        <v>1.32919</v>
      </c>
      <c r="E2733" s="5" t="n">
        <v>7.115632</v>
      </c>
    </row>
    <row r="2734" customFormat="false" ht="12.75" hidden="false" customHeight="true" outlineLevel="0" collapsed="false">
      <c r="A2734" s="5" t="n">
        <v>177</v>
      </c>
      <c r="B2734" s="5" t="n">
        <v>444</v>
      </c>
      <c r="C2734" s="5" t="n">
        <v>8606632</v>
      </c>
      <c r="D2734" s="5" t="n">
        <v>1.46919</v>
      </c>
      <c r="E2734" s="5" t="n">
        <v>8.606632</v>
      </c>
    </row>
    <row r="2735" customFormat="false" ht="12.75" hidden="false" customHeight="true" outlineLevel="0" collapsed="false">
      <c r="A2735" s="5" t="n">
        <v>177</v>
      </c>
      <c r="B2735" s="5" t="n">
        <v>445</v>
      </c>
      <c r="C2735" s="5" t="n">
        <v>10225632</v>
      </c>
      <c r="D2735" s="5" t="n">
        <v>1.58919</v>
      </c>
      <c r="E2735" s="5" t="n">
        <v>10.225632</v>
      </c>
    </row>
    <row r="2736" customFormat="false" ht="12.75" hidden="false" customHeight="true" outlineLevel="0" collapsed="false">
      <c r="A2736" s="5" t="n">
        <v>177</v>
      </c>
      <c r="B2736" s="5" t="n">
        <v>446</v>
      </c>
      <c r="C2736" s="5" t="n">
        <v>11965632</v>
      </c>
      <c r="D2736" s="5" t="n">
        <v>1.68919</v>
      </c>
      <c r="E2736" s="5" t="n">
        <v>11.965632</v>
      </c>
    </row>
    <row r="2737" customFormat="false" ht="12.75" hidden="false" customHeight="true" outlineLevel="0" collapsed="false">
      <c r="A2737" s="5" t="n">
        <v>177</v>
      </c>
      <c r="B2737" s="5" t="n">
        <v>447</v>
      </c>
      <c r="C2737" s="5" t="n">
        <v>13785632</v>
      </c>
      <c r="D2737" s="5" t="n">
        <v>1.76919</v>
      </c>
      <c r="E2737" s="5" t="n">
        <v>13.785632</v>
      </c>
    </row>
    <row r="2738" customFormat="false" ht="12.75" hidden="false" customHeight="true" outlineLevel="0" collapsed="false">
      <c r="A2738" s="5" t="n">
        <v>177</v>
      </c>
      <c r="B2738" s="5" t="n">
        <v>447.23</v>
      </c>
      <c r="C2738" s="5" t="n">
        <v>14215632</v>
      </c>
      <c r="D2738" s="5" t="n">
        <v>1.85919</v>
      </c>
      <c r="E2738" s="5" t="n">
        <v>14.215632</v>
      </c>
    </row>
    <row r="2739" customFormat="false" ht="12.75" hidden="false" customHeight="true" outlineLevel="0" collapsed="false">
      <c r="A2739" s="5" t="n">
        <v>177</v>
      </c>
      <c r="B2739" s="5" t="n">
        <v>448</v>
      </c>
      <c r="C2739" s="5" t="n">
        <v>16625632</v>
      </c>
      <c r="D2739" s="5" t="n">
        <v>2.10919</v>
      </c>
      <c r="E2739" s="5" t="n">
        <v>16.625632</v>
      </c>
    </row>
    <row r="2740" customFormat="false" ht="12.75" hidden="false" customHeight="true" outlineLevel="0" collapsed="false">
      <c r="A2740" s="5" t="n">
        <v>177</v>
      </c>
      <c r="B2740" s="5" t="n">
        <v>448.54</v>
      </c>
      <c r="C2740" s="5" t="n">
        <v>18425000</v>
      </c>
      <c r="D2740" s="5" t="n">
        <v>2.30919</v>
      </c>
      <c r="E2740" s="5" t="n">
        <v>18.425</v>
      </c>
    </row>
    <row r="2741" customFormat="false" ht="12.75" hidden="false" customHeight="true" outlineLevel="0" collapsed="false">
      <c r="A2741" s="5" t="n">
        <v>177</v>
      </c>
      <c r="B2741" s="5" t="n">
        <v>449</v>
      </c>
      <c r="C2741" s="5" t="n">
        <v>20125632</v>
      </c>
      <c r="D2741" s="5" t="n">
        <v>2.47919</v>
      </c>
      <c r="E2741" s="5" t="n">
        <v>20.125632</v>
      </c>
    </row>
    <row r="2742" customFormat="false" ht="12.75" hidden="false" customHeight="true" outlineLevel="0" collapsed="false">
      <c r="A2742" s="5" t="n">
        <v>177</v>
      </c>
      <c r="B2742" s="5" t="n">
        <v>450</v>
      </c>
      <c r="C2742" s="5" t="n">
        <v>23925632</v>
      </c>
      <c r="D2742" s="5" t="n">
        <v>2.85919</v>
      </c>
      <c r="E2742" s="5" t="n">
        <v>23.925632</v>
      </c>
    </row>
    <row r="2743" customFormat="false" ht="12.75" hidden="false" customHeight="true" outlineLevel="0" collapsed="false">
      <c r="A2743" s="5" t="n">
        <v>177</v>
      </c>
      <c r="B2743" s="5" t="n">
        <v>451</v>
      </c>
      <c r="C2743" s="5" t="n">
        <v>28125632</v>
      </c>
      <c r="D2743" s="5" t="n">
        <v>3.20919</v>
      </c>
      <c r="E2743" s="5" t="n">
        <v>28.125632</v>
      </c>
    </row>
    <row r="2744" customFormat="false" ht="12.75" hidden="false" customHeight="true" outlineLevel="0" collapsed="false">
      <c r="A2744" s="5" t="n">
        <v>177</v>
      </c>
      <c r="B2744" s="5" t="n">
        <v>452</v>
      </c>
      <c r="C2744" s="5" t="n">
        <v>32725632</v>
      </c>
      <c r="D2744" s="5" t="n">
        <v>3.58919</v>
      </c>
      <c r="E2744" s="5" t="n">
        <v>32.725632</v>
      </c>
    </row>
    <row r="2745" customFormat="false" ht="12.75" hidden="false" customHeight="true" outlineLevel="0" collapsed="false">
      <c r="A2745" s="5" t="n">
        <v>178</v>
      </c>
      <c r="B2745" s="5" t="n">
        <v>990</v>
      </c>
      <c r="C2745" s="5" t="n">
        <v>0</v>
      </c>
      <c r="D2745" s="5" t="n">
        <v>0</v>
      </c>
      <c r="E2745" s="5" t="n">
        <v>0</v>
      </c>
    </row>
    <row r="2746" customFormat="false" ht="12.75" hidden="false" customHeight="true" outlineLevel="0" collapsed="false">
      <c r="A2746" s="5" t="n">
        <v>178</v>
      </c>
      <c r="B2746" s="5" t="n">
        <v>991</v>
      </c>
      <c r="C2746" s="5" t="n">
        <v>764</v>
      </c>
      <c r="D2746" s="5" t="n">
        <v>0.015</v>
      </c>
      <c r="E2746" s="5" t="n">
        <v>0.000764</v>
      </c>
    </row>
    <row r="2747" customFormat="false" ht="12.75" hidden="false" customHeight="true" outlineLevel="0" collapsed="false">
      <c r="A2747" s="5" t="n">
        <v>178</v>
      </c>
      <c r="B2747" s="5" t="n">
        <v>992</v>
      </c>
      <c r="C2747" s="5" t="n">
        <v>2109</v>
      </c>
      <c r="D2747" s="5" t="n">
        <v>0.04</v>
      </c>
      <c r="E2747" s="5" t="n">
        <v>0.002109</v>
      </c>
    </row>
    <row r="2748" customFormat="false" ht="12.75" hidden="false" customHeight="true" outlineLevel="0" collapsed="false">
      <c r="A2748" s="5" t="n">
        <v>178</v>
      </c>
      <c r="B2748" s="5" t="n">
        <v>993</v>
      </c>
      <c r="C2748" s="5" t="n">
        <v>112500</v>
      </c>
      <c r="D2748" s="5" t="n">
        <v>0.14</v>
      </c>
      <c r="E2748" s="5" t="n">
        <v>0.1125</v>
      </c>
    </row>
    <row r="2749" customFormat="false" ht="12.75" hidden="false" customHeight="true" outlineLevel="0" collapsed="false">
      <c r="A2749" s="5" t="n">
        <v>178</v>
      </c>
      <c r="B2749" s="5" t="n">
        <v>994</v>
      </c>
      <c r="C2749" s="5" t="n">
        <v>308367</v>
      </c>
      <c r="D2749" s="5" t="n">
        <v>0.25</v>
      </c>
      <c r="E2749" s="5" t="n">
        <v>0.308367</v>
      </c>
    </row>
    <row r="2750" customFormat="false" ht="12.75" hidden="false" customHeight="true" outlineLevel="0" collapsed="false">
      <c r="A2750" s="5" t="n">
        <v>178</v>
      </c>
      <c r="B2750" s="5" t="n">
        <v>995</v>
      </c>
      <c r="C2750" s="5" t="n">
        <v>665671</v>
      </c>
      <c r="D2750" s="5" t="n">
        <v>0.47</v>
      </c>
      <c r="E2750" s="5" t="n">
        <v>0.665671</v>
      </c>
    </row>
    <row r="2751" customFormat="false" ht="12.75" hidden="false" customHeight="true" outlineLevel="0" collapsed="false">
      <c r="A2751" s="5" t="n">
        <v>178</v>
      </c>
      <c r="B2751" s="5" t="n">
        <v>996</v>
      </c>
      <c r="C2751" s="5" t="n">
        <v>1259173</v>
      </c>
      <c r="D2751" s="5" t="n">
        <v>0.72</v>
      </c>
      <c r="E2751" s="5" t="n">
        <v>1.259173</v>
      </c>
    </row>
    <row r="2752" customFormat="false" ht="12.75" hidden="false" customHeight="true" outlineLevel="0" collapsed="false">
      <c r="A2752" s="5" t="n">
        <v>178</v>
      </c>
      <c r="B2752" s="5" t="n">
        <v>997</v>
      </c>
      <c r="C2752" s="5" t="n">
        <v>2121177</v>
      </c>
      <c r="D2752" s="5" t="n">
        <v>1</v>
      </c>
      <c r="E2752" s="5" t="n">
        <v>2.121177</v>
      </c>
    </row>
    <row r="2753" customFormat="false" ht="12.75" hidden="false" customHeight="true" outlineLevel="0" collapsed="false">
      <c r="A2753" s="5" t="n">
        <v>178</v>
      </c>
      <c r="B2753" s="5" t="n">
        <v>998</v>
      </c>
      <c r="C2753" s="5" t="n">
        <v>3258179</v>
      </c>
      <c r="D2753" s="5" t="n">
        <v>1.27</v>
      </c>
      <c r="E2753" s="5" t="n">
        <v>3.258179</v>
      </c>
    </row>
    <row r="2754" customFormat="false" ht="12.75" hidden="false" customHeight="true" outlineLevel="0" collapsed="false">
      <c r="A2754" s="5" t="n">
        <v>178</v>
      </c>
      <c r="B2754" s="5" t="n">
        <v>998.7</v>
      </c>
      <c r="C2754" s="5" t="n">
        <v>5010000</v>
      </c>
      <c r="D2754" s="5" t="n">
        <v>1.37</v>
      </c>
      <c r="E2754" s="5" t="n">
        <v>5.01</v>
      </c>
    </row>
    <row r="2755" customFormat="false" ht="12.75" hidden="false" customHeight="true" outlineLevel="0" collapsed="false">
      <c r="A2755" s="5" t="n">
        <v>178</v>
      </c>
      <c r="B2755" s="5" t="n">
        <v>999</v>
      </c>
      <c r="C2755" s="5" t="n">
        <v>5448000</v>
      </c>
      <c r="D2755" s="5" t="n">
        <v>1.55</v>
      </c>
      <c r="E2755" s="5" t="n">
        <v>5.448</v>
      </c>
    </row>
    <row r="2756" customFormat="false" ht="12.75" hidden="false" customHeight="true" outlineLevel="0" collapsed="false">
      <c r="A2756" s="5" t="n">
        <v>178</v>
      </c>
      <c r="B2756" s="5" t="n">
        <v>999.1</v>
      </c>
      <c r="C2756" s="5" t="n">
        <v>5600000</v>
      </c>
      <c r="D2756" s="5" t="n">
        <v>1.6</v>
      </c>
      <c r="E2756" s="5" t="n">
        <v>5.6</v>
      </c>
    </row>
    <row r="2757" customFormat="false" ht="12.75" hidden="false" customHeight="true" outlineLevel="0" collapsed="false">
      <c r="A2757" s="5" t="n">
        <v>178</v>
      </c>
      <c r="B2757" s="5" t="n">
        <v>1000</v>
      </c>
      <c r="C2757" s="5" t="n">
        <v>7180500</v>
      </c>
      <c r="D2757" s="5" t="n">
        <v>1.9</v>
      </c>
      <c r="E2757" s="5" t="n">
        <v>7.1805</v>
      </c>
    </row>
    <row r="2758" customFormat="false" ht="12.75" hidden="false" customHeight="true" outlineLevel="0" collapsed="false">
      <c r="A2758" s="5" t="n">
        <v>178</v>
      </c>
      <c r="B2758" s="5" t="n">
        <v>1001</v>
      </c>
      <c r="C2758" s="5" t="n">
        <v>9260500</v>
      </c>
      <c r="D2758" s="5" t="n">
        <v>2.26</v>
      </c>
      <c r="E2758" s="5" t="n">
        <v>9.2605</v>
      </c>
    </row>
    <row r="2759" customFormat="false" ht="12.75" hidden="false" customHeight="true" outlineLevel="0" collapsed="false">
      <c r="A2759" s="5" t="n">
        <v>179</v>
      </c>
      <c r="B2759" s="5" t="n">
        <v>987.73</v>
      </c>
      <c r="C2759" s="5" t="n">
        <v>0</v>
      </c>
      <c r="D2759" s="5" t="n">
        <v>0</v>
      </c>
      <c r="E2759" s="5" t="n">
        <v>0</v>
      </c>
    </row>
    <row r="2760" customFormat="false" ht="12.75" hidden="false" customHeight="true" outlineLevel="0" collapsed="false">
      <c r="A2760" s="5" t="n">
        <v>179</v>
      </c>
      <c r="B2760" s="5" t="n">
        <v>988</v>
      </c>
      <c r="C2760" s="5" t="n">
        <v>5</v>
      </c>
      <c r="D2760" s="5" t="n">
        <v>0.0001</v>
      </c>
      <c r="E2760" s="5" t="n">
        <v>5E-006</v>
      </c>
    </row>
    <row r="2761" customFormat="false" ht="12.75" hidden="false" customHeight="true" outlineLevel="0" collapsed="false">
      <c r="A2761" s="5" t="n">
        <v>179</v>
      </c>
      <c r="B2761" s="5" t="n">
        <v>989</v>
      </c>
      <c r="C2761" s="5" t="n">
        <v>5191</v>
      </c>
      <c r="D2761" s="5" t="n">
        <v>0.0151</v>
      </c>
      <c r="E2761" s="5" t="n">
        <v>0.005191</v>
      </c>
    </row>
    <row r="2762" customFormat="false" ht="12.75" hidden="false" customHeight="true" outlineLevel="0" collapsed="false">
      <c r="A2762" s="5" t="n">
        <v>179</v>
      </c>
      <c r="B2762" s="5" t="n">
        <v>990</v>
      </c>
      <c r="C2762" s="5" t="n">
        <v>36032</v>
      </c>
      <c r="D2762" s="5" t="n">
        <v>0.0497</v>
      </c>
      <c r="E2762" s="5" t="n">
        <v>0.036032</v>
      </c>
    </row>
    <row r="2763" customFormat="false" ht="12.75" hidden="false" customHeight="true" outlineLevel="0" collapsed="false">
      <c r="A2763" s="5" t="n">
        <v>179</v>
      </c>
      <c r="B2763" s="5" t="n">
        <v>991</v>
      </c>
      <c r="C2763" s="5" t="n">
        <v>104908</v>
      </c>
      <c r="D2763" s="5" t="n">
        <v>0.0882</v>
      </c>
      <c r="E2763" s="5" t="n">
        <v>0.104908</v>
      </c>
    </row>
    <row r="2764" customFormat="false" ht="12.75" hidden="false" customHeight="true" outlineLevel="0" collapsed="false">
      <c r="A2764" s="5" t="n">
        <v>179</v>
      </c>
      <c r="B2764" s="5" t="n">
        <v>992</v>
      </c>
      <c r="C2764" s="5" t="n">
        <v>208678</v>
      </c>
      <c r="D2764" s="5" t="n">
        <v>0.1161</v>
      </c>
      <c r="E2764" s="5" t="n">
        <v>0.208678</v>
      </c>
    </row>
    <row r="2765" customFormat="false" ht="12.75" hidden="false" customHeight="true" outlineLevel="0" collapsed="false">
      <c r="A2765" s="5" t="n">
        <v>179</v>
      </c>
      <c r="B2765" s="5" t="n">
        <v>993</v>
      </c>
      <c r="C2765" s="5" t="n">
        <v>332213</v>
      </c>
      <c r="D2765" s="5" t="n">
        <v>0.1289</v>
      </c>
      <c r="E2765" s="5" t="n">
        <v>0.332213</v>
      </c>
    </row>
    <row r="2766" customFormat="false" ht="12.75" hidden="false" customHeight="true" outlineLevel="0" collapsed="false">
      <c r="A2766" s="5" t="n">
        <v>179</v>
      </c>
      <c r="B2766" s="5" t="n">
        <v>993.34</v>
      </c>
      <c r="C2766" s="5" t="n">
        <v>376570</v>
      </c>
      <c r="D2766" s="5" t="n">
        <v>0.132</v>
      </c>
      <c r="E2766" s="5" t="n">
        <v>0.37657</v>
      </c>
    </row>
    <row r="2767" customFormat="false" ht="12.75" hidden="false" customHeight="true" outlineLevel="0" collapsed="false">
      <c r="A2767" s="5" t="n">
        <v>179</v>
      </c>
      <c r="B2767" s="5" t="n">
        <v>994</v>
      </c>
      <c r="C2767" s="5" t="n">
        <v>552000</v>
      </c>
      <c r="D2767" s="5" t="n">
        <v>0.174</v>
      </c>
      <c r="E2767" s="5" t="n">
        <v>0.552</v>
      </c>
    </row>
    <row r="2768" customFormat="false" ht="12.75" hidden="false" customHeight="true" outlineLevel="0" collapsed="false">
      <c r="A2768" s="5" t="n">
        <v>179</v>
      </c>
      <c r="B2768" s="5" t="n">
        <v>995</v>
      </c>
      <c r="C2768" s="5" t="n">
        <v>859000</v>
      </c>
      <c r="D2768" s="5" t="n">
        <v>0.234</v>
      </c>
      <c r="E2768" s="5" t="n">
        <v>0.859</v>
      </c>
    </row>
    <row r="2769" customFormat="false" ht="12.75" hidden="false" customHeight="true" outlineLevel="0" collapsed="false">
      <c r="A2769" s="5" t="n">
        <v>179</v>
      </c>
      <c r="B2769" s="5" t="n">
        <v>996</v>
      </c>
      <c r="C2769" s="5" t="n">
        <v>1231000</v>
      </c>
      <c r="D2769" s="5" t="n">
        <v>0.304</v>
      </c>
      <c r="E2769" s="5" t="n">
        <v>1.231</v>
      </c>
    </row>
    <row r="2770" customFormat="false" ht="12.75" hidden="false" customHeight="true" outlineLevel="0" collapsed="false">
      <c r="A2770" s="5" t="n">
        <v>179</v>
      </c>
      <c r="B2770" s="5" t="n">
        <v>997</v>
      </c>
      <c r="C2770" s="5" t="n">
        <v>1673000</v>
      </c>
      <c r="D2770" s="5" t="n">
        <v>0.374</v>
      </c>
      <c r="E2770" s="5" t="n">
        <v>1.673</v>
      </c>
    </row>
    <row r="2771" customFormat="false" ht="12.75" hidden="false" customHeight="true" outlineLevel="0" collapsed="false">
      <c r="A2771" s="5" t="n">
        <v>179</v>
      </c>
      <c r="B2771" s="5" t="n">
        <v>997.6</v>
      </c>
      <c r="C2771" s="5" t="n">
        <v>2026000</v>
      </c>
      <c r="D2771" s="5" t="n">
        <v>0.424</v>
      </c>
      <c r="E2771" s="5" t="n">
        <v>2.026</v>
      </c>
    </row>
    <row r="2772" customFormat="false" ht="12.75" hidden="false" customHeight="true" outlineLevel="0" collapsed="false">
      <c r="A2772" s="5" t="n">
        <v>179</v>
      </c>
      <c r="B2772" s="5" t="n">
        <v>998</v>
      </c>
      <c r="C2772" s="5" t="n">
        <v>2179000</v>
      </c>
      <c r="D2772" s="5" t="n">
        <v>0.434</v>
      </c>
      <c r="E2772" s="5" t="n">
        <v>2.179</v>
      </c>
    </row>
    <row r="2773" customFormat="false" ht="12.75" hidden="false" customHeight="true" outlineLevel="0" collapsed="false">
      <c r="A2773" s="5" t="n">
        <v>179</v>
      </c>
      <c r="B2773" s="5" t="n">
        <v>999</v>
      </c>
      <c r="C2773" s="5" t="n">
        <v>2689000</v>
      </c>
      <c r="D2773" s="5" t="n">
        <v>0.444</v>
      </c>
      <c r="E2773" s="5" t="n">
        <v>2.689</v>
      </c>
    </row>
    <row r="2774" customFormat="false" ht="12.75" hidden="false" customHeight="true" outlineLevel="0" collapsed="false">
      <c r="A2774" s="5" t="n">
        <v>180</v>
      </c>
      <c r="B2774" s="5" t="n">
        <v>19.22</v>
      </c>
      <c r="C2774" s="5" t="n">
        <v>0</v>
      </c>
      <c r="D2774" s="5" t="n">
        <v>0</v>
      </c>
      <c r="E2774" s="5" t="n">
        <v>0</v>
      </c>
    </row>
    <row r="2775" customFormat="false" ht="12.75" hidden="false" customHeight="true" outlineLevel="0" collapsed="false">
      <c r="A2775" s="5" t="n">
        <v>180</v>
      </c>
      <c r="B2775" s="5" t="n">
        <v>20</v>
      </c>
      <c r="C2775" s="5" t="n">
        <v>99</v>
      </c>
      <c r="D2775" s="5" t="n">
        <v>0.0004</v>
      </c>
      <c r="E2775" s="5" t="n">
        <v>9.9E-005</v>
      </c>
    </row>
    <row r="2776" customFormat="false" ht="12.75" hidden="false" customHeight="true" outlineLevel="0" collapsed="false">
      <c r="A2776" s="5" t="n">
        <v>180</v>
      </c>
      <c r="B2776" s="5" t="n">
        <v>21</v>
      </c>
      <c r="C2776" s="5" t="n">
        <v>1814</v>
      </c>
      <c r="D2776" s="5" t="n">
        <v>0.0043</v>
      </c>
      <c r="E2776" s="5" t="n">
        <v>0.001814</v>
      </c>
    </row>
    <row r="2777" customFormat="false" ht="12.75" hidden="false" customHeight="true" outlineLevel="0" collapsed="false">
      <c r="A2777" s="5" t="n">
        <v>180</v>
      </c>
      <c r="B2777" s="5" t="n">
        <v>22</v>
      </c>
      <c r="C2777" s="5" t="n">
        <v>19630</v>
      </c>
      <c r="D2777" s="5" t="n">
        <v>0.044</v>
      </c>
      <c r="E2777" s="5" t="n">
        <v>0.01963</v>
      </c>
    </row>
    <row r="2778" customFormat="false" ht="12.75" hidden="false" customHeight="true" outlineLevel="0" collapsed="false">
      <c r="A2778" s="5" t="n">
        <v>180</v>
      </c>
      <c r="B2778" s="5" t="n">
        <v>23</v>
      </c>
      <c r="C2778" s="5" t="n">
        <v>186818</v>
      </c>
      <c r="D2778" s="5" t="n">
        <v>0.361</v>
      </c>
      <c r="E2778" s="5" t="n">
        <v>0.186818</v>
      </c>
    </row>
    <row r="2779" customFormat="false" ht="12.75" hidden="false" customHeight="true" outlineLevel="0" collapsed="false">
      <c r="A2779" s="5" t="n">
        <v>180</v>
      </c>
      <c r="B2779" s="5" t="n">
        <v>24</v>
      </c>
      <c r="C2779" s="5" t="n">
        <v>943384</v>
      </c>
      <c r="D2779" s="5" t="n">
        <v>1.185</v>
      </c>
      <c r="E2779" s="5" t="n">
        <v>0.943384</v>
      </c>
    </row>
    <row r="2780" customFormat="false" ht="12.75" hidden="false" customHeight="true" outlineLevel="0" collapsed="false">
      <c r="A2780" s="5" t="n">
        <v>180</v>
      </c>
      <c r="B2780" s="5" t="n">
        <v>25</v>
      </c>
      <c r="C2780" s="5" t="n">
        <v>2656866</v>
      </c>
      <c r="D2780" s="5" t="n">
        <v>2.321</v>
      </c>
      <c r="E2780" s="5" t="n">
        <v>2.656866</v>
      </c>
    </row>
    <row r="2781" customFormat="false" ht="12.75" hidden="false" customHeight="true" outlineLevel="0" collapsed="false">
      <c r="A2781" s="5" t="n">
        <v>180</v>
      </c>
      <c r="B2781" s="5" t="n">
        <v>26</v>
      </c>
      <c r="C2781" s="5" t="n">
        <v>5762366</v>
      </c>
      <c r="D2781" s="5" t="n">
        <v>3.868</v>
      </c>
      <c r="E2781" s="5" t="n">
        <v>5.762366</v>
      </c>
    </row>
    <row r="2782" customFormat="false" ht="12.75" hidden="false" customHeight="true" outlineLevel="0" collapsed="false">
      <c r="A2782" s="5" t="n">
        <v>180</v>
      </c>
      <c r="B2782" s="5" t="n">
        <v>27</v>
      </c>
      <c r="C2782" s="5" t="n">
        <v>10446853</v>
      </c>
      <c r="D2782" s="5" t="n">
        <v>5.54</v>
      </c>
      <c r="E2782" s="5" t="n">
        <v>10.446853</v>
      </c>
    </row>
    <row r="2783" customFormat="false" ht="12.75" hidden="false" customHeight="true" outlineLevel="0" collapsed="false">
      <c r="A2783" s="5" t="n">
        <v>180</v>
      </c>
      <c r="B2783" s="5" t="n">
        <v>28</v>
      </c>
      <c r="C2783" s="5" t="n">
        <v>16897851</v>
      </c>
      <c r="D2783" s="5" t="n">
        <v>7.45</v>
      </c>
      <c r="E2783" s="5" t="n">
        <v>16.897851</v>
      </c>
    </row>
    <row r="2784" customFormat="false" ht="12.75" hidden="false" customHeight="true" outlineLevel="0" collapsed="false">
      <c r="A2784" s="5" t="n">
        <v>180</v>
      </c>
      <c r="B2784" s="5" t="n">
        <v>29</v>
      </c>
      <c r="C2784" s="5" t="n">
        <v>25263892</v>
      </c>
      <c r="D2784" s="5" t="n">
        <v>9.56</v>
      </c>
      <c r="E2784" s="5" t="n">
        <v>25.263892</v>
      </c>
    </row>
    <row r="2785" customFormat="false" ht="12.75" hidden="false" customHeight="true" outlineLevel="0" collapsed="false">
      <c r="A2785" s="5" t="n">
        <v>180</v>
      </c>
      <c r="B2785" s="5" t="n">
        <v>30</v>
      </c>
      <c r="C2785" s="5" t="n">
        <v>35533730</v>
      </c>
      <c r="D2785" s="5" t="n">
        <v>11.371</v>
      </c>
      <c r="E2785" s="5" t="n">
        <v>35.53373</v>
      </c>
    </row>
    <row r="2786" customFormat="false" ht="12.75" hidden="false" customHeight="true" outlineLevel="0" collapsed="false">
      <c r="A2786" s="5" t="n">
        <v>180</v>
      </c>
      <c r="B2786" s="5" t="n">
        <v>31</v>
      </c>
      <c r="C2786" s="5" t="n">
        <v>48073415</v>
      </c>
      <c r="D2786" s="5" t="n">
        <v>13.82</v>
      </c>
      <c r="E2786" s="5" t="n">
        <v>48.073415</v>
      </c>
    </row>
    <row r="2787" customFormat="false" ht="12.75" hidden="false" customHeight="true" outlineLevel="0" collapsed="false">
      <c r="A2787" s="5" t="n">
        <v>180</v>
      </c>
      <c r="B2787" s="5" t="n">
        <v>32</v>
      </c>
      <c r="C2787" s="5" t="n">
        <v>63499707</v>
      </c>
      <c r="D2787" s="5" t="n">
        <v>16.985</v>
      </c>
      <c r="E2787" s="5" t="n">
        <v>63.499707</v>
      </c>
    </row>
    <row r="2788" customFormat="false" ht="12.75" hidden="false" customHeight="true" outlineLevel="0" collapsed="false">
      <c r="A2788" s="5" t="n">
        <v>180</v>
      </c>
      <c r="B2788" s="5" t="n">
        <v>32.5</v>
      </c>
      <c r="C2788" s="5" t="n">
        <v>72396177</v>
      </c>
      <c r="D2788" s="5" t="n">
        <v>18.62</v>
      </c>
      <c r="E2788" s="5" t="n">
        <v>72.396177</v>
      </c>
    </row>
    <row r="2789" customFormat="false" ht="12.75" hidden="false" customHeight="true" outlineLevel="0" collapsed="false">
      <c r="A2789" s="5" t="n">
        <v>180</v>
      </c>
      <c r="B2789" s="5" t="n">
        <v>32.51</v>
      </c>
      <c r="C2789" s="5" t="n">
        <v>72582599</v>
      </c>
      <c r="D2789" s="5" t="n">
        <v>19.05</v>
      </c>
      <c r="E2789" s="5" t="n">
        <v>72.582599</v>
      </c>
    </row>
    <row r="2790" customFormat="false" ht="12.75" hidden="false" customHeight="true" outlineLevel="0" collapsed="false">
      <c r="A2790" s="5" t="n">
        <v>180</v>
      </c>
      <c r="B2790" s="5" t="n">
        <v>34.4875</v>
      </c>
      <c r="C2790" s="5" t="n">
        <v>76857666</v>
      </c>
      <c r="D2790" s="5" t="n">
        <v>19.0685</v>
      </c>
      <c r="E2790" s="5" t="n">
        <v>76.857666</v>
      </c>
    </row>
    <row r="2791" customFormat="false" ht="12.75" hidden="false" customHeight="true" outlineLevel="0" collapsed="false">
      <c r="A2791" s="5" t="n">
        <v>180</v>
      </c>
      <c r="B2791" s="5" t="n">
        <v>35.44</v>
      </c>
      <c r="C2791" s="5" t="n">
        <v>77118382</v>
      </c>
      <c r="D2791" s="5" t="n">
        <v>20.5017</v>
      </c>
      <c r="E2791" s="5" t="n">
        <v>77.118382</v>
      </c>
    </row>
    <row r="2792" customFormat="false" ht="12.75" hidden="false" customHeight="true" outlineLevel="0" collapsed="false">
      <c r="A2792" s="5" t="n">
        <v>180</v>
      </c>
      <c r="B2792" s="5" t="n">
        <v>36.39</v>
      </c>
      <c r="C2792" s="5" t="n">
        <v>78379099</v>
      </c>
      <c r="D2792" s="5" t="n">
        <v>21.9349</v>
      </c>
      <c r="E2792" s="5" t="n">
        <v>78.379099</v>
      </c>
    </row>
    <row r="2793" customFormat="false" ht="12.75" hidden="false" customHeight="true" outlineLevel="0" collapsed="false">
      <c r="A2793" s="5" t="n">
        <v>180</v>
      </c>
      <c r="B2793" s="5" t="n">
        <v>37.35</v>
      </c>
      <c r="C2793" s="5" t="n">
        <v>82639815</v>
      </c>
      <c r="D2793" s="5" t="n">
        <v>23.3681</v>
      </c>
      <c r="E2793" s="5" t="n">
        <v>82.639815</v>
      </c>
    </row>
    <row r="2794" customFormat="false" ht="12.75" hidden="false" customHeight="true" outlineLevel="0" collapsed="false">
      <c r="A2794" s="5" t="n">
        <v>180</v>
      </c>
      <c r="B2794" s="5" t="n">
        <v>38.3</v>
      </c>
      <c r="C2794" s="5" t="n">
        <v>87900532</v>
      </c>
      <c r="D2794" s="5" t="n">
        <v>24.8013</v>
      </c>
      <c r="E2794" s="5" t="n">
        <v>87.900532</v>
      </c>
    </row>
    <row r="2795" customFormat="false" ht="12.75" hidden="false" customHeight="true" outlineLevel="0" collapsed="false">
      <c r="A2795" s="5" t="n">
        <v>181</v>
      </c>
      <c r="B2795" s="5" t="n">
        <v>269.3</v>
      </c>
      <c r="C2795" s="5" t="n">
        <v>0</v>
      </c>
      <c r="D2795" s="5" t="n">
        <v>0</v>
      </c>
      <c r="E2795" s="5" t="n">
        <v>0</v>
      </c>
    </row>
    <row r="2796" customFormat="false" ht="12.75" hidden="false" customHeight="true" outlineLevel="0" collapsed="false">
      <c r="A2796" s="5" t="n">
        <v>181</v>
      </c>
      <c r="B2796" s="5" t="n">
        <v>270</v>
      </c>
      <c r="C2796" s="5" t="n">
        <v>4000</v>
      </c>
      <c r="D2796" s="5" t="n">
        <v>0.011</v>
      </c>
      <c r="E2796" s="5" t="n">
        <v>0.004</v>
      </c>
    </row>
    <row r="2797" customFormat="false" ht="12.75" hidden="false" customHeight="true" outlineLevel="0" collapsed="false">
      <c r="A2797" s="5" t="n">
        <v>181</v>
      </c>
      <c r="B2797" s="5" t="n">
        <v>271</v>
      </c>
      <c r="C2797" s="5" t="n">
        <v>20400</v>
      </c>
      <c r="D2797" s="5" t="n">
        <v>0.022</v>
      </c>
      <c r="E2797" s="5" t="n">
        <v>0.0204</v>
      </c>
    </row>
    <row r="2798" customFormat="false" ht="12.75" hidden="false" customHeight="true" outlineLevel="0" collapsed="false">
      <c r="A2798" s="5" t="n">
        <v>181</v>
      </c>
      <c r="B2798" s="5" t="n">
        <v>272</v>
      </c>
      <c r="C2798" s="5" t="n">
        <v>60000</v>
      </c>
      <c r="D2798" s="5" t="n">
        <v>0.06</v>
      </c>
      <c r="E2798" s="5" t="n">
        <v>0.06</v>
      </c>
    </row>
    <row r="2799" customFormat="false" ht="12.75" hidden="false" customHeight="true" outlineLevel="0" collapsed="false">
      <c r="A2799" s="5" t="n">
        <v>181</v>
      </c>
      <c r="B2799" s="5" t="n">
        <v>273</v>
      </c>
      <c r="C2799" s="5" t="n">
        <v>181000</v>
      </c>
      <c r="D2799" s="5" t="n">
        <v>0.19</v>
      </c>
      <c r="E2799" s="5" t="n">
        <v>0.181</v>
      </c>
    </row>
    <row r="2800" customFormat="false" ht="12.75" hidden="false" customHeight="true" outlineLevel="0" collapsed="false">
      <c r="A2800" s="5" t="n">
        <v>181</v>
      </c>
      <c r="B2800" s="5" t="n">
        <v>274</v>
      </c>
      <c r="C2800" s="5" t="n">
        <v>485000</v>
      </c>
      <c r="D2800" s="5" t="n">
        <v>0.42</v>
      </c>
      <c r="E2800" s="5" t="n">
        <v>0.485</v>
      </c>
    </row>
    <row r="2801" customFormat="false" ht="12.75" hidden="false" customHeight="true" outlineLevel="0" collapsed="false">
      <c r="A2801" s="5" t="n">
        <v>181</v>
      </c>
      <c r="B2801" s="5" t="n">
        <v>275</v>
      </c>
      <c r="C2801" s="5" t="n">
        <v>1050000</v>
      </c>
      <c r="D2801" s="5" t="n">
        <v>0.71</v>
      </c>
      <c r="E2801" s="5" t="n">
        <v>1.05</v>
      </c>
    </row>
    <row r="2802" customFormat="false" ht="12.75" hidden="false" customHeight="true" outlineLevel="0" collapsed="false">
      <c r="A2802" s="5" t="n">
        <v>181</v>
      </c>
      <c r="B2802" s="5" t="n">
        <v>276</v>
      </c>
      <c r="C2802" s="5" t="n">
        <v>2000000</v>
      </c>
      <c r="D2802" s="5" t="n">
        <v>0.96</v>
      </c>
      <c r="E2802" s="5" t="n">
        <v>2</v>
      </c>
    </row>
    <row r="2803" customFormat="false" ht="12.75" hidden="false" customHeight="true" outlineLevel="0" collapsed="false">
      <c r="A2803" s="5" t="n">
        <v>181</v>
      </c>
      <c r="B2803" s="5" t="n">
        <v>278</v>
      </c>
      <c r="C2803" s="5" t="n">
        <v>4500000</v>
      </c>
      <c r="D2803" s="5" t="n">
        <v>1.64</v>
      </c>
      <c r="E2803" s="5" t="n">
        <v>4.5</v>
      </c>
    </row>
    <row r="2804" customFormat="false" ht="12.75" hidden="false" customHeight="true" outlineLevel="0" collapsed="false">
      <c r="A2804" s="5" t="n">
        <v>181</v>
      </c>
      <c r="B2804" s="5" t="n">
        <v>280</v>
      </c>
      <c r="C2804" s="5" t="n">
        <v>9200000</v>
      </c>
      <c r="D2804" s="5" t="n">
        <v>3.07</v>
      </c>
      <c r="E2804" s="5" t="n">
        <v>9.2</v>
      </c>
    </row>
    <row r="2805" customFormat="false" ht="12.75" hidden="false" customHeight="true" outlineLevel="0" collapsed="false">
      <c r="A2805" s="5" t="n">
        <v>181</v>
      </c>
      <c r="B2805" s="5" t="n">
        <v>282</v>
      </c>
      <c r="C2805" s="5" t="n">
        <v>16000000</v>
      </c>
      <c r="D2805" s="5" t="n">
        <v>3.65</v>
      </c>
      <c r="E2805" s="5" t="n">
        <v>16</v>
      </c>
    </row>
    <row r="2806" customFormat="false" ht="12.75" hidden="false" customHeight="true" outlineLevel="0" collapsed="false">
      <c r="A2806" s="5" t="n">
        <v>181</v>
      </c>
      <c r="B2806" s="5" t="n">
        <v>284</v>
      </c>
      <c r="C2806" s="5" t="n">
        <v>24200000</v>
      </c>
      <c r="D2806" s="5" t="n">
        <v>4.63</v>
      </c>
      <c r="E2806" s="5" t="n">
        <v>24.2</v>
      </c>
    </row>
    <row r="2807" customFormat="false" ht="12.75" hidden="false" customHeight="true" outlineLevel="0" collapsed="false">
      <c r="A2807" s="5" t="n">
        <v>181</v>
      </c>
      <c r="B2807" s="5" t="n">
        <v>286</v>
      </c>
      <c r="C2807" s="5" t="n">
        <v>34500000</v>
      </c>
      <c r="D2807" s="5" t="n">
        <v>5.7</v>
      </c>
      <c r="E2807" s="5" t="n">
        <v>34.5</v>
      </c>
    </row>
    <row r="2808" customFormat="false" ht="12.75" hidden="false" customHeight="true" outlineLevel="0" collapsed="false">
      <c r="A2808" s="5" t="n">
        <v>181</v>
      </c>
      <c r="B2808" s="5" t="n">
        <v>288</v>
      </c>
      <c r="C2808" s="5" t="n">
        <v>47220000</v>
      </c>
      <c r="D2808" s="5" t="n">
        <v>6.97</v>
      </c>
      <c r="E2808" s="5" t="n">
        <v>47.22</v>
      </c>
    </row>
    <row r="2809" customFormat="false" ht="12.75" hidden="false" customHeight="true" outlineLevel="0" collapsed="false">
      <c r="A2809" s="5" t="n">
        <v>181</v>
      </c>
      <c r="B2809" s="5" t="n">
        <v>289</v>
      </c>
      <c r="C2809" s="5" t="n">
        <v>54600000</v>
      </c>
      <c r="D2809" s="5" t="n">
        <v>7.84</v>
      </c>
      <c r="E2809" s="5" t="n">
        <v>54.6</v>
      </c>
    </row>
    <row r="2810" customFormat="false" ht="12.75" hidden="false" customHeight="true" outlineLevel="0" collapsed="false">
      <c r="A2810" s="5" t="n">
        <v>181</v>
      </c>
      <c r="B2810" s="5" t="n">
        <v>290</v>
      </c>
      <c r="C2810" s="5" t="n">
        <v>63000000</v>
      </c>
      <c r="D2810" s="5" t="n">
        <v>8.88</v>
      </c>
      <c r="E2810" s="5" t="n">
        <v>63</v>
      </c>
    </row>
    <row r="2811" customFormat="false" ht="12.75" hidden="false" customHeight="true" outlineLevel="0" collapsed="false">
      <c r="A2811" s="5" t="n">
        <v>181</v>
      </c>
      <c r="B2811" s="5" t="n">
        <v>291</v>
      </c>
      <c r="C2811" s="5" t="n">
        <v>72380000</v>
      </c>
      <c r="D2811" s="5" t="n">
        <v>9.92</v>
      </c>
      <c r="E2811" s="5" t="n">
        <v>72.38</v>
      </c>
    </row>
    <row r="2812" customFormat="false" ht="12.75" hidden="false" customHeight="true" outlineLevel="0" collapsed="false">
      <c r="A2812" s="5" t="n">
        <v>181</v>
      </c>
      <c r="B2812" s="5" t="n">
        <v>292</v>
      </c>
      <c r="C2812" s="5" t="n">
        <v>82800000</v>
      </c>
      <c r="D2812" s="5" t="n">
        <v>10.96</v>
      </c>
      <c r="E2812" s="5" t="n">
        <v>82.8</v>
      </c>
    </row>
    <row r="2813" customFormat="false" ht="12.75" hidden="false" customHeight="true" outlineLevel="0" collapsed="false">
      <c r="A2813" s="5" t="n">
        <v>185</v>
      </c>
      <c r="B2813" s="5" t="n">
        <v>91.25</v>
      </c>
      <c r="C2813" s="5" t="n">
        <v>0</v>
      </c>
      <c r="D2813" s="5" t="n">
        <v>0</v>
      </c>
      <c r="E2813" s="5" t="n">
        <v>0</v>
      </c>
    </row>
    <row r="2814" customFormat="false" ht="12.75" hidden="false" customHeight="true" outlineLevel="0" collapsed="false">
      <c r="A2814" s="5" t="n">
        <v>185</v>
      </c>
      <c r="B2814" s="5" t="n">
        <v>91.5</v>
      </c>
      <c r="C2814" s="5" t="n">
        <v>20</v>
      </c>
      <c r="D2814" s="5" t="n">
        <v>0.0002</v>
      </c>
      <c r="E2814" s="5" t="n">
        <v>2E-005</v>
      </c>
    </row>
    <row r="2815" customFormat="false" ht="12.75" hidden="false" customHeight="true" outlineLevel="0" collapsed="false">
      <c r="A2815" s="5" t="n">
        <v>185</v>
      </c>
      <c r="B2815" s="5" t="n">
        <v>92</v>
      </c>
      <c r="C2815" s="5" t="n">
        <v>5500</v>
      </c>
      <c r="D2815" s="5" t="n">
        <v>0.03</v>
      </c>
      <c r="E2815" s="5" t="n">
        <v>0.0055</v>
      </c>
    </row>
    <row r="2816" customFormat="false" ht="12.75" hidden="false" customHeight="true" outlineLevel="0" collapsed="false">
      <c r="A2816" s="5" t="n">
        <v>185</v>
      </c>
      <c r="B2816" s="5" t="n">
        <v>92.5</v>
      </c>
      <c r="C2816" s="5" t="n">
        <v>35000</v>
      </c>
      <c r="D2816" s="5" t="n">
        <v>0.085</v>
      </c>
      <c r="E2816" s="5" t="n">
        <v>0.035</v>
      </c>
    </row>
    <row r="2817" customFormat="false" ht="12.75" hidden="false" customHeight="true" outlineLevel="0" collapsed="false">
      <c r="A2817" s="5" t="n">
        <v>185</v>
      </c>
      <c r="B2817" s="5" t="n">
        <v>93</v>
      </c>
      <c r="C2817" s="5" t="n">
        <v>99700</v>
      </c>
      <c r="D2817" s="5" t="n">
        <v>0.18</v>
      </c>
      <c r="E2817" s="5" t="n">
        <v>0.0997</v>
      </c>
    </row>
    <row r="2818" customFormat="false" ht="12.75" hidden="false" customHeight="true" outlineLevel="0" collapsed="false">
      <c r="A2818" s="5" t="n">
        <v>185</v>
      </c>
      <c r="B2818" s="5" t="n">
        <v>93.5</v>
      </c>
      <c r="C2818" s="5" t="n">
        <v>215000</v>
      </c>
      <c r="D2818" s="5" t="n">
        <v>0.29</v>
      </c>
      <c r="E2818" s="5" t="n">
        <v>0.215</v>
      </c>
    </row>
    <row r="2819" customFormat="false" ht="12.75" hidden="false" customHeight="true" outlineLevel="0" collapsed="false">
      <c r="A2819" s="5" t="n">
        <v>185</v>
      </c>
      <c r="B2819" s="5" t="n">
        <v>94</v>
      </c>
      <c r="C2819" s="5" t="n">
        <v>399000</v>
      </c>
      <c r="D2819" s="5" t="n">
        <v>0.44</v>
      </c>
      <c r="E2819" s="5" t="n">
        <v>0.399</v>
      </c>
    </row>
    <row r="2820" customFormat="false" ht="12.75" hidden="false" customHeight="true" outlineLevel="0" collapsed="false">
      <c r="A2820" s="5" t="n">
        <v>185</v>
      </c>
      <c r="B2820" s="5" t="n">
        <v>94.5</v>
      </c>
      <c r="C2820" s="5" t="n">
        <v>650000</v>
      </c>
      <c r="D2820" s="5" t="n">
        <v>0.56</v>
      </c>
      <c r="E2820" s="5" t="n">
        <v>0.65</v>
      </c>
    </row>
    <row r="2821" customFormat="false" ht="12.75" hidden="false" customHeight="true" outlineLevel="0" collapsed="false">
      <c r="A2821" s="5" t="n">
        <v>185</v>
      </c>
      <c r="B2821" s="5" t="n">
        <v>95</v>
      </c>
      <c r="C2821" s="5" t="n">
        <v>958000</v>
      </c>
      <c r="D2821" s="5" t="n">
        <v>0.67</v>
      </c>
      <c r="E2821" s="5" t="n">
        <v>0.958</v>
      </c>
    </row>
    <row r="2822" customFormat="false" ht="12.75" hidden="false" customHeight="true" outlineLevel="0" collapsed="false">
      <c r="A2822" s="5" t="n">
        <v>185</v>
      </c>
      <c r="B2822" s="5" t="n">
        <v>95.5</v>
      </c>
      <c r="C2822" s="5" t="n">
        <v>1326000</v>
      </c>
      <c r="D2822" s="5" t="n">
        <v>0.8</v>
      </c>
      <c r="E2822" s="5" t="n">
        <v>1.326</v>
      </c>
    </row>
    <row r="2823" customFormat="false" ht="12.75" hidden="false" customHeight="true" outlineLevel="0" collapsed="false">
      <c r="A2823" s="5" t="n">
        <v>185</v>
      </c>
      <c r="B2823" s="5" t="n">
        <v>96</v>
      </c>
      <c r="C2823" s="5" t="n">
        <v>1752000</v>
      </c>
      <c r="D2823" s="5" t="n">
        <v>0.92</v>
      </c>
      <c r="E2823" s="5" t="n">
        <v>1.752</v>
      </c>
    </row>
    <row r="2824" customFormat="false" ht="12.75" hidden="false" customHeight="true" outlineLevel="0" collapsed="false">
      <c r="A2824" s="5" t="n">
        <v>185</v>
      </c>
      <c r="B2824" s="5" t="n">
        <v>96.5</v>
      </c>
      <c r="C2824" s="5" t="n">
        <v>2249000</v>
      </c>
      <c r="D2824" s="5" t="n">
        <v>1.07</v>
      </c>
      <c r="E2824" s="5" t="n">
        <v>2.249</v>
      </c>
    </row>
    <row r="2825" customFormat="false" ht="12.75" hidden="false" customHeight="true" outlineLevel="0" collapsed="false">
      <c r="A2825" s="5" t="n">
        <v>185</v>
      </c>
      <c r="B2825" s="5" t="n">
        <v>97</v>
      </c>
      <c r="C2825" s="5" t="n">
        <v>2820000</v>
      </c>
      <c r="D2825" s="5" t="n">
        <v>1.22</v>
      </c>
      <c r="E2825" s="5" t="n">
        <v>2.82</v>
      </c>
    </row>
    <row r="2826" customFormat="false" ht="12.75" hidden="false" customHeight="true" outlineLevel="0" collapsed="false">
      <c r="A2826" s="5" t="n">
        <v>185</v>
      </c>
      <c r="B2826" s="5" t="n">
        <v>97.5</v>
      </c>
      <c r="C2826" s="5" t="n">
        <v>3476000</v>
      </c>
      <c r="D2826" s="5" t="n">
        <v>1.41</v>
      </c>
      <c r="E2826" s="5" t="n">
        <v>3.476</v>
      </c>
    </row>
    <row r="2827" customFormat="false" ht="12.75" hidden="false" customHeight="true" outlineLevel="0" collapsed="false">
      <c r="A2827" s="5" t="n">
        <v>185</v>
      </c>
      <c r="B2827" s="5" t="n">
        <v>98</v>
      </c>
      <c r="C2827" s="5" t="n">
        <v>4232000</v>
      </c>
      <c r="D2827" s="5" t="n">
        <v>1.61</v>
      </c>
      <c r="E2827" s="5" t="n">
        <v>4.232</v>
      </c>
    </row>
    <row r="2828" customFormat="false" ht="12.75" hidden="false" customHeight="true" outlineLevel="0" collapsed="false">
      <c r="A2828" s="5" t="n">
        <v>185</v>
      </c>
      <c r="B2828" s="5" t="n">
        <v>98.5</v>
      </c>
      <c r="C2828" s="5" t="n">
        <v>5070344</v>
      </c>
      <c r="D2828" s="5" t="n">
        <v>1.73</v>
      </c>
      <c r="E2828" s="5" t="n">
        <v>5.070344</v>
      </c>
    </row>
    <row r="2829" customFormat="false" ht="12.75" hidden="false" customHeight="true" outlineLevel="0" collapsed="false">
      <c r="A2829" s="5" t="n">
        <v>185</v>
      </c>
      <c r="B2829" s="5" t="n">
        <v>99</v>
      </c>
      <c r="C2829" s="5" t="n">
        <v>5955000</v>
      </c>
      <c r="D2829" s="5" t="n">
        <v>1.81</v>
      </c>
      <c r="E2829" s="5" t="n">
        <v>5.955</v>
      </c>
    </row>
    <row r="2830" customFormat="false" ht="12.75" hidden="false" customHeight="true" outlineLevel="0" collapsed="false">
      <c r="A2830" s="5" t="n">
        <v>185</v>
      </c>
      <c r="B2830" s="5" t="n">
        <v>99.5</v>
      </c>
      <c r="C2830" s="5" t="n">
        <v>6882000</v>
      </c>
      <c r="D2830" s="5" t="n">
        <v>1.9</v>
      </c>
      <c r="E2830" s="5" t="n">
        <v>6.882</v>
      </c>
    </row>
    <row r="2831" customFormat="false" ht="12.75" hidden="false" customHeight="true" outlineLevel="0" collapsed="false">
      <c r="A2831" s="5" t="n">
        <v>185</v>
      </c>
      <c r="B2831" s="5" t="n">
        <v>99.55</v>
      </c>
      <c r="C2831" s="5" t="n">
        <v>6976000</v>
      </c>
      <c r="D2831" s="5" t="n">
        <v>1.91</v>
      </c>
      <c r="E2831" s="5" t="n">
        <v>6.976</v>
      </c>
    </row>
    <row r="2832" customFormat="false" ht="12.75" hidden="false" customHeight="true" outlineLevel="0" collapsed="false">
      <c r="A2832" s="5" t="n">
        <v>185</v>
      </c>
      <c r="B2832" s="5" t="n">
        <v>100</v>
      </c>
      <c r="C2832" s="5" t="n">
        <v>7960000</v>
      </c>
      <c r="D2832" s="5" t="n">
        <v>1.97</v>
      </c>
      <c r="E2832" s="5" t="n">
        <v>7.96</v>
      </c>
    </row>
    <row r="2833" customFormat="false" ht="12.75" hidden="false" customHeight="true" outlineLevel="0" collapsed="false">
      <c r="A2833" s="5" t="n">
        <v>185</v>
      </c>
      <c r="B2833" s="5" t="n">
        <v>101</v>
      </c>
      <c r="C2833" s="5" t="n">
        <v>10400000</v>
      </c>
      <c r="D2833" s="5" t="n">
        <v>2.32</v>
      </c>
      <c r="E2833" s="5" t="n">
        <v>10.4</v>
      </c>
    </row>
    <row r="2834" customFormat="false" ht="12.75" hidden="false" customHeight="true" outlineLevel="0" collapsed="false">
      <c r="A2834" s="5" t="n">
        <v>185</v>
      </c>
      <c r="B2834" s="5" t="n">
        <v>102</v>
      </c>
      <c r="C2834" s="5" t="n">
        <v>13200000</v>
      </c>
      <c r="D2834" s="5" t="n">
        <v>2.6</v>
      </c>
      <c r="E2834" s="5" t="n">
        <v>13.2</v>
      </c>
    </row>
    <row r="2835" customFormat="false" ht="12.75" hidden="false" customHeight="true" outlineLevel="0" collapsed="false">
      <c r="A2835" s="5" t="n">
        <v>186</v>
      </c>
      <c r="B2835" s="5" t="n">
        <v>72.47</v>
      </c>
      <c r="C2835" s="5" t="n">
        <v>0</v>
      </c>
      <c r="D2835" s="5" t="n">
        <v>0</v>
      </c>
      <c r="E2835" s="5" t="n">
        <v>0</v>
      </c>
    </row>
    <row r="2836" customFormat="false" ht="12.75" hidden="false" customHeight="true" outlineLevel="0" collapsed="false">
      <c r="A2836" s="5" t="n">
        <v>186</v>
      </c>
      <c r="B2836" s="5" t="n">
        <v>73</v>
      </c>
      <c r="C2836" s="5" t="n">
        <v>38</v>
      </c>
      <c r="D2836" s="5" t="n">
        <v>0.0003</v>
      </c>
      <c r="E2836" s="5" t="n">
        <v>3.8E-005</v>
      </c>
    </row>
    <row r="2837" customFormat="false" ht="12.75" hidden="false" customHeight="true" outlineLevel="0" collapsed="false">
      <c r="A2837" s="5" t="n">
        <v>186</v>
      </c>
      <c r="B2837" s="5" t="n">
        <v>74</v>
      </c>
      <c r="C2837" s="5" t="n">
        <v>2308</v>
      </c>
      <c r="D2837" s="5" t="n">
        <v>0.0051</v>
      </c>
      <c r="E2837" s="5" t="n">
        <v>0.002308</v>
      </c>
    </row>
    <row r="2838" customFormat="false" ht="12.75" hidden="false" customHeight="true" outlineLevel="0" collapsed="false">
      <c r="A2838" s="5" t="n">
        <v>186</v>
      </c>
      <c r="B2838" s="5" t="n">
        <v>75</v>
      </c>
      <c r="C2838" s="5" t="n">
        <v>18342</v>
      </c>
      <c r="D2838" s="5" t="n">
        <v>0.0323</v>
      </c>
      <c r="E2838" s="5" t="n">
        <v>0.018342</v>
      </c>
    </row>
    <row r="2839" customFormat="false" ht="12.75" hidden="false" customHeight="true" outlineLevel="0" collapsed="false">
      <c r="A2839" s="5" t="n">
        <v>186</v>
      </c>
      <c r="B2839" s="5" t="n">
        <v>75.78</v>
      </c>
      <c r="C2839" s="5" t="n">
        <v>45602</v>
      </c>
      <c r="D2839" s="5" t="n">
        <v>0.0372</v>
      </c>
      <c r="E2839" s="5" t="n">
        <v>0.045602</v>
      </c>
    </row>
    <row r="2840" customFormat="false" ht="12.75" hidden="false" customHeight="true" outlineLevel="0" collapsed="false">
      <c r="A2840" s="5" t="n">
        <v>186</v>
      </c>
      <c r="B2840" s="5" t="n">
        <v>76</v>
      </c>
      <c r="C2840" s="5" t="n">
        <v>77502</v>
      </c>
      <c r="D2840" s="5" t="n">
        <v>0.06318</v>
      </c>
      <c r="E2840" s="5" t="n">
        <v>0.077502</v>
      </c>
    </row>
    <row r="2841" customFormat="false" ht="12.75" hidden="false" customHeight="true" outlineLevel="0" collapsed="false">
      <c r="A2841" s="5" t="n">
        <v>186</v>
      </c>
      <c r="B2841" s="5" t="n">
        <v>78</v>
      </c>
      <c r="C2841" s="5" t="n">
        <v>987502</v>
      </c>
      <c r="D2841" s="5" t="n">
        <v>0.44318</v>
      </c>
      <c r="E2841" s="5" t="n">
        <v>0.987502</v>
      </c>
    </row>
    <row r="2842" customFormat="false" ht="12.75" hidden="false" customHeight="true" outlineLevel="0" collapsed="false">
      <c r="A2842" s="5" t="n">
        <v>186</v>
      </c>
      <c r="B2842" s="5" t="n">
        <v>80</v>
      </c>
      <c r="C2842" s="5" t="n">
        <v>2807502</v>
      </c>
      <c r="D2842" s="5" t="n">
        <v>0.97318</v>
      </c>
      <c r="E2842" s="5" t="n">
        <v>2.807502</v>
      </c>
    </row>
    <row r="2843" customFormat="false" ht="12.75" hidden="false" customHeight="true" outlineLevel="0" collapsed="false">
      <c r="A2843" s="5" t="n">
        <v>186</v>
      </c>
      <c r="B2843" s="5" t="n">
        <v>82</v>
      </c>
      <c r="C2843" s="5" t="n">
        <v>5807502</v>
      </c>
      <c r="D2843" s="5" t="n">
        <v>1.62318</v>
      </c>
      <c r="E2843" s="5" t="n">
        <v>5.807502</v>
      </c>
    </row>
    <row r="2844" customFormat="false" ht="12.75" hidden="false" customHeight="true" outlineLevel="0" collapsed="false">
      <c r="A2844" s="5" t="n">
        <v>186</v>
      </c>
      <c r="B2844" s="5" t="n">
        <v>84</v>
      </c>
      <c r="C2844" s="5" t="n">
        <v>10097502</v>
      </c>
      <c r="D2844" s="5" t="n">
        <v>2.27318</v>
      </c>
      <c r="E2844" s="5" t="n">
        <v>10.097502</v>
      </c>
    </row>
    <row r="2845" customFormat="false" ht="12.75" hidden="false" customHeight="true" outlineLevel="0" collapsed="false">
      <c r="A2845" s="5" t="n">
        <v>186</v>
      </c>
      <c r="B2845" s="5" t="n">
        <v>86</v>
      </c>
      <c r="C2845" s="5" t="n">
        <v>15807502</v>
      </c>
      <c r="D2845" s="5" t="n">
        <v>3.03318</v>
      </c>
      <c r="E2845" s="5" t="n">
        <v>15.807502</v>
      </c>
    </row>
    <row r="2846" customFormat="false" ht="12.75" hidden="false" customHeight="true" outlineLevel="0" collapsed="false">
      <c r="A2846" s="5" t="n">
        <v>186</v>
      </c>
      <c r="B2846" s="5" t="n">
        <v>88</v>
      </c>
      <c r="C2846" s="5" t="n">
        <v>23247502</v>
      </c>
      <c r="D2846" s="5" t="n">
        <v>4.00318</v>
      </c>
      <c r="E2846" s="5" t="n">
        <v>23.247502</v>
      </c>
    </row>
    <row r="2847" customFormat="false" ht="12.75" hidden="false" customHeight="true" outlineLevel="0" collapsed="false">
      <c r="A2847" s="5" t="n">
        <v>186</v>
      </c>
      <c r="B2847" s="5" t="n">
        <v>89</v>
      </c>
      <c r="C2847" s="5" t="n">
        <v>27717502</v>
      </c>
      <c r="D2847" s="5" t="n">
        <v>4.53318</v>
      </c>
      <c r="E2847" s="5" t="n">
        <v>27.717502</v>
      </c>
    </row>
    <row r="2848" customFormat="false" ht="12.75" hidden="false" customHeight="true" outlineLevel="0" collapsed="false">
      <c r="A2848" s="5" t="n">
        <v>186</v>
      </c>
      <c r="B2848" s="5" t="n">
        <v>90</v>
      </c>
      <c r="C2848" s="5" t="n">
        <v>32737502</v>
      </c>
      <c r="D2848" s="5" t="n">
        <v>5.09318</v>
      </c>
      <c r="E2848" s="5" t="n">
        <v>32.737502</v>
      </c>
    </row>
    <row r="2849" customFormat="false" ht="12.75" hidden="false" customHeight="true" outlineLevel="0" collapsed="false">
      <c r="A2849" s="5" t="n">
        <v>186</v>
      </c>
      <c r="B2849" s="5" t="n">
        <v>91</v>
      </c>
      <c r="C2849" s="5" t="n">
        <v>38337502</v>
      </c>
      <c r="D2849" s="5" t="n">
        <v>5.70318</v>
      </c>
      <c r="E2849" s="5" t="n">
        <v>38.337502</v>
      </c>
    </row>
    <row r="2850" customFormat="false" ht="12.75" hidden="false" customHeight="true" outlineLevel="0" collapsed="false">
      <c r="A2850" s="5" t="n">
        <v>186</v>
      </c>
      <c r="B2850" s="5" t="n">
        <v>92</v>
      </c>
      <c r="C2850" s="5" t="n">
        <v>44567502</v>
      </c>
      <c r="D2850" s="5" t="n">
        <v>6.35318</v>
      </c>
      <c r="E2850" s="5" t="n">
        <v>44.567502</v>
      </c>
    </row>
    <row r="2851" customFormat="false" ht="12.75" hidden="false" customHeight="true" outlineLevel="0" collapsed="false">
      <c r="A2851" s="5" t="n">
        <v>186</v>
      </c>
      <c r="B2851" s="5" t="n">
        <v>93</v>
      </c>
      <c r="C2851" s="5" t="n">
        <v>51457502</v>
      </c>
      <c r="D2851" s="5" t="n">
        <v>7.04318</v>
      </c>
      <c r="E2851" s="5" t="n">
        <v>51.457502</v>
      </c>
    </row>
    <row r="2852" customFormat="false" ht="12.75" hidden="false" customHeight="true" outlineLevel="0" collapsed="false">
      <c r="A2852" s="5" t="n">
        <v>186</v>
      </c>
      <c r="B2852" s="5" t="n">
        <v>94</v>
      </c>
      <c r="C2852" s="5" t="n">
        <v>59037502</v>
      </c>
      <c r="D2852" s="5" t="n">
        <v>7.71318</v>
      </c>
      <c r="E2852" s="5" t="n">
        <v>59.037502</v>
      </c>
    </row>
    <row r="2853" customFormat="false" ht="12.75" hidden="false" customHeight="true" outlineLevel="0" collapsed="false">
      <c r="A2853" s="5" t="n">
        <v>186</v>
      </c>
      <c r="B2853" s="5" t="n">
        <v>95</v>
      </c>
      <c r="C2853" s="5" t="n">
        <v>67027502</v>
      </c>
      <c r="D2853" s="5" t="n">
        <v>8.38318</v>
      </c>
      <c r="E2853" s="5" t="n">
        <v>67.027502</v>
      </c>
    </row>
    <row r="2854" customFormat="false" ht="12.75" hidden="false" customHeight="true" outlineLevel="0" collapsed="false">
      <c r="A2854" s="5" t="n">
        <v>189</v>
      </c>
      <c r="B2854" s="5" t="n">
        <v>284.33</v>
      </c>
      <c r="C2854" s="5" t="n">
        <v>0</v>
      </c>
      <c r="D2854" s="5" t="n">
        <v>0</v>
      </c>
      <c r="E2854" s="5" t="n">
        <v>0</v>
      </c>
    </row>
    <row r="2855" customFormat="false" ht="12.75" hidden="false" customHeight="true" outlineLevel="0" collapsed="false">
      <c r="A2855" s="5" t="n">
        <v>189</v>
      </c>
      <c r="B2855" s="5" t="n">
        <v>284.43</v>
      </c>
      <c r="C2855" s="5" t="n">
        <v>1</v>
      </c>
      <c r="D2855" s="5" t="n">
        <v>3E-005</v>
      </c>
      <c r="E2855" s="5" t="n">
        <v>1E-006</v>
      </c>
    </row>
    <row r="2856" customFormat="false" ht="12.75" hidden="false" customHeight="true" outlineLevel="0" collapsed="false">
      <c r="A2856" s="5" t="n">
        <v>189</v>
      </c>
      <c r="B2856" s="5" t="n">
        <v>284.93</v>
      </c>
      <c r="C2856" s="5" t="n">
        <v>533</v>
      </c>
      <c r="D2856" s="5" t="n">
        <v>0.00295</v>
      </c>
      <c r="E2856" s="5" t="n">
        <v>0.000533</v>
      </c>
    </row>
    <row r="2857" customFormat="false" ht="12.75" hidden="false" customHeight="true" outlineLevel="0" collapsed="false">
      <c r="A2857" s="5" t="n">
        <v>189</v>
      </c>
      <c r="B2857" s="5" t="n">
        <v>285.43</v>
      </c>
      <c r="C2857" s="5" t="n">
        <v>4456</v>
      </c>
      <c r="D2857" s="5" t="n">
        <v>0.01969</v>
      </c>
      <c r="E2857" s="5" t="n">
        <v>0.004456</v>
      </c>
    </row>
    <row r="2858" customFormat="false" ht="12.75" hidden="false" customHeight="true" outlineLevel="0" collapsed="false">
      <c r="A2858" s="5" t="n">
        <v>189</v>
      </c>
      <c r="B2858" s="5" t="n">
        <v>285.93</v>
      </c>
      <c r="C2858" s="5" t="n">
        <v>30023</v>
      </c>
      <c r="D2858" s="5" t="n">
        <v>0.0735</v>
      </c>
      <c r="E2858" s="5" t="n">
        <v>0.030023</v>
      </c>
    </row>
    <row r="2859" customFormat="false" ht="12.75" hidden="false" customHeight="true" outlineLevel="0" collapsed="false">
      <c r="A2859" s="5" t="n">
        <v>189</v>
      </c>
      <c r="B2859" s="5" t="n">
        <v>286.43</v>
      </c>
      <c r="C2859" s="5" t="n">
        <v>77282</v>
      </c>
      <c r="D2859" s="5" t="n">
        <v>0.10924</v>
      </c>
      <c r="E2859" s="5" t="n">
        <v>0.077282</v>
      </c>
    </row>
    <row r="2860" customFormat="false" ht="12.75" hidden="false" customHeight="true" outlineLevel="0" collapsed="false">
      <c r="A2860" s="5" t="n">
        <v>189</v>
      </c>
      <c r="B2860" s="5" t="n">
        <v>286.93</v>
      </c>
      <c r="C2860" s="5" t="n">
        <v>140071</v>
      </c>
      <c r="D2860" s="5" t="n">
        <v>0.13783</v>
      </c>
      <c r="E2860" s="5" t="n">
        <v>0.140071</v>
      </c>
    </row>
    <row r="2861" customFormat="false" ht="12.75" hidden="false" customHeight="true" outlineLevel="0" collapsed="false">
      <c r="A2861" s="5" t="n">
        <v>189</v>
      </c>
      <c r="B2861" s="5" t="n">
        <v>287.43</v>
      </c>
      <c r="C2861" s="5" t="n">
        <v>214647</v>
      </c>
      <c r="D2861" s="5" t="n">
        <v>0.15682</v>
      </c>
      <c r="E2861" s="5" t="n">
        <v>0.214647</v>
      </c>
    </row>
    <row r="2862" customFormat="false" ht="12.75" hidden="false" customHeight="true" outlineLevel="0" collapsed="false">
      <c r="A2862" s="5" t="n">
        <v>189</v>
      </c>
      <c r="B2862" s="5" t="n">
        <v>287.93</v>
      </c>
      <c r="C2862" s="5" t="n">
        <v>297449</v>
      </c>
      <c r="D2862" s="5" t="n">
        <v>0.17157</v>
      </c>
      <c r="E2862" s="5" t="n">
        <v>0.297449</v>
      </c>
    </row>
    <row r="2863" customFormat="false" ht="12.75" hidden="false" customHeight="true" outlineLevel="0" collapsed="false">
      <c r="A2863" s="5" t="n">
        <v>189</v>
      </c>
      <c r="B2863" s="5" t="n">
        <v>288.43</v>
      </c>
      <c r="C2863" s="5" t="n">
        <v>385948</v>
      </c>
      <c r="D2863" s="5" t="n">
        <v>0.18426</v>
      </c>
      <c r="E2863" s="5" t="n">
        <v>0.385948</v>
      </c>
    </row>
    <row r="2864" customFormat="false" ht="12.75" hidden="false" customHeight="true" outlineLevel="0" collapsed="false">
      <c r="A2864" s="5" t="n">
        <v>189</v>
      </c>
      <c r="B2864" s="5" t="n">
        <v>288.93</v>
      </c>
      <c r="C2864" s="5" t="n">
        <v>481826</v>
      </c>
      <c r="D2864" s="5" t="n">
        <v>0.19697</v>
      </c>
      <c r="E2864" s="5" t="n">
        <v>0.481826</v>
      </c>
    </row>
    <row r="2865" customFormat="false" ht="12.75" hidden="false" customHeight="true" outlineLevel="0" collapsed="false">
      <c r="A2865" s="5" t="n">
        <v>189</v>
      </c>
      <c r="B2865" s="5" t="n">
        <v>289.43</v>
      </c>
      <c r="C2865" s="5" t="n">
        <v>583825</v>
      </c>
      <c r="D2865" s="5" t="n">
        <v>0.2117</v>
      </c>
      <c r="E2865" s="5" t="n">
        <v>0.583825</v>
      </c>
    </row>
    <row r="2866" customFormat="false" ht="12.75" hidden="false" customHeight="true" outlineLevel="0" collapsed="false">
      <c r="A2866" s="5" t="n">
        <v>189</v>
      </c>
      <c r="B2866" s="5" t="n">
        <v>289.93</v>
      </c>
      <c r="C2866" s="5" t="n">
        <v>699171</v>
      </c>
      <c r="D2866" s="5" t="n">
        <v>0.2484</v>
      </c>
      <c r="E2866" s="5" t="n">
        <v>0.699171</v>
      </c>
    </row>
    <row r="2867" customFormat="false" ht="12.75" hidden="false" customHeight="true" outlineLevel="0" collapsed="false">
      <c r="A2867" s="5" t="n">
        <v>189</v>
      </c>
      <c r="B2867" s="5" t="n">
        <v>290.43</v>
      </c>
      <c r="C2867" s="5" t="n">
        <v>844631</v>
      </c>
      <c r="D2867" s="5" t="n">
        <v>0.32626</v>
      </c>
      <c r="E2867" s="5" t="n">
        <v>0.844631</v>
      </c>
    </row>
    <row r="2868" customFormat="false" ht="12.75" hidden="false" customHeight="true" outlineLevel="0" collapsed="false">
      <c r="A2868" s="5" t="n">
        <v>189</v>
      </c>
      <c r="B2868" s="5" t="n">
        <v>290.93</v>
      </c>
      <c r="C2868" s="5" t="n">
        <v>1035101</v>
      </c>
      <c r="D2868" s="5" t="n">
        <v>0.41312</v>
      </c>
      <c r="E2868" s="5" t="n">
        <v>1.035101</v>
      </c>
    </row>
    <row r="2869" customFormat="false" ht="12.75" hidden="false" customHeight="true" outlineLevel="0" collapsed="false">
      <c r="A2869" s="5" t="n">
        <v>189</v>
      </c>
      <c r="B2869" s="5" t="n">
        <v>291.43</v>
      </c>
      <c r="C2869" s="5" t="n">
        <v>1256316</v>
      </c>
      <c r="D2869" s="5" t="n">
        <v>0.46506</v>
      </c>
      <c r="E2869" s="5" t="n">
        <v>1.256316</v>
      </c>
    </row>
    <row r="2870" customFormat="false" ht="12.75" hidden="false" customHeight="true" outlineLevel="0" collapsed="false">
      <c r="A2870" s="5" t="n">
        <v>189</v>
      </c>
      <c r="B2870" s="5" t="n">
        <v>291.93</v>
      </c>
      <c r="C2870" s="5" t="n">
        <v>1502106</v>
      </c>
      <c r="D2870" s="5" t="n">
        <v>0.51142</v>
      </c>
      <c r="E2870" s="5" t="n">
        <v>1.502106</v>
      </c>
    </row>
    <row r="2871" customFormat="false" ht="12.75" hidden="false" customHeight="true" outlineLevel="0" collapsed="false">
      <c r="A2871" s="5" t="n">
        <v>189</v>
      </c>
      <c r="B2871" s="5" t="n">
        <v>292.43</v>
      </c>
      <c r="C2871" s="5" t="n">
        <v>1767879</v>
      </c>
      <c r="D2871" s="5" t="n">
        <v>0.60898</v>
      </c>
      <c r="E2871" s="5" t="n">
        <v>1.767879</v>
      </c>
    </row>
    <row r="2872" customFormat="false" ht="12.75" hidden="false" customHeight="true" outlineLevel="0" collapsed="false">
      <c r="A2872" s="5" t="n">
        <v>189</v>
      </c>
      <c r="B2872" s="5" t="n">
        <v>292.92</v>
      </c>
      <c r="C2872" s="5" t="n">
        <v>2030000</v>
      </c>
      <c r="D2872" s="5" t="n">
        <v>0.725</v>
      </c>
      <c r="E2872" s="5" t="n">
        <v>2.03</v>
      </c>
    </row>
    <row r="2873" customFormat="false" ht="12.75" hidden="false" customHeight="true" outlineLevel="0" collapsed="false">
      <c r="A2873" s="5" t="n">
        <v>189</v>
      </c>
      <c r="B2873" s="5" t="n">
        <v>294</v>
      </c>
      <c r="C2873" s="5" t="n">
        <v>2993900</v>
      </c>
      <c r="D2873" s="5" t="n">
        <v>1.06</v>
      </c>
      <c r="E2873" s="5" t="n">
        <v>2.9939</v>
      </c>
    </row>
    <row r="2874" customFormat="false" ht="12.75" hidden="false" customHeight="true" outlineLevel="0" collapsed="false">
      <c r="A2874" s="5" t="n">
        <v>190</v>
      </c>
      <c r="B2874" s="5" t="n">
        <v>584.76</v>
      </c>
      <c r="C2874" s="5" t="n">
        <v>0</v>
      </c>
      <c r="D2874" s="5" t="n">
        <v>0</v>
      </c>
      <c r="E2874" s="5" t="n">
        <v>0</v>
      </c>
    </row>
    <row r="2875" customFormat="false" ht="12.75" hidden="false" customHeight="true" outlineLevel="0" collapsed="false">
      <c r="A2875" s="5" t="n">
        <v>190</v>
      </c>
      <c r="B2875" s="5" t="n">
        <v>585.26</v>
      </c>
      <c r="C2875" s="5" t="n">
        <v>804</v>
      </c>
      <c r="D2875" s="5" t="n">
        <v>0.0008</v>
      </c>
      <c r="E2875" s="5" t="n">
        <v>0.000804</v>
      </c>
    </row>
    <row r="2876" customFormat="false" ht="12.75" hidden="false" customHeight="true" outlineLevel="0" collapsed="false">
      <c r="A2876" s="5" t="n">
        <v>190</v>
      </c>
      <c r="B2876" s="5" t="n">
        <v>585.76</v>
      </c>
      <c r="C2876" s="5" t="n">
        <v>3713</v>
      </c>
      <c r="D2876" s="5" t="n">
        <v>0.00371</v>
      </c>
      <c r="E2876" s="5" t="n">
        <v>0.003713</v>
      </c>
    </row>
    <row r="2877" customFormat="false" ht="12.75" hidden="false" customHeight="true" outlineLevel="0" collapsed="false">
      <c r="A2877" s="5" t="n">
        <v>190</v>
      </c>
      <c r="B2877" s="5" t="n">
        <v>586.26</v>
      </c>
      <c r="C2877" s="5" t="n">
        <v>8997</v>
      </c>
      <c r="D2877" s="5" t="n">
        <v>0.009</v>
      </c>
      <c r="E2877" s="5" t="n">
        <v>0.008997</v>
      </c>
    </row>
    <row r="2878" customFormat="false" ht="12.75" hidden="false" customHeight="true" outlineLevel="0" collapsed="false">
      <c r="A2878" s="5" t="n">
        <v>190</v>
      </c>
      <c r="B2878" s="5" t="n">
        <v>586.76</v>
      </c>
      <c r="C2878" s="5" t="n">
        <v>16903</v>
      </c>
      <c r="D2878" s="5" t="n">
        <v>0.0169</v>
      </c>
      <c r="E2878" s="5" t="n">
        <v>0.016903</v>
      </c>
    </row>
    <row r="2879" customFormat="false" ht="12.75" hidden="false" customHeight="true" outlineLevel="0" collapsed="false">
      <c r="A2879" s="5" t="n">
        <v>190</v>
      </c>
      <c r="B2879" s="5" t="n">
        <v>587.26</v>
      </c>
      <c r="C2879" s="5" t="n">
        <v>26994</v>
      </c>
      <c r="D2879" s="5" t="n">
        <v>0.02699</v>
      </c>
      <c r="E2879" s="5" t="n">
        <v>0.026994</v>
      </c>
    </row>
    <row r="2880" customFormat="false" ht="12.75" hidden="false" customHeight="true" outlineLevel="0" collapsed="false">
      <c r="A2880" s="5" t="n">
        <v>190</v>
      </c>
      <c r="B2880" s="5" t="n">
        <v>587.76</v>
      </c>
      <c r="C2880" s="5" t="n">
        <v>39345</v>
      </c>
      <c r="D2880" s="5" t="n">
        <v>0.03935</v>
      </c>
      <c r="E2880" s="5" t="n">
        <v>0.039345</v>
      </c>
    </row>
    <row r="2881" customFormat="false" ht="12.75" hidden="false" customHeight="true" outlineLevel="0" collapsed="false">
      <c r="A2881" s="5" t="n">
        <v>190</v>
      </c>
      <c r="B2881" s="5" t="n">
        <v>588.26</v>
      </c>
      <c r="C2881" s="5" t="n">
        <v>54403</v>
      </c>
      <c r="D2881" s="5" t="n">
        <v>0.0544</v>
      </c>
      <c r="E2881" s="5" t="n">
        <v>0.054403</v>
      </c>
    </row>
    <row r="2882" customFormat="false" ht="12.75" hidden="false" customHeight="true" outlineLevel="0" collapsed="false">
      <c r="A2882" s="5" t="n">
        <v>190</v>
      </c>
      <c r="B2882" s="5" t="n">
        <v>588.76</v>
      </c>
      <c r="C2882" s="5" t="n">
        <v>71741</v>
      </c>
      <c r="D2882" s="5" t="n">
        <v>0.07174</v>
      </c>
      <c r="E2882" s="5" t="n">
        <v>0.071741</v>
      </c>
    </row>
    <row r="2883" customFormat="false" ht="12.75" hidden="false" customHeight="true" outlineLevel="0" collapsed="false">
      <c r="A2883" s="5" t="n">
        <v>190</v>
      </c>
      <c r="B2883" s="5" t="n">
        <v>589.26</v>
      </c>
      <c r="C2883" s="5" t="n">
        <v>92167</v>
      </c>
      <c r="D2883" s="5" t="n">
        <v>0.09217</v>
      </c>
      <c r="E2883" s="5" t="n">
        <v>0.092167</v>
      </c>
    </row>
    <row r="2884" customFormat="false" ht="12.75" hidden="false" customHeight="true" outlineLevel="0" collapsed="false">
      <c r="A2884" s="5" t="n">
        <v>190</v>
      </c>
      <c r="B2884" s="5" t="n">
        <v>589.76</v>
      </c>
      <c r="C2884" s="5" t="n">
        <v>116282</v>
      </c>
      <c r="D2884" s="5" t="n">
        <v>0.11628</v>
      </c>
      <c r="E2884" s="5" t="n">
        <v>0.116282</v>
      </c>
    </row>
    <row r="2885" customFormat="false" ht="12.75" hidden="false" customHeight="true" outlineLevel="0" collapsed="false">
      <c r="A2885" s="5" t="n">
        <v>190</v>
      </c>
      <c r="B2885" s="5" t="n">
        <v>590.26</v>
      </c>
      <c r="C2885" s="5" t="n">
        <v>144052</v>
      </c>
      <c r="D2885" s="5" t="n">
        <v>0.14405</v>
      </c>
      <c r="E2885" s="5" t="n">
        <v>0.144052</v>
      </c>
    </row>
    <row r="2886" customFormat="false" ht="12.75" hidden="false" customHeight="true" outlineLevel="0" collapsed="false">
      <c r="A2886" s="5" t="n">
        <v>190</v>
      </c>
      <c r="B2886" s="5" t="n">
        <v>590.76</v>
      </c>
      <c r="C2886" s="5" t="n">
        <v>175600</v>
      </c>
      <c r="D2886" s="5" t="n">
        <v>0.1756</v>
      </c>
      <c r="E2886" s="5" t="n">
        <v>0.1756</v>
      </c>
    </row>
    <row r="2887" customFormat="false" ht="12.75" hidden="false" customHeight="true" outlineLevel="0" collapsed="false">
      <c r="A2887" s="5" t="n">
        <v>190</v>
      </c>
      <c r="B2887" s="5" t="n">
        <v>591.26</v>
      </c>
      <c r="C2887" s="5" t="n">
        <v>211945</v>
      </c>
      <c r="D2887" s="5" t="n">
        <v>0.21194</v>
      </c>
      <c r="E2887" s="5" t="n">
        <v>0.211945</v>
      </c>
    </row>
    <row r="2888" customFormat="false" ht="12.75" hidden="false" customHeight="true" outlineLevel="0" collapsed="false">
      <c r="A2888" s="5" t="n">
        <v>190</v>
      </c>
      <c r="B2888" s="5" t="n">
        <v>591.76</v>
      </c>
      <c r="C2888" s="5" t="n">
        <v>252732</v>
      </c>
      <c r="D2888" s="5" t="n">
        <v>0.25273</v>
      </c>
      <c r="E2888" s="5" t="n">
        <v>0.252732</v>
      </c>
    </row>
    <row r="2889" customFormat="false" ht="12.75" hidden="false" customHeight="true" outlineLevel="0" collapsed="false">
      <c r="A2889" s="5" t="n">
        <v>190</v>
      </c>
      <c r="B2889" s="5" t="n">
        <v>592.26</v>
      </c>
      <c r="C2889" s="5" t="n">
        <v>298082</v>
      </c>
      <c r="D2889" s="5" t="n">
        <v>0.29808</v>
      </c>
      <c r="E2889" s="5" t="n">
        <v>0.298082</v>
      </c>
    </row>
    <row r="2890" customFormat="false" ht="12.75" hidden="false" customHeight="true" outlineLevel="0" collapsed="false">
      <c r="A2890" s="5" t="n">
        <v>190</v>
      </c>
      <c r="B2890" s="5" t="n">
        <v>592.76</v>
      </c>
      <c r="C2890" s="5" t="n">
        <v>349404</v>
      </c>
      <c r="D2890" s="5" t="n">
        <v>0.3494</v>
      </c>
      <c r="E2890" s="5" t="n">
        <v>0.349404</v>
      </c>
    </row>
    <row r="2891" customFormat="false" ht="12.75" hidden="false" customHeight="true" outlineLevel="0" collapsed="false">
      <c r="A2891" s="5" t="n">
        <v>190</v>
      </c>
      <c r="B2891" s="5" t="n">
        <v>593.26</v>
      </c>
      <c r="C2891" s="5" t="n">
        <v>404990</v>
      </c>
      <c r="D2891" s="5" t="n">
        <v>0.40499</v>
      </c>
      <c r="E2891" s="5" t="n">
        <v>0.40499</v>
      </c>
    </row>
    <row r="2892" customFormat="false" ht="12.75" hidden="false" customHeight="true" outlineLevel="0" collapsed="false">
      <c r="A2892" s="5" t="n">
        <v>190</v>
      </c>
      <c r="B2892" s="5" t="n">
        <v>593.76</v>
      </c>
      <c r="C2892" s="5" t="n">
        <v>463955</v>
      </c>
      <c r="D2892" s="5" t="n">
        <v>0.46395</v>
      </c>
      <c r="E2892" s="5" t="n">
        <v>0.463955</v>
      </c>
    </row>
    <row r="2893" customFormat="false" ht="12.75" hidden="false" customHeight="true" outlineLevel="0" collapsed="false">
      <c r="A2893" s="5" t="n">
        <v>190</v>
      </c>
      <c r="B2893" s="5" t="n">
        <v>594.26</v>
      </c>
      <c r="C2893" s="5" t="n">
        <v>527116</v>
      </c>
      <c r="D2893" s="5" t="n">
        <v>0.52712</v>
      </c>
      <c r="E2893" s="5" t="n">
        <v>0.527116</v>
      </c>
    </row>
    <row r="2894" customFormat="false" ht="12.75" hidden="false" customHeight="true" outlineLevel="0" collapsed="false">
      <c r="A2894" s="5" t="n">
        <v>190</v>
      </c>
      <c r="B2894" s="5" t="n">
        <v>594.76</v>
      </c>
      <c r="C2894" s="5" t="n">
        <v>594918</v>
      </c>
      <c r="D2894" s="5" t="n">
        <v>0.59492</v>
      </c>
      <c r="E2894" s="5" t="n">
        <v>0.594918</v>
      </c>
    </row>
    <row r="2895" customFormat="false" ht="12.75" hidden="false" customHeight="true" outlineLevel="0" collapsed="false">
      <c r="A2895" s="5" t="n">
        <v>190</v>
      </c>
      <c r="B2895" s="5" t="n">
        <v>595.26</v>
      </c>
      <c r="C2895" s="5" t="n">
        <v>665500</v>
      </c>
      <c r="D2895" s="5" t="n">
        <v>0.6655</v>
      </c>
      <c r="E2895" s="5" t="n">
        <v>0.6655</v>
      </c>
    </row>
    <row r="2896" customFormat="false" ht="12.75" hidden="false" customHeight="true" outlineLevel="0" collapsed="false">
      <c r="A2896" s="5" t="n">
        <v>190</v>
      </c>
      <c r="B2896" s="5" t="n">
        <v>595.76</v>
      </c>
      <c r="C2896" s="5" t="n">
        <v>741452</v>
      </c>
      <c r="D2896" s="5" t="n">
        <v>0.74145</v>
      </c>
      <c r="E2896" s="5" t="n">
        <v>0.741452</v>
      </c>
    </row>
    <row r="2897" customFormat="false" ht="12.75" hidden="false" customHeight="true" outlineLevel="0" collapsed="false">
      <c r="A2897" s="5" t="n">
        <v>190</v>
      </c>
      <c r="B2897" s="5" t="n">
        <v>596.26</v>
      </c>
      <c r="C2897" s="5" t="n">
        <v>821203</v>
      </c>
      <c r="D2897" s="5" t="n">
        <v>0.8212</v>
      </c>
      <c r="E2897" s="5" t="n">
        <v>0.821203</v>
      </c>
    </row>
    <row r="2898" customFormat="false" ht="12.75" hidden="false" customHeight="true" outlineLevel="0" collapsed="false">
      <c r="A2898" s="5" t="n">
        <v>190</v>
      </c>
      <c r="B2898" s="5" t="n">
        <v>596.76</v>
      </c>
      <c r="C2898" s="5" t="n">
        <v>907928</v>
      </c>
      <c r="D2898" s="5" t="n">
        <v>0.90793</v>
      </c>
      <c r="E2898" s="5" t="n">
        <v>0.907928</v>
      </c>
    </row>
    <row r="2899" customFormat="false" ht="12.75" hidden="false" customHeight="true" outlineLevel="0" collapsed="false">
      <c r="A2899" s="5" t="n">
        <v>190</v>
      </c>
      <c r="B2899" s="5" t="n">
        <v>597.26</v>
      </c>
      <c r="C2899" s="5" t="n">
        <v>1001820</v>
      </c>
      <c r="D2899" s="5" t="n">
        <v>1.00182</v>
      </c>
      <c r="E2899" s="5" t="n">
        <v>1.00182</v>
      </c>
    </row>
    <row r="2900" customFormat="false" ht="12.75" hidden="false" customHeight="true" outlineLevel="0" collapsed="false">
      <c r="A2900" s="5" t="n">
        <v>190</v>
      </c>
      <c r="B2900" s="5" t="n">
        <v>597.76</v>
      </c>
      <c r="C2900" s="5" t="n">
        <v>1101224</v>
      </c>
      <c r="D2900" s="5" t="n">
        <v>1.10122</v>
      </c>
      <c r="E2900" s="5" t="n">
        <v>1.101224</v>
      </c>
    </row>
    <row r="2901" customFormat="false" ht="12.75" hidden="false" customHeight="true" outlineLevel="0" collapsed="false">
      <c r="A2901" s="5" t="n">
        <v>190</v>
      </c>
      <c r="B2901" s="5" t="n">
        <v>598.26</v>
      </c>
      <c r="C2901" s="5" t="n">
        <v>1208805</v>
      </c>
      <c r="D2901" s="5" t="n">
        <v>1.20881</v>
      </c>
      <c r="E2901" s="5" t="n">
        <v>1.208805</v>
      </c>
    </row>
    <row r="2902" customFormat="false" ht="12.75" hidden="false" customHeight="true" outlineLevel="0" collapsed="false">
      <c r="A2902" s="5" t="n">
        <v>190</v>
      </c>
      <c r="B2902" s="5" t="n">
        <v>598.76</v>
      </c>
      <c r="C2902" s="5" t="n">
        <v>1321451</v>
      </c>
      <c r="D2902" s="5" t="n">
        <v>1.32145</v>
      </c>
      <c r="E2902" s="5" t="n">
        <v>1.321451</v>
      </c>
    </row>
    <row r="2903" customFormat="false" ht="12.75" hidden="false" customHeight="true" outlineLevel="0" collapsed="false">
      <c r="A2903" s="5" t="n">
        <v>190</v>
      </c>
      <c r="B2903" s="5" t="n">
        <v>599.26</v>
      </c>
      <c r="C2903" s="5" t="n">
        <v>1438434</v>
      </c>
      <c r="D2903" s="5" t="n">
        <v>1.43843</v>
      </c>
      <c r="E2903" s="5" t="n">
        <v>1.438434</v>
      </c>
    </row>
    <row r="2904" customFormat="false" ht="12.75" hidden="false" customHeight="true" outlineLevel="0" collapsed="false">
      <c r="A2904" s="5" t="n">
        <v>190</v>
      </c>
      <c r="B2904" s="5" t="n">
        <v>599.76</v>
      </c>
      <c r="C2904" s="5" t="n">
        <v>1559778</v>
      </c>
      <c r="D2904" s="5" t="n">
        <v>1.55978</v>
      </c>
      <c r="E2904" s="5" t="n">
        <v>1.559778</v>
      </c>
    </row>
    <row r="2905" customFormat="false" ht="12.75" hidden="false" customHeight="true" outlineLevel="0" collapsed="false">
      <c r="A2905" s="5" t="n">
        <v>190</v>
      </c>
      <c r="B2905" s="5" t="n">
        <v>600.26</v>
      </c>
      <c r="C2905" s="5" t="n">
        <v>1684225</v>
      </c>
      <c r="D2905" s="5" t="n">
        <v>1.68422</v>
      </c>
      <c r="E2905" s="5" t="n">
        <v>1.684225</v>
      </c>
    </row>
    <row r="2906" customFormat="false" ht="12.75" hidden="false" customHeight="true" outlineLevel="0" collapsed="false">
      <c r="A2906" s="5" t="n">
        <v>190</v>
      </c>
      <c r="B2906" s="5" t="n">
        <v>600.76</v>
      </c>
      <c r="C2906" s="5" t="n">
        <v>1812037</v>
      </c>
      <c r="D2906" s="5" t="n">
        <v>1.81204</v>
      </c>
      <c r="E2906" s="5" t="n">
        <v>1.812037</v>
      </c>
    </row>
    <row r="2907" customFormat="false" ht="12.75" hidden="false" customHeight="true" outlineLevel="0" collapsed="false">
      <c r="A2907" s="5" t="n">
        <v>190</v>
      </c>
      <c r="B2907" s="5" t="n">
        <v>601.06</v>
      </c>
      <c r="C2907" s="5" t="n">
        <v>1890329</v>
      </c>
      <c r="D2907" s="5" t="n">
        <v>1.89033</v>
      </c>
      <c r="E2907" s="5" t="n">
        <v>1.890329</v>
      </c>
    </row>
    <row r="2908" customFormat="false" ht="12.75" hidden="false" customHeight="true" outlineLevel="0" collapsed="false">
      <c r="A2908" s="5" t="n">
        <v>190</v>
      </c>
      <c r="B2908" s="5" t="n">
        <v>601.26</v>
      </c>
      <c r="C2908" s="5" t="n">
        <v>1960000</v>
      </c>
      <c r="D2908" s="5" t="n">
        <v>1.96</v>
      </c>
      <c r="E2908" s="5" t="n">
        <v>1.96</v>
      </c>
    </row>
    <row r="2909" customFormat="false" ht="12.75" hidden="false" customHeight="true" outlineLevel="0" collapsed="false">
      <c r="A2909" s="5" t="n">
        <v>190</v>
      </c>
      <c r="B2909" s="5" t="n">
        <v>601.76</v>
      </c>
      <c r="C2909" s="5" t="n">
        <v>2100000</v>
      </c>
      <c r="D2909" s="5" t="n">
        <v>2.1</v>
      </c>
      <c r="E2909" s="5" t="n">
        <v>2.1</v>
      </c>
    </row>
    <row r="2910" customFormat="false" ht="12.75" hidden="false" customHeight="true" outlineLevel="0" collapsed="false">
      <c r="A2910" s="5" t="n">
        <v>190</v>
      </c>
      <c r="B2910" s="5" t="n">
        <v>602.26</v>
      </c>
      <c r="C2910" s="5" t="n">
        <v>2250000</v>
      </c>
      <c r="D2910" s="5" t="n">
        <v>2.25</v>
      </c>
      <c r="E2910" s="5" t="n">
        <v>2.25</v>
      </c>
    </row>
    <row r="2911" customFormat="false" ht="12.75" hidden="false" customHeight="true" outlineLevel="0" collapsed="false">
      <c r="A2911" s="5" t="n">
        <v>190</v>
      </c>
      <c r="B2911" s="5" t="n">
        <v>603</v>
      </c>
      <c r="C2911" s="5" t="n">
        <v>3985300</v>
      </c>
      <c r="D2911" s="5" t="n">
        <v>2.44</v>
      </c>
      <c r="E2911" s="5" t="n">
        <v>3.9853</v>
      </c>
    </row>
    <row r="2912" customFormat="false" ht="12.75" hidden="false" customHeight="true" outlineLevel="0" collapsed="false">
      <c r="A2912" s="5" t="n">
        <v>190</v>
      </c>
      <c r="B2912" s="5" t="n">
        <v>604</v>
      </c>
      <c r="C2912" s="5" t="n">
        <v>6578300</v>
      </c>
      <c r="D2912" s="5" t="n">
        <v>2.746</v>
      </c>
      <c r="E2912" s="5" t="n">
        <v>6.5783</v>
      </c>
    </row>
    <row r="2913" customFormat="false" ht="12.75" hidden="false" customHeight="true" outlineLevel="0" collapsed="false">
      <c r="A2913" s="5" t="n">
        <v>191</v>
      </c>
      <c r="B2913" s="5" t="n">
        <v>293.87</v>
      </c>
      <c r="C2913" s="5" t="n">
        <v>0</v>
      </c>
      <c r="D2913" s="5" t="n">
        <v>0</v>
      </c>
      <c r="E2913" s="5" t="n">
        <v>0</v>
      </c>
    </row>
    <row r="2914" customFormat="false" ht="12.75" hidden="false" customHeight="true" outlineLevel="0" collapsed="false">
      <c r="A2914" s="5" t="n">
        <v>191</v>
      </c>
      <c r="B2914" s="5" t="n">
        <v>294</v>
      </c>
      <c r="C2914" s="5" t="n">
        <v>1</v>
      </c>
      <c r="D2914" s="5" t="n">
        <v>0</v>
      </c>
      <c r="E2914" s="5" t="n">
        <v>1E-006</v>
      </c>
    </row>
    <row r="2915" customFormat="false" ht="12.75" hidden="false" customHeight="true" outlineLevel="0" collapsed="false">
      <c r="A2915" s="5" t="n">
        <v>191</v>
      </c>
      <c r="B2915" s="5" t="n">
        <v>295</v>
      </c>
      <c r="C2915" s="5" t="n">
        <v>1291</v>
      </c>
      <c r="D2915" s="5" t="n">
        <v>0.0031</v>
      </c>
      <c r="E2915" s="5" t="n">
        <v>0.001291</v>
      </c>
    </row>
    <row r="2916" customFormat="false" ht="12.75" hidden="false" customHeight="true" outlineLevel="0" collapsed="false">
      <c r="A2916" s="5" t="n">
        <v>191</v>
      </c>
      <c r="B2916" s="5" t="n">
        <v>296</v>
      </c>
      <c r="C2916" s="5" t="n">
        <v>6624</v>
      </c>
      <c r="D2916" s="5" t="n">
        <v>0.008</v>
      </c>
      <c r="E2916" s="5" t="n">
        <v>0.006624</v>
      </c>
    </row>
    <row r="2917" customFormat="false" ht="12.75" hidden="false" customHeight="true" outlineLevel="0" collapsed="false">
      <c r="A2917" s="5" t="n">
        <v>191</v>
      </c>
      <c r="B2917" s="5" t="n">
        <v>297</v>
      </c>
      <c r="C2917" s="5" t="n">
        <v>20210</v>
      </c>
      <c r="D2917" s="5" t="n">
        <v>0.0209</v>
      </c>
      <c r="E2917" s="5" t="n">
        <v>0.02021</v>
      </c>
    </row>
    <row r="2918" customFormat="false" ht="12.75" hidden="false" customHeight="true" outlineLevel="0" collapsed="false">
      <c r="A2918" s="5" t="n">
        <v>191</v>
      </c>
      <c r="B2918" s="5" t="n">
        <v>298</v>
      </c>
      <c r="C2918" s="5" t="n">
        <v>54012</v>
      </c>
      <c r="D2918" s="5" t="n">
        <v>0.0509</v>
      </c>
      <c r="E2918" s="5" t="n">
        <v>0.054012</v>
      </c>
    </row>
    <row r="2919" customFormat="false" ht="12.75" hidden="false" customHeight="true" outlineLevel="0" collapsed="false">
      <c r="A2919" s="5" t="n">
        <v>191</v>
      </c>
      <c r="B2919" s="5" t="n">
        <v>299</v>
      </c>
      <c r="C2919" s="5" t="n">
        <v>132261</v>
      </c>
      <c r="D2919" s="5" t="n">
        <v>0.1091</v>
      </c>
      <c r="E2919" s="5" t="n">
        <v>0.132261</v>
      </c>
    </row>
    <row r="2920" customFormat="false" ht="12.75" hidden="false" customHeight="true" outlineLevel="0" collapsed="false">
      <c r="A2920" s="5" t="n">
        <v>191</v>
      </c>
      <c r="B2920" s="5" t="n">
        <v>300</v>
      </c>
      <c r="C2920" s="5" t="n">
        <v>284963</v>
      </c>
      <c r="D2920" s="5" t="n">
        <v>0.2162</v>
      </c>
      <c r="E2920" s="5" t="n">
        <v>0.284963</v>
      </c>
    </row>
    <row r="2921" customFormat="false" ht="12.75" hidden="false" customHeight="true" outlineLevel="0" collapsed="false">
      <c r="A2921" s="5" t="n">
        <v>191</v>
      </c>
      <c r="B2921" s="5" t="n">
        <v>301</v>
      </c>
      <c r="C2921" s="5" t="n">
        <v>680714</v>
      </c>
      <c r="D2921" s="5" t="n">
        <v>0.583</v>
      </c>
      <c r="E2921" s="5" t="n">
        <v>0.680714</v>
      </c>
    </row>
    <row r="2922" customFormat="false" ht="12.75" hidden="false" customHeight="true" outlineLevel="0" collapsed="false">
      <c r="A2922" s="5" t="n">
        <v>191</v>
      </c>
      <c r="B2922" s="5" t="n">
        <v>302</v>
      </c>
      <c r="C2922" s="5" t="n">
        <v>1502572</v>
      </c>
      <c r="D2922" s="5" t="n">
        <v>1.099</v>
      </c>
      <c r="E2922" s="5" t="n">
        <v>1.502572</v>
      </c>
    </row>
    <row r="2923" customFormat="false" ht="12.75" hidden="false" customHeight="true" outlineLevel="0" collapsed="false">
      <c r="A2923" s="5" t="n">
        <v>191</v>
      </c>
      <c r="B2923" s="5" t="n">
        <v>303</v>
      </c>
      <c r="C2923" s="5" t="n">
        <v>2897272</v>
      </c>
      <c r="D2923" s="5" t="n">
        <v>1.7116</v>
      </c>
      <c r="E2923" s="5" t="n">
        <v>2.897272</v>
      </c>
    </row>
    <row r="2924" customFormat="false" ht="12.75" hidden="false" customHeight="true" outlineLevel="0" collapsed="false">
      <c r="A2924" s="5" t="n">
        <v>191</v>
      </c>
      <c r="B2924" s="5" t="n">
        <v>304</v>
      </c>
      <c r="C2924" s="5" t="n">
        <v>4930894</v>
      </c>
      <c r="D2924" s="5" t="n">
        <v>2.368</v>
      </c>
      <c r="E2924" s="5" t="n">
        <v>4.930894</v>
      </c>
    </row>
    <row r="2925" customFormat="false" ht="12.75" hidden="false" customHeight="true" outlineLevel="0" collapsed="false">
      <c r="A2925" s="5" t="n">
        <v>191</v>
      </c>
      <c r="B2925" s="5" t="n">
        <v>305</v>
      </c>
      <c r="C2925" s="5" t="n">
        <v>7640857</v>
      </c>
      <c r="D2925" s="5" t="n">
        <v>2.9943</v>
      </c>
      <c r="E2925" s="5" t="n">
        <v>7.640857</v>
      </c>
    </row>
    <row r="2926" customFormat="false" ht="12.75" hidden="false" customHeight="true" outlineLevel="0" collapsed="false">
      <c r="A2926" s="5" t="n">
        <v>191</v>
      </c>
      <c r="B2926" s="5" t="n">
        <v>306</v>
      </c>
      <c r="C2926" s="5" t="n">
        <v>10879584</v>
      </c>
      <c r="D2926" s="5" t="n">
        <v>3.4809</v>
      </c>
      <c r="E2926" s="5" t="n">
        <v>10.879584</v>
      </c>
    </row>
    <row r="2927" customFormat="false" ht="12.75" hidden="false" customHeight="true" outlineLevel="0" collapsed="false">
      <c r="A2927" s="5" t="n">
        <v>191</v>
      </c>
      <c r="B2927" s="5" t="n">
        <v>307</v>
      </c>
      <c r="C2927" s="5" t="n">
        <v>14573112</v>
      </c>
      <c r="D2927" s="5" t="n">
        <v>3.8843</v>
      </c>
      <c r="E2927" s="5" t="n">
        <v>14.573112</v>
      </c>
    </row>
    <row r="2928" customFormat="false" ht="12.75" hidden="false" customHeight="true" outlineLevel="0" collapsed="false">
      <c r="A2928" s="5" t="n">
        <v>191</v>
      </c>
      <c r="B2928" s="5" t="n">
        <v>308</v>
      </c>
      <c r="C2928" s="5" t="n">
        <v>18628027</v>
      </c>
      <c r="D2928" s="5" t="n">
        <v>4.2076</v>
      </c>
      <c r="E2928" s="5" t="n">
        <v>18.628027</v>
      </c>
    </row>
    <row r="2929" customFormat="false" ht="12.75" hidden="false" customHeight="true" outlineLevel="0" collapsed="false">
      <c r="A2929" s="5" t="n">
        <v>191</v>
      </c>
      <c r="B2929" s="5" t="n">
        <v>308.71</v>
      </c>
      <c r="C2929" s="5" t="n">
        <v>21688179</v>
      </c>
      <c r="D2929" s="5" t="n">
        <v>4.4599</v>
      </c>
      <c r="E2929" s="5" t="n">
        <v>21.688179</v>
      </c>
    </row>
    <row r="2930" customFormat="false" ht="12.75" hidden="false" customHeight="true" outlineLevel="0" collapsed="false">
      <c r="A2930" s="5" t="n">
        <v>191</v>
      </c>
      <c r="B2930" s="5" t="n">
        <v>309</v>
      </c>
      <c r="C2930" s="5" t="n">
        <v>23225225</v>
      </c>
      <c r="D2930" s="5" t="n">
        <v>4.7658</v>
      </c>
      <c r="E2930" s="5" t="n">
        <v>23.225225</v>
      </c>
    </row>
    <row r="2931" customFormat="false" ht="12.75" hidden="false" customHeight="true" outlineLevel="0" collapsed="false">
      <c r="A2931" s="5" t="n">
        <v>191</v>
      </c>
      <c r="B2931" s="5" t="n">
        <v>310</v>
      </c>
      <c r="C2931" s="5" t="n">
        <v>30000000</v>
      </c>
      <c r="D2931" s="5" t="n">
        <v>5.6458</v>
      </c>
      <c r="E2931" s="5" t="n">
        <v>30</v>
      </c>
    </row>
    <row r="2932" customFormat="false" ht="12.75" hidden="false" customHeight="true" outlineLevel="0" collapsed="false">
      <c r="A2932" s="5" t="n">
        <v>191</v>
      </c>
      <c r="B2932" s="5" t="n">
        <v>311</v>
      </c>
      <c r="C2932" s="5" t="n">
        <v>37965225</v>
      </c>
      <c r="D2932" s="5" t="n">
        <v>6.8058</v>
      </c>
      <c r="E2932" s="5" t="n">
        <v>37.965225</v>
      </c>
    </row>
    <row r="2933" customFormat="false" ht="12.75" hidden="false" customHeight="true" outlineLevel="0" collapsed="false">
      <c r="A2933" s="5" t="n">
        <v>191</v>
      </c>
      <c r="B2933" s="5" t="n">
        <v>312</v>
      </c>
      <c r="C2933" s="5" t="n">
        <v>47025225</v>
      </c>
      <c r="D2933" s="5" t="n">
        <v>7.9458</v>
      </c>
      <c r="E2933" s="5" t="n">
        <v>47.025225</v>
      </c>
    </row>
    <row r="2934" customFormat="false" ht="12.75" hidden="false" customHeight="true" outlineLevel="0" collapsed="false">
      <c r="A2934" s="5" t="n">
        <v>191</v>
      </c>
      <c r="B2934" s="5" t="n">
        <v>313</v>
      </c>
      <c r="C2934" s="5" t="n">
        <v>57325225</v>
      </c>
      <c r="D2934" s="5" t="n">
        <v>9.0958</v>
      </c>
      <c r="E2934" s="5" t="n">
        <v>57.325225</v>
      </c>
    </row>
    <row r="2935" customFormat="false" ht="12.75" hidden="false" customHeight="true" outlineLevel="0" collapsed="false">
      <c r="A2935" s="5" t="n">
        <v>191</v>
      </c>
      <c r="B2935" s="5" t="n">
        <v>314</v>
      </c>
      <c r="C2935" s="5" t="n">
        <v>68725225</v>
      </c>
      <c r="D2935" s="5" t="n">
        <v>10.1358</v>
      </c>
      <c r="E2935" s="5" t="n">
        <v>68.725225</v>
      </c>
    </row>
    <row r="2936" customFormat="false" ht="12.75" hidden="false" customHeight="true" outlineLevel="0" collapsed="false">
      <c r="A2936" s="5" t="n">
        <v>191</v>
      </c>
      <c r="B2936" s="5" t="n">
        <v>315</v>
      </c>
      <c r="C2936" s="5" t="n">
        <v>81225225</v>
      </c>
      <c r="D2936" s="5" t="n">
        <v>11.4458</v>
      </c>
      <c r="E2936" s="5" t="n">
        <v>81.225225</v>
      </c>
    </row>
    <row r="2937" customFormat="false" ht="12.75" hidden="false" customHeight="true" outlineLevel="0" collapsed="false">
      <c r="A2937" s="5" t="n">
        <v>192</v>
      </c>
      <c r="B2937" s="5" t="n">
        <v>175</v>
      </c>
      <c r="C2937" s="5" t="n">
        <v>0</v>
      </c>
      <c r="D2937" s="5" t="n">
        <v>0</v>
      </c>
      <c r="E2937" s="5" t="n">
        <v>0</v>
      </c>
    </row>
    <row r="2938" customFormat="false" ht="12.75" hidden="false" customHeight="true" outlineLevel="0" collapsed="false">
      <c r="A2938" s="5" t="n">
        <v>192</v>
      </c>
      <c r="B2938" s="5" t="n">
        <v>176</v>
      </c>
      <c r="C2938" s="5" t="n">
        <v>3600</v>
      </c>
      <c r="D2938" s="5" t="n">
        <v>0.007</v>
      </c>
      <c r="E2938" s="5" t="n">
        <v>0.0036</v>
      </c>
    </row>
    <row r="2939" customFormat="false" ht="12.75" hidden="false" customHeight="true" outlineLevel="0" collapsed="false">
      <c r="A2939" s="5" t="n">
        <v>192</v>
      </c>
      <c r="B2939" s="5" t="n">
        <v>177</v>
      </c>
      <c r="C2939" s="5" t="n">
        <v>17000</v>
      </c>
      <c r="D2939" s="5" t="n">
        <v>0.02</v>
      </c>
      <c r="E2939" s="5" t="n">
        <v>0.017</v>
      </c>
    </row>
    <row r="2940" customFormat="false" ht="12.75" hidden="false" customHeight="true" outlineLevel="0" collapsed="false">
      <c r="A2940" s="5" t="n">
        <v>192</v>
      </c>
      <c r="B2940" s="5" t="n">
        <v>178</v>
      </c>
      <c r="C2940" s="5" t="n">
        <v>40500</v>
      </c>
      <c r="D2940" s="5" t="n">
        <v>0.03</v>
      </c>
      <c r="E2940" s="5" t="n">
        <v>0.0405</v>
      </c>
    </row>
    <row r="2941" customFormat="false" ht="12.75" hidden="false" customHeight="true" outlineLevel="0" collapsed="false">
      <c r="A2941" s="5" t="n">
        <v>192</v>
      </c>
      <c r="B2941" s="5" t="n">
        <v>179</v>
      </c>
      <c r="C2941" s="5" t="n">
        <v>74000</v>
      </c>
      <c r="D2941" s="5" t="n">
        <v>0.04</v>
      </c>
      <c r="E2941" s="5" t="n">
        <v>0.074</v>
      </c>
    </row>
    <row r="2942" customFormat="false" ht="12.75" hidden="false" customHeight="true" outlineLevel="0" collapsed="false">
      <c r="A2942" s="5" t="n">
        <v>192</v>
      </c>
      <c r="B2942" s="5" t="n">
        <v>180</v>
      </c>
      <c r="C2942" s="5" t="n">
        <v>125000</v>
      </c>
      <c r="D2942" s="5" t="n">
        <v>0.06</v>
      </c>
      <c r="E2942" s="5" t="n">
        <v>0.125</v>
      </c>
    </row>
    <row r="2943" customFormat="false" ht="12.75" hidden="false" customHeight="true" outlineLevel="0" collapsed="false">
      <c r="A2943" s="5" t="n">
        <v>192</v>
      </c>
      <c r="B2943" s="5" t="n">
        <v>181</v>
      </c>
      <c r="C2943" s="5" t="n">
        <v>195000</v>
      </c>
      <c r="D2943" s="5" t="n">
        <v>0.08</v>
      </c>
      <c r="E2943" s="5" t="n">
        <v>0.195</v>
      </c>
    </row>
    <row r="2944" customFormat="false" ht="12.75" hidden="false" customHeight="true" outlineLevel="0" collapsed="false">
      <c r="A2944" s="5" t="n">
        <v>192</v>
      </c>
      <c r="B2944" s="5" t="n">
        <v>182</v>
      </c>
      <c r="C2944" s="5" t="n">
        <v>290000</v>
      </c>
      <c r="D2944" s="5" t="n">
        <v>0.11</v>
      </c>
      <c r="E2944" s="5" t="n">
        <v>0.29</v>
      </c>
    </row>
    <row r="2945" customFormat="false" ht="12.75" hidden="false" customHeight="true" outlineLevel="0" collapsed="false">
      <c r="A2945" s="5" t="n">
        <v>192</v>
      </c>
      <c r="B2945" s="5" t="n">
        <v>183</v>
      </c>
      <c r="C2945" s="5" t="n">
        <v>413000</v>
      </c>
      <c r="D2945" s="5" t="n">
        <v>0.14</v>
      </c>
      <c r="E2945" s="5" t="n">
        <v>0.413</v>
      </c>
    </row>
    <row r="2946" customFormat="false" ht="12.75" hidden="false" customHeight="true" outlineLevel="0" collapsed="false">
      <c r="A2946" s="5" t="n">
        <v>192</v>
      </c>
      <c r="B2946" s="5" t="n">
        <v>184</v>
      </c>
      <c r="C2946" s="5" t="n">
        <v>563000</v>
      </c>
      <c r="D2946" s="5" t="n">
        <v>0.16</v>
      </c>
      <c r="E2946" s="5" t="n">
        <v>0.563</v>
      </c>
    </row>
    <row r="2947" customFormat="false" ht="12.75" hidden="false" customHeight="true" outlineLevel="0" collapsed="false">
      <c r="A2947" s="5" t="n">
        <v>192</v>
      </c>
      <c r="B2947" s="5" t="n">
        <v>185</v>
      </c>
      <c r="C2947" s="5" t="n">
        <v>745000</v>
      </c>
      <c r="D2947" s="5" t="n">
        <v>0.2</v>
      </c>
      <c r="E2947" s="5" t="n">
        <v>0.745</v>
      </c>
    </row>
    <row r="2948" customFormat="false" ht="12.75" hidden="false" customHeight="true" outlineLevel="0" collapsed="false">
      <c r="A2948" s="5" t="n">
        <v>192</v>
      </c>
      <c r="B2948" s="5" t="n">
        <v>186</v>
      </c>
      <c r="C2948" s="5" t="n">
        <v>981000</v>
      </c>
      <c r="D2948" s="5" t="n">
        <v>0.27</v>
      </c>
      <c r="E2948" s="5" t="n">
        <v>0.981</v>
      </c>
    </row>
    <row r="2949" customFormat="false" ht="12.75" hidden="false" customHeight="true" outlineLevel="0" collapsed="false">
      <c r="A2949" s="5" t="n">
        <v>192</v>
      </c>
      <c r="B2949" s="5" t="n">
        <v>187</v>
      </c>
      <c r="C2949" s="5" t="n">
        <v>1281000</v>
      </c>
      <c r="D2949" s="5" t="n">
        <v>0.33</v>
      </c>
      <c r="E2949" s="5" t="n">
        <v>1.281</v>
      </c>
    </row>
    <row r="2950" customFormat="false" ht="12.75" hidden="false" customHeight="true" outlineLevel="0" collapsed="false">
      <c r="A2950" s="5" t="n">
        <v>192</v>
      </c>
      <c r="B2950" s="5" t="n">
        <v>188</v>
      </c>
      <c r="C2950" s="5" t="n">
        <v>1640000</v>
      </c>
      <c r="D2950" s="5" t="n">
        <v>0.39</v>
      </c>
      <c r="E2950" s="5" t="n">
        <v>1.64</v>
      </c>
    </row>
    <row r="2951" customFormat="false" ht="12.75" hidden="false" customHeight="true" outlineLevel="0" collapsed="false">
      <c r="A2951" s="5" t="n">
        <v>192</v>
      </c>
      <c r="B2951" s="5" t="n">
        <v>189</v>
      </c>
      <c r="C2951" s="5" t="n">
        <v>2070000</v>
      </c>
      <c r="D2951" s="5" t="n">
        <v>0.47</v>
      </c>
      <c r="E2951" s="5" t="n">
        <v>2.07</v>
      </c>
    </row>
    <row r="2952" customFormat="false" ht="12.75" hidden="false" customHeight="true" outlineLevel="0" collapsed="false">
      <c r="A2952" s="5" t="n">
        <v>192</v>
      </c>
      <c r="B2952" s="5" t="n">
        <v>190</v>
      </c>
      <c r="C2952" s="5" t="n">
        <v>2590000</v>
      </c>
      <c r="D2952" s="5" t="n">
        <v>0.57</v>
      </c>
      <c r="E2952" s="5" t="n">
        <v>2.59</v>
      </c>
    </row>
    <row r="2953" customFormat="false" ht="12.75" hidden="false" customHeight="true" outlineLevel="0" collapsed="false">
      <c r="A2953" s="5" t="n">
        <v>192</v>
      </c>
      <c r="B2953" s="5" t="n">
        <v>191</v>
      </c>
      <c r="C2953" s="5" t="n">
        <v>3214000</v>
      </c>
      <c r="D2953" s="5" t="n">
        <v>0.68</v>
      </c>
      <c r="E2953" s="5" t="n">
        <v>3.214</v>
      </c>
    </row>
    <row r="2954" customFormat="false" ht="12.75" hidden="false" customHeight="true" outlineLevel="0" collapsed="false">
      <c r="A2954" s="5" t="n">
        <v>192</v>
      </c>
      <c r="B2954" s="5" t="n">
        <v>192</v>
      </c>
      <c r="C2954" s="5" t="n">
        <v>3953000</v>
      </c>
      <c r="D2954" s="5" t="n">
        <v>0.8</v>
      </c>
      <c r="E2954" s="5" t="n">
        <v>3.953</v>
      </c>
    </row>
    <row r="2955" customFormat="false" ht="12.75" hidden="false" customHeight="true" outlineLevel="0" collapsed="false">
      <c r="A2955" s="5" t="n">
        <v>192</v>
      </c>
      <c r="B2955" s="5" t="n">
        <v>193</v>
      </c>
      <c r="C2955" s="5" t="n">
        <v>4815000</v>
      </c>
      <c r="D2955" s="5" t="n">
        <v>0.93</v>
      </c>
      <c r="E2955" s="5" t="n">
        <v>4.815</v>
      </c>
    </row>
    <row r="2956" customFormat="false" ht="12.75" hidden="false" customHeight="true" outlineLevel="0" collapsed="false">
      <c r="A2956" s="5" t="n">
        <v>192</v>
      </c>
      <c r="B2956" s="5" t="n">
        <v>194</v>
      </c>
      <c r="C2956" s="5" t="n">
        <v>5814000</v>
      </c>
      <c r="D2956" s="5" t="n">
        <v>1.07</v>
      </c>
      <c r="E2956" s="5" t="n">
        <v>5.814</v>
      </c>
    </row>
    <row r="2957" customFormat="false" ht="12.75" hidden="false" customHeight="true" outlineLevel="0" collapsed="false">
      <c r="A2957" s="5" t="n">
        <v>192</v>
      </c>
      <c r="B2957" s="5" t="n">
        <v>195</v>
      </c>
      <c r="C2957" s="5" t="n">
        <v>6974000</v>
      </c>
      <c r="D2957" s="5" t="n">
        <v>1.25</v>
      </c>
      <c r="E2957" s="5" t="n">
        <v>6.974</v>
      </c>
    </row>
    <row r="2958" customFormat="false" ht="12.75" hidden="false" customHeight="true" outlineLevel="0" collapsed="false">
      <c r="A2958" s="5" t="n">
        <v>192</v>
      </c>
      <c r="B2958" s="5" t="n">
        <v>196</v>
      </c>
      <c r="C2958" s="5" t="n">
        <v>8303000</v>
      </c>
      <c r="D2958" s="5" t="n">
        <v>1.41</v>
      </c>
      <c r="E2958" s="5" t="n">
        <v>8.303</v>
      </c>
    </row>
    <row r="2959" customFormat="false" ht="12.75" hidden="false" customHeight="true" outlineLevel="0" collapsed="false">
      <c r="A2959" s="5" t="n">
        <v>192</v>
      </c>
      <c r="B2959" s="5" t="n">
        <v>196.5</v>
      </c>
      <c r="C2959" s="5" t="n">
        <v>9031000</v>
      </c>
      <c r="D2959" s="5" t="n">
        <v>1.5</v>
      </c>
      <c r="E2959" s="5" t="n">
        <v>9.031</v>
      </c>
    </row>
    <row r="2960" customFormat="false" ht="12.75" hidden="false" customHeight="true" outlineLevel="0" collapsed="false">
      <c r="A2960" s="5" t="n">
        <v>192</v>
      </c>
      <c r="B2960" s="5" t="n">
        <v>197</v>
      </c>
      <c r="C2960" s="5" t="n">
        <v>9806000</v>
      </c>
      <c r="D2960" s="5" t="n">
        <v>1.59</v>
      </c>
      <c r="E2960" s="5" t="n">
        <v>9.806</v>
      </c>
    </row>
    <row r="2961" customFormat="false" ht="12.75" hidden="false" customHeight="true" outlineLevel="0" collapsed="false">
      <c r="A2961" s="5" t="n">
        <v>192</v>
      </c>
      <c r="B2961" s="5" t="n">
        <v>198</v>
      </c>
      <c r="C2961" s="5" t="n">
        <v>11500000</v>
      </c>
      <c r="D2961" s="5" t="n">
        <v>1.7931</v>
      </c>
      <c r="E2961" s="5" t="n">
        <v>11.5</v>
      </c>
    </row>
    <row r="2962" customFormat="false" ht="12.75" hidden="false" customHeight="true" outlineLevel="0" collapsed="false">
      <c r="A2962" s="5" t="n">
        <v>194</v>
      </c>
      <c r="B2962" s="5" t="n">
        <v>40</v>
      </c>
      <c r="C2962" s="5" t="n">
        <v>0</v>
      </c>
      <c r="D2962" s="5" t="n">
        <v>0</v>
      </c>
      <c r="E2962" s="5" t="n">
        <v>0</v>
      </c>
    </row>
    <row r="2963" customFormat="false" ht="12.75" hidden="false" customHeight="true" outlineLevel="0" collapsed="false">
      <c r="A2963" s="5" t="n">
        <v>194</v>
      </c>
      <c r="B2963" s="5" t="n">
        <v>50</v>
      </c>
      <c r="C2963" s="5" t="n">
        <v>25000000</v>
      </c>
      <c r="D2963" s="5" t="n">
        <v>5</v>
      </c>
      <c r="E2963" s="5" t="n">
        <v>25</v>
      </c>
    </row>
    <row r="2964" customFormat="false" ht="12.75" hidden="false" customHeight="true" outlineLevel="0" collapsed="false">
      <c r="A2964" s="5" t="n">
        <v>194</v>
      </c>
      <c r="B2964" s="5" t="n">
        <v>55</v>
      </c>
      <c r="C2964" s="5" t="n">
        <v>50000000</v>
      </c>
      <c r="D2964" s="5" t="n">
        <v>8</v>
      </c>
      <c r="E2964" s="5" t="n">
        <v>50</v>
      </c>
    </row>
    <row r="2965" customFormat="false" ht="12.75" hidden="false" customHeight="true" outlineLevel="0" collapsed="false">
      <c r="A2965" s="5" t="n">
        <v>194</v>
      </c>
      <c r="B2965" s="5" t="n">
        <v>60</v>
      </c>
      <c r="C2965" s="5" t="n">
        <v>75000000</v>
      </c>
      <c r="D2965" s="5" t="n">
        <v>10</v>
      </c>
      <c r="E2965" s="5" t="n">
        <v>75</v>
      </c>
    </row>
    <row r="2966" customFormat="false" ht="12.75" hidden="false" customHeight="true" outlineLevel="0" collapsed="false">
      <c r="A2966" s="5" t="n">
        <v>194</v>
      </c>
      <c r="B2966" s="5" t="n">
        <v>65</v>
      </c>
      <c r="C2966" s="5" t="n">
        <v>117040000</v>
      </c>
      <c r="D2966" s="5" t="n">
        <v>20</v>
      </c>
      <c r="E2966" s="5" t="n">
        <v>117.04</v>
      </c>
    </row>
    <row r="2967" customFormat="false" ht="12.75" hidden="false" customHeight="true" outlineLevel="0" collapsed="false">
      <c r="A2967" s="5" t="n">
        <v>194</v>
      </c>
      <c r="B2967" s="5" t="n">
        <v>65.5</v>
      </c>
      <c r="C2967" s="5" t="n">
        <v>131830000</v>
      </c>
      <c r="D2967" s="5" t="n">
        <v>21.1</v>
      </c>
      <c r="E2967" s="5" t="n">
        <v>131.83</v>
      </c>
    </row>
    <row r="2968" customFormat="false" ht="12.75" hidden="false" customHeight="true" outlineLevel="0" collapsed="false">
      <c r="A2968" s="5" t="n">
        <v>194</v>
      </c>
      <c r="B2968" s="5" t="n">
        <v>66</v>
      </c>
      <c r="C2968" s="5" t="n">
        <v>146620000</v>
      </c>
      <c r="D2968" s="5" t="n">
        <v>22.2</v>
      </c>
      <c r="E2968" s="5" t="n">
        <v>146.62</v>
      </c>
    </row>
    <row r="2969" customFormat="false" ht="12.75" hidden="false" customHeight="true" outlineLevel="0" collapsed="false">
      <c r="A2969" s="5" t="n">
        <v>194</v>
      </c>
      <c r="B2969" s="5" t="n">
        <v>66.5</v>
      </c>
      <c r="C2969" s="5" t="n">
        <v>161440000</v>
      </c>
      <c r="D2969" s="5" t="n">
        <v>23.4</v>
      </c>
      <c r="E2969" s="5" t="n">
        <v>161.44</v>
      </c>
    </row>
    <row r="2970" customFormat="false" ht="12.75" hidden="false" customHeight="true" outlineLevel="0" collapsed="false">
      <c r="A2970" s="5" t="n">
        <v>194</v>
      </c>
      <c r="B2970" s="5" t="n">
        <v>67</v>
      </c>
      <c r="C2970" s="5" t="n">
        <v>176310000</v>
      </c>
      <c r="D2970" s="5" t="n">
        <v>24.6</v>
      </c>
      <c r="E2970" s="5" t="n">
        <v>176.31</v>
      </c>
    </row>
    <row r="2971" customFormat="false" ht="12.75" hidden="false" customHeight="true" outlineLevel="0" collapsed="false">
      <c r="A2971" s="5" t="n">
        <v>194</v>
      </c>
      <c r="B2971" s="5" t="n">
        <v>67.5</v>
      </c>
      <c r="C2971" s="5" t="n">
        <v>191260000</v>
      </c>
      <c r="D2971" s="5" t="n">
        <v>26</v>
      </c>
      <c r="E2971" s="5" t="n">
        <v>191.26</v>
      </c>
    </row>
    <row r="2972" customFormat="false" ht="12.75" hidden="false" customHeight="true" outlineLevel="0" collapsed="false">
      <c r="A2972" s="5" t="n">
        <v>194</v>
      </c>
      <c r="B2972" s="5" t="n">
        <v>68</v>
      </c>
      <c r="C2972" s="5" t="n">
        <v>206320000</v>
      </c>
      <c r="D2972" s="5" t="n">
        <v>27.1</v>
      </c>
      <c r="E2972" s="5" t="n">
        <v>206.32</v>
      </c>
    </row>
    <row r="2973" customFormat="false" ht="12.75" hidden="false" customHeight="true" outlineLevel="0" collapsed="false">
      <c r="A2973" s="5" t="n">
        <v>194</v>
      </c>
      <c r="B2973" s="5" t="n">
        <v>68.5</v>
      </c>
      <c r="C2973" s="5" t="n">
        <v>221520000</v>
      </c>
      <c r="D2973" s="5" t="n">
        <v>28.5</v>
      </c>
      <c r="E2973" s="5" t="n">
        <v>221.52</v>
      </c>
    </row>
    <row r="2974" customFormat="false" ht="12.75" hidden="false" customHeight="true" outlineLevel="0" collapsed="false">
      <c r="A2974" s="5" t="n">
        <v>194</v>
      </c>
      <c r="B2974" s="5" t="n">
        <v>69</v>
      </c>
      <c r="C2974" s="5" t="n">
        <v>236910000</v>
      </c>
      <c r="D2974" s="5" t="n">
        <v>30</v>
      </c>
      <c r="E2974" s="5" t="n">
        <v>236.91</v>
      </c>
    </row>
    <row r="2975" customFormat="false" ht="12.75" hidden="false" customHeight="true" outlineLevel="0" collapsed="false">
      <c r="A2975" s="5" t="n">
        <v>194</v>
      </c>
      <c r="B2975" s="5" t="n">
        <v>69.5</v>
      </c>
      <c r="C2975" s="5" t="n">
        <v>252520000</v>
      </c>
      <c r="D2975" s="5" t="n">
        <v>31.4</v>
      </c>
      <c r="E2975" s="5" t="n">
        <v>252.52</v>
      </c>
    </row>
    <row r="2976" customFormat="false" ht="12.75" hidden="false" customHeight="true" outlineLevel="0" collapsed="false">
      <c r="A2976" s="5" t="n">
        <v>194</v>
      </c>
      <c r="B2976" s="5" t="n">
        <v>70</v>
      </c>
      <c r="C2976" s="5" t="n">
        <v>268410000</v>
      </c>
      <c r="D2976" s="5" t="n">
        <v>33</v>
      </c>
      <c r="E2976" s="5" t="n">
        <v>268.41</v>
      </c>
    </row>
    <row r="2977" customFormat="false" ht="12.75" hidden="false" customHeight="true" outlineLevel="0" collapsed="false">
      <c r="A2977" s="5" t="n">
        <v>194</v>
      </c>
      <c r="B2977" s="5" t="n">
        <v>70.5</v>
      </c>
      <c r="C2977" s="5" t="n">
        <v>284630000</v>
      </c>
      <c r="D2977" s="5" t="n">
        <v>33.4</v>
      </c>
      <c r="E2977" s="5" t="n">
        <v>284.63</v>
      </c>
    </row>
    <row r="2978" customFormat="false" ht="12.75" hidden="false" customHeight="true" outlineLevel="0" collapsed="false">
      <c r="A2978" s="5" t="n">
        <v>194</v>
      </c>
      <c r="B2978" s="5" t="n">
        <v>71</v>
      </c>
      <c r="C2978" s="5" t="n">
        <v>301220000</v>
      </c>
      <c r="D2978" s="5" t="n">
        <v>34.1</v>
      </c>
      <c r="E2978" s="5" t="n">
        <v>301.22</v>
      </c>
    </row>
    <row r="2979" customFormat="false" ht="12.75" hidden="false" customHeight="true" outlineLevel="0" collapsed="false">
      <c r="A2979" s="5" t="n">
        <v>194</v>
      </c>
      <c r="B2979" s="5" t="n">
        <v>71.5</v>
      </c>
      <c r="C2979" s="5" t="n">
        <v>318240000</v>
      </c>
      <c r="D2979" s="5" t="n">
        <v>35.5</v>
      </c>
      <c r="E2979" s="5" t="n">
        <v>318.24</v>
      </c>
    </row>
    <row r="2980" customFormat="false" ht="12.75" hidden="false" customHeight="true" outlineLevel="0" collapsed="false">
      <c r="A2980" s="5" t="n">
        <v>194</v>
      </c>
      <c r="B2980" s="5" t="n">
        <v>72</v>
      </c>
      <c r="C2980" s="5" t="n">
        <v>335760000</v>
      </c>
      <c r="D2980" s="5" t="n">
        <v>38</v>
      </c>
      <c r="E2980" s="5" t="n">
        <v>335.76</v>
      </c>
    </row>
    <row r="2981" customFormat="false" ht="12.75" hidden="false" customHeight="true" outlineLevel="0" collapsed="false">
      <c r="A2981" s="5" t="n">
        <v>194</v>
      </c>
      <c r="B2981" s="5" t="n">
        <v>72.5</v>
      </c>
      <c r="C2981" s="5" t="n">
        <v>353820000</v>
      </c>
      <c r="D2981" s="5" t="n">
        <v>40</v>
      </c>
      <c r="E2981" s="5" t="n">
        <v>353.82</v>
      </c>
    </row>
    <row r="2982" customFormat="false" ht="12.75" hidden="false" customHeight="true" outlineLevel="0" collapsed="false">
      <c r="A2982" s="5" t="n">
        <v>194</v>
      </c>
      <c r="B2982" s="5" t="n">
        <v>73</v>
      </c>
      <c r="C2982" s="5" t="n">
        <v>372510000</v>
      </c>
      <c r="D2982" s="5" t="n">
        <v>43</v>
      </c>
      <c r="E2982" s="5" t="n">
        <v>372.51</v>
      </c>
    </row>
    <row r="2983" customFormat="false" ht="12.75" hidden="false" customHeight="true" outlineLevel="0" collapsed="false">
      <c r="A2983" s="5" t="n">
        <v>194</v>
      </c>
      <c r="B2983" s="5" t="n">
        <v>73.5</v>
      </c>
      <c r="C2983" s="5" t="n">
        <v>391880000</v>
      </c>
      <c r="D2983" s="5" t="n">
        <v>45.8</v>
      </c>
      <c r="E2983" s="5" t="n">
        <v>391.88</v>
      </c>
    </row>
    <row r="2984" customFormat="false" ht="12.75" hidden="false" customHeight="true" outlineLevel="0" collapsed="false">
      <c r="A2984" s="5" t="n">
        <v>194</v>
      </c>
      <c r="B2984" s="5" t="n">
        <v>74</v>
      </c>
      <c r="C2984" s="5" t="n">
        <v>412000000</v>
      </c>
      <c r="D2984" s="5" t="n">
        <v>48</v>
      </c>
      <c r="E2984" s="5" t="n">
        <v>412</v>
      </c>
    </row>
    <row r="2985" customFormat="false" ht="12.75" hidden="false" customHeight="true" outlineLevel="0" collapsed="false">
      <c r="A2985" s="5" t="n">
        <v>194</v>
      </c>
      <c r="B2985" s="5" t="n">
        <v>74.5</v>
      </c>
      <c r="C2985" s="5" t="n">
        <v>432940000</v>
      </c>
      <c r="D2985" s="5" t="n">
        <v>50.7</v>
      </c>
      <c r="E2985" s="5" t="n">
        <v>432.94</v>
      </c>
    </row>
    <row r="2986" customFormat="false" ht="12.75" hidden="false" customHeight="true" outlineLevel="0" collapsed="false">
      <c r="A2986" s="5" t="n">
        <v>194</v>
      </c>
      <c r="B2986" s="5" t="n">
        <v>75</v>
      </c>
      <c r="C2986" s="5" t="n">
        <v>454780000</v>
      </c>
      <c r="D2986" s="5" t="n">
        <v>52</v>
      </c>
      <c r="E2986" s="5" t="n">
        <v>454.78</v>
      </c>
    </row>
    <row r="2987" customFormat="false" ht="12.75" hidden="false" customHeight="true" outlineLevel="0" collapsed="false">
      <c r="A2987" s="5" t="n">
        <v>194</v>
      </c>
      <c r="B2987" s="5" t="n">
        <v>75.5</v>
      </c>
      <c r="C2987" s="5" t="n">
        <v>477590000</v>
      </c>
      <c r="D2987" s="5" t="n">
        <v>55.7</v>
      </c>
      <c r="E2987" s="5" t="n">
        <v>477.59</v>
      </c>
    </row>
    <row r="2988" customFormat="false" ht="12.75" hidden="false" customHeight="true" outlineLevel="0" collapsed="false">
      <c r="A2988" s="5" t="n">
        <v>194</v>
      </c>
      <c r="B2988" s="5" t="n">
        <v>76</v>
      </c>
      <c r="C2988" s="5" t="n">
        <v>501450000</v>
      </c>
      <c r="D2988" s="5" t="n">
        <v>58</v>
      </c>
      <c r="E2988" s="5" t="n">
        <v>501.45</v>
      </c>
    </row>
    <row r="2989" customFormat="false" ht="12.75" hidden="false" customHeight="true" outlineLevel="0" collapsed="false">
      <c r="A2989" s="5" t="n">
        <v>194</v>
      </c>
      <c r="B2989" s="5" t="n">
        <v>76.5</v>
      </c>
      <c r="C2989" s="5" t="n">
        <v>526440000</v>
      </c>
      <c r="D2989" s="5" t="n">
        <v>60.6</v>
      </c>
      <c r="E2989" s="5" t="n">
        <v>526.44</v>
      </c>
    </row>
    <row r="2990" customFormat="false" ht="12.75" hidden="false" customHeight="true" outlineLevel="0" collapsed="false">
      <c r="A2990" s="5" t="n">
        <v>194</v>
      </c>
      <c r="B2990" s="5" t="n">
        <v>77</v>
      </c>
      <c r="C2990" s="5" t="n">
        <v>552630000</v>
      </c>
      <c r="D2990" s="5" t="n">
        <v>63.6</v>
      </c>
      <c r="E2990" s="5" t="n">
        <v>552.63</v>
      </c>
    </row>
    <row r="2991" customFormat="false" ht="12.75" hidden="false" customHeight="true" outlineLevel="0" collapsed="false">
      <c r="A2991" s="5" t="n">
        <v>194</v>
      </c>
      <c r="B2991" s="5" t="n">
        <v>77.5</v>
      </c>
      <c r="C2991" s="5" t="n">
        <v>580110000</v>
      </c>
      <c r="D2991" s="5" t="n">
        <v>66.4</v>
      </c>
      <c r="E2991" s="5" t="n">
        <v>580.11</v>
      </c>
    </row>
    <row r="2992" customFormat="false" ht="12.75" hidden="false" customHeight="true" outlineLevel="0" collapsed="false">
      <c r="A2992" s="5" t="n">
        <v>194</v>
      </c>
      <c r="B2992" s="5" t="n">
        <v>78</v>
      </c>
      <c r="C2992" s="5" t="n">
        <v>608950000</v>
      </c>
      <c r="D2992" s="5" t="n">
        <v>69</v>
      </c>
      <c r="E2992" s="5" t="n">
        <v>608.95</v>
      </c>
    </row>
    <row r="2993" customFormat="false" ht="12.75" hidden="false" customHeight="true" outlineLevel="0" collapsed="false">
      <c r="A2993" s="5" t="n">
        <v>194</v>
      </c>
      <c r="B2993" s="5" t="n">
        <v>78.5</v>
      </c>
      <c r="C2993" s="5" t="n">
        <v>639250000</v>
      </c>
      <c r="D2993" s="5" t="n">
        <v>72</v>
      </c>
      <c r="E2993" s="5" t="n">
        <v>639.25</v>
      </c>
    </row>
    <row r="2994" customFormat="false" ht="12.75" hidden="false" customHeight="true" outlineLevel="0" collapsed="false">
      <c r="A2994" s="5" t="n">
        <v>194</v>
      </c>
      <c r="B2994" s="5" t="n">
        <v>79</v>
      </c>
      <c r="C2994" s="5" t="n">
        <v>671090000</v>
      </c>
      <c r="D2994" s="5" t="n">
        <v>75.7</v>
      </c>
      <c r="E2994" s="5" t="n">
        <v>671.09</v>
      </c>
    </row>
    <row r="2995" customFormat="false" ht="12.75" hidden="false" customHeight="true" outlineLevel="0" collapsed="false">
      <c r="A2995" s="5" t="n">
        <v>194</v>
      </c>
      <c r="B2995" s="5" t="n">
        <v>79.5</v>
      </c>
      <c r="C2995" s="5" t="n">
        <v>704550000</v>
      </c>
      <c r="D2995" s="5" t="n">
        <v>79.8</v>
      </c>
      <c r="E2995" s="5" t="n">
        <v>704.55</v>
      </c>
    </row>
    <row r="2996" customFormat="false" ht="12.75" hidden="false" customHeight="true" outlineLevel="0" collapsed="false">
      <c r="A2996" s="5" t="n">
        <v>194</v>
      </c>
      <c r="B2996" s="5" t="n">
        <v>80</v>
      </c>
      <c r="C2996" s="5" t="n">
        <v>739710000</v>
      </c>
      <c r="D2996" s="5" t="n">
        <v>85</v>
      </c>
      <c r="E2996" s="5" t="n">
        <v>739.71</v>
      </c>
    </row>
    <row r="2997" customFormat="false" ht="12.75" hidden="false" customHeight="true" outlineLevel="0" collapsed="false">
      <c r="A2997" s="5" t="n">
        <v>194</v>
      </c>
      <c r="B2997" s="5" t="n">
        <v>80.5</v>
      </c>
      <c r="C2997" s="5" t="n">
        <v>776670000</v>
      </c>
      <c r="D2997" s="5" t="n">
        <v>86.4</v>
      </c>
      <c r="E2997" s="5" t="n">
        <v>776.67</v>
      </c>
    </row>
    <row r="2998" customFormat="false" ht="12.75" hidden="false" customHeight="true" outlineLevel="0" collapsed="false">
      <c r="A2998" s="5" t="n">
        <v>194</v>
      </c>
      <c r="B2998" s="5" t="n">
        <v>81</v>
      </c>
      <c r="C2998" s="5" t="n">
        <v>815500000</v>
      </c>
      <c r="D2998" s="5" t="n">
        <v>90.3</v>
      </c>
      <c r="E2998" s="5" t="n">
        <v>815.5</v>
      </c>
    </row>
    <row r="2999" customFormat="false" ht="12.75" hidden="false" customHeight="true" outlineLevel="0" collapsed="false">
      <c r="A2999" s="5" t="n">
        <v>194</v>
      </c>
      <c r="B2999" s="5" t="n">
        <v>81.5</v>
      </c>
      <c r="C2999" s="5" t="n">
        <v>856300000</v>
      </c>
      <c r="D2999" s="5" t="n">
        <v>94</v>
      </c>
      <c r="E2999" s="5" t="n">
        <v>856.3</v>
      </c>
    </row>
    <row r="3000" customFormat="false" ht="12.75" hidden="false" customHeight="true" outlineLevel="0" collapsed="false">
      <c r="A3000" s="5" t="n">
        <v>194</v>
      </c>
      <c r="B3000" s="5" t="n">
        <v>82</v>
      </c>
      <c r="C3000" s="5" t="n">
        <v>899160000</v>
      </c>
      <c r="D3000" s="5" t="n">
        <v>98</v>
      </c>
      <c r="E3000" s="5" t="n">
        <v>899.16</v>
      </c>
    </row>
    <row r="3001" customFormat="false" ht="12.75" hidden="false" customHeight="true" outlineLevel="0" collapsed="false">
      <c r="A3001" s="5" t="n">
        <v>194</v>
      </c>
      <c r="B3001" s="5" t="n">
        <v>82.5</v>
      </c>
      <c r="C3001" s="5" t="n">
        <v>944150000</v>
      </c>
      <c r="D3001" s="5" t="n">
        <v>102</v>
      </c>
      <c r="E3001" s="5" t="n">
        <v>944.15</v>
      </c>
    </row>
    <row r="3002" customFormat="false" ht="12.75" hidden="false" customHeight="true" outlineLevel="0" collapsed="false">
      <c r="A3002" s="5" t="n">
        <v>194</v>
      </c>
      <c r="B3002" s="5" t="n">
        <v>83</v>
      </c>
      <c r="C3002" s="5" t="n">
        <v>991360000</v>
      </c>
      <c r="D3002" s="5" t="n">
        <v>106</v>
      </c>
      <c r="E3002" s="5" t="n">
        <v>991.36</v>
      </c>
    </row>
    <row r="3003" customFormat="false" ht="12.75" hidden="false" customHeight="true" outlineLevel="0" collapsed="false">
      <c r="A3003" s="5" t="n">
        <v>194</v>
      </c>
      <c r="B3003" s="5" t="n">
        <v>83.5</v>
      </c>
      <c r="C3003" s="5" t="n">
        <v>1040880000</v>
      </c>
      <c r="D3003" s="5" t="n">
        <v>110</v>
      </c>
      <c r="E3003" s="5" t="n">
        <v>1040.88</v>
      </c>
    </row>
    <row r="3004" customFormat="false" ht="12.75" hidden="false" customHeight="true" outlineLevel="0" collapsed="false">
      <c r="A3004" s="5" t="n">
        <v>194</v>
      </c>
      <c r="B3004" s="5" t="n">
        <v>84</v>
      </c>
      <c r="C3004" s="5" t="n">
        <v>1092800000</v>
      </c>
      <c r="D3004" s="5" t="n">
        <v>114.4</v>
      </c>
      <c r="E3004" s="5" t="n">
        <v>1092.8</v>
      </c>
    </row>
    <row r="3005" customFormat="false" ht="12.75" hidden="false" customHeight="true" outlineLevel="0" collapsed="false">
      <c r="A3005" s="5" t="n">
        <v>194</v>
      </c>
      <c r="B3005" s="5" t="n">
        <v>84.5</v>
      </c>
      <c r="C3005" s="5" t="n">
        <v>1147200000</v>
      </c>
      <c r="D3005" s="5" t="n">
        <v>118.3</v>
      </c>
      <c r="E3005" s="5" t="n">
        <v>1147.2</v>
      </c>
    </row>
    <row r="3006" customFormat="false" ht="12.75" hidden="false" customHeight="true" outlineLevel="0" collapsed="false">
      <c r="A3006" s="5" t="n">
        <v>194</v>
      </c>
      <c r="B3006" s="5" t="n">
        <v>85</v>
      </c>
      <c r="C3006" s="5" t="n">
        <v>1204170000</v>
      </c>
      <c r="D3006" s="5" t="n">
        <v>120</v>
      </c>
      <c r="E3006" s="5" t="n">
        <v>1204.17</v>
      </c>
    </row>
    <row r="3007" customFormat="false" ht="12.75" hidden="false" customHeight="true" outlineLevel="0" collapsed="false">
      <c r="A3007" s="5" t="n">
        <v>194</v>
      </c>
      <c r="B3007" s="5" t="n">
        <v>85.5</v>
      </c>
      <c r="C3007" s="5" t="n">
        <v>1263780000</v>
      </c>
      <c r="D3007" s="5" t="n">
        <v>124.2</v>
      </c>
      <c r="E3007" s="5" t="n">
        <v>1263.78</v>
      </c>
    </row>
    <row r="3008" customFormat="false" ht="12.75" hidden="false" customHeight="true" outlineLevel="0" collapsed="false">
      <c r="A3008" s="5" t="n">
        <v>194</v>
      </c>
      <c r="B3008" s="5" t="n">
        <v>86</v>
      </c>
      <c r="C3008" s="5" t="n">
        <v>1326110000</v>
      </c>
      <c r="D3008" s="5" t="n">
        <v>128.7</v>
      </c>
      <c r="E3008" s="5" t="n">
        <v>1326.11</v>
      </c>
    </row>
    <row r="3009" customFormat="false" ht="12.75" hidden="false" customHeight="true" outlineLevel="0" collapsed="false">
      <c r="A3009" s="5" t="n">
        <v>194</v>
      </c>
      <c r="B3009" s="5" t="n">
        <v>86.5</v>
      </c>
      <c r="C3009" s="5" t="n">
        <v>1391260000</v>
      </c>
      <c r="D3009" s="5" t="n">
        <v>133.9</v>
      </c>
      <c r="E3009" s="5" t="n">
        <v>1391.26</v>
      </c>
    </row>
    <row r="3010" customFormat="false" ht="12.75" hidden="false" customHeight="true" outlineLevel="0" collapsed="false">
      <c r="A3010" s="5" t="n">
        <v>194</v>
      </c>
      <c r="B3010" s="5" t="n">
        <v>87</v>
      </c>
      <c r="C3010" s="5" t="n">
        <v>1459290000</v>
      </c>
      <c r="D3010" s="5" t="n">
        <v>139</v>
      </c>
      <c r="E3010" s="5" t="n">
        <v>1459.29</v>
      </c>
    </row>
    <row r="3011" customFormat="false" ht="12.75" hidden="false" customHeight="true" outlineLevel="0" collapsed="false">
      <c r="A3011" s="5" t="n">
        <v>194</v>
      </c>
      <c r="B3011" s="5" t="n">
        <v>87.5</v>
      </c>
      <c r="C3011" s="5" t="n">
        <v>1530290000</v>
      </c>
      <c r="D3011" s="5" t="n">
        <v>144.3</v>
      </c>
      <c r="E3011" s="5" t="n">
        <v>1530.29</v>
      </c>
    </row>
    <row r="3012" customFormat="false" ht="12.75" hidden="false" customHeight="true" outlineLevel="0" collapsed="false">
      <c r="A3012" s="5" t="n">
        <v>194</v>
      </c>
      <c r="B3012" s="5" t="n">
        <v>88</v>
      </c>
      <c r="C3012" s="5" t="n">
        <v>1604330000</v>
      </c>
      <c r="D3012" s="5" t="n">
        <v>150.2</v>
      </c>
      <c r="E3012" s="5" t="n">
        <v>1604.33</v>
      </c>
    </row>
    <row r="3013" customFormat="false" ht="12.75" hidden="false" customHeight="true" outlineLevel="0" collapsed="false">
      <c r="A3013" s="5" t="n">
        <v>194</v>
      </c>
      <c r="B3013" s="5" t="n">
        <v>88.5</v>
      </c>
      <c r="C3013" s="5" t="n">
        <v>1681490000</v>
      </c>
      <c r="D3013" s="5" t="n">
        <v>156.3</v>
      </c>
      <c r="E3013" s="5" t="n">
        <v>1681.49</v>
      </c>
    </row>
    <row r="3014" customFormat="false" ht="12.75" hidden="false" customHeight="true" outlineLevel="0" collapsed="false">
      <c r="A3014" s="5" t="n">
        <v>194</v>
      </c>
      <c r="B3014" s="5" t="n">
        <v>89</v>
      </c>
      <c r="C3014" s="5" t="n">
        <v>1761830000</v>
      </c>
      <c r="D3014" s="5" t="n">
        <v>162.2</v>
      </c>
      <c r="E3014" s="5" t="n">
        <v>1761.83</v>
      </c>
    </row>
    <row r="3015" customFormat="false" ht="12.75" hidden="false" customHeight="true" outlineLevel="0" collapsed="false">
      <c r="A3015" s="5" t="n">
        <v>194</v>
      </c>
      <c r="B3015" s="5" t="n">
        <v>89.5</v>
      </c>
      <c r="C3015" s="5" t="n">
        <v>1845430000</v>
      </c>
      <c r="D3015" s="5" t="n">
        <v>169</v>
      </c>
      <c r="E3015" s="5" t="n">
        <v>1845.43</v>
      </c>
    </row>
    <row r="3016" customFormat="false" ht="12.75" hidden="false" customHeight="true" outlineLevel="0" collapsed="false">
      <c r="A3016" s="5" t="n">
        <v>194</v>
      </c>
      <c r="B3016" s="5" t="n">
        <v>90</v>
      </c>
      <c r="C3016" s="5" t="n">
        <v>1932350000</v>
      </c>
      <c r="D3016" s="5" t="n">
        <v>175</v>
      </c>
      <c r="E3016" s="5" t="n">
        <v>1932.35</v>
      </c>
    </row>
    <row r="3017" customFormat="false" ht="12.75" hidden="false" customHeight="true" outlineLevel="0" collapsed="false">
      <c r="A3017" s="5" t="n">
        <v>194</v>
      </c>
      <c r="B3017" s="5" t="n">
        <v>90.5</v>
      </c>
      <c r="C3017" s="5" t="n">
        <v>2022670000</v>
      </c>
      <c r="D3017" s="5" t="n">
        <v>182.7</v>
      </c>
      <c r="E3017" s="5" t="n">
        <v>2022.67</v>
      </c>
    </row>
    <row r="3018" customFormat="false" ht="12.75" hidden="false" customHeight="true" outlineLevel="0" collapsed="false">
      <c r="A3018" s="5" t="n">
        <v>194</v>
      </c>
      <c r="B3018" s="5" t="n">
        <v>91</v>
      </c>
      <c r="C3018" s="5" t="n">
        <v>2116440000</v>
      </c>
      <c r="D3018" s="5" t="n">
        <v>190</v>
      </c>
      <c r="E3018" s="5" t="n">
        <v>2116.44</v>
      </c>
    </row>
    <row r="3019" customFormat="false" ht="12.75" hidden="false" customHeight="true" outlineLevel="0" collapsed="false">
      <c r="A3019" s="5" t="n">
        <v>194</v>
      </c>
      <c r="B3019" s="5" t="n">
        <v>91.5</v>
      </c>
      <c r="C3019" s="5" t="n">
        <v>2213720000</v>
      </c>
      <c r="D3019" s="5" t="n">
        <v>196.4</v>
      </c>
      <c r="E3019" s="5" t="n">
        <v>2213.72</v>
      </c>
    </row>
    <row r="3020" customFormat="false" ht="12.75" hidden="false" customHeight="true" outlineLevel="0" collapsed="false">
      <c r="A3020" s="5" t="n">
        <v>194</v>
      </c>
      <c r="B3020" s="5" t="n">
        <v>92</v>
      </c>
      <c r="C3020" s="5" t="n">
        <v>2314580000</v>
      </c>
      <c r="D3020" s="5" t="n">
        <v>203.8</v>
      </c>
      <c r="E3020" s="5" t="n">
        <v>2314.58</v>
      </c>
    </row>
    <row r="3021" customFormat="false" ht="12.75" hidden="false" customHeight="true" outlineLevel="0" collapsed="false">
      <c r="A3021" s="5" t="n">
        <v>194</v>
      </c>
      <c r="B3021" s="5" t="n">
        <v>92.5</v>
      </c>
      <c r="C3021" s="5" t="n">
        <v>2419060000</v>
      </c>
      <c r="D3021" s="5" t="n">
        <v>211</v>
      </c>
      <c r="E3021" s="5" t="n">
        <v>2419.06</v>
      </c>
    </row>
    <row r="3022" customFormat="false" ht="12.75" hidden="false" customHeight="true" outlineLevel="0" collapsed="false">
      <c r="A3022" s="5" t="n">
        <v>194</v>
      </c>
      <c r="B3022" s="5" t="n">
        <v>93</v>
      </c>
      <c r="C3022" s="5" t="n">
        <v>2527220000</v>
      </c>
      <c r="D3022" s="5" t="n">
        <v>218</v>
      </c>
      <c r="E3022" s="5" t="n">
        <v>2527.22</v>
      </c>
    </row>
    <row r="3023" customFormat="false" ht="12.75" hidden="false" customHeight="true" outlineLevel="0" collapsed="false">
      <c r="A3023" s="5" t="n">
        <v>194</v>
      </c>
      <c r="B3023" s="5" t="n">
        <v>93.5</v>
      </c>
      <c r="C3023" s="5" t="n">
        <v>2639110000</v>
      </c>
      <c r="D3023" s="5" t="n">
        <v>224.2</v>
      </c>
      <c r="E3023" s="5" t="n">
        <v>2639.11</v>
      </c>
    </row>
    <row r="3024" customFormat="false" ht="12.75" hidden="false" customHeight="true" outlineLevel="0" collapsed="false">
      <c r="A3024" s="5" t="n">
        <v>194</v>
      </c>
      <c r="B3024" s="5" t="n">
        <v>94</v>
      </c>
      <c r="C3024" s="5" t="n">
        <v>2754760000</v>
      </c>
      <c r="D3024" s="5" t="n">
        <v>232</v>
      </c>
      <c r="E3024" s="5" t="n">
        <v>2754.76</v>
      </c>
    </row>
    <row r="3025" customFormat="false" ht="12.75" hidden="false" customHeight="true" outlineLevel="0" collapsed="false">
      <c r="A3025" s="5" t="n">
        <v>194</v>
      </c>
      <c r="B3025" s="5" t="n">
        <v>94.5</v>
      </c>
      <c r="C3025" s="5" t="n">
        <v>2874230000</v>
      </c>
      <c r="D3025" s="5" t="n">
        <v>238.7</v>
      </c>
      <c r="E3025" s="5" t="n">
        <v>2874.23</v>
      </c>
    </row>
    <row r="3026" customFormat="false" ht="12.75" hidden="false" customHeight="true" outlineLevel="0" collapsed="false">
      <c r="A3026" s="5" t="n">
        <v>194</v>
      </c>
      <c r="B3026" s="5" t="n">
        <v>95</v>
      </c>
      <c r="C3026" s="5" t="n">
        <v>2997550000</v>
      </c>
      <c r="D3026" s="5" t="n">
        <v>245</v>
      </c>
      <c r="E3026" s="5" t="n">
        <v>2997.55</v>
      </c>
    </row>
    <row r="3027" customFormat="false" ht="12.75" hidden="false" customHeight="true" outlineLevel="0" collapsed="false">
      <c r="A3027" s="5" t="n">
        <v>194</v>
      </c>
      <c r="B3027" s="5" t="n">
        <v>95.5</v>
      </c>
      <c r="C3027" s="5" t="n">
        <v>3124760000</v>
      </c>
      <c r="D3027" s="5" t="n">
        <v>252</v>
      </c>
      <c r="E3027" s="5" t="n">
        <v>3124.76</v>
      </c>
    </row>
    <row r="3028" customFormat="false" ht="12.75" hidden="false" customHeight="true" outlineLevel="0" collapsed="false">
      <c r="A3028" s="5" t="n">
        <v>194</v>
      </c>
      <c r="B3028" s="5" t="n">
        <v>96</v>
      </c>
      <c r="C3028" s="5" t="n">
        <v>3255880000</v>
      </c>
      <c r="D3028" s="5" t="n">
        <v>259.2</v>
      </c>
      <c r="E3028" s="5" t="n">
        <v>3255.88</v>
      </c>
    </row>
    <row r="3029" customFormat="false" ht="12.75" hidden="false" customHeight="true" outlineLevel="0" collapsed="false">
      <c r="A3029" s="5" t="n">
        <v>194</v>
      </c>
      <c r="B3029" s="5" t="n">
        <v>96.5</v>
      </c>
      <c r="C3029" s="5" t="n">
        <v>3390940000</v>
      </c>
      <c r="D3029" s="5" t="n">
        <v>266.3</v>
      </c>
      <c r="E3029" s="5" t="n">
        <v>3390.94</v>
      </c>
    </row>
    <row r="3030" customFormat="false" ht="12.75" hidden="false" customHeight="true" outlineLevel="0" collapsed="false">
      <c r="A3030" s="5" t="n">
        <v>194</v>
      </c>
      <c r="B3030" s="5" t="n">
        <v>97</v>
      </c>
      <c r="C3030" s="5" t="n">
        <v>3529960000</v>
      </c>
      <c r="D3030" s="5" t="n">
        <v>274</v>
      </c>
      <c r="E3030" s="5" t="n">
        <v>3529.96</v>
      </c>
    </row>
    <row r="3031" customFormat="false" ht="12.75" hidden="false" customHeight="true" outlineLevel="0" collapsed="false">
      <c r="A3031" s="5" t="n">
        <v>194</v>
      </c>
      <c r="B3031" s="5" t="n">
        <v>97.5</v>
      </c>
      <c r="C3031" s="5" t="n">
        <v>3672960000</v>
      </c>
      <c r="D3031" s="5" t="n">
        <v>281.5</v>
      </c>
      <c r="E3031" s="5" t="n">
        <v>3672.96</v>
      </c>
    </row>
    <row r="3032" customFormat="false" ht="12.75" hidden="false" customHeight="true" outlineLevel="0" collapsed="false">
      <c r="A3032" s="5" t="n">
        <v>194</v>
      </c>
      <c r="B3032" s="5" t="n">
        <v>98</v>
      </c>
      <c r="C3032" s="5" t="n">
        <v>3819960000</v>
      </c>
      <c r="D3032" s="5" t="n">
        <v>288.4</v>
      </c>
      <c r="E3032" s="5" t="n">
        <v>3819.96</v>
      </c>
    </row>
    <row r="3033" customFormat="false" ht="12.75" hidden="false" customHeight="true" outlineLevel="0" collapsed="false">
      <c r="A3033" s="5" t="n">
        <v>194</v>
      </c>
      <c r="B3033" s="5" t="n">
        <v>98.5</v>
      </c>
      <c r="C3033" s="5" t="n">
        <v>3970960000</v>
      </c>
      <c r="D3033" s="5" t="n">
        <v>296</v>
      </c>
      <c r="E3033" s="5" t="n">
        <v>3970.96</v>
      </c>
    </row>
    <row r="3034" customFormat="false" ht="12.75" hidden="false" customHeight="true" outlineLevel="0" collapsed="false">
      <c r="A3034" s="5" t="n">
        <v>194</v>
      </c>
      <c r="B3034" s="5" t="n">
        <v>99</v>
      </c>
      <c r="C3034" s="5" t="n">
        <v>4125960000</v>
      </c>
      <c r="D3034" s="5" t="n">
        <v>304.3</v>
      </c>
      <c r="E3034" s="5" t="n">
        <v>4125.96</v>
      </c>
    </row>
    <row r="3035" customFormat="false" ht="12.75" hidden="false" customHeight="true" outlineLevel="0" collapsed="false">
      <c r="A3035" s="5" t="n">
        <v>194</v>
      </c>
      <c r="B3035" s="5" t="n">
        <v>99.5</v>
      </c>
      <c r="C3035" s="5" t="n">
        <v>4284970000</v>
      </c>
      <c r="D3035" s="5" t="n">
        <v>312.3</v>
      </c>
      <c r="E3035" s="5" t="n">
        <v>4284.97</v>
      </c>
    </row>
    <row r="3036" customFormat="false" ht="12.75" hidden="false" customHeight="true" outlineLevel="0" collapsed="false">
      <c r="A3036" s="5" t="n">
        <v>194</v>
      </c>
      <c r="B3036" s="5" t="n">
        <v>100</v>
      </c>
      <c r="C3036" s="5" t="n">
        <v>4447970000</v>
      </c>
      <c r="D3036" s="5" t="n">
        <v>320</v>
      </c>
      <c r="E3036" s="5" t="n">
        <v>4447.97</v>
      </c>
    </row>
    <row r="3037" customFormat="false" ht="12.75" hidden="false" customHeight="true" outlineLevel="0" collapsed="false">
      <c r="A3037" s="5" t="n">
        <v>194</v>
      </c>
      <c r="B3037" s="5" t="n">
        <v>100.5</v>
      </c>
      <c r="C3037" s="5" t="n">
        <v>4614960000</v>
      </c>
      <c r="D3037" s="5" t="n">
        <v>328.5</v>
      </c>
      <c r="E3037" s="5" t="n">
        <v>4614.96</v>
      </c>
    </row>
    <row r="3038" customFormat="false" ht="12.75" hidden="false" customHeight="true" outlineLevel="0" collapsed="false">
      <c r="A3038" s="5" t="n">
        <v>194</v>
      </c>
      <c r="B3038" s="5" t="n">
        <v>101</v>
      </c>
      <c r="C3038" s="5" t="n">
        <v>4785920000</v>
      </c>
      <c r="D3038" s="5" t="n">
        <v>337.8</v>
      </c>
      <c r="E3038" s="5" t="n">
        <v>4785.92</v>
      </c>
    </row>
    <row r="3039" customFormat="false" ht="12.75" hidden="false" customHeight="true" outlineLevel="0" collapsed="false">
      <c r="A3039" s="5" t="n">
        <v>194</v>
      </c>
      <c r="B3039" s="5" t="n">
        <v>101.5</v>
      </c>
      <c r="C3039" s="5" t="n">
        <v>4960830000</v>
      </c>
      <c r="D3039" s="5" t="n">
        <v>346.9</v>
      </c>
      <c r="E3039" s="5" t="n">
        <v>4960.83</v>
      </c>
    </row>
    <row r="3040" customFormat="false" ht="12.75" hidden="false" customHeight="true" outlineLevel="0" collapsed="false">
      <c r="A3040" s="5" t="n">
        <v>194</v>
      </c>
      <c r="B3040" s="5" t="n">
        <v>102</v>
      </c>
      <c r="C3040" s="5" t="n">
        <v>5139650000</v>
      </c>
      <c r="D3040" s="5" t="n">
        <v>356.2</v>
      </c>
      <c r="E3040" s="5" t="n">
        <v>5139.65</v>
      </c>
    </row>
    <row r="3041" customFormat="false" ht="12.75" hidden="false" customHeight="true" outlineLevel="0" collapsed="false">
      <c r="A3041" s="5" t="n">
        <v>194</v>
      </c>
      <c r="B3041" s="5" t="n">
        <v>102.5</v>
      </c>
      <c r="C3041" s="5" t="n">
        <v>5322360000</v>
      </c>
      <c r="D3041" s="5" t="n">
        <v>366.4</v>
      </c>
      <c r="E3041" s="5" t="n">
        <v>5322.36</v>
      </c>
    </row>
    <row r="3042" customFormat="false" ht="12.75" hidden="false" customHeight="true" outlineLevel="0" collapsed="false">
      <c r="A3042" s="5" t="n">
        <v>194</v>
      </c>
      <c r="B3042" s="5" t="n">
        <v>103</v>
      </c>
      <c r="C3042" s="5" t="n">
        <v>5508910000</v>
      </c>
      <c r="D3042" s="5" t="n">
        <v>376.7</v>
      </c>
      <c r="E3042" s="5" t="n">
        <v>5508.91</v>
      </c>
    </row>
    <row r="3043" customFormat="false" ht="12.75" hidden="false" customHeight="true" outlineLevel="0" collapsed="false">
      <c r="A3043" s="5" t="n">
        <v>194</v>
      </c>
      <c r="B3043" s="5" t="n">
        <v>103.5</v>
      </c>
      <c r="C3043" s="5" t="n">
        <v>5699270000</v>
      </c>
      <c r="D3043" s="5" t="n">
        <v>387.4</v>
      </c>
      <c r="E3043" s="5" t="n">
        <v>5699.27</v>
      </c>
    </row>
    <row r="3044" customFormat="false" ht="12.75" hidden="false" customHeight="true" outlineLevel="0" collapsed="false">
      <c r="A3044" s="5" t="n">
        <v>194</v>
      </c>
      <c r="B3044" s="5" t="n">
        <v>104</v>
      </c>
      <c r="C3044" s="5" t="n">
        <v>5893370000</v>
      </c>
      <c r="D3044" s="5" t="n">
        <v>398</v>
      </c>
      <c r="E3044" s="5" t="n">
        <v>5893.37</v>
      </c>
    </row>
    <row r="3045" customFormat="false" ht="12.75" hidden="false" customHeight="true" outlineLevel="0" collapsed="false">
      <c r="A3045" s="5" t="n">
        <v>194</v>
      </c>
      <c r="B3045" s="5" t="n">
        <v>104.5</v>
      </c>
      <c r="C3045" s="5" t="n">
        <v>6091160000</v>
      </c>
      <c r="D3045" s="5" t="n">
        <v>408.8</v>
      </c>
      <c r="E3045" s="5" t="n">
        <v>6091.16</v>
      </c>
    </row>
    <row r="3046" customFormat="false" ht="12.75" hidden="false" customHeight="true" outlineLevel="0" collapsed="false">
      <c r="A3046" s="5" t="n">
        <v>194</v>
      </c>
      <c r="B3046" s="5" t="n">
        <v>105</v>
      </c>
      <c r="C3046" s="5" t="n">
        <v>6292570000</v>
      </c>
      <c r="D3046" s="5" t="n">
        <v>420</v>
      </c>
      <c r="E3046" s="5" t="n">
        <v>6292.57</v>
      </c>
    </row>
    <row r="3047" customFormat="false" ht="12.75" hidden="false" customHeight="true" outlineLevel="0" collapsed="false">
      <c r="A3047" s="5" t="n">
        <v>194</v>
      </c>
      <c r="B3047" s="5" t="n">
        <v>105.5</v>
      </c>
      <c r="C3047" s="5" t="n">
        <v>6497540000</v>
      </c>
      <c r="D3047" s="5" t="n">
        <v>430.7</v>
      </c>
      <c r="E3047" s="5" t="n">
        <v>6497.54</v>
      </c>
    </row>
    <row r="3048" customFormat="false" ht="12.75" hidden="false" customHeight="true" outlineLevel="0" collapsed="false">
      <c r="A3048" s="5" t="n">
        <v>194</v>
      </c>
      <c r="B3048" s="5" t="n">
        <v>106</v>
      </c>
      <c r="C3048" s="5" t="n">
        <v>6700000000</v>
      </c>
      <c r="D3048" s="5" t="n">
        <v>441</v>
      </c>
      <c r="E3048" s="5" t="n">
        <v>6700</v>
      </c>
    </row>
    <row r="3049" customFormat="false" ht="12.75" hidden="false" customHeight="true" outlineLevel="0" collapsed="false">
      <c r="A3049" s="5" t="n">
        <v>194</v>
      </c>
      <c r="B3049" s="5" t="n">
        <v>106.5</v>
      </c>
      <c r="C3049" s="5" t="n">
        <v>6917810000</v>
      </c>
      <c r="D3049" s="5" t="n">
        <v>452</v>
      </c>
      <c r="E3049" s="5" t="n">
        <v>6917.81</v>
      </c>
    </row>
    <row r="3050" customFormat="false" ht="12.75" hidden="false" customHeight="true" outlineLevel="0" collapsed="false">
      <c r="A3050" s="5" t="n">
        <v>194</v>
      </c>
      <c r="B3050" s="5" t="n">
        <v>107</v>
      </c>
      <c r="C3050" s="5" t="n">
        <v>7132950000</v>
      </c>
      <c r="D3050" s="5" t="n">
        <v>463.8</v>
      </c>
      <c r="E3050" s="5" t="n">
        <v>7132.95</v>
      </c>
    </row>
    <row r="3051" customFormat="false" ht="12.75" hidden="false" customHeight="true" outlineLevel="0" collapsed="false">
      <c r="A3051" s="5" t="n">
        <v>194</v>
      </c>
      <c r="B3051" s="5" t="n">
        <v>107.5</v>
      </c>
      <c r="C3051" s="5" t="n">
        <v>7351280000</v>
      </c>
      <c r="D3051" s="5" t="n">
        <v>475.7</v>
      </c>
      <c r="E3051" s="5" t="n">
        <v>7351.28</v>
      </c>
    </row>
    <row r="3052" customFormat="false" ht="12.75" hidden="false" customHeight="true" outlineLevel="0" collapsed="false">
      <c r="A3052" s="5" t="n">
        <v>194</v>
      </c>
      <c r="B3052" s="5" t="n">
        <v>108</v>
      </c>
      <c r="C3052" s="5" t="n">
        <v>7572700000</v>
      </c>
      <c r="D3052" s="5" t="n">
        <v>488</v>
      </c>
      <c r="E3052" s="5" t="n">
        <v>7572.7</v>
      </c>
    </row>
    <row r="3053" customFormat="false" ht="12.75" hidden="false" customHeight="true" outlineLevel="0" collapsed="false">
      <c r="A3053" s="5" t="n">
        <v>194</v>
      </c>
      <c r="B3053" s="5" t="n">
        <v>108.5</v>
      </c>
      <c r="C3053" s="5" t="n">
        <v>7797100000</v>
      </c>
      <c r="D3053" s="5" t="n">
        <v>500.7</v>
      </c>
      <c r="E3053" s="5" t="n">
        <v>7797.1</v>
      </c>
    </row>
    <row r="3054" customFormat="false" ht="12.75" hidden="false" customHeight="true" outlineLevel="0" collapsed="false">
      <c r="A3054" s="5" t="n">
        <v>194</v>
      </c>
      <c r="B3054" s="5" t="n">
        <v>109</v>
      </c>
      <c r="C3054" s="5" t="n">
        <v>8024360000</v>
      </c>
      <c r="D3054" s="5" t="n">
        <v>513</v>
      </c>
      <c r="E3054" s="5" t="n">
        <v>8024.36</v>
      </c>
    </row>
    <row r="3055" customFormat="false" ht="12.75" hidden="false" customHeight="true" outlineLevel="0" collapsed="false">
      <c r="A3055" s="5" t="n">
        <v>194</v>
      </c>
      <c r="B3055" s="5" t="n">
        <v>109.5</v>
      </c>
      <c r="C3055" s="5" t="n">
        <v>8254340000</v>
      </c>
      <c r="D3055" s="5" t="n">
        <v>526.2</v>
      </c>
      <c r="E3055" s="5" t="n">
        <v>8254.34</v>
      </c>
    </row>
    <row r="3056" customFormat="false" ht="12.75" hidden="false" customHeight="true" outlineLevel="0" collapsed="false">
      <c r="A3056" s="5" t="n">
        <v>194</v>
      </c>
      <c r="B3056" s="5" t="n">
        <v>110</v>
      </c>
      <c r="C3056" s="5" t="n">
        <v>8486920000</v>
      </c>
      <c r="D3056" s="5" t="n">
        <v>540</v>
      </c>
      <c r="E3056" s="5" t="n">
        <v>8486.92</v>
      </c>
    </row>
    <row r="3057" customFormat="false" ht="12.75" hidden="false" customHeight="true" outlineLevel="0" collapsed="false">
      <c r="A3057" s="5" t="n">
        <v>194</v>
      </c>
      <c r="B3057" s="5" t="n">
        <v>110.5</v>
      </c>
      <c r="C3057" s="5" t="n">
        <v>8721940000</v>
      </c>
      <c r="D3057" s="5" t="n">
        <v>546.7</v>
      </c>
      <c r="E3057" s="5" t="n">
        <v>8721.94</v>
      </c>
    </row>
    <row r="3058" customFormat="false" ht="12.75" hidden="false" customHeight="true" outlineLevel="0" collapsed="false">
      <c r="A3058" s="5" t="n">
        <v>194</v>
      </c>
      <c r="B3058" s="5" t="n">
        <v>111</v>
      </c>
      <c r="C3058" s="5" t="n">
        <v>8959250000</v>
      </c>
      <c r="D3058" s="5" t="n">
        <v>558.4</v>
      </c>
      <c r="E3058" s="5" t="n">
        <v>8959.25</v>
      </c>
    </row>
    <row r="3059" customFormat="false" ht="12.75" hidden="false" customHeight="true" outlineLevel="0" collapsed="false">
      <c r="A3059" s="5" t="n">
        <v>194</v>
      </c>
      <c r="B3059" s="5" t="n">
        <v>111.5</v>
      </c>
      <c r="C3059" s="5" t="n">
        <v>9198690000</v>
      </c>
      <c r="D3059" s="5" t="n">
        <v>571.7</v>
      </c>
      <c r="E3059" s="5" t="n">
        <v>9198.69</v>
      </c>
    </row>
    <row r="3060" customFormat="false" ht="12.75" hidden="false" customHeight="true" outlineLevel="0" collapsed="false">
      <c r="A3060" s="5" t="n">
        <v>194</v>
      </c>
      <c r="B3060" s="5" t="n">
        <v>112</v>
      </c>
      <c r="C3060" s="5" t="n">
        <v>9440090000</v>
      </c>
      <c r="D3060" s="5" t="n">
        <v>585</v>
      </c>
      <c r="E3060" s="5" t="n">
        <v>9440.09</v>
      </c>
    </row>
    <row r="3061" customFormat="false" ht="12.75" hidden="false" customHeight="true" outlineLevel="0" collapsed="false">
      <c r="A3061" s="5" t="n">
        <v>194</v>
      </c>
      <c r="B3061" s="5" t="n">
        <v>112.5</v>
      </c>
      <c r="C3061" s="5" t="n">
        <v>9683270000</v>
      </c>
      <c r="D3061" s="5" t="n">
        <v>598.6</v>
      </c>
      <c r="E3061" s="5" t="n">
        <v>9683.27</v>
      </c>
    </row>
    <row r="3062" customFormat="false" ht="12.75" hidden="false" customHeight="true" outlineLevel="0" collapsed="false">
      <c r="A3062" s="5" t="n">
        <v>194</v>
      </c>
      <c r="B3062" s="5" t="n">
        <v>113</v>
      </c>
      <c r="C3062" s="5" t="n">
        <v>9928050000</v>
      </c>
      <c r="D3062" s="5" t="n">
        <v>613</v>
      </c>
      <c r="E3062" s="5" t="n">
        <v>9928.05</v>
      </c>
    </row>
    <row r="3063" customFormat="false" ht="12.75" hidden="false" customHeight="true" outlineLevel="0" collapsed="false">
      <c r="A3063" s="5" t="n">
        <v>194</v>
      </c>
      <c r="B3063" s="5" t="n">
        <v>113.5</v>
      </c>
      <c r="C3063" s="5" t="n">
        <v>10174220000</v>
      </c>
      <c r="D3063" s="5" t="n">
        <v>627.8</v>
      </c>
      <c r="E3063" s="5" t="n">
        <v>10174.22</v>
      </c>
    </row>
    <row r="3064" customFormat="false" ht="12.75" hidden="false" customHeight="true" outlineLevel="0" collapsed="false">
      <c r="A3064" s="5" t="n">
        <v>194</v>
      </c>
      <c r="B3064" s="5" t="n">
        <v>114</v>
      </c>
      <c r="C3064" s="5" t="n">
        <v>10421580000</v>
      </c>
      <c r="D3064" s="5" t="n">
        <v>642.4</v>
      </c>
      <c r="E3064" s="5" t="n">
        <v>10421.58</v>
      </c>
    </row>
    <row r="3065" customFormat="false" ht="12.75" hidden="false" customHeight="true" outlineLevel="0" collapsed="false">
      <c r="A3065" s="5" t="n">
        <v>197</v>
      </c>
      <c r="B3065" s="5" t="n">
        <v>74.96</v>
      </c>
      <c r="C3065" s="5" t="n">
        <v>0</v>
      </c>
      <c r="D3065" s="5" t="n">
        <v>0</v>
      </c>
      <c r="E3065" s="5" t="n">
        <v>0</v>
      </c>
    </row>
    <row r="3066" customFormat="false" ht="12.75" hidden="false" customHeight="true" outlineLevel="0" collapsed="false">
      <c r="A3066" s="5" t="n">
        <v>197</v>
      </c>
      <c r="B3066" s="5" t="n">
        <v>75</v>
      </c>
      <c r="C3066" s="5" t="n">
        <v>0</v>
      </c>
      <c r="D3066" s="5" t="n">
        <v>0</v>
      </c>
      <c r="E3066" s="5" t="n">
        <v>0</v>
      </c>
    </row>
    <row r="3067" customFormat="false" ht="12.75" hidden="false" customHeight="true" outlineLevel="0" collapsed="false">
      <c r="A3067" s="5" t="n">
        <v>197</v>
      </c>
      <c r="B3067" s="5" t="n">
        <v>76</v>
      </c>
      <c r="C3067" s="5" t="n">
        <v>10300</v>
      </c>
      <c r="D3067" s="5" t="n">
        <v>0.03</v>
      </c>
      <c r="E3067" s="5" t="n">
        <v>0.0103</v>
      </c>
    </row>
    <row r="3068" customFormat="false" ht="12.75" hidden="false" customHeight="true" outlineLevel="0" collapsed="false">
      <c r="A3068" s="5" t="n">
        <v>197</v>
      </c>
      <c r="B3068" s="5" t="n">
        <v>77</v>
      </c>
      <c r="C3068" s="5" t="n">
        <v>79300</v>
      </c>
      <c r="D3068" s="5" t="n">
        <v>0.11</v>
      </c>
      <c r="E3068" s="5" t="n">
        <v>0.0793</v>
      </c>
    </row>
    <row r="3069" customFormat="false" ht="12.75" hidden="false" customHeight="true" outlineLevel="0" collapsed="false">
      <c r="A3069" s="5" t="n">
        <v>197</v>
      </c>
      <c r="B3069" s="5" t="n">
        <v>78</v>
      </c>
      <c r="C3069" s="5" t="n">
        <v>252000</v>
      </c>
      <c r="D3069" s="5" t="n">
        <v>0.24</v>
      </c>
      <c r="E3069" s="5" t="n">
        <v>0.252</v>
      </c>
    </row>
    <row r="3070" customFormat="false" ht="12.75" hidden="false" customHeight="true" outlineLevel="0" collapsed="false">
      <c r="A3070" s="5" t="n">
        <v>197</v>
      </c>
      <c r="B3070" s="5" t="n">
        <v>79</v>
      </c>
      <c r="C3070" s="5" t="n">
        <v>604000</v>
      </c>
      <c r="D3070" s="5" t="n">
        <v>0.49</v>
      </c>
      <c r="E3070" s="5" t="n">
        <v>0.604</v>
      </c>
    </row>
    <row r="3071" customFormat="false" ht="12.75" hidden="false" customHeight="true" outlineLevel="0" collapsed="false">
      <c r="A3071" s="5" t="n">
        <v>197</v>
      </c>
      <c r="B3071" s="5" t="n">
        <v>80</v>
      </c>
      <c r="C3071" s="5" t="n">
        <v>1268000</v>
      </c>
      <c r="D3071" s="5" t="n">
        <v>0.84</v>
      </c>
      <c r="E3071" s="5" t="n">
        <v>1.268</v>
      </c>
    </row>
    <row r="3072" customFormat="false" ht="12.75" hidden="false" customHeight="true" outlineLevel="0" collapsed="false">
      <c r="A3072" s="5" t="n">
        <v>197</v>
      </c>
      <c r="B3072" s="5" t="n">
        <v>81</v>
      </c>
      <c r="C3072" s="5" t="n">
        <v>2324000</v>
      </c>
      <c r="D3072" s="5" t="n">
        <v>1.28</v>
      </c>
      <c r="E3072" s="5" t="n">
        <v>2.324</v>
      </c>
    </row>
    <row r="3073" customFormat="false" ht="12.75" hidden="false" customHeight="true" outlineLevel="0" collapsed="false">
      <c r="A3073" s="5" t="n">
        <v>197</v>
      </c>
      <c r="B3073" s="5" t="n">
        <v>82</v>
      </c>
      <c r="C3073" s="5" t="n">
        <v>3870100</v>
      </c>
      <c r="D3073" s="5" t="n">
        <v>1.82</v>
      </c>
      <c r="E3073" s="5" t="n">
        <v>3.8701</v>
      </c>
    </row>
    <row r="3074" customFormat="false" ht="12.75" hidden="false" customHeight="true" outlineLevel="0" collapsed="false">
      <c r="A3074" s="5" t="n">
        <v>197</v>
      </c>
      <c r="B3074" s="5" t="n">
        <v>83</v>
      </c>
      <c r="C3074" s="5" t="n">
        <v>6023700</v>
      </c>
      <c r="D3074" s="5" t="n">
        <v>2.4</v>
      </c>
      <c r="E3074" s="5" t="n">
        <v>6.0237</v>
      </c>
    </row>
    <row r="3075" customFormat="false" ht="12.75" hidden="false" customHeight="true" outlineLevel="0" collapsed="false">
      <c r="A3075" s="5" t="n">
        <v>197</v>
      </c>
      <c r="B3075" s="5" t="n">
        <v>83.73</v>
      </c>
      <c r="C3075" s="5" t="n">
        <v>7806500</v>
      </c>
      <c r="D3075" s="5" t="n">
        <v>2.48</v>
      </c>
      <c r="E3075" s="5" t="n">
        <v>7.8065</v>
      </c>
    </row>
    <row r="3076" customFormat="false" ht="12.75" hidden="false" customHeight="true" outlineLevel="0" collapsed="false">
      <c r="A3076" s="5" t="n">
        <v>197</v>
      </c>
      <c r="B3076" s="5" t="n">
        <v>84</v>
      </c>
      <c r="C3076" s="5" t="n">
        <v>8522000</v>
      </c>
      <c r="D3076" s="5" t="n">
        <v>2.69</v>
      </c>
      <c r="E3076" s="5" t="n">
        <v>8.522</v>
      </c>
    </row>
    <row r="3077" customFormat="false" ht="12.75" hidden="false" customHeight="true" outlineLevel="0" collapsed="false">
      <c r="A3077" s="5" t="n">
        <v>197</v>
      </c>
      <c r="B3077" s="5" t="n">
        <v>84.6</v>
      </c>
      <c r="C3077" s="5" t="n">
        <v>12170000</v>
      </c>
      <c r="D3077" s="5" t="n">
        <v>3</v>
      </c>
      <c r="E3077" s="5" t="n">
        <v>12.17</v>
      </c>
    </row>
    <row r="3078" customFormat="false" ht="12.75" hidden="false" customHeight="true" outlineLevel="0" collapsed="false">
      <c r="A3078" s="5" t="n">
        <v>197</v>
      </c>
      <c r="B3078" s="5" t="n">
        <v>86</v>
      </c>
      <c r="C3078" s="5" t="n">
        <v>17759000</v>
      </c>
      <c r="D3078" s="5" t="n">
        <v>5.12</v>
      </c>
      <c r="E3078" s="5" t="n">
        <v>17.759</v>
      </c>
    </row>
    <row r="3079" customFormat="false" ht="12.75" hidden="false" customHeight="true" outlineLevel="0" collapsed="false">
      <c r="A3079" s="5" t="n">
        <v>197</v>
      </c>
      <c r="B3079" s="5" t="n">
        <v>88</v>
      </c>
      <c r="C3079" s="5" t="n">
        <v>32056000</v>
      </c>
      <c r="D3079" s="5" t="n">
        <v>7.75</v>
      </c>
      <c r="E3079" s="5" t="n">
        <v>32.056</v>
      </c>
    </row>
    <row r="3080" customFormat="false" ht="12.75" hidden="false" customHeight="true" outlineLevel="0" collapsed="false">
      <c r="A3080" s="5" t="n">
        <v>199</v>
      </c>
      <c r="B3080" s="5" t="n">
        <v>105</v>
      </c>
      <c r="C3080" s="5" t="n">
        <v>0</v>
      </c>
      <c r="D3080" s="5" t="n">
        <v>0</v>
      </c>
      <c r="E3080" s="5" t="n">
        <v>0</v>
      </c>
    </row>
    <row r="3081" customFormat="false" ht="12.75" hidden="false" customHeight="true" outlineLevel="0" collapsed="false">
      <c r="A3081" s="5" t="n">
        <v>199</v>
      </c>
      <c r="B3081" s="5" t="n">
        <v>106</v>
      </c>
      <c r="C3081" s="5" t="n">
        <v>1500</v>
      </c>
      <c r="D3081" s="5" t="n">
        <v>0.0044</v>
      </c>
      <c r="E3081" s="5" t="n">
        <v>0.0015</v>
      </c>
    </row>
    <row r="3082" customFormat="false" ht="12.75" hidden="false" customHeight="true" outlineLevel="0" collapsed="false">
      <c r="A3082" s="5" t="n">
        <v>199</v>
      </c>
      <c r="B3082" s="5" t="n">
        <v>107</v>
      </c>
      <c r="C3082" s="5" t="n">
        <v>24500</v>
      </c>
      <c r="D3082" s="5" t="n">
        <v>0.042</v>
      </c>
      <c r="E3082" s="5" t="n">
        <v>0.0245</v>
      </c>
    </row>
    <row r="3083" customFormat="false" ht="12.75" hidden="false" customHeight="true" outlineLevel="0" collapsed="false">
      <c r="A3083" s="5" t="n">
        <v>199</v>
      </c>
      <c r="B3083" s="5" t="n">
        <v>108</v>
      </c>
      <c r="C3083" s="5" t="n">
        <v>94000</v>
      </c>
      <c r="D3083" s="5" t="n">
        <v>0.097</v>
      </c>
      <c r="E3083" s="5" t="n">
        <v>0.094</v>
      </c>
    </row>
    <row r="3084" customFormat="false" ht="12.75" hidden="false" customHeight="true" outlineLevel="0" collapsed="false">
      <c r="A3084" s="5" t="n">
        <v>199</v>
      </c>
      <c r="B3084" s="5" t="n">
        <v>109</v>
      </c>
      <c r="C3084" s="5" t="n">
        <v>246000</v>
      </c>
      <c r="D3084" s="5" t="n">
        <v>0.206</v>
      </c>
      <c r="E3084" s="5" t="n">
        <v>0.246</v>
      </c>
    </row>
    <row r="3085" customFormat="false" ht="12.75" hidden="false" customHeight="true" outlineLevel="0" collapsed="false">
      <c r="A3085" s="5" t="n">
        <v>199</v>
      </c>
      <c r="B3085" s="5" t="n">
        <v>110</v>
      </c>
      <c r="C3085" s="5" t="n">
        <v>518000</v>
      </c>
      <c r="D3085" s="5" t="n">
        <v>0.338</v>
      </c>
      <c r="E3085" s="5" t="n">
        <v>0.518</v>
      </c>
    </row>
    <row r="3086" customFormat="false" ht="12.75" hidden="false" customHeight="true" outlineLevel="0" collapsed="false">
      <c r="A3086" s="5" t="n">
        <v>199</v>
      </c>
      <c r="B3086" s="5" t="n">
        <v>111</v>
      </c>
      <c r="C3086" s="5" t="n">
        <v>916000</v>
      </c>
      <c r="D3086" s="5" t="n">
        <v>0.458</v>
      </c>
      <c r="E3086" s="5" t="n">
        <v>0.916</v>
      </c>
    </row>
    <row r="3087" customFormat="false" ht="12.75" hidden="false" customHeight="true" outlineLevel="0" collapsed="false">
      <c r="A3087" s="5" t="n">
        <v>199</v>
      </c>
      <c r="B3087" s="5" t="n">
        <v>112</v>
      </c>
      <c r="C3087" s="5" t="n">
        <v>1440000</v>
      </c>
      <c r="D3087" s="5" t="n">
        <v>0.596</v>
      </c>
      <c r="E3087" s="5" t="n">
        <v>1.44</v>
      </c>
    </row>
    <row r="3088" customFormat="false" ht="12.75" hidden="false" customHeight="true" outlineLevel="0" collapsed="false">
      <c r="A3088" s="5" t="n">
        <v>199</v>
      </c>
      <c r="B3088" s="5" t="n">
        <v>113</v>
      </c>
      <c r="C3088" s="5" t="n">
        <v>2100000</v>
      </c>
      <c r="D3088" s="5" t="n">
        <v>0.722</v>
      </c>
      <c r="E3088" s="5" t="n">
        <v>2.1</v>
      </c>
    </row>
    <row r="3089" customFormat="false" ht="12.75" hidden="false" customHeight="true" outlineLevel="0" collapsed="false">
      <c r="A3089" s="5" t="n">
        <v>199</v>
      </c>
      <c r="B3089" s="5" t="n">
        <v>114</v>
      </c>
      <c r="C3089" s="5" t="n">
        <v>2888000</v>
      </c>
      <c r="D3089" s="5" t="n">
        <v>0.847</v>
      </c>
      <c r="E3089" s="5" t="n">
        <v>2.888</v>
      </c>
    </row>
    <row r="3090" customFormat="false" ht="12.75" hidden="false" customHeight="true" outlineLevel="0" collapsed="false">
      <c r="A3090" s="5" t="n">
        <v>199</v>
      </c>
      <c r="B3090" s="5" t="n">
        <v>115</v>
      </c>
      <c r="C3090" s="5" t="n">
        <v>3800000</v>
      </c>
      <c r="D3090" s="5" t="n">
        <v>0.967</v>
      </c>
      <c r="E3090" s="5" t="n">
        <v>3.8</v>
      </c>
    </row>
    <row r="3091" customFormat="false" ht="12.75" hidden="false" customHeight="true" outlineLevel="0" collapsed="false">
      <c r="A3091" s="5" t="n">
        <v>199</v>
      </c>
      <c r="B3091" s="5" t="n">
        <v>116</v>
      </c>
      <c r="C3091" s="5" t="n">
        <v>4800000</v>
      </c>
      <c r="D3091" s="5" t="n">
        <v>1.094</v>
      </c>
      <c r="E3091" s="5" t="n">
        <v>4.8</v>
      </c>
    </row>
    <row r="3092" customFormat="false" ht="12.75" hidden="false" customHeight="true" outlineLevel="0" collapsed="false">
      <c r="A3092" s="5" t="n">
        <v>199</v>
      </c>
      <c r="B3092" s="5" t="n">
        <v>117</v>
      </c>
      <c r="C3092" s="5" t="n">
        <v>5990000</v>
      </c>
      <c r="D3092" s="5" t="n">
        <v>1.223</v>
      </c>
      <c r="E3092" s="5" t="n">
        <v>5.99</v>
      </c>
    </row>
    <row r="3093" customFormat="false" ht="12.75" hidden="false" customHeight="true" outlineLevel="0" collapsed="false">
      <c r="A3093" s="5" t="n">
        <v>199</v>
      </c>
      <c r="B3093" s="5" t="n">
        <v>118</v>
      </c>
      <c r="C3093" s="5" t="n">
        <v>7270000</v>
      </c>
      <c r="D3093" s="5" t="n">
        <v>1.362</v>
      </c>
      <c r="E3093" s="5" t="n">
        <v>7.27</v>
      </c>
    </row>
    <row r="3094" customFormat="false" ht="12.75" hidden="false" customHeight="true" outlineLevel="0" collapsed="false">
      <c r="A3094" s="5" t="n">
        <v>199</v>
      </c>
      <c r="B3094" s="5" t="n">
        <v>119</v>
      </c>
      <c r="C3094" s="5" t="n">
        <v>8700000</v>
      </c>
      <c r="D3094" s="5" t="n">
        <v>1.52</v>
      </c>
      <c r="E3094" s="5" t="n">
        <v>8.7</v>
      </c>
    </row>
    <row r="3095" customFormat="false" ht="12.75" hidden="false" customHeight="true" outlineLevel="0" collapsed="false">
      <c r="A3095" s="5" t="n">
        <v>199</v>
      </c>
      <c r="B3095" s="5" t="n">
        <v>120</v>
      </c>
      <c r="C3095" s="5" t="n">
        <v>10320000</v>
      </c>
      <c r="D3095" s="5" t="n">
        <v>1.691</v>
      </c>
      <c r="E3095" s="5" t="n">
        <v>10.32</v>
      </c>
    </row>
    <row r="3096" customFormat="false" ht="12.75" hidden="false" customHeight="true" outlineLevel="0" collapsed="false">
      <c r="A3096" s="5" t="n">
        <v>199</v>
      </c>
      <c r="B3096" s="5" t="n">
        <v>121</v>
      </c>
      <c r="C3096" s="5" t="n">
        <v>12140000</v>
      </c>
      <c r="D3096" s="5" t="n">
        <v>1.949</v>
      </c>
      <c r="E3096" s="5" t="n">
        <v>12.14</v>
      </c>
    </row>
    <row r="3097" customFormat="false" ht="12.75" hidden="false" customHeight="true" outlineLevel="0" collapsed="false">
      <c r="A3097" s="5" t="n">
        <v>199</v>
      </c>
      <c r="B3097" s="5" t="n">
        <v>122</v>
      </c>
      <c r="C3097" s="5" t="n">
        <v>14900000</v>
      </c>
      <c r="D3097" s="5" t="n">
        <v>2.337</v>
      </c>
      <c r="E3097" s="5" t="n">
        <v>14.9</v>
      </c>
    </row>
    <row r="3098" customFormat="false" ht="12.75" hidden="false" customHeight="true" outlineLevel="0" collapsed="false">
      <c r="A3098" s="5" t="n">
        <v>201</v>
      </c>
      <c r="B3098" s="5" t="n">
        <v>336.3</v>
      </c>
      <c r="C3098" s="5" t="n">
        <v>0</v>
      </c>
      <c r="D3098" s="5" t="n">
        <v>0</v>
      </c>
      <c r="E3098" s="5" t="n">
        <v>0</v>
      </c>
    </row>
    <row r="3099" customFormat="false" ht="12.75" hidden="false" customHeight="true" outlineLevel="0" collapsed="false">
      <c r="A3099" s="5" t="n">
        <v>201</v>
      </c>
      <c r="B3099" s="5" t="n">
        <v>337</v>
      </c>
      <c r="C3099" s="5" t="n">
        <v>80</v>
      </c>
      <c r="D3099" s="5" t="n">
        <v>0.0004</v>
      </c>
      <c r="E3099" s="5" t="n">
        <v>8E-005</v>
      </c>
    </row>
    <row r="3100" customFormat="false" ht="12.75" hidden="false" customHeight="true" outlineLevel="0" collapsed="false">
      <c r="A3100" s="5" t="n">
        <v>201</v>
      </c>
      <c r="B3100" s="5" t="n">
        <v>338</v>
      </c>
      <c r="C3100" s="5" t="n">
        <v>2700</v>
      </c>
      <c r="D3100" s="5" t="n">
        <v>0.0056</v>
      </c>
      <c r="E3100" s="5" t="n">
        <v>0.0027</v>
      </c>
    </row>
    <row r="3101" customFormat="false" ht="12.75" hidden="false" customHeight="true" outlineLevel="0" collapsed="false">
      <c r="A3101" s="5" t="n">
        <v>201</v>
      </c>
      <c r="B3101" s="5" t="n">
        <v>339</v>
      </c>
      <c r="C3101" s="5" t="n">
        <v>13000</v>
      </c>
      <c r="D3101" s="5" t="n">
        <v>0.016</v>
      </c>
      <c r="E3101" s="5" t="n">
        <v>0.013</v>
      </c>
    </row>
    <row r="3102" customFormat="false" ht="12.75" hidden="false" customHeight="true" outlineLevel="0" collapsed="false">
      <c r="A3102" s="5" t="n">
        <v>201</v>
      </c>
      <c r="B3102" s="5" t="n">
        <v>340</v>
      </c>
      <c r="C3102" s="5" t="n">
        <v>40800</v>
      </c>
      <c r="D3102" s="5" t="n">
        <v>0.04</v>
      </c>
      <c r="E3102" s="5" t="n">
        <v>0.0408</v>
      </c>
    </row>
    <row r="3103" customFormat="false" ht="12.75" hidden="false" customHeight="true" outlineLevel="0" collapsed="false">
      <c r="A3103" s="5" t="n">
        <v>201</v>
      </c>
      <c r="B3103" s="5" t="n">
        <v>341</v>
      </c>
      <c r="C3103" s="5" t="n">
        <v>103000</v>
      </c>
      <c r="D3103" s="5" t="n">
        <v>0.08</v>
      </c>
      <c r="E3103" s="5" t="n">
        <v>0.103</v>
      </c>
    </row>
    <row r="3104" customFormat="false" ht="12.75" hidden="false" customHeight="true" outlineLevel="0" collapsed="false">
      <c r="A3104" s="5" t="n">
        <v>201</v>
      </c>
      <c r="B3104" s="5" t="n">
        <v>342</v>
      </c>
      <c r="C3104" s="5" t="n">
        <v>190000</v>
      </c>
      <c r="D3104" s="5" t="n">
        <v>0.09</v>
      </c>
      <c r="E3104" s="5" t="n">
        <v>0.19</v>
      </c>
    </row>
    <row r="3105" customFormat="false" ht="12.75" hidden="false" customHeight="true" outlineLevel="0" collapsed="false">
      <c r="A3105" s="5" t="n">
        <v>201</v>
      </c>
      <c r="B3105" s="5" t="n">
        <v>342.26</v>
      </c>
      <c r="C3105" s="5" t="n">
        <v>215000</v>
      </c>
      <c r="D3105" s="5" t="n">
        <v>0.1</v>
      </c>
      <c r="E3105" s="5" t="n">
        <v>0.215</v>
      </c>
    </row>
    <row r="3106" customFormat="false" ht="12.75" hidden="false" customHeight="true" outlineLevel="0" collapsed="false">
      <c r="A3106" s="5" t="n">
        <v>201</v>
      </c>
      <c r="B3106" s="5" t="n">
        <v>343</v>
      </c>
      <c r="C3106" s="5" t="n">
        <v>427000</v>
      </c>
      <c r="D3106" s="5" t="n">
        <v>0.22</v>
      </c>
      <c r="E3106" s="5" t="n">
        <v>0.427</v>
      </c>
    </row>
    <row r="3107" customFormat="false" ht="12.75" hidden="false" customHeight="true" outlineLevel="0" collapsed="false">
      <c r="A3107" s="5" t="n">
        <v>201</v>
      </c>
      <c r="B3107" s="5" t="n">
        <v>344</v>
      </c>
      <c r="C3107" s="5" t="n">
        <v>851000</v>
      </c>
      <c r="D3107" s="5" t="n">
        <v>0.33</v>
      </c>
      <c r="E3107" s="5" t="n">
        <v>0.851</v>
      </c>
    </row>
    <row r="3108" customFormat="false" ht="12.75" hidden="false" customHeight="true" outlineLevel="0" collapsed="false">
      <c r="A3108" s="5" t="n">
        <v>201</v>
      </c>
      <c r="B3108" s="5" t="n">
        <v>345</v>
      </c>
      <c r="C3108" s="5" t="n">
        <v>1390000</v>
      </c>
      <c r="D3108" s="5" t="n">
        <v>0.46</v>
      </c>
      <c r="E3108" s="5" t="n">
        <v>1.39</v>
      </c>
    </row>
    <row r="3109" customFormat="false" ht="12.75" hidden="false" customHeight="true" outlineLevel="0" collapsed="false">
      <c r="A3109" s="5" t="n">
        <v>201</v>
      </c>
      <c r="B3109" s="5" t="n">
        <v>346</v>
      </c>
      <c r="C3109" s="5" t="n">
        <v>2087000</v>
      </c>
      <c r="D3109" s="5" t="n">
        <v>0.64</v>
      </c>
      <c r="E3109" s="5" t="n">
        <v>2.087</v>
      </c>
    </row>
    <row r="3110" customFormat="false" ht="12.75" hidden="false" customHeight="true" outlineLevel="0" collapsed="false">
      <c r="A3110" s="5" t="n">
        <v>201</v>
      </c>
      <c r="B3110" s="5" t="n">
        <v>347</v>
      </c>
      <c r="C3110" s="5" t="n">
        <v>3000000</v>
      </c>
      <c r="D3110" s="5" t="n">
        <v>0.89</v>
      </c>
      <c r="E3110" s="5" t="n">
        <v>3</v>
      </c>
    </row>
    <row r="3111" customFormat="false" ht="12.75" hidden="false" customHeight="true" outlineLevel="0" collapsed="false">
      <c r="A3111" s="5" t="n">
        <v>201</v>
      </c>
      <c r="B3111" s="5" t="n">
        <v>348</v>
      </c>
      <c r="C3111" s="5" t="n">
        <v>4162000</v>
      </c>
      <c r="D3111" s="5" t="n">
        <v>1.13</v>
      </c>
      <c r="E3111" s="5" t="n">
        <v>4.162</v>
      </c>
    </row>
    <row r="3112" customFormat="false" ht="12.75" hidden="false" customHeight="true" outlineLevel="0" collapsed="false">
      <c r="A3112" s="5" t="n">
        <v>201</v>
      </c>
      <c r="B3112" s="5" t="n">
        <v>349</v>
      </c>
      <c r="C3112" s="5" t="n">
        <v>5567000</v>
      </c>
      <c r="D3112" s="5" t="n">
        <v>1.38</v>
      </c>
      <c r="E3112" s="5" t="n">
        <v>5.567</v>
      </c>
    </row>
    <row r="3113" customFormat="false" ht="12.75" hidden="false" customHeight="true" outlineLevel="0" collapsed="false">
      <c r="A3113" s="5" t="n">
        <v>201</v>
      </c>
      <c r="B3113" s="5" t="n">
        <v>350</v>
      </c>
      <c r="C3113" s="5" t="n">
        <v>7226000</v>
      </c>
      <c r="D3113" s="5" t="n">
        <v>1.64</v>
      </c>
      <c r="E3113" s="5" t="n">
        <v>7.226</v>
      </c>
    </row>
    <row r="3114" customFormat="false" ht="12.75" hidden="false" customHeight="true" outlineLevel="0" collapsed="false">
      <c r="A3114" s="5" t="n">
        <v>201</v>
      </c>
      <c r="B3114" s="5" t="n">
        <v>351</v>
      </c>
      <c r="C3114" s="5" t="n">
        <v>9175000</v>
      </c>
      <c r="D3114" s="5" t="n">
        <v>1.96</v>
      </c>
      <c r="E3114" s="5" t="n">
        <v>9.175</v>
      </c>
    </row>
    <row r="3115" customFormat="false" ht="12.75" hidden="false" customHeight="true" outlineLevel="0" collapsed="false">
      <c r="A3115" s="5" t="n">
        <v>201</v>
      </c>
      <c r="B3115" s="5" t="n">
        <v>352</v>
      </c>
      <c r="C3115" s="5" t="n">
        <v>11423000</v>
      </c>
      <c r="D3115" s="5" t="n">
        <v>2.24</v>
      </c>
      <c r="E3115" s="5" t="n">
        <v>11.423</v>
      </c>
    </row>
    <row r="3116" customFormat="false" ht="12.75" hidden="false" customHeight="true" outlineLevel="0" collapsed="false">
      <c r="A3116" s="5" t="n">
        <v>201</v>
      </c>
      <c r="B3116" s="5" t="n">
        <v>353</v>
      </c>
      <c r="C3116" s="5" t="n">
        <v>13955000</v>
      </c>
      <c r="D3116" s="5" t="n">
        <v>2.53</v>
      </c>
      <c r="E3116" s="5" t="n">
        <v>13.955</v>
      </c>
    </row>
    <row r="3117" customFormat="false" ht="12.75" hidden="false" customHeight="true" outlineLevel="0" collapsed="false">
      <c r="A3117" s="5" t="n">
        <v>201</v>
      </c>
      <c r="B3117" s="5" t="n">
        <v>354</v>
      </c>
      <c r="C3117" s="5" t="n">
        <v>16970000</v>
      </c>
      <c r="D3117" s="5" t="n">
        <v>3.2</v>
      </c>
      <c r="E3117" s="5" t="n">
        <v>16.97</v>
      </c>
    </row>
    <row r="3118" customFormat="false" ht="12.75" hidden="false" customHeight="true" outlineLevel="0" collapsed="false">
      <c r="A3118" s="5" t="n">
        <v>201</v>
      </c>
      <c r="B3118" s="5" t="n">
        <v>355</v>
      </c>
      <c r="C3118" s="5" t="n">
        <v>20490000</v>
      </c>
      <c r="D3118" s="5" t="n">
        <v>3.54</v>
      </c>
      <c r="E3118" s="5" t="n">
        <v>20.49</v>
      </c>
    </row>
    <row r="3119" customFormat="false" ht="12.75" hidden="false" customHeight="true" outlineLevel="0" collapsed="false">
      <c r="A3119" s="5" t="n">
        <v>201</v>
      </c>
      <c r="B3119" s="5" t="n">
        <v>356</v>
      </c>
      <c r="C3119" s="5" t="n">
        <v>24377000</v>
      </c>
      <c r="D3119" s="5" t="n">
        <v>3.93</v>
      </c>
      <c r="E3119" s="5" t="n">
        <v>24.377</v>
      </c>
    </row>
    <row r="3120" customFormat="false" ht="12.75" hidden="false" customHeight="true" outlineLevel="0" collapsed="false">
      <c r="A3120" s="5" t="n">
        <v>201</v>
      </c>
      <c r="B3120" s="5" t="n">
        <v>357</v>
      </c>
      <c r="C3120" s="5" t="n">
        <v>28687000</v>
      </c>
      <c r="D3120" s="5" t="n">
        <v>4.39</v>
      </c>
      <c r="E3120" s="5" t="n">
        <v>28.687</v>
      </c>
    </row>
    <row r="3121" customFormat="false" ht="12.75" hidden="false" customHeight="true" outlineLevel="0" collapsed="false">
      <c r="A3121" s="5" t="n">
        <v>202</v>
      </c>
      <c r="B3121" s="5" t="n">
        <v>89.85</v>
      </c>
      <c r="C3121" s="5" t="n">
        <v>0</v>
      </c>
      <c r="D3121" s="5" t="n">
        <v>0</v>
      </c>
      <c r="E3121" s="5" t="n">
        <v>0</v>
      </c>
    </row>
    <row r="3122" customFormat="false" ht="12.75" hidden="false" customHeight="true" outlineLevel="0" collapsed="false">
      <c r="A3122" s="5" t="n">
        <v>202</v>
      </c>
      <c r="B3122" s="5" t="n">
        <v>90</v>
      </c>
      <c r="C3122" s="5" t="n">
        <v>0</v>
      </c>
      <c r="D3122" s="5" t="n">
        <v>0</v>
      </c>
      <c r="E3122" s="5" t="n">
        <v>0</v>
      </c>
    </row>
    <row r="3123" customFormat="false" ht="12.75" hidden="false" customHeight="true" outlineLevel="0" collapsed="false">
      <c r="A3123" s="5" t="n">
        <v>202</v>
      </c>
      <c r="B3123" s="5" t="n">
        <v>91</v>
      </c>
      <c r="C3123" s="5" t="n">
        <v>1</v>
      </c>
      <c r="D3123" s="5" t="n">
        <v>0</v>
      </c>
      <c r="E3123" s="5" t="n">
        <v>1E-006</v>
      </c>
    </row>
    <row r="3124" customFormat="false" ht="12.75" hidden="false" customHeight="true" outlineLevel="0" collapsed="false">
      <c r="A3124" s="5" t="n">
        <v>202</v>
      </c>
      <c r="B3124" s="5" t="n">
        <v>92</v>
      </c>
      <c r="C3124" s="5" t="n">
        <v>6</v>
      </c>
      <c r="D3124" s="5" t="n">
        <v>0</v>
      </c>
      <c r="E3124" s="5" t="n">
        <v>6E-006</v>
      </c>
    </row>
    <row r="3125" customFormat="false" ht="12.75" hidden="false" customHeight="true" outlineLevel="0" collapsed="false">
      <c r="A3125" s="5" t="n">
        <v>202</v>
      </c>
      <c r="B3125" s="5" t="n">
        <v>93</v>
      </c>
      <c r="C3125" s="5" t="n">
        <v>20</v>
      </c>
      <c r="D3125" s="5" t="n">
        <v>0</v>
      </c>
      <c r="E3125" s="5" t="n">
        <v>2E-005</v>
      </c>
    </row>
    <row r="3126" customFormat="false" ht="12.75" hidden="false" customHeight="true" outlineLevel="0" collapsed="false">
      <c r="A3126" s="5" t="n">
        <v>202</v>
      </c>
      <c r="B3126" s="5" t="n">
        <v>94</v>
      </c>
      <c r="C3126" s="5" t="n">
        <v>73</v>
      </c>
      <c r="D3126" s="5" t="n">
        <v>0.0005</v>
      </c>
      <c r="E3126" s="5" t="n">
        <v>7.3E-005</v>
      </c>
    </row>
    <row r="3127" customFormat="false" ht="12.75" hidden="false" customHeight="true" outlineLevel="0" collapsed="false">
      <c r="A3127" s="5" t="n">
        <v>202</v>
      </c>
      <c r="B3127" s="5" t="n">
        <v>95</v>
      </c>
      <c r="C3127" s="5" t="n">
        <v>11352</v>
      </c>
      <c r="D3127" s="5" t="n">
        <v>0.0339</v>
      </c>
      <c r="E3127" s="5" t="n">
        <v>0.011352</v>
      </c>
    </row>
    <row r="3128" customFormat="false" ht="12.75" hidden="false" customHeight="true" outlineLevel="0" collapsed="false">
      <c r="A3128" s="5" t="n">
        <v>202</v>
      </c>
      <c r="B3128" s="5" t="n">
        <v>96</v>
      </c>
      <c r="C3128" s="5" t="n">
        <v>104648</v>
      </c>
      <c r="D3128" s="5" t="n">
        <v>0.1707</v>
      </c>
      <c r="E3128" s="5" t="n">
        <v>0.104648</v>
      </c>
    </row>
    <row r="3129" customFormat="false" ht="12.75" hidden="false" customHeight="true" outlineLevel="0" collapsed="false">
      <c r="A3129" s="5" t="n">
        <v>202</v>
      </c>
      <c r="B3129" s="5" t="n">
        <v>97</v>
      </c>
      <c r="C3129" s="5" t="n">
        <v>344477</v>
      </c>
      <c r="D3129" s="5" t="n">
        <v>0.3033</v>
      </c>
      <c r="E3129" s="5" t="n">
        <v>0.344477</v>
      </c>
    </row>
    <row r="3130" customFormat="false" ht="12.75" hidden="false" customHeight="true" outlineLevel="0" collapsed="false">
      <c r="A3130" s="5" t="n">
        <v>202</v>
      </c>
      <c r="B3130" s="5" t="n">
        <v>98</v>
      </c>
      <c r="C3130" s="5" t="n">
        <v>710703</v>
      </c>
      <c r="D3130" s="5" t="n">
        <v>0.429</v>
      </c>
      <c r="E3130" s="5" t="n">
        <v>0.710703</v>
      </c>
    </row>
    <row r="3131" customFormat="false" ht="12.75" hidden="false" customHeight="true" outlineLevel="0" collapsed="false">
      <c r="A3131" s="5" t="n">
        <v>202</v>
      </c>
      <c r="B3131" s="5" t="n">
        <v>99</v>
      </c>
      <c r="C3131" s="5" t="n">
        <v>1183028</v>
      </c>
      <c r="D3131" s="5" t="n">
        <v>0.5069</v>
      </c>
      <c r="E3131" s="5" t="n">
        <v>1.183028</v>
      </c>
    </row>
    <row r="3132" customFormat="false" ht="12.75" hidden="false" customHeight="true" outlineLevel="0" collapsed="false">
      <c r="A3132" s="5" t="n">
        <v>202</v>
      </c>
      <c r="B3132" s="5" t="n">
        <v>99.67</v>
      </c>
      <c r="C3132" s="5" t="n">
        <v>1535065</v>
      </c>
      <c r="D3132" s="5" t="n">
        <v>0.5427</v>
      </c>
      <c r="E3132" s="5" t="n">
        <v>1.535065</v>
      </c>
    </row>
    <row r="3133" customFormat="false" ht="12.75" hidden="false" customHeight="true" outlineLevel="0" collapsed="false">
      <c r="A3133" s="5" t="n">
        <v>202</v>
      </c>
      <c r="B3133" s="5" t="n">
        <v>99.85</v>
      </c>
      <c r="C3133" s="5" t="n">
        <v>1638800</v>
      </c>
      <c r="D3133" s="5" t="n">
        <v>0.5681</v>
      </c>
      <c r="E3133" s="5" t="n">
        <v>1.6388</v>
      </c>
    </row>
    <row r="3134" customFormat="false" ht="12.75" hidden="false" customHeight="true" outlineLevel="0" collapsed="false">
      <c r="A3134" s="5" t="n">
        <v>202</v>
      </c>
      <c r="B3134" s="5" t="n">
        <v>100</v>
      </c>
      <c r="C3134" s="5" t="n">
        <v>1714800</v>
      </c>
      <c r="D3134" s="5" t="n">
        <v>0.5881</v>
      </c>
      <c r="E3134" s="5" t="n">
        <v>1.7148</v>
      </c>
    </row>
    <row r="3135" customFormat="false" ht="12.75" hidden="false" customHeight="true" outlineLevel="0" collapsed="false">
      <c r="A3135" s="5" t="n">
        <v>202</v>
      </c>
      <c r="B3135" s="5" t="n">
        <v>101</v>
      </c>
      <c r="C3135" s="5" t="n">
        <v>2368800</v>
      </c>
      <c r="D3135" s="5" t="n">
        <v>0.7281</v>
      </c>
      <c r="E3135" s="5" t="n">
        <v>2.3688</v>
      </c>
    </row>
    <row r="3136" customFormat="false" ht="12.75" hidden="false" customHeight="true" outlineLevel="0" collapsed="false">
      <c r="A3136" s="5" t="n">
        <v>203</v>
      </c>
      <c r="B3136" s="5" t="n">
        <v>73.97</v>
      </c>
      <c r="C3136" s="5" t="n">
        <v>0</v>
      </c>
      <c r="D3136" s="5" t="n">
        <v>0</v>
      </c>
      <c r="E3136" s="5" t="n">
        <v>0</v>
      </c>
    </row>
    <row r="3137" customFormat="false" ht="12.75" hidden="false" customHeight="true" outlineLevel="0" collapsed="false">
      <c r="A3137" s="5" t="n">
        <v>203</v>
      </c>
      <c r="B3137" s="5" t="n">
        <v>74</v>
      </c>
      <c r="C3137" s="5" t="n">
        <v>0</v>
      </c>
      <c r="D3137" s="5" t="n">
        <v>0.053</v>
      </c>
      <c r="E3137" s="5" t="n">
        <v>0</v>
      </c>
    </row>
    <row r="3138" customFormat="false" ht="12.75" hidden="false" customHeight="true" outlineLevel="0" collapsed="false">
      <c r="A3138" s="5" t="n">
        <v>203</v>
      </c>
      <c r="B3138" s="5" t="n">
        <v>75</v>
      </c>
      <c r="C3138" s="5" t="n">
        <v>1000</v>
      </c>
      <c r="D3138" s="5" t="n">
        <v>0.005</v>
      </c>
      <c r="E3138" s="5" t="n">
        <v>0.001</v>
      </c>
    </row>
    <row r="3139" customFormat="false" ht="12.75" hidden="false" customHeight="true" outlineLevel="0" collapsed="false">
      <c r="A3139" s="5" t="n">
        <v>203</v>
      </c>
      <c r="B3139" s="5" t="n">
        <v>76</v>
      </c>
      <c r="C3139" s="5" t="n">
        <v>20000</v>
      </c>
      <c r="D3139" s="5" t="n">
        <v>0.04</v>
      </c>
      <c r="E3139" s="5" t="n">
        <v>0.02</v>
      </c>
    </row>
    <row r="3140" customFormat="false" ht="12.75" hidden="false" customHeight="true" outlineLevel="0" collapsed="false">
      <c r="A3140" s="5" t="n">
        <v>203</v>
      </c>
      <c r="B3140" s="5" t="n">
        <v>77</v>
      </c>
      <c r="C3140" s="5" t="n">
        <v>81000</v>
      </c>
      <c r="D3140" s="5" t="n">
        <v>0.08</v>
      </c>
      <c r="E3140" s="5" t="n">
        <v>0.081</v>
      </c>
    </row>
    <row r="3141" customFormat="false" ht="12.75" hidden="false" customHeight="true" outlineLevel="0" collapsed="false">
      <c r="A3141" s="5" t="n">
        <v>203</v>
      </c>
      <c r="B3141" s="5" t="n">
        <v>78</v>
      </c>
      <c r="C3141" s="5" t="n">
        <v>183000</v>
      </c>
      <c r="D3141" s="5" t="n">
        <v>0.12</v>
      </c>
      <c r="E3141" s="5" t="n">
        <v>0.183</v>
      </c>
    </row>
    <row r="3142" customFormat="false" ht="12.75" hidden="false" customHeight="true" outlineLevel="0" collapsed="false">
      <c r="A3142" s="5" t="n">
        <v>203</v>
      </c>
      <c r="B3142" s="5" t="n">
        <v>78.67</v>
      </c>
      <c r="C3142" s="5" t="n">
        <v>271000</v>
      </c>
      <c r="D3142" s="5" t="n">
        <v>0.14</v>
      </c>
      <c r="E3142" s="5" t="n">
        <v>0.271</v>
      </c>
    </row>
    <row r="3143" customFormat="false" ht="12.75" hidden="false" customHeight="true" outlineLevel="0" collapsed="false">
      <c r="A3143" s="5" t="n">
        <v>203</v>
      </c>
      <c r="B3143" s="5" t="n">
        <v>78.97</v>
      </c>
      <c r="C3143" s="5" t="n">
        <v>320000</v>
      </c>
      <c r="D3143" s="5" t="n">
        <v>0.2</v>
      </c>
      <c r="E3143" s="5" t="n">
        <v>0.32</v>
      </c>
    </row>
    <row r="3144" customFormat="false" ht="12.75" hidden="false" customHeight="true" outlineLevel="0" collapsed="false">
      <c r="A3144" s="5" t="n">
        <v>203</v>
      </c>
      <c r="B3144" s="5" t="n">
        <v>79.97</v>
      </c>
      <c r="C3144" s="5" t="n">
        <v>540000</v>
      </c>
      <c r="D3144" s="5" t="n">
        <v>0.36</v>
      </c>
      <c r="E3144" s="5" t="n">
        <v>0.54</v>
      </c>
    </row>
    <row r="3145" customFormat="false" ht="12.75" hidden="false" customHeight="true" outlineLevel="0" collapsed="false">
      <c r="A3145" s="5" t="n">
        <v>203</v>
      </c>
      <c r="B3145" s="5" t="n">
        <v>80.97</v>
      </c>
      <c r="C3145" s="5" t="n">
        <v>1080000</v>
      </c>
      <c r="D3145" s="5" t="n">
        <v>0.55</v>
      </c>
      <c r="E3145" s="5" t="n">
        <v>1.08</v>
      </c>
    </row>
    <row r="3146" customFormat="false" ht="12.75" hidden="false" customHeight="true" outlineLevel="0" collapsed="false">
      <c r="A3146" s="5" t="n">
        <v>203</v>
      </c>
      <c r="B3146" s="5" t="n">
        <v>81</v>
      </c>
      <c r="C3146" s="5" t="n">
        <v>1100000</v>
      </c>
      <c r="D3146" s="5" t="n">
        <v>0.56</v>
      </c>
      <c r="E3146" s="5" t="n">
        <v>1.1</v>
      </c>
    </row>
    <row r="3147" customFormat="false" ht="12.75" hidden="false" customHeight="true" outlineLevel="0" collapsed="false">
      <c r="A3147" s="5" t="n">
        <v>203</v>
      </c>
      <c r="B3147" s="5" t="n">
        <v>81.97</v>
      </c>
      <c r="C3147" s="5" t="n">
        <v>1620000</v>
      </c>
      <c r="D3147" s="5" t="n">
        <v>0.72</v>
      </c>
      <c r="E3147" s="5" t="n">
        <v>1.62</v>
      </c>
    </row>
    <row r="3148" customFormat="false" ht="12.75" hidden="false" customHeight="true" outlineLevel="0" collapsed="false">
      <c r="A3148" s="5" t="n">
        <v>203</v>
      </c>
      <c r="B3148" s="5" t="n">
        <v>82.97</v>
      </c>
      <c r="C3148" s="5" t="n">
        <v>2390000</v>
      </c>
      <c r="D3148" s="5" t="n">
        <v>0.88</v>
      </c>
      <c r="E3148" s="5" t="n">
        <v>2.39</v>
      </c>
    </row>
    <row r="3149" customFormat="false" ht="12.75" hidden="false" customHeight="true" outlineLevel="0" collapsed="false">
      <c r="A3149" s="5" t="n">
        <v>205</v>
      </c>
      <c r="B3149" s="5" t="n">
        <v>331.94</v>
      </c>
      <c r="C3149" s="5" t="n">
        <v>0</v>
      </c>
      <c r="D3149" s="5" t="n">
        <v>0</v>
      </c>
      <c r="E3149" s="5" t="n">
        <v>0</v>
      </c>
    </row>
    <row r="3150" customFormat="false" ht="12.75" hidden="false" customHeight="true" outlineLevel="0" collapsed="false">
      <c r="A3150" s="5" t="n">
        <v>205</v>
      </c>
      <c r="B3150" s="5" t="n">
        <v>332</v>
      </c>
      <c r="C3150" s="5" t="n">
        <v>0</v>
      </c>
      <c r="D3150" s="5" t="n">
        <v>0</v>
      </c>
      <c r="E3150" s="5" t="n">
        <v>0</v>
      </c>
    </row>
    <row r="3151" customFormat="false" ht="12.75" hidden="false" customHeight="true" outlineLevel="0" collapsed="false">
      <c r="A3151" s="5" t="n">
        <v>205</v>
      </c>
      <c r="B3151" s="5" t="n">
        <v>333</v>
      </c>
      <c r="C3151" s="5" t="n">
        <v>243</v>
      </c>
      <c r="D3151" s="5" t="n">
        <v>0.00065</v>
      </c>
      <c r="E3151" s="5" t="n">
        <v>0.000243</v>
      </c>
    </row>
    <row r="3152" customFormat="false" ht="12.75" hidden="false" customHeight="true" outlineLevel="0" collapsed="false">
      <c r="A3152" s="5" t="n">
        <v>205</v>
      </c>
      <c r="B3152" s="5" t="n">
        <v>334</v>
      </c>
      <c r="C3152" s="5" t="n">
        <v>1671</v>
      </c>
      <c r="D3152" s="5" t="n">
        <v>0.0026</v>
      </c>
      <c r="E3152" s="5" t="n">
        <v>0.001671</v>
      </c>
    </row>
    <row r="3153" customFormat="false" ht="12.75" hidden="false" customHeight="true" outlineLevel="0" collapsed="false">
      <c r="A3153" s="5" t="n">
        <v>205</v>
      </c>
      <c r="B3153" s="5" t="n">
        <v>335</v>
      </c>
      <c r="C3153" s="5" t="n">
        <v>6128</v>
      </c>
      <c r="D3153" s="5" t="n">
        <v>0.00653</v>
      </c>
      <c r="E3153" s="5" t="n">
        <v>0.006128</v>
      </c>
    </row>
    <row r="3154" customFormat="false" ht="12.75" hidden="false" customHeight="true" outlineLevel="0" collapsed="false">
      <c r="A3154" s="5" t="n">
        <v>205</v>
      </c>
      <c r="B3154" s="5" t="n">
        <v>336</v>
      </c>
      <c r="C3154" s="5" t="n">
        <v>15171</v>
      </c>
      <c r="D3154" s="5" t="n">
        <v>0.01168</v>
      </c>
      <c r="E3154" s="5" t="n">
        <v>0.015171</v>
      </c>
    </row>
    <row r="3155" customFormat="false" ht="12.75" hidden="false" customHeight="true" outlineLevel="0" collapsed="false">
      <c r="A3155" s="5" t="n">
        <v>205</v>
      </c>
      <c r="B3155" s="5" t="n">
        <v>337</v>
      </c>
      <c r="C3155" s="5" t="n">
        <v>30512</v>
      </c>
      <c r="D3155" s="5" t="n">
        <v>0.01968</v>
      </c>
      <c r="E3155" s="5" t="n">
        <v>0.030512</v>
      </c>
    </row>
    <row r="3156" customFormat="false" ht="12.75" hidden="false" customHeight="true" outlineLevel="0" collapsed="false">
      <c r="A3156" s="5" t="n">
        <v>205</v>
      </c>
      <c r="B3156" s="5" t="n">
        <v>338</v>
      </c>
      <c r="C3156" s="5" t="n">
        <v>55479</v>
      </c>
      <c r="D3156" s="5" t="n">
        <v>0.03004</v>
      </c>
      <c r="E3156" s="5" t="n">
        <v>0.055479</v>
      </c>
    </row>
    <row r="3157" customFormat="false" ht="12.75" hidden="false" customHeight="true" outlineLevel="0" collapsed="false">
      <c r="A3157" s="5" t="n">
        <v>205</v>
      </c>
      <c r="B3157" s="5" t="n">
        <v>339</v>
      </c>
      <c r="C3157" s="5" t="n">
        <v>90556</v>
      </c>
      <c r="D3157" s="5" t="n">
        <v>0.04075</v>
      </c>
      <c r="E3157" s="5" t="n">
        <v>0.090556</v>
      </c>
    </row>
    <row r="3158" customFormat="false" ht="12.75" hidden="false" customHeight="true" outlineLevel="0" collapsed="false">
      <c r="A3158" s="5" t="n">
        <v>205</v>
      </c>
      <c r="B3158" s="5" t="n">
        <v>340</v>
      </c>
      <c r="C3158" s="5" t="n">
        <v>137591</v>
      </c>
      <c r="D3158" s="5" t="n">
        <v>0.05277</v>
      </c>
      <c r="E3158" s="5" t="n">
        <v>0.137591</v>
      </c>
    </row>
    <row r="3159" customFormat="false" ht="12.75" hidden="false" customHeight="true" outlineLevel="0" collapsed="false">
      <c r="A3159" s="5" t="n">
        <v>205</v>
      </c>
      <c r="B3159" s="5" t="n">
        <v>341</v>
      </c>
      <c r="C3159" s="5" t="n">
        <v>195487</v>
      </c>
      <c r="D3159" s="5" t="n">
        <v>0.06274</v>
      </c>
      <c r="E3159" s="5" t="n">
        <v>0.195487</v>
      </c>
    </row>
    <row r="3160" customFormat="false" ht="12.75" hidden="false" customHeight="true" outlineLevel="0" collapsed="false">
      <c r="A3160" s="5" t="n">
        <v>205</v>
      </c>
      <c r="B3160" s="5" t="n">
        <v>342</v>
      </c>
      <c r="C3160" s="5" t="n">
        <v>262746</v>
      </c>
      <c r="D3160" s="5" t="n">
        <v>0.07161</v>
      </c>
      <c r="E3160" s="5" t="n">
        <v>0.262746</v>
      </c>
    </row>
    <row r="3161" customFormat="false" ht="12.75" hidden="false" customHeight="true" outlineLevel="0" collapsed="false">
      <c r="A3161" s="5" t="n">
        <v>205</v>
      </c>
      <c r="B3161" s="5" t="n">
        <v>343</v>
      </c>
      <c r="C3161" s="5" t="n">
        <v>338589</v>
      </c>
      <c r="D3161" s="5" t="n">
        <v>0.08047</v>
      </c>
      <c r="E3161" s="5" t="n">
        <v>0.338589</v>
      </c>
    </row>
    <row r="3162" customFormat="false" ht="12.75" hidden="false" customHeight="true" outlineLevel="0" collapsed="false">
      <c r="A3162" s="5" t="n">
        <v>205</v>
      </c>
      <c r="B3162" s="5" t="n">
        <v>344</v>
      </c>
      <c r="C3162" s="5" t="n">
        <v>424512</v>
      </c>
      <c r="D3162" s="5" t="n">
        <v>0.09132</v>
      </c>
      <c r="E3162" s="5" t="n">
        <v>0.424512</v>
      </c>
    </row>
    <row r="3163" customFormat="false" ht="12.75" hidden="false" customHeight="true" outlineLevel="0" collapsed="false">
      <c r="A3163" s="5" t="n">
        <v>205</v>
      </c>
      <c r="B3163" s="5" t="n">
        <v>345</v>
      </c>
      <c r="C3163" s="5" t="n">
        <v>522398</v>
      </c>
      <c r="D3163" s="5" t="n">
        <v>0.10463</v>
      </c>
      <c r="E3163" s="5" t="n">
        <v>0.522398</v>
      </c>
    </row>
    <row r="3164" customFormat="false" ht="12.75" hidden="false" customHeight="true" outlineLevel="0" collapsed="false">
      <c r="A3164" s="5" t="n">
        <v>205</v>
      </c>
      <c r="B3164" s="5" t="n">
        <v>346</v>
      </c>
      <c r="C3164" s="5" t="n">
        <v>633761</v>
      </c>
      <c r="D3164" s="5" t="n">
        <v>0.11825</v>
      </c>
      <c r="E3164" s="5" t="n">
        <v>0.633761</v>
      </c>
    </row>
    <row r="3165" customFormat="false" ht="12.75" hidden="false" customHeight="true" outlineLevel="0" collapsed="false">
      <c r="A3165" s="5" t="n">
        <v>205</v>
      </c>
      <c r="B3165" s="5" t="n">
        <v>347</v>
      </c>
      <c r="C3165" s="5" t="n">
        <v>758979</v>
      </c>
      <c r="D3165" s="5" t="n">
        <v>0.13239</v>
      </c>
      <c r="E3165" s="5" t="n">
        <v>0.758979</v>
      </c>
    </row>
    <row r="3166" customFormat="false" ht="12.75" hidden="false" customHeight="true" outlineLevel="0" collapsed="false">
      <c r="A3166" s="5" t="n">
        <v>205</v>
      </c>
      <c r="B3166" s="5" t="n">
        <v>348</v>
      </c>
      <c r="C3166" s="5" t="n">
        <v>898797</v>
      </c>
      <c r="D3166" s="5" t="n">
        <v>0.14752</v>
      </c>
      <c r="E3166" s="5" t="n">
        <v>0.898797</v>
      </c>
    </row>
    <row r="3167" customFormat="false" ht="12.75" hidden="false" customHeight="true" outlineLevel="0" collapsed="false">
      <c r="A3167" s="5" t="n">
        <v>205</v>
      </c>
      <c r="B3167" s="5" t="n">
        <v>349</v>
      </c>
      <c r="C3167" s="5" t="n">
        <v>1055206</v>
      </c>
      <c r="D3167" s="5" t="n">
        <v>0.16549</v>
      </c>
      <c r="E3167" s="5" t="n">
        <v>1.055206</v>
      </c>
    </row>
    <row r="3168" customFormat="false" ht="12.75" hidden="false" customHeight="true" outlineLevel="0" collapsed="false">
      <c r="A3168" s="5" t="n">
        <v>205</v>
      </c>
      <c r="B3168" s="5" t="n">
        <v>350</v>
      </c>
      <c r="C3168" s="5" t="n">
        <v>1229655</v>
      </c>
      <c r="D3168" s="5" t="n">
        <v>0.18438</v>
      </c>
      <c r="E3168" s="5" t="n">
        <v>1.229655</v>
      </c>
    </row>
    <row r="3169" customFormat="false" ht="12.75" hidden="false" customHeight="true" outlineLevel="0" collapsed="false">
      <c r="A3169" s="5" t="n">
        <v>205</v>
      </c>
      <c r="B3169" s="5" t="n">
        <v>351</v>
      </c>
      <c r="C3169" s="5" t="n">
        <v>1424035</v>
      </c>
      <c r="D3169" s="5" t="n">
        <v>0.20364</v>
      </c>
      <c r="E3169" s="5" t="n">
        <v>1.424035</v>
      </c>
    </row>
    <row r="3170" customFormat="false" ht="12.75" hidden="false" customHeight="true" outlineLevel="0" collapsed="false">
      <c r="A3170" s="5" t="n">
        <v>205</v>
      </c>
      <c r="B3170" s="5" t="n">
        <v>352</v>
      </c>
      <c r="C3170" s="5" t="n">
        <v>1637364</v>
      </c>
      <c r="D3170" s="5" t="n">
        <v>0.22125</v>
      </c>
      <c r="E3170" s="5" t="n">
        <v>1.637364</v>
      </c>
    </row>
    <row r="3171" customFormat="false" ht="12.75" hidden="false" customHeight="true" outlineLevel="0" collapsed="false">
      <c r="A3171" s="5" t="n">
        <v>205</v>
      </c>
      <c r="B3171" s="5" t="n">
        <v>353</v>
      </c>
      <c r="C3171" s="5" t="n">
        <v>1865606</v>
      </c>
      <c r="D3171" s="5" t="n">
        <v>0.23497</v>
      </c>
      <c r="E3171" s="5" t="n">
        <v>1.865606</v>
      </c>
    </row>
    <row r="3172" customFormat="false" ht="12.75" hidden="false" customHeight="true" outlineLevel="0" collapsed="false">
      <c r="A3172" s="5" t="n">
        <v>205</v>
      </c>
      <c r="B3172" s="5" t="n">
        <v>354</v>
      </c>
      <c r="C3172" s="5" t="n">
        <v>2107201</v>
      </c>
      <c r="D3172" s="5" t="n">
        <v>0.24816</v>
      </c>
      <c r="E3172" s="5" t="n">
        <v>2.107201</v>
      </c>
    </row>
    <row r="3173" customFormat="false" ht="12.75" hidden="false" customHeight="true" outlineLevel="0" collapsed="false">
      <c r="A3173" s="5" t="n">
        <v>205</v>
      </c>
      <c r="B3173" s="5" t="n">
        <v>355</v>
      </c>
      <c r="C3173" s="5" t="n">
        <v>2271256</v>
      </c>
      <c r="D3173" s="5" t="n">
        <v>0.27296</v>
      </c>
      <c r="E3173" s="5" t="n">
        <v>2.271256</v>
      </c>
    </row>
    <row r="3174" customFormat="false" ht="12.75" hidden="false" customHeight="true" outlineLevel="0" collapsed="false">
      <c r="A3174" s="5" t="n">
        <v>205</v>
      </c>
      <c r="B3174" s="5" t="n">
        <v>356</v>
      </c>
      <c r="C3174" s="5" t="n">
        <v>2554532</v>
      </c>
      <c r="D3174" s="5" t="n">
        <v>0.30106</v>
      </c>
      <c r="E3174" s="5" t="n">
        <v>2.554532</v>
      </c>
    </row>
    <row r="3175" customFormat="false" ht="12.75" hidden="false" customHeight="true" outlineLevel="0" collapsed="false">
      <c r="A3175" s="5" t="n">
        <v>205</v>
      </c>
      <c r="B3175" s="5" t="n">
        <v>357</v>
      </c>
      <c r="C3175" s="5" t="n">
        <v>2869274</v>
      </c>
      <c r="D3175" s="5" t="n">
        <v>0.33586</v>
      </c>
      <c r="E3175" s="5" t="n">
        <v>2.869274</v>
      </c>
    </row>
    <row r="3176" customFormat="false" ht="12.75" hidden="false" customHeight="true" outlineLevel="0" collapsed="false">
      <c r="A3176" s="5" t="n">
        <v>206</v>
      </c>
      <c r="B3176" s="5" t="n">
        <v>89</v>
      </c>
      <c r="C3176" s="5" t="n">
        <v>0</v>
      </c>
      <c r="D3176" s="5" t="n">
        <v>0</v>
      </c>
      <c r="E3176" s="5" t="n">
        <v>0</v>
      </c>
    </row>
    <row r="3177" customFormat="false" ht="12.75" hidden="false" customHeight="true" outlineLevel="0" collapsed="false">
      <c r="A3177" s="5" t="n">
        <v>206</v>
      </c>
      <c r="B3177" s="5" t="n">
        <v>89.9</v>
      </c>
      <c r="C3177" s="5" t="n">
        <v>600</v>
      </c>
      <c r="D3177" s="5" t="n">
        <v>0.0006</v>
      </c>
      <c r="E3177" s="5" t="n">
        <v>0.0006</v>
      </c>
    </row>
    <row r="3178" customFormat="false" ht="12.75" hidden="false" customHeight="true" outlineLevel="0" collapsed="false">
      <c r="A3178" s="5" t="n">
        <v>206</v>
      </c>
      <c r="B3178" s="5" t="n">
        <v>90</v>
      </c>
      <c r="C3178" s="5" t="n">
        <v>6000</v>
      </c>
      <c r="D3178" s="5" t="n">
        <v>0.006</v>
      </c>
      <c r="E3178" s="5" t="n">
        <v>0.006</v>
      </c>
    </row>
    <row r="3179" customFormat="false" ht="12.75" hidden="false" customHeight="true" outlineLevel="0" collapsed="false">
      <c r="A3179" s="5" t="n">
        <v>206</v>
      </c>
      <c r="B3179" s="5" t="n">
        <v>91</v>
      </c>
      <c r="C3179" s="5" t="n">
        <v>25000</v>
      </c>
      <c r="D3179" s="5" t="n">
        <v>0.06</v>
      </c>
      <c r="E3179" s="5" t="n">
        <v>0.025</v>
      </c>
    </row>
    <row r="3180" customFormat="false" ht="12.75" hidden="false" customHeight="true" outlineLevel="0" collapsed="false">
      <c r="A3180" s="5" t="n">
        <v>206</v>
      </c>
      <c r="B3180" s="5" t="n">
        <v>92</v>
      </c>
      <c r="C3180" s="5" t="n">
        <v>134000</v>
      </c>
      <c r="D3180" s="5" t="n">
        <v>0.16</v>
      </c>
      <c r="E3180" s="5" t="n">
        <v>0.134</v>
      </c>
    </row>
    <row r="3181" customFormat="false" ht="12.75" hidden="false" customHeight="true" outlineLevel="0" collapsed="false">
      <c r="A3181" s="5" t="n">
        <v>206</v>
      </c>
      <c r="B3181" s="5" t="n">
        <v>93</v>
      </c>
      <c r="C3181" s="5" t="n">
        <v>362000</v>
      </c>
      <c r="D3181" s="5" t="n">
        <v>0.3</v>
      </c>
      <c r="E3181" s="5" t="n">
        <v>0.362</v>
      </c>
    </row>
    <row r="3182" customFormat="false" ht="12.75" hidden="false" customHeight="true" outlineLevel="0" collapsed="false">
      <c r="A3182" s="5" t="n">
        <v>206</v>
      </c>
      <c r="B3182" s="5" t="n">
        <v>94</v>
      </c>
      <c r="C3182" s="5" t="n">
        <v>744000</v>
      </c>
      <c r="D3182" s="5" t="n">
        <v>0.45</v>
      </c>
      <c r="E3182" s="5" t="n">
        <v>0.744</v>
      </c>
    </row>
    <row r="3183" customFormat="false" ht="12.75" hidden="false" customHeight="true" outlineLevel="0" collapsed="false">
      <c r="A3183" s="5" t="n">
        <v>206</v>
      </c>
      <c r="B3183" s="5" t="n">
        <v>95</v>
      </c>
      <c r="C3183" s="5" t="n">
        <v>1237000</v>
      </c>
      <c r="D3183" s="5" t="n">
        <v>0.53</v>
      </c>
      <c r="E3183" s="5" t="n">
        <v>1.237</v>
      </c>
    </row>
    <row r="3184" customFormat="false" ht="12.75" hidden="false" customHeight="true" outlineLevel="0" collapsed="false">
      <c r="A3184" s="5" t="n">
        <v>206</v>
      </c>
      <c r="B3184" s="5" t="n">
        <v>95.99</v>
      </c>
      <c r="C3184" s="5" t="n">
        <v>1767000</v>
      </c>
      <c r="D3184" s="5" t="n">
        <v>0.55</v>
      </c>
      <c r="E3184" s="5" t="n">
        <v>1.767</v>
      </c>
    </row>
    <row r="3185" customFormat="false" ht="12.75" hidden="false" customHeight="true" outlineLevel="0" collapsed="false">
      <c r="A3185" s="5" t="n">
        <v>206</v>
      </c>
      <c r="B3185" s="5" t="n">
        <v>96</v>
      </c>
      <c r="C3185" s="5" t="n">
        <v>1767000</v>
      </c>
      <c r="D3185" s="5" t="n">
        <v>0.55</v>
      </c>
      <c r="E3185" s="5" t="n">
        <v>1.767</v>
      </c>
    </row>
    <row r="3186" customFormat="false" ht="12.75" hidden="false" customHeight="true" outlineLevel="0" collapsed="false">
      <c r="A3186" s="5" t="n">
        <v>206</v>
      </c>
      <c r="B3186" s="5" t="n">
        <v>97</v>
      </c>
      <c r="C3186" s="5" t="n">
        <v>2315000</v>
      </c>
      <c r="D3186" s="5" t="n">
        <v>0.55</v>
      </c>
      <c r="E3186" s="5" t="n">
        <v>2.315</v>
      </c>
    </row>
    <row r="3187" customFormat="false" ht="12.75" hidden="false" customHeight="true" outlineLevel="0" collapsed="false">
      <c r="A3187" s="5" t="n">
        <v>206</v>
      </c>
      <c r="B3187" s="5" t="n">
        <v>98</v>
      </c>
      <c r="C3187" s="5" t="n">
        <v>2865000</v>
      </c>
      <c r="D3187" s="5" t="n">
        <v>0.55</v>
      </c>
      <c r="E3187" s="5" t="n">
        <v>2.865</v>
      </c>
    </row>
    <row r="3188" customFormat="false" ht="12.75" hidden="false" customHeight="true" outlineLevel="0" collapsed="false">
      <c r="A3188" s="5" t="n">
        <v>206</v>
      </c>
      <c r="B3188" s="5" t="n">
        <v>99</v>
      </c>
      <c r="C3188" s="5" t="n">
        <v>3414000</v>
      </c>
      <c r="D3188" s="5" t="n">
        <v>0.55</v>
      </c>
      <c r="E3188" s="5" t="n">
        <v>3.414</v>
      </c>
    </row>
    <row r="3189" customFormat="false" ht="12.75" hidden="false" customHeight="true" outlineLevel="0" collapsed="false">
      <c r="A3189" s="5" t="n">
        <v>206</v>
      </c>
      <c r="B3189" s="5" t="n">
        <v>100</v>
      </c>
      <c r="C3189" s="5" t="n">
        <v>3964000</v>
      </c>
      <c r="D3189" s="5" t="n">
        <v>0.55</v>
      </c>
      <c r="E3189" s="5" t="n">
        <v>3.964</v>
      </c>
    </row>
    <row r="3190" customFormat="false" ht="12.75" hidden="false" customHeight="true" outlineLevel="0" collapsed="false">
      <c r="A3190" s="5" t="n">
        <v>208</v>
      </c>
      <c r="B3190" s="5" t="n">
        <v>87.76</v>
      </c>
      <c r="C3190" s="5" t="n">
        <v>0</v>
      </c>
      <c r="D3190" s="5" t="n">
        <v>0</v>
      </c>
      <c r="E3190" s="5" t="n">
        <v>0</v>
      </c>
    </row>
    <row r="3191" customFormat="false" ht="12.75" hidden="false" customHeight="true" outlineLevel="0" collapsed="false">
      <c r="A3191" s="5" t="n">
        <v>208</v>
      </c>
      <c r="B3191" s="5" t="n">
        <v>88</v>
      </c>
      <c r="C3191" s="5" t="n">
        <v>19</v>
      </c>
      <c r="D3191" s="5" t="n">
        <v>0.002</v>
      </c>
      <c r="E3191" s="5" t="n">
        <v>1.9E-005</v>
      </c>
    </row>
    <row r="3192" customFormat="false" ht="12.75" hidden="false" customHeight="true" outlineLevel="0" collapsed="false">
      <c r="A3192" s="5" t="n">
        <v>208</v>
      </c>
      <c r="B3192" s="5" t="n">
        <v>89</v>
      </c>
      <c r="C3192" s="5" t="n">
        <v>3500</v>
      </c>
      <c r="D3192" s="5" t="n">
        <v>0.01</v>
      </c>
      <c r="E3192" s="5" t="n">
        <v>0.0035</v>
      </c>
    </row>
    <row r="3193" customFormat="false" ht="12.75" hidden="false" customHeight="true" outlineLevel="0" collapsed="false">
      <c r="A3193" s="5" t="n">
        <v>208</v>
      </c>
      <c r="B3193" s="5" t="n">
        <v>90</v>
      </c>
      <c r="C3193" s="5" t="n">
        <v>21000</v>
      </c>
      <c r="D3193" s="5" t="n">
        <v>0.026</v>
      </c>
      <c r="E3193" s="5" t="n">
        <v>0.021</v>
      </c>
    </row>
    <row r="3194" customFormat="false" ht="12.75" hidden="false" customHeight="true" outlineLevel="0" collapsed="false">
      <c r="A3194" s="5" t="n">
        <v>208</v>
      </c>
      <c r="B3194" s="5" t="n">
        <v>91</v>
      </c>
      <c r="C3194" s="5" t="n">
        <v>56300</v>
      </c>
      <c r="D3194" s="5" t="n">
        <v>0.047</v>
      </c>
      <c r="E3194" s="5" t="n">
        <v>0.0563</v>
      </c>
    </row>
    <row r="3195" customFormat="false" ht="12.75" hidden="false" customHeight="true" outlineLevel="0" collapsed="false">
      <c r="A3195" s="5" t="n">
        <v>208</v>
      </c>
      <c r="B3195" s="5" t="n">
        <v>92</v>
      </c>
      <c r="C3195" s="5" t="n">
        <v>118300</v>
      </c>
      <c r="D3195" s="5" t="n">
        <v>0.077</v>
      </c>
      <c r="E3195" s="5" t="n">
        <v>0.1183</v>
      </c>
    </row>
    <row r="3196" customFormat="false" ht="12.75" hidden="false" customHeight="true" outlineLevel="0" collapsed="false">
      <c r="A3196" s="5" t="n">
        <v>208</v>
      </c>
      <c r="B3196" s="5" t="n">
        <v>93</v>
      </c>
      <c r="C3196" s="5" t="n">
        <v>215000</v>
      </c>
      <c r="D3196" s="5" t="n">
        <v>0.117</v>
      </c>
      <c r="E3196" s="5" t="n">
        <v>0.215</v>
      </c>
    </row>
    <row r="3197" customFormat="false" ht="12.75" hidden="false" customHeight="true" outlineLevel="0" collapsed="false">
      <c r="A3197" s="5" t="n">
        <v>208</v>
      </c>
      <c r="B3197" s="5" t="n">
        <v>94</v>
      </c>
      <c r="C3197" s="5" t="n">
        <v>353000</v>
      </c>
      <c r="D3197" s="5" t="n">
        <v>0.158</v>
      </c>
      <c r="E3197" s="5" t="n">
        <v>0.353</v>
      </c>
    </row>
    <row r="3198" customFormat="false" ht="12.75" hidden="false" customHeight="true" outlineLevel="0" collapsed="false">
      <c r="A3198" s="5" t="n">
        <v>208</v>
      </c>
      <c r="B3198" s="5" t="n">
        <v>95</v>
      </c>
      <c r="C3198" s="5" t="n">
        <v>531200</v>
      </c>
      <c r="D3198" s="5" t="n">
        <v>0.198</v>
      </c>
      <c r="E3198" s="5" t="n">
        <v>0.5312</v>
      </c>
    </row>
    <row r="3199" customFormat="false" ht="12.75" hidden="false" customHeight="true" outlineLevel="0" collapsed="false">
      <c r="A3199" s="5" t="n">
        <v>208</v>
      </c>
      <c r="B3199" s="5" t="n">
        <v>96</v>
      </c>
      <c r="C3199" s="5" t="n">
        <v>744000</v>
      </c>
      <c r="D3199" s="5" t="n">
        <v>0.225</v>
      </c>
      <c r="E3199" s="5" t="n">
        <v>0.744</v>
      </c>
    </row>
    <row r="3200" customFormat="false" ht="12.75" hidden="false" customHeight="true" outlineLevel="0" collapsed="false">
      <c r="A3200" s="5" t="n">
        <v>208</v>
      </c>
      <c r="B3200" s="5" t="n">
        <v>97</v>
      </c>
      <c r="C3200" s="5" t="n">
        <v>979000</v>
      </c>
      <c r="D3200" s="5" t="n">
        <v>0.243</v>
      </c>
      <c r="E3200" s="5" t="n">
        <v>0.979</v>
      </c>
    </row>
    <row r="3201" customFormat="false" ht="12.75" hidden="false" customHeight="true" outlineLevel="0" collapsed="false">
      <c r="A3201" s="5" t="n">
        <v>208</v>
      </c>
      <c r="B3201" s="5" t="n">
        <v>97.34</v>
      </c>
      <c r="C3201" s="5" t="n">
        <v>1062000</v>
      </c>
      <c r="D3201" s="5" t="n">
        <v>0.248</v>
      </c>
      <c r="E3201" s="5" t="n">
        <v>1.062</v>
      </c>
    </row>
    <row r="3202" customFormat="false" ht="12.75" hidden="false" customHeight="true" outlineLevel="0" collapsed="false">
      <c r="A3202" s="5" t="n">
        <v>208</v>
      </c>
      <c r="B3202" s="5" t="n">
        <v>98</v>
      </c>
      <c r="C3202" s="5" t="n">
        <v>1227000</v>
      </c>
      <c r="D3202" s="5" t="n">
        <v>0.254</v>
      </c>
      <c r="E3202" s="5" t="n">
        <v>1.227</v>
      </c>
    </row>
    <row r="3203" customFormat="false" ht="12.75" hidden="false" customHeight="true" outlineLevel="0" collapsed="false">
      <c r="A3203" s="5" t="n">
        <v>208</v>
      </c>
      <c r="B3203" s="5" t="n">
        <v>99</v>
      </c>
      <c r="C3203" s="5" t="n">
        <v>1486000</v>
      </c>
      <c r="D3203" s="5" t="n">
        <v>0.262</v>
      </c>
      <c r="E3203" s="5" t="n">
        <v>1.486</v>
      </c>
    </row>
    <row r="3204" customFormat="false" ht="12.75" hidden="false" customHeight="true" outlineLevel="0" collapsed="false">
      <c r="A3204" s="5" t="n">
        <v>208</v>
      </c>
      <c r="B3204" s="5" t="n">
        <v>100</v>
      </c>
      <c r="C3204" s="5" t="n">
        <v>1750000</v>
      </c>
      <c r="D3204" s="5" t="n">
        <v>0.266</v>
      </c>
      <c r="E3204" s="5" t="n">
        <v>1.75</v>
      </c>
    </row>
    <row r="3205" customFormat="false" ht="12.75" hidden="false" customHeight="true" outlineLevel="0" collapsed="false">
      <c r="A3205" s="5" t="n">
        <v>210</v>
      </c>
      <c r="B3205" s="5" t="n">
        <v>21</v>
      </c>
      <c r="C3205" s="5" t="n">
        <v>0</v>
      </c>
      <c r="D3205" s="5" t="n">
        <v>0</v>
      </c>
      <c r="E3205" s="5" t="n">
        <v>0</v>
      </c>
    </row>
    <row r="3206" customFormat="false" ht="12.75" hidden="false" customHeight="true" outlineLevel="0" collapsed="false">
      <c r="A3206" s="5" t="n">
        <v>210</v>
      </c>
      <c r="B3206" s="5" t="n">
        <v>22</v>
      </c>
      <c r="C3206" s="5" t="n">
        <v>1737</v>
      </c>
      <c r="D3206" s="5" t="n">
        <v>0.0035</v>
      </c>
      <c r="E3206" s="5" t="n">
        <v>0.001737</v>
      </c>
    </row>
    <row r="3207" customFormat="false" ht="12.75" hidden="false" customHeight="true" outlineLevel="0" collapsed="false">
      <c r="A3207" s="5" t="n">
        <v>210</v>
      </c>
      <c r="B3207" s="5" t="n">
        <v>23</v>
      </c>
      <c r="C3207" s="5" t="n">
        <v>23581</v>
      </c>
      <c r="D3207" s="5" t="n">
        <v>0.0402</v>
      </c>
      <c r="E3207" s="5" t="n">
        <v>0.023581</v>
      </c>
    </row>
    <row r="3208" customFormat="false" ht="12.75" hidden="false" customHeight="true" outlineLevel="0" collapsed="false">
      <c r="A3208" s="5" t="n">
        <v>210</v>
      </c>
      <c r="B3208" s="5" t="n">
        <v>24</v>
      </c>
      <c r="C3208" s="5" t="n">
        <v>109102</v>
      </c>
      <c r="D3208" s="5" t="n">
        <v>0.1308</v>
      </c>
      <c r="E3208" s="5" t="n">
        <v>0.109102</v>
      </c>
    </row>
    <row r="3209" customFormat="false" ht="12.75" hidden="false" customHeight="true" outlineLevel="0" collapsed="false">
      <c r="A3209" s="5" t="n">
        <v>210</v>
      </c>
      <c r="B3209" s="5" t="n">
        <v>25</v>
      </c>
      <c r="C3209" s="5" t="n">
        <v>302350</v>
      </c>
      <c r="D3209" s="5" t="n">
        <v>0.2557</v>
      </c>
      <c r="E3209" s="5" t="n">
        <v>0.30235</v>
      </c>
    </row>
    <row r="3210" customFormat="false" ht="12.75" hidden="false" customHeight="true" outlineLevel="0" collapsed="false">
      <c r="A3210" s="5" t="n">
        <v>210</v>
      </c>
      <c r="B3210" s="5" t="n">
        <v>26</v>
      </c>
      <c r="C3210" s="5" t="n">
        <v>683993</v>
      </c>
      <c r="D3210" s="5" t="n">
        <v>0.5076</v>
      </c>
      <c r="E3210" s="5" t="n">
        <v>0.683993</v>
      </c>
    </row>
    <row r="3211" customFormat="false" ht="12.75" hidden="false" customHeight="true" outlineLevel="0" collapsed="false">
      <c r="A3211" s="5" t="n">
        <v>210</v>
      </c>
      <c r="B3211" s="5" t="n">
        <v>27</v>
      </c>
      <c r="C3211" s="5" t="n">
        <v>1408404</v>
      </c>
      <c r="D3211" s="5" t="n">
        <v>0.9412</v>
      </c>
      <c r="E3211" s="5" t="n">
        <v>1.408404</v>
      </c>
    </row>
    <row r="3212" customFormat="false" ht="12.75" hidden="false" customHeight="true" outlineLevel="0" collapsed="false">
      <c r="A3212" s="5" t="n">
        <v>210</v>
      </c>
      <c r="B3212" s="5" t="n">
        <v>28</v>
      </c>
      <c r="C3212" s="5" t="n">
        <v>2611989</v>
      </c>
      <c r="D3212" s="5" t="n">
        <v>1.466</v>
      </c>
      <c r="E3212" s="5" t="n">
        <v>2.611989</v>
      </c>
    </row>
    <row r="3213" customFormat="false" ht="12.75" hidden="false" customHeight="true" outlineLevel="0" collapsed="false">
      <c r="A3213" s="5" t="n">
        <v>210</v>
      </c>
      <c r="B3213" s="5" t="n">
        <v>29</v>
      </c>
      <c r="C3213" s="5" t="n">
        <v>4320071</v>
      </c>
      <c r="D3213" s="5" t="n">
        <v>1.9502</v>
      </c>
      <c r="E3213" s="5" t="n">
        <v>4.320071</v>
      </c>
    </row>
    <row r="3214" customFormat="false" ht="12.75" hidden="false" customHeight="true" outlineLevel="0" collapsed="false">
      <c r="A3214" s="5" t="n">
        <v>210</v>
      </c>
      <c r="B3214" s="5" t="n">
        <v>30</v>
      </c>
      <c r="C3214" s="5" t="n">
        <v>6555963</v>
      </c>
      <c r="D3214" s="5" t="n">
        <v>2.5216</v>
      </c>
      <c r="E3214" s="5" t="n">
        <v>6.555963</v>
      </c>
    </row>
    <row r="3215" customFormat="false" ht="12.75" hidden="false" customHeight="true" outlineLevel="0" collapsed="false">
      <c r="A3215" s="5" t="n">
        <v>210</v>
      </c>
      <c r="B3215" s="5" t="n">
        <v>31</v>
      </c>
      <c r="C3215" s="5" t="n">
        <v>9546841</v>
      </c>
      <c r="D3215" s="5" t="n">
        <v>3.4602</v>
      </c>
      <c r="E3215" s="5" t="n">
        <v>9.546841</v>
      </c>
    </row>
    <row r="3216" customFormat="false" ht="12.75" hidden="false" customHeight="true" outlineLevel="0" collapsed="false">
      <c r="A3216" s="5" t="n">
        <v>210</v>
      </c>
      <c r="B3216" s="5" t="n">
        <v>32</v>
      </c>
      <c r="C3216" s="5" t="n">
        <v>13547378</v>
      </c>
      <c r="D3216" s="5" t="n">
        <v>4.5409</v>
      </c>
      <c r="E3216" s="5" t="n">
        <v>13.547378</v>
      </c>
    </row>
    <row r="3217" customFormat="false" ht="12.75" hidden="false" customHeight="true" outlineLevel="0" collapsed="false">
      <c r="A3217" s="5" t="n">
        <v>210</v>
      </c>
      <c r="B3217" s="5" t="n">
        <v>33</v>
      </c>
      <c r="C3217" s="5" t="n">
        <v>18700249</v>
      </c>
      <c r="D3217" s="5" t="n">
        <v>5.7648</v>
      </c>
      <c r="E3217" s="5" t="n">
        <v>18.700249</v>
      </c>
    </row>
    <row r="3218" customFormat="false" ht="12.75" hidden="false" customHeight="true" outlineLevel="0" collapsed="false">
      <c r="A3218" s="5" t="n">
        <v>210</v>
      </c>
      <c r="B3218" s="5" t="n">
        <v>34</v>
      </c>
      <c r="C3218" s="5" t="n">
        <v>25113017</v>
      </c>
      <c r="D3218" s="5" t="n">
        <v>7.0607</v>
      </c>
      <c r="E3218" s="5" t="n">
        <v>25.113017</v>
      </c>
    </row>
    <row r="3219" customFormat="false" ht="12.75" hidden="false" customHeight="true" outlineLevel="0" collapsed="false">
      <c r="A3219" s="5" t="n">
        <v>210</v>
      </c>
      <c r="B3219" s="5" t="n">
        <v>35</v>
      </c>
      <c r="C3219" s="5" t="n">
        <v>32837966</v>
      </c>
      <c r="D3219" s="5" t="n">
        <v>8.3892</v>
      </c>
      <c r="E3219" s="5" t="n">
        <v>32.837966</v>
      </c>
    </row>
    <row r="3220" customFormat="false" ht="12.75" hidden="false" customHeight="true" outlineLevel="0" collapsed="false">
      <c r="A3220" s="5" t="n">
        <v>210</v>
      </c>
      <c r="B3220" s="5" t="n">
        <v>36</v>
      </c>
      <c r="C3220" s="5" t="n">
        <v>41967794</v>
      </c>
      <c r="D3220" s="5" t="n">
        <v>9.8705</v>
      </c>
      <c r="E3220" s="5" t="n">
        <v>41.967794</v>
      </c>
    </row>
    <row r="3221" customFormat="false" ht="12.75" hidden="false" customHeight="true" outlineLevel="0" collapsed="false">
      <c r="A3221" s="5" t="n">
        <v>210</v>
      </c>
      <c r="B3221" s="5" t="n">
        <v>37</v>
      </c>
      <c r="C3221" s="5" t="n">
        <v>52642392</v>
      </c>
      <c r="D3221" s="5" t="n">
        <v>11.4788</v>
      </c>
      <c r="E3221" s="5" t="n">
        <v>52.642392</v>
      </c>
    </row>
    <row r="3222" customFormat="false" ht="12.75" hidden="false" customHeight="true" outlineLevel="0" collapsed="false">
      <c r="A3222" s="5" t="n">
        <v>210</v>
      </c>
      <c r="B3222" s="5" t="n">
        <v>38</v>
      </c>
      <c r="C3222" s="5" t="n">
        <v>64909383</v>
      </c>
      <c r="D3222" s="5" t="n">
        <v>13.0552</v>
      </c>
      <c r="E3222" s="5" t="n">
        <v>64.909383</v>
      </c>
    </row>
    <row r="3223" customFormat="false" ht="12.75" hidden="false" customHeight="true" outlineLevel="0" collapsed="false">
      <c r="A3223" s="5" t="n">
        <v>210</v>
      </c>
      <c r="B3223" s="5" t="n">
        <v>39</v>
      </c>
      <c r="C3223" s="5" t="n">
        <v>78841446</v>
      </c>
      <c r="D3223" s="5" t="n">
        <v>14.8089</v>
      </c>
      <c r="E3223" s="5" t="n">
        <v>78.841446</v>
      </c>
    </row>
    <row r="3224" customFormat="false" ht="12.75" hidden="false" customHeight="true" outlineLevel="0" collapsed="false">
      <c r="A3224" s="5" t="n">
        <v>211</v>
      </c>
      <c r="B3224" s="5" t="n">
        <v>261.32</v>
      </c>
      <c r="C3224" s="5" t="n">
        <v>0</v>
      </c>
      <c r="D3224" s="5" t="n">
        <v>0</v>
      </c>
      <c r="E3224" s="5" t="n">
        <v>0</v>
      </c>
    </row>
    <row r="3225" customFormat="false" ht="12.75" hidden="false" customHeight="true" outlineLevel="0" collapsed="false">
      <c r="A3225" s="5" t="n">
        <v>211</v>
      </c>
      <c r="B3225" s="5" t="n">
        <v>262</v>
      </c>
      <c r="C3225" s="5" t="n">
        <v>9</v>
      </c>
      <c r="D3225" s="5" t="n">
        <v>0</v>
      </c>
      <c r="E3225" s="5" t="n">
        <v>9E-006</v>
      </c>
    </row>
    <row r="3226" customFormat="false" ht="12.75" hidden="false" customHeight="true" outlineLevel="0" collapsed="false">
      <c r="A3226" s="5" t="n">
        <v>211</v>
      </c>
      <c r="B3226" s="5" t="n">
        <v>263</v>
      </c>
      <c r="C3226" s="5" t="n">
        <v>190</v>
      </c>
      <c r="D3226" s="5" t="n">
        <v>0.001</v>
      </c>
      <c r="E3226" s="5" t="n">
        <v>0.00019</v>
      </c>
    </row>
    <row r="3227" customFormat="false" ht="12.75" hidden="false" customHeight="true" outlineLevel="0" collapsed="false">
      <c r="A3227" s="5" t="n">
        <v>211</v>
      </c>
      <c r="B3227" s="5" t="n">
        <v>264</v>
      </c>
      <c r="C3227" s="5" t="n">
        <v>2100</v>
      </c>
      <c r="D3227" s="5" t="n">
        <v>0.005</v>
      </c>
      <c r="E3227" s="5" t="n">
        <v>0.0021</v>
      </c>
    </row>
    <row r="3228" customFormat="false" ht="12.75" hidden="false" customHeight="true" outlineLevel="0" collapsed="false">
      <c r="A3228" s="5" t="n">
        <v>211</v>
      </c>
      <c r="B3228" s="5" t="n">
        <v>265</v>
      </c>
      <c r="C3228" s="5" t="n">
        <v>16900</v>
      </c>
      <c r="D3228" s="5" t="n">
        <v>0.03</v>
      </c>
      <c r="E3228" s="5" t="n">
        <v>0.0169</v>
      </c>
    </row>
    <row r="3229" customFormat="false" ht="12.75" hidden="false" customHeight="true" outlineLevel="0" collapsed="false">
      <c r="A3229" s="5" t="n">
        <v>211</v>
      </c>
      <c r="B3229" s="5" t="n">
        <v>266</v>
      </c>
      <c r="C3229" s="5" t="n">
        <v>65900</v>
      </c>
      <c r="D3229" s="5" t="n">
        <v>0.07</v>
      </c>
      <c r="E3229" s="5" t="n">
        <v>0.0659</v>
      </c>
    </row>
    <row r="3230" customFormat="false" ht="12.75" hidden="false" customHeight="true" outlineLevel="0" collapsed="false">
      <c r="A3230" s="5" t="n">
        <v>211</v>
      </c>
      <c r="B3230" s="5" t="n">
        <v>267</v>
      </c>
      <c r="C3230" s="5" t="n">
        <v>160000</v>
      </c>
      <c r="D3230" s="5" t="n">
        <v>0.11</v>
      </c>
      <c r="E3230" s="5" t="n">
        <v>0.16</v>
      </c>
    </row>
    <row r="3231" customFormat="false" ht="12.75" hidden="false" customHeight="true" outlineLevel="0" collapsed="false">
      <c r="A3231" s="5" t="n">
        <v>211</v>
      </c>
      <c r="B3231" s="5" t="n">
        <v>268</v>
      </c>
      <c r="C3231" s="5" t="n">
        <v>291000</v>
      </c>
      <c r="D3231" s="5" t="n">
        <v>0.16</v>
      </c>
      <c r="E3231" s="5" t="n">
        <v>0.291</v>
      </c>
    </row>
    <row r="3232" customFormat="false" ht="12.75" hidden="false" customHeight="true" outlineLevel="0" collapsed="false">
      <c r="A3232" s="5" t="n">
        <v>211</v>
      </c>
      <c r="B3232" s="5" t="n">
        <v>269</v>
      </c>
      <c r="C3232" s="5" t="n">
        <v>466000</v>
      </c>
      <c r="D3232" s="5" t="n">
        <v>0.19</v>
      </c>
      <c r="E3232" s="5" t="n">
        <v>0.466</v>
      </c>
    </row>
    <row r="3233" customFormat="false" ht="12.75" hidden="false" customHeight="true" outlineLevel="0" collapsed="false">
      <c r="A3233" s="5" t="n">
        <v>211</v>
      </c>
      <c r="B3233" s="5" t="n">
        <v>270</v>
      </c>
      <c r="C3233" s="5" t="n">
        <v>670000</v>
      </c>
      <c r="D3233" s="5" t="n">
        <v>0.21</v>
      </c>
      <c r="E3233" s="5" t="n">
        <v>0.67</v>
      </c>
    </row>
    <row r="3234" customFormat="false" ht="12.75" hidden="false" customHeight="true" outlineLevel="0" collapsed="false">
      <c r="A3234" s="5" t="n">
        <v>211</v>
      </c>
      <c r="B3234" s="5" t="n">
        <v>271</v>
      </c>
      <c r="C3234" s="5" t="n">
        <v>887000</v>
      </c>
      <c r="D3234" s="5" t="n">
        <v>0.22</v>
      </c>
      <c r="E3234" s="5" t="n">
        <v>0.887</v>
      </c>
    </row>
    <row r="3235" customFormat="false" ht="12.75" hidden="false" customHeight="true" outlineLevel="0" collapsed="false">
      <c r="A3235" s="5" t="n">
        <v>211</v>
      </c>
      <c r="B3235" s="5" t="n">
        <v>271.48</v>
      </c>
      <c r="C3235" s="5" t="n">
        <v>994000</v>
      </c>
      <c r="D3235" s="5" t="n">
        <v>0.23</v>
      </c>
      <c r="E3235" s="5" t="n">
        <v>0.994</v>
      </c>
    </row>
    <row r="3236" customFormat="false" ht="12.75" hidden="false" customHeight="true" outlineLevel="0" collapsed="false">
      <c r="A3236" s="5" t="n">
        <v>211</v>
      </c>
      <c r="B3236" s="5" t="n">
        <v>272</v>
      </c>
      <c r="C3236" s="5" t="n">
        <v>1440000</v>
      </c>
      <c r="D3236" s="5" t="n">
        <v>1.1</v>
      </c>
      <c r="E3236" s="5" t="n">
        <v>1.44</v>
      </c>
    </row>
    <row r="3237" customFormat="false" ht="12.75" hidden="false" customHeight="true" outlineLevel="0" collapsed="false">
      <c r="A3237" s="5" t="n">
        <v>211</v>
      </c>
      <c r="B3237" s="5" t="n">
        <v>273</v>
      </c>
      <c r="C3237" s="5" t="n">
        <v>1800000</v>
      </c>
      <c r="D3237" s="5" t="n">
        <v>1.15</v>
      </c>
      <c r="E3237" s="5" t="n">
        <v>1.8</v>
      </c>
    </row>
    <row r="3238" customFormat="false" ht="12.75" hidden="false" customHeight="true" outlineLevel="0" collapsed="false">
      <c r="A3238" s="5" t="n">
        <v>211</v>
      </c>
      <c r="B3238" s="5" t="n">
        <v>274</v>
      </c>
      <c r="C3238" s="5" t="n">
        <v>2197000</v>
      </c>
      <c r="D3238" s="5" t="n">
        <v>1.19</v>
      </c>
      <c r="E3238" s="5" t="n">
        <v>2.197</v>
      </c>
    </row>
    <row r="3239" customFormat="false" ht="12.75" hidden="false" customHeight="true" outlineLevel="0" collapsed="false">
      <c r="A3239" s="5" t="n">
        <v>211</v>
      </c>
      <c r="B3239" s="5" t="n">
        <v>275</v>
      </c>
      <c r="C3239" s="5" t="n">
        <v>2644000</v>
      </c>
      <c r="D3239" s="5" t="n">
        <v>1.24</v>
      </c>
      <c r="E3239" s="5" t="n">
        <v>2.644</v>
      </c>
    </row>
    <row r="3240" customFormat="false" ht="12.75" hidden="false" customHeight="true" outlineLevel="0" collapsed="false">
      <c r="A3240" s="5" t="n">
        <v>211</v>
      </c>
      <c r="B3240" s="5" t="n">
        <v>276</v>
      </c>
      <c r="C3240" s="5" t="n">
        <v>3136000</v>
      </c>
      <c r="D3240" s="5" t="n">
        <v>1.28</v>
      </c>
      <c r="E3240" s="5" t="n">
        <v>3.136</v>
      </c>
    </row>
    <row r="3241" customFormat="false" ht="12.75" hidden="false" customHeight="true" outlineLevel="0" collapsed="false">
      <c r="A3241" s="5" t="n">
        <v>211</v>
      </c>
      <c r="B3241" s="5" t="n">
        <v>277</v>
      </c>
      <c r="C3241" s="5" t="n">
        <v>3670000</v>
      </c>
      <c r="D3241" s="5" t="n">
        <v>1.32</v>
      </c>
      <c r="E3241" s="5" t="n">
        <v>3.67</v>
      </c>
    </row>
    <row r="3242" customFormat="false" ht="12.75" hidden="false" customHeight="true" outlineLevel="0" collapsed="false">
      <c r="A3242" s="5" t="n">
        <v>211</v>
      </c>
      <c r="B3242" s="5" t="n">
        <v>278</v>
      </c>
      <c r="C3242" s="5" t="n">
        <v>4240000</v>
      </c>
      <c r="D3242" s="5" t="n">
        <v>1.36</v>
      </c>
      <c r="E3242" s="5" t="n">
        <v>4.24</v>
      </c>
    </row>
    <row r="3243" customFormat="false" ht="12.75" hidden="false" customHeight="true" outlineLevel="0" collapsed="false">
      <c r="A3243" s="5" t="n">
        <v>211</v>
      </c>
      <c r="B3243" s="5" t="n">
        <v>279</v>
      </c>
      <c r="C3243" s="5" t="n">
        <v>4850000</v>
      </c>
      <c r="D3243" s="5" t="n">
        <v>1.4</v>
      </c>
      <c r="E3243" s="5" t="n">
        <v>4.85</v>
      </c>
    </row>
    <row r="3244" customFormat="false" ht="12.75" hidden="false" customHeight="true" outlineLevel="0" collapsed="false">
      <c r="A3244" s="5" t="n">
        <v>211</v>
      </c>
      <c r="B3244" s="5" t="n">
        <v>280</v>
      </c>
      <c r="C3244" s="5" t="n">
        <v>5520000</v>
      </c>
      <c r="D3244" s="5" t="n">
        <v>1.48</v>
      </c>
      <c r="E3244" s="5" t="n">
        <v>5.52</v>
      </c>
    </row>
    <row r="3245" customFormat="false" ht="12.75" hidden="false" customHeight="true" outlineLevel="0" collapsed="false">
      <c r="A3245" s="5" t="n">
        <v>211</v>
      </c>
      <c r="B3245" s="5" t="n">
        <v>281</v>
      </c>
      <c r="C3245" s="5" t="n">
        <v>6250000</v>
      </c>
      <c r="D3245" s="5" t="n">
        <v>1.52</v>
      </c>
      <c r="E3245" s="5" t="n">
        <v>6.25</v>
      </c>
    </row>
    <row r="3246" customFormat="false" ht="12.75" hidden="false" customHeight="true" outlineLevel="0" collapsed="false">
      <c r="A3246" s="5" t="n">
        <v>211</v>
      </c>
      <c r="B3246" s="5" t="n">
        <v>282</v>
      </c>
      <c r="C3246" s="5" t="n">
        <v>7020000</v>
      </c>
      <c r="D3246" s="5" t="n">
        <v>1.56</v>
      </c>
      <c r="E3246" s="5" t="n">
        <v>7.02</v>
      </c>
    </row>
    <row r="3247" customFormat="false" ht="12.75" hidden="false" customHeight="true" outlineLevel="0" collapsed="false">
      <c r="A3247" s="5" t="n">
        <v>212</v>
      </c>
      <c r="B3247" s="5" t="n">
        <v>68.89</v>
      </c>
      <c r="C3247" s="5" t="n">
        <v>0</v>
      </c>
      <c r="D3247" s="5" t="n">
        <v>0</v>
      </c>
      <c r="E3247" s="5" t="n">
        <v>0</v>
      </c>
    </row>
    <row r="3248" customFormat="false" ht="12.75" hidden="false" customHeight="true" outlineLevel="0" collapsed="false">
      <c r="A3248" s="5" t="n">
        <v>212</v>
      </c>
      <c r="B3248" s="5" t="n">
        <v>69</v>
      </c>
      <c r="C3248" s="5" t="n">
        <v>0</v>
      </c>
      <c r="D3248" s="5" t="n">
        <v>0</v>
      </c>
      <c r="E3248" s="5" t="n">
        <v>0</v>
      </c>
    </row>
    <row r="3249" customFormat="false" ht="12.75" hidden="false" customHeight="true" outlineLevel="0" collapsed="false">
      <c r="A3249" s="5" t="n">
        <v>212</v>
      </c>
      <c r="B3249" s="5" t="n">
        <v>70</v>
      </c>
      <c r="C3249" s="5" t="n">
        <v>1</v>
      </c>
      <c r="D3249" s="5" t="n">
        <v>0</v>
      </c>
      <c r="E3249" s="5" t="n">
        <v>1E-006</v>
      </c>
    </row>
    <row r="3250" customFormat="false" ht="12.75" hidden="false" customHeight="true" outlineLevel="0" collapsed="false">
      <c r="A3250" s="5" t="n">
        <v>212</v>
      </c>
      <c r="B3250" s="5" t="n">
        <v>71</v>
      </c>
      <c r="C3250" s="5" t="n">
        <v>10</v>
      </c>
      <c r="D3250" s="5" t="n">
        <v>0</v>
      </c>
      <c r="E3250" s="5" t="n">
        <v>1E-005</v>
      </c>
    </row>
    <row r="3251" customFormat="false" ht="12.75" hidden="false" customHeight="true" outlineLevel="0" collapsed="false">
      <c r="A3251" s="5" t="n">
        <v>212</v>
      </c>
      <c r="B3251" s="5" t="n">
        <v>72</v>
      </c>
      <c r="C3251" s="5" t="n">
        <v>338</v>
      </c>
      <c r="D3251" s="5" t="n">
        <v>0.001</v>
      </c>
      <c r="E3251" s="5" t="n">
        <v>0.000338</v>
      </c>
    </row>
    <row r="3252" customFormat="false" ht="12.75" hidden="false" customHeight="true" outlineLevel="0" collapsed="false">
      <c r="A3252" s="5" t="n">
        <v>212</v>
      </c>
      <c r="B3252" s="5" t="n">
        <v>73</v>
      </c>
      <c r="C3252" s="5" t="n">
        <v>5278</v>
      </c>
      <c r="D3252" s="5" t="n">
        <v>0.0132</v>
      </c>
      <c r="E3252" s="5" t="n">
        <v>0.005278</v>
      </c>
    </row>
    <row r="3253" customFormat="false" ht="12.75" hidden="false" customHeight="true" outlineLevel="0" collapsed="false">
      <c r="A3253" s="5" t="n">
        <v>212</v>
      </c>
      <c r="B3253" s="5" t="n">
        <v>74</v>
      </c>
      <c r="C3253" s="5" t="n">
        <v>44831</v>
      </c>
      <c r="D3253" s="5" t="n">
        <v>0.0813</v>
      </c>
      <c r="E3253" s="5" t="n">
        <v>0.044831</v>
      </c>
    </row>
    <row r="3254" customFormat="false" ht="12.75" hidden="false" customHeight="true" outlineLevel="0" collapsed="false">
      <c r="A3254" s="5" t="n">
        <v>212</v>
      </c>
      <c r="B3254" s="5" t="n">
        <v>75</v>
      </c>
      <c r="C3254" s="5" t="n">
        <v>243014</v>
      </c>
      <c r="D3254" s="5" t="n">
        <v>0.3436</v>
      </c>
      <c r="E3254" s="5" t="n">
        <v>0.243014</v>
      </c>
    </row>
    <row r="3255" customFormat="false" ht="12.75" hidden="false" customHeight="true" outlineLevel="0" collapsed="false">
      <c r="A3255" s="5" t="n">
        <v>212</v>
      </c>
      <c r="B3255" s="5" t="n">
        <v>76</v>
      </c>
      <c r="C3255" s="5" t="n">
        <v>821703</v>
      </c>
      <c r="D3255" s="5" t="n">
        <v>0.8482</v>
      </c>
      <c r="E3255" s="5" t="n">
        <v>0.821703</v>
      </c>
    </row>
    <row r="3256" customFormat="false" ht="12.75" hidden="false" customHeight="true" outlineLevel="0" collapsed="false">
      <c r="A3256" s="5" t="n">
        <v>212</v>
      </c>
      <c r="B3256" s="5" t="n">
        <v>77</v>
      </c>
      <c r="C3256" s="5" t="n">
        <v>2043180</v>
      </c>
      <c r="D3256" s="5" t="n">
        <v>1.6346</v>
      </c>
      <c r="E3256" s="5" t="n">
        <v>2.04318</v>
      </c>
    </row>
    <row r="3257" customFormat="false" ht="12.75" hidden="false" customHeight="true" outlineLevel="0" collapsed="false">
      <c r="A3257" s="5" t="n">
        <v>212</v>
      </c>
      <c r="B3257" s="5" t="n">
        <v>78</v>
      </c>
      <c r="C3257" s="5" t="n">
        <v>4070668</v>
      </c>
      <c r="D3257" s="5" t="n">
        <v>2.2384</v>
      </c>
      <c r="E3257" s="5" t="n">
        <v>4.070668</v>
      </c>
    </row>
    <row r="3258" customFormat="false" ht="12.75" hidden="false" customHeight="true" outlineLevel="0" collapsed="false">
      <c r="A3258" s="5" t="n">
        <v>212</v>
      </c>
      <c r="B3258" s="5" t="n">
        <v>78.61</v>
      </c>
      <c r="C3258" s="5" t="n">
        <v>5450238</v>
      </c>
      <c r="D3258" s="5" t="n">
        <v>2.2844</v>
      </c>
      <c r="E3258" s="5" t="n">
        <v>5.450238</v>
      </c>
    </row>
    <row r="3259" customFormat="false" ht="12.75" hidden="false" customHeight="true" outlineLevel="0" collapsed="false">
      <c r="A3259" s="5" t="n">
        <v>212</v>
      </c>
      <c r="B3259" s="5" t="n">
        <v>79</v>
      </c>
      <c r="C3259" s="5" t="n">
        <v>6893000</v>
      </c>
      <c r="D3259" s="5" t="n">
        <v>2.3278</v>
      </c>
      <c r="E3259" s="5" t="n">
        <v>6.893</v>
      </c>
    </row>
    <row r="3260" customFormat="false" ht="12.75" hidden="false" customHeight="true" outlineLevel="0" collapsed="false">
      <c r="A3260" s="5" t="n">
        <v>212</v>
      </c>
      <c r="B3260" s="5" t="n">
        <v>80</v>
      </c>
      <c r="C3260" s="5" t="n">
        <v>10493000</v>
      </c>
      <c r="D3260" s="5" t="n">
        <v>2.439</v>
      </c>
      <c r="E3260" s="5" t="n">
        <v>10.493</v>
      </c>
    </row>
    <row r="3261" customFormat="false" ht="12.75" hidden="false" customHeight="true" outlineLevel="0" collapsed="false">
      <c r="A3261" s="5" t="n">
        <v>212</v>
      </c>
      <c r="B3261" s="5" t="n">
        <v>81</v>
      </c>
      <c r="C3261" s="5" t="n">
        <v>21193236</v>
      </c>
      <c r="D3261" s="5" t="n">
        <v>2.6115</v>
      </c>
      <c r="E3261" s="5" t="n">
        <v>21.193236</v>
      </c>
    </row>
    <row r="3262" customFormat="false" ht="12.75" hidden="false" customHeight="true" outlineLevel="0" collapsed="false">
      <c r="A3262" s="5" t="n">
        <v>212</v>
      </c>
      <c r="B3262" s="5" t="n">
        <v>82</v>
      </c>
      <c r="C3262" s="5" t="n">
        <v>31993000</v>
      </c>
      <c r="D3262" s="5" t="n">
        <v>2.7841</v>
      </c>
      <c r="E3262" s="5" t="n">
        <v>31.993</v>
      </c>
    </row>
    <row r="3263" customFormat="false" ht="12.75" hidden="false" customHeight="true" outlineLevel="0" collapsed="false">
      <c r="A3263" s="5" t="n">
        <v>212</v>
      </c>
      <c r="B3263" s="5" t="n">
        <v>83</v>
      </c>
      <c r="C3263" s="5" t="n">
        <v>42693000</v>
      </c>
      <c r="D3263" s="5" t="n">
        <v>2.9566</v>
      </c>
      <c r="E3263" s="5" t="n">
        <v>42.693</v>
      </c>
    </row>
    <row r="3264" customFormat="false" ht="12.75" hidden="false" customHeight="true" outlineLevel="0" collapsed="false">
      <c r="A3264" s="5" t="n">
        <v>212</v>
      </c>
      <c r="B3264" s="5" t="n">
        <v>84</v>
      </c>
      <c r="C3264" s="5" t="n">
        <v>53493000</v>
      </c>
      <c r="D3264" s="5" t="n">
        <v>3.1292</v>
      </c>
      <c r="E3264" s="5" t="n">
        <v>53.493</v>
      </c>
    </row>
    <row r="3265" customFormat="false" ht="12.75" hidden="false" customHeight="true" outlineLevel="0" collapsed="false">
      <c r="A3265" s="5" t="n">
        <v>212</v>
      </c>
      <c r="B3265" s="5" t="n">
        <v>85</v>
      </c>
      <c r="C3265" s="5" t="n">
        <v>64193000</v>
      </c>
      <c r="D3265" s="5" t="n">
        <v>3.3017</v>
      </c>
      <c r="E3265" s="5" t="n">
        <v>64.193</v>
      </c>
    </row>
    <row r="3266" customFormat="false" ht="12.75" hidden="false" customHeight="true" outlineLevel="0" collapsed="false">
      <c r="A3266" s="5" t="n">
        <v>212</v>
      </c>
      <c r="B3266" s="5" t="n">
        <v>86</v>
      </c>
      <c r="C3266" s="5" t="n">
        <v>84593000</v>
      </c>
      <c r="D3266" s="5" t="n">
        <v>3.5157</v>
      </c>
      <c r="E3266" s="5" t="n">
        <v>84.593</v>
      </c>
    </row>
    <row r="3267" customFormat="false" ht="12.75" hidden="false" customHeight="true" outlineLevel="0" collapsed="false">
      <c r="A3267" s="5" t="n">
        <v>212</v>
      </c>
      <c r="B3267" s="5" t="n">
        <v>86.21</v>
      </c>
      <c r="C3267" s="5" t="n">
        <v>88793000</v>
      </c>
      <c r="D3267" s="5" t="n">
        <v>3.5594</v>
      </c>
      <c r="E3267" s="5" t="n">
        <v>88.793</v>
      </c>
    </row>
    <row r="3268" customFormat="false" ht="12.75" hidden="false" customHeight="true" outlineLevel="0" collapsed="false">
      <c r="A3268" s="5" t="n">
        <v>212</v>
      </c>
      <c r="B3268" s="5" t="n">
        <v>87</v>
      </c>
      <c r="C3268" s="5" t="n">
        <v>104993000</v>
      </c>
      <c r="D3268" s="5" t="n">
        <v>3.7277</v>
      </c>
      <c r="E3268" s="5" t="n">
        <v>104.993</v>
      </c>
    </row>
    <row r="3269" customFormat="false" ht="12.75" hidden="false" customHeight="true" outlineLevel="0" collapsed="false">
      <c r="A3269" s="5" t="n">
        <v>212</v>
      </c>
      <c r="B3269" s="5" t="n">
        <v>88</v>
      </c>
      <c r="C3269" s="5" t="n">
        <v>125393000</v>
      </c>
      <c r="D3269" s="5" t="n">
        <v>3.9407</v>
      </c>
      <c r="E3269" s="5" t="n">
        <v>125.393</v>
      </c>
    </row>
    <row r="3270" customFormat="false" ht="12.75" hidden="false" customHeight="true" outlineLevel="0" collapsed="false">
      <c r="A3270" s="5" t="n">
        <v>212</v>
      </c>
      <c r="B3270" s="5" t="n">
        <v>89</v>
      </c>
      <c r="C3270" s="5" t="n">
        <v>145693000</v>
      </c>
      <c r="D3270" s="5" t="n">
        <v>4.1535</v>
      </c>
      <c r="E3270" s="5" t="n">
        <v>145.693</v>
      </c>
    </row>
    <row r="3271" customFormat="false" ht="12.75" hidden="false" customHeight="true" outlineLevel="0" collapsed="false">
      <c r="A3271" s="5" t="n">
        <v>212</v>
      </c>
      <c r="B3271" s="5" t="n">
        <v>90</v>
      </c>
      <c r="C3271" s="5" t="n">
        <v>166093000</v>
      </c>
      <c r="D3271" s="5" t="n">
        <v>4.3667</v>
      </c>
      <c r="E3271" s="5" t="n">
        <v>166.093</v>
      </c>
    </row>
    <row r="3272" customFormat="false" ht="12.75" hidden="false" customHeight="true" outlineLevel="0" collapsed="false">
      <c r="A3272" s="5" t="n">
        <v>212</v>
      </c>
      <c r="B3272" s="5" t="n">
        <v>91</v>
      </c>
      <c r="C3272" s="5" t="n">
        <v>198293000</v>
      </c>
      <c r="D3272" s="5" t="n">
        <v>4.6229</v>
      </c>
      <c r="E3272" s="5" t="n">
        <v>198.293</v>
      </c>
    </row>
    <row r="3273" customFormat="false" ht="12.75" hidden="false" customHeight="true" outlineLevel="0" collapsed="false">
      <c r="A3273" s="5" t="n">
        <v>212</v>
      </c>
      <c r="B3273" s="5" t="n">
        <v>92</v>
      </c>
      <c r="C3273" s="5" t="n">
        <v>230493000</v>
      </c>
      <c r="D3273" s="5" t="n">
        <v>4.8851</v>
      </c>
      <c r="E3273" s="5" t="n">
        <v>230.493</v>
      </c>
    </row>
    <row r="3274" customFormat="false" ht="12.75" hidden="false" customHeight="true" outlineLevel="0" collapsed="false">
      <c r="A3274" s="5" t="n">
        <v>212</v>
      </c>
      <c r="B3274" s="5" t="n">
        <v>93</v>
      </c>
      <c r="C3274" s="5" t="n">
        <v>262693000</v>
      </c>
      <c r="D3274" s="5" t="n">
        <v>5.1443</v>
      </c>
      <c r="E3274" s="5" t="n">
        <v>262.693</v>
      </c>
    </row>
    <row r="3275" customFormat="false" ht="12.75" hidden="false" customHeight="true" outlineLevel="0" collapsed="false">
      <c r="A3275" s="5" t="n">
        <v>212</v>
      </c>
      <c r="B3275" s="5" t="n">
        <v>94</v>
      </c>
      <c r="C3275" s="5" t="n">
        <v>294893000</v>
      </c>
      <c r="D3275" s="5" t="n">
        <v>5.4035</v>
      </c>
      <c r="E3275" s="5" t="n">
        <v>294.893</v>
      </c>
    </row>
    <row r="3276" customFormat="false" ht="12.75" hidden="false" customHeight="true" outlineLevel="0" collapsed="false">
      <c r="A3276" s="5" t="n">
        <v>212</v>
      </c>
      <c r="B3276" s="5" t="n">
        <v>95</v>
      </c>
      <c r="C3276" s="5" t="n">
        <v>326993000</v>
      </c>
      <c r="D3276" s="5" t="n">
        <v>5.6625</v>
      </c>
      <c r="E3276" s="5" t="n">
        <v>326.993</v>
      </c>
    </row>
    <row r="3277" customFormat="false" ht="12.75" hidden="false" customHeight="true" outlineLevel="0" collapsed="false">
      <c r="A3277" s="5" t="n">
        <v>212</v>
      </c>
      <c r="B3277" s="5" t="n">
        <v>96</v>
      </c>
      <c r="C3277" s="5" t="n">
        <v>372693000</v>
      </c>
      <c r="D3277" s="5" t="n">
        <v>5.9425</v>
      </c>
      <c r="E3277" s="5" t="n">
        <v>372.693</v>
      </c>
    </row>
    <row r="3278" customFormat="false" ht="12.75" hidden="false" customHeight="true" outlineLevel="0" collapsed="false">
      <c r="A3278" s="5" t="n">
        <v>212</v>
      </c>
      <c r="B3278" s="5" t="n">
        <v>97</v>
      </c>
      <c r="C3278" s="5" t="n">
        <v>418393000</v>
      </c>
      <c r="D3278" s="5" t="n">
        <v>6.2223</v>
      </c>
      <c r="E3278" s="5" t="n">
        <v>418.393</v>
      </c>
    </row>
    <row r="3279" customFormat="false" ht="12.75" hidden="false" customHeight="true" outlineLevel="0" collapsed="false">
      <c r="A3279" s="5" t="n">
        <v>212</v>
      </c>
      <c r="B3279" s="5" t="n">
        <v>98</v>
      </c>
      <c r="C3279" s="5" t="n">
        <v>463993000</v>
      </c>
      <c r="D3279" s="5" t="n">
        <v>6.5021</v>
      </c>
      <c r="E3279" s="5" t="n">
        <v>463.993</v>
      </c>
    </row>
    <row r="3280" customFormat="false" ht="12.75" hidden="false" customHeight="true" outlineLevel="0" collapsed="false">
      <c r="A3280" s="5" t="n">
        <v>212</v>
      </c>
      <c r="B3280" s="5" t="n">
        <v>99</v>
      </c>
      <c r="C3280" s="5" t="n">
        <v>509693000</v>
      </c>
      <c r="D3280" s="5" t="n">
        <v>6.7819</v>
      </c>
      <c r="E3280" s="5" t="n">
        <v>509.693</v>
      </c>
    </row>
    <row r="3281" customFormat="false" ht="12.75" hidden="false" customHeight="true" outlineLevel="0" collapsed="false">
      <c r="A3281" s="5" t="n">
        <v>212</v>
      </c>
      <c r="B3281" s="5" t="n">
        <v>100</v>
      </c>
      <c r="C3281" s="5" t="n">
        <v>555293000</v>
      </c>
      <c r="D3281" s="5" t="n">
        <v>7.0617</v>
      </c>
      <c r="E3281" s="5" t="n">
        <v>555.293</v>
      </c>
    </row>
    <row r="3282" customFormat="false" ht="12.75" hidden="false" customHeight="true" outlineLevel="0" collapsed="false">
      <c r="A3282" s="5" t="n">
        <v>212</v>
      </c>
      <c r="B3282" s="5" t="n">
        <v>101</v>
      </c>
      <c r="C3282" s="5" t="n">
        <v>616393000</v>
      </c>
      <c r="D3282" s="5" t="n">
        <v>7.3965</v>
      </c>
      <c r="E3282" s="5" t="n">
        <v>616.393</v>
      </c>
    </row>
    <row r="3283" customFormat="false" ht="12.75" hidden="false" customHeight="true" outlineLevel="0" collapsed="false">
      <c r="A3283" s="5" t="n">
        <v>212</v>
      </c>
      <c r="B3283" s="5" t="n">
        <v>102</v>
      </c>
      <c r="C3283" s="5" t="n">
        <v>677393000</v>
      </c>
      <c r="D3283" s="5" t="n">
        <v>7.7313</v>
      </c>
      <c r="E3283" s="5" t="n">
        <v>677.393</v>
      </c>
    </row>
    <row r="3284" customFormat="false" ht="12.75" hidden="false" customHeight="true" outlineLevel="0" collapsed="false">
      <c r="A3284" s="5" t="n">
        <v>212</v>
      </c>
      <c r="B3284" s="5" t="n">
        <v>103</v>
      </c>
      <c r="C3284" s="5" t="n">
        <v>738393000</v>
      </c>
      <c r="D3284" s="5" t="n">
        <v>8.0662</v>
      </c>
      <c r="E3284" s="5" t="n">
        <v>738.393</v>
      </c>
    </row>
    <row r="3285" customFormat="false" ht="12.75" hidden="false" customHeight="true" outlineLevel="0" collapsed="false">
      <c r="A3285" s="5" t="n">
        <v>212</v>
      </c>
      <c r="B3285" s="5" t="n">
        <v>104</v>
      </c>
      <c r="C3285" s="5" t="n">
        <v>799393000</v>
      </c>
      <c r="D3285" s="5" t="n">
        <v>8.401</v>
      </c>
      <c r="E3285" s="5" t="n">
        <v>799.393</v>
      </c>
    </row>
    <row r="3286" customFormat="false" ht="12.75" hidden="false" customHeight="true" outlineLevel="0" collapsed="false">
      <c r="A3286" s="5" t="n">
        <v>212</v>
      </c>
      <c r="B3286" s="5" t="n">
        <v>105</v>
      </c>
      <c r="C3286" s="5" t="n">
        <v>860493000</v>
      </c>
      <c r="D3286" s="5" t="n">
        <v>8.7358</v>
      </c>
      <c r="E3286" s="5" t="n">
        <v>860.493</v>
      </c>
    </row>
    <row r="3287" customFormat="false" ht="12.75" hidden="false" customHeight="true" outlineLevel="0" collapsed="false">
      <c r="A3287" s="5" t="n">
        <v>212</v>
      </c>
      <c r="B3287" s="5" t="n">
        <v>106</v>
      </c>
      <c r="C3287" s="5" t="n">
        <v>941193000</v>
      </c>
      <c r="D3287" s="5" t="n">
        <v>9.1892</v>
      </c>
      <c r="E3287" s="5" t="n">
        <v>941.193</v>
      </c>
    </row>
    <row r="3288" customFormat="false" ht="12.75" hidden="false" customHeight="true" outlineLevel="0" collapsed="false">
      <c r="A3288" s="5" t="n">
        <v>212</v>
      </c>
      <c r="B3288" s="5" t="n">
        <v>107</v>
      </c>
      <c r="C3288" s="5" t="n">
        <v>1021893000</v>
      </c>
      <c r="D3288" s="5" t="n">
        <v>9.6425</v>
      </c>
      <c r="E3288" s="5" t="n">
        <v>1021.893</v>
      </c>
    </row>
    <row r="3289" customFormat="false" ht="12.75" hidden="false" customHeight="true" outlineLevel="0" collapsed="false">
      <c r="A3289" s="5" t="n">
        <v>212</v>
      </c>
      <c r="B3289" s="5" t="n">
        <v>108</v>
      </c>
      <c r="C3289" s="5" t="n">
        <v>1102693000</v>
      </c>
      <c r="D3289" s="5" t="n">
        <v>10.0959</v>
      </c>
      <c r="E3289" s="5" t="n">
        <v>1102.693</v>
      </c>
    </row>
    <row r="3290" customFormat="false" ht="12.75" hidden="false" customHeight="true" outlineLevel="0" collapsed="false">
      <c r="A3290" s="5" t="n">
        <v>212</v>
      </c>
      <c r="B3290" s="5" t="n">
        <v>109</v>
      </c>
      <c r="C3290" s="5" t="n">
        <v>1183393000</v>
      </c>
      <c r="D3290" s="5" t="n">
        <v>10.5493</v>
      </c>
      <c r="E3290" s="5" t="n">
        <v>1183.393</v>
      </c>
    </row>
    <row r="3291" customFormat="false" ht="12.75" hidden="false" customHeight="true" outlineLevel="0" collapsed="false">
      <c r="A3291" s="5" t="n">
        <v>212</v>
      </c>
      <c r="B3291" s="5" t="n">
        <v>110</v>
      </c>
      <c r="C3291" s="5" t="n">
        <v>1264093000</v>
      </c>
      <c r="D3291" s="5" t="n">
        <v>11.0027</v>
      </c>
      <c r="E3291" s="5" t="n">
        <v>1264.093</v>
      </c>
    </row>
    <row r="3292" customFormat="false" ht="12.75" hidden="false" customHeight="true" outlineLevel="0" collapsed="false">
      <c r="A3292" s="5" t="n">
        <v>213</v>
      </c>
      <c r="B3292" s="5" t="n">
        <v>75.95</v>
      </c>
      <c r="C3292" s="5" t="n">
        <v>0</v>
      </c>
      <c r="D3292" s="5" t="n">
        <v>0</v>
      </c>
      <c r="E3292" s="5" t="n">
        <v>0</v>
      </c>
    </row>
    <row r="3293" customFormat="false" ht="12.75" hidden="false" customHeight="true" outlineLevel="0" collapsed="false">
      <c r="A3293" s="5" t="n">
        <v>213</v>
      </c>
      <c r="B3293" s="5" t="n">
        <v>76</v>
      </c>
      <c r="C3293" s="5" t="n">
        <v>0</v>
      </c>
      <c r="D3293" s="5" t="n">
        <v>0</v>
      </c>
      <c r="E3293" s="5" t="n">
        <v>0</v>
      </c>
    </row>
    <row r="3294" customFormat="false" ht="12.75" hidden="false" customHeight="true" outlineLevel="0" collapsed="false">
      <c r="A3294" s="5" t="n">
        <v>213</v>
      </c>
      <c r="B3294" s="5" t="n">
        <v>77</v>
      </c>
      <c r="C3294" s="5" t="n">
        <v>52</v>
      </c>
      <c r="D3294" s="5" t="n">
        <v>0.0002</v>
      </c>
      <c r="E3294" s="5" t="n">
        <v>5.2E-005</v>
      </c>
    </row>
    <row r="3295" customFormat="false" ht="12.75" hidden="false" customHeight="true" outlineLevel="0" collapsed="false">
      <c r="A3295" s="5" t="n">
        <v>213</v>
      </c>
      <c r="B3295" s="5" t="n">
        <v>78</v>
      </c>
      <c r="C3295" s="5" t="n">
        <v>679.695</v>
      </c>
      <c r="D3295" s="5" t="n">
        <v>0.0013</v>
      </c>
      <c r="E3295" s="5" t="n">
        <v>0.000679695</v>
      </c>
    </row>
    <row r="3296" customFormat="false" ht="12.75" hidden="false" customHeight="true" outlineLevel="0" collapsed="false">
      <c r="A3296" s="5" t="n">
        <v>213</v>
      </c>
      <c r="B3296" s="5" t="n">
        <v>79</v>
      </c>
      <c r="C3296" s="5" t="n">
        <v>3628</v>
      </c>
      <c r="D3296" s="5" t="n">
        <v>0.0054</v>
      </c>
      <c r="E3296" s="5" t="n">
        <v>0.003628</v>
      </c>
    </row>
    <row r="3297" customFormat="false" ht="12.75" hidden="false" customHeight="true" outlineLevel="0" collapsed="false">
      <c r="A3297" s="5" t="n">
        <v>213</v>
      </c>
      <c r="B3297" s="5" t="n">
        <v>80</v>
      </c>
      <c r="C3297" s="5" t="n">
        <v>13937</v>
      </c>
      <c r="D3297" s="5" t="n">
        <v>0.0164</v>
      </c>
      <c r="E3297" s="5" t="n">
        <v>0.013937</v>
      </c>
    </row>
    <row r="3298" customFormat="false" ht="12.75" hidden="false" customHeight="true" outlineLevel="0" collapsed="false">
      <c r="A3298" s="5" t="n">
        <v>213</v>
      </c>
      <c r="B3298" s="5" t="n">
        <v>81</v>
      </c>
      <c r="C3298" s="5" t="n">
        <v>38725</v>
      </c>
      <c r="D3298" s="5" t="n">
        <v>0.036</v>
      </c>
      <c r="E3298" s="5" t="n">
        <v>0.038725</v>
      </c>
    </row>
    <row r="3299" customFormat="false" ht="12.75" hidden="false" customHeight="true" outlineLevel="0" collapsed="false">
      <c r="A3299" s="5" t="n">
        <v>213</v>
      </c>
      <c r="B3299" s="5" t="n">
        <v>82</v>
      </c>
      <c r="C3299" s="5" t="n">
        <v>88163</v>
      </c>
      <c r="D3299" s="5" t="n">
        <v>0.0635</v>
      </c>
      <c r="E3299" s="5" t="n">
        <v>0.088163</v>
      </c>
    </row>
    <row r="3300" customFormat="false" ht="12.75" hidden="false" customHeight="true" outlineLevel="0" collapsed="false">
      <c r="A3300" s="5" t="n">
        <v>213</v>
      </c>
      <c r="B3300" s="5" t="n">
        <v>83</v>
      </c>
      <c r="C3300" s="5" t="n">
        <v>166984.25</v>
      </c>
      <c r="D3300" s="5" t="n">
        <v>0.0943</v>
      </c>
      <c r="E3300" s="5" t="n">
        <v>0.16698425</v>
      </c>
    </row>
    <row r="3301" customFormat="false" ht="12.75" hidden="false" customHeight="true" outlineLevel="0" collapsed="false">
      <c r="A3301" s="5" t="n">
        <v>213</v>
      </c>
      <c r="B3301" s="5" t="n">
        <v>84</v>
      </c>
      <c r="C3301" s="5" t="n">
        <v>280551</v>
      </c>
      <c r="D3301" s="5" t="n">
        <v>0.1326</v>
      </c>
      <c r="E3301" s="5" t="n">
        <v>0.280551</v>
      </c>
    </row>
    <row r="3302" customFormat="false" ht="12.75" hidden="false" customHeight="true" outlineLevel="0" collapsed="false">
      <c r="A3302" s="5" t="n">
        <v>213</v>
      </c>
      <c r="B3302" s="5" t="n">
        <v>85</v>
      </c>
      <c r="C3302" s="5" t="n">
        <v>429786</v>
      </c>
      <c r="D3302" s="5" t="n">
        <v>0.164</v>
      </c>
      <c r="E3302" s="5" t="n">
        <v>0.429786</v>
      </c>
    </row>
    <row r="3303" customFormat="false" ht="12.75" hidden="false" customHeight="true" outlineLevel="0" collapsed="false">
      <c r="A3303" s="5" t="n">
        <v>213</v>
      </c>
      <c r="B3303" s="5" t="n">
        <v>86</v>
      </c>
      <c r="C3303" s="5" t="n">
        <v>606578</v>
      </c>
      <c r="D3303" s="5" t="n">
        <v>0.1877</v>
      </c>
      <c r="E3303" s="5" t="n">
        <v>0.606578</v>
      </c>
    </row>
    <row r="3304" customFormat="false" ht="12.75" hidden="false" customHeight="true" outlineLevel="0" collapsed="false">
      <c r="A3304" s="5" t="n">
        <v>213</v>
      </c>
      <c r="B3304" s="5" t="n">
        <v>87</v>
      </c>
      <c r="C3304" s="5" t="n">
        <v>805385</v>
      </c>
      <c r="D3304" s="5" t="n">
        <v>0.2091</v>
      </c>
      <c r="E3304" s="5" t="n">
        <v>0.805385</v>
      </c>
    </row>
    <row r="3305" customFormat="false" ht="12.75" hidden="false" customHeight="true" outlineLevel="0" collapsed="false">
      <c r="A3305" s="5" t="n">
        <v>213</v>
      </c>
      <c r="B3305" s="5" t="n">
        <v>88</v>
      </c>
      <c r="C3305" s="5" t="n">
        <v>1024589</v>
      </c>
      <c r="D3305" s="5" t="n">
        <v>0.2291</v>
      </c>
      <c r="E3305" s="5" t="n">
        <v>1.024589</v>
      </c>
    </row>
    <row r="3306" customFormat="false" ht="12.75" hidden="false" customHeight="true" outlineLevel="0" collapsed="false">
      <c r="A3306" s="5" t="n">
        <v>213</v>
      </c>
      <c r="B3306" s="5" t="n">
        <v>89</v>
      </c>
      <c r="C3306" s="5" t="n">
        <v>1263733</v>
      </c>
      <c r="D3306" s="5" t="n">
        <v>0.2489</v>
      </c>
      <c r="E3306" s="5" t="n">
        <v>1.263733</v>
      </c>
    </row>
    <row r="3307" customFormat="false" ht="12.75" hidden="false" customHeight="true" outlineLevel="0" collapsed="false">
      <c r="A3307" s="5" t="n">
        <v>213</v>
      </c>
      <c r="B3307" s="5" t="n">
        <v>90</v>
      </c>
      <c r="C3307" s="5" t="n">
        <v>1521937</v>
      </c>
      <c r="D3307" s="5" t="n">
        <v>0.2676</v>
      </c>
      <c r="E3307" s="5" t="n">
        <v>1.521937</v>
      </c>
    </row>
    <row r="3308" customFormat="false" ht="12.75" hidden="false" customHeight="true" outlineLevel="0" collapsed="false">
      <c r="A3308" s="5" t="n">
        <v>213</v>
      </c>
      <c r="B3308" s="5" t="n">
        <v>91</v>
      </c>
      <c r="C3308" s="5" t="n">
        <v>1798931</v>
      </c>
      <c r="D3308" s="5" t="n">
        <v>0.2866</v>
      </c>
      <c r="E3308" s="5" t="n">
        <v>1.798931</v>
      </c>
    </row>
    <row r="3309" customFormat="false" ht="12.75" hidden="false" customHeight="true" outlineLevel="0" collapsed="false">
      <c r="A3309" s="5" t="n">
        <v>213</v>
      </c>
      <c r="B3309" s="5" t="n">
        <v>92</v>
      </c>
      <c r="C3309" s="5" t="n">
        <v>2094941</v>
      </c>
      <c r="D3309" s="5" t="n">
        <v>0.3054</v>
      </c>
      <c r="E3309" s="5" t="n">
        <v>2.094941</v>
      </c>
    </row>
    <row r="3310" customFormat="false" ht="12.75" hidden="false" customHeight="true" outlineLevel="0" collapsed="false">
      <c r="A3310" s="5" t="n">
        <v>213</v>
      </c>
      <c r="B3310" s="5" t="n">
        <v>93</v>
      </c>
      <c r="C3310" s="5" t="n">
        <v>2409913</v>
      </c>
      <c r="D3310" s="5" t="n">
        <v>0.3249</v>
      </c>
      <c r="E3310" s="5" t="n">
        <v>2.409913</v>
      </c>
    </row>
    <row r="3311" customFormat="false" ht="12.75" hidden="false" customHeight="true" outlineLevel="0" collapsed="false">
      <c r="A3311" s="5" t="n">
        <v>213</v>
      </c>
      <c r="B3311" s="5" t="n">
        <v>94</v>
      </c>
      <c r="C3311" s="5" t="n">
        <v>2743824</v>
      </c>
      <c r="D3311" s="5" t="n">
        <v>0.3418</v>
      </c>
      <c r="E3311" s="5" t="n">
        <v>2.743824</v>
      </c>
    </row>
    <row r="3312" customFormat="false" ht="12.75" hidden="false" customHeight="true" outlineLevel="0" collapsed="false">
      <c r="A3312" s="5" t="n">
        <v>213</v>
      </c>
      <c r="B3312" s="5" t="n">
        <v>95</v>
      </c>
      <c r="C3312" s="5" t="n">
        <v>3092434</v>
      </c>
      <c r="D3312" s="5" t="n">
        <v>0.3543</v>
      </c>
      <c r="E3312" s="5" t="n">
        <v>3.092434</v>
      </c>
    </row>
    <row r="3313" customFormat="false" ht="12.75" hidden="false" customHeight="true" outlineLevel="0" collapsed="false">
      <c r="A3313" s="5" t="n">
        <v>213</v>
      </c>
      <c r="B3313" s="5" t="n">
        <v>96</v>
      </c>
      <c r="C3313" s="5" t="n">
        <v>3450884</v>
      </c>
      <c r="D3313" s="5" t="n">
        <v>0.3619</v>
      </c>
      <c r="E3313" s="5" t="n">
        <v>3.450884</v>
      </c>
    </row>
    <row r="3314" customFormat="false" ht="12.75" hidden="false" customHeight="true" outlineLevel="0" collapsed="false">
      <c r="A3314" s="5" t="n">
        <v>213</v>
      </c>
      <c r="B3314" s="5" t="n">
        <v>97</v>
      </c>
      <c r="C3314" s="5" t="n">
        <v>3816065</v>
      </c>
      <c r="D3314" s="5" t="n">
        <v>0.3685</v>
      </c>
      <c r="E3314" s="5" t="n">
        <v>3.816065</v>
      </c>
    </row>
    <row r="3315" customFormat="false" ht="12.75" hidden="false" customHeight="true" outlineLevel="0" collapsed="false">
      <c r="A3315" s="5" t="n">
        <v>213</v>
      </c>
      <c r="B3315" s="5" t="n">
        <v>98</v>
      </c>
      <c r="C3315" s="5" t="n">
        <v>4186684</v>
      </c>
      <c r="D3315" s="5" t="n">
        <v>0.3726</v>
      </c>
      <c r="E3315" s="5" t="n">
        <v>4.186684</v>
      </c>
    </row>
    <row r="3316" customFormat="false" ht="12.75" hidden="false" customHeight="true" outlineLevel="0" collapsed="false">
      <c r="A3316" s="5" t="n">
        <v>213</v>
      </c>
      <c r="B3316" s="5" t="n">
        <v>99</v>
      </c>
      <c r="C3316" s="5" t="n">
        <v>4561088</v>
      </c>
      <c r="D3316" s="5" t="n">
        <v>0.3762</v>
      </c>
      <c r="E3316" s="5" t="n">
        <v>4.561088</v>
      </c>
    </row>
    <row r="3317" customFormat="false" ht="12.75" hidden="false" customHeight="true" outlineLevel="0" collapsed="false">
      <c r="A3317" s="5" t="n">
        <v>213</v>
      </c>
      <c r="B3317" s="5" t="n">
        <v>100</v>
      </c>
      <c r="C3317" s="5" t="n">
        <v>4939000</v>
      </c>
      <c r="D3317" s="5" t="n">
        <v>0.3796</v>
      </c>
      <c r="E3317" s="5" t="n">
        <v>4.939</v>
      </c>
    </row>
    <row r="3318" customFormat="false" ht="12.75" hidden="false" customHeight="true" outlineLevel="0" collapsed="false">
      <c r="A3318" s="5" t="n">
        <v>213</v>
      </c>
      <c r="B3318" s="5" t="n">
        <v>100.21</v>
      </c>
      <c r="C3318" s="5" t="n">
        <v>5018810</v>
      </c>
      <c r="D3318" s="5" t="n">
        <v>0.3804</v>
      </c>
      <c r="E3318" s="5" t="n">
        <v>5.01881</v>
      </c>
    </row>
    <row r="3319" customFormat="false" ht="12.75" hidden="false" customHeight="true" outlineLevel="0" collapsed="false">
      <c r="A3319" s="5" t="n">
        <v>213</v>
      </c>
      <c r="B3319" s="5" t="n">
        <v>101</v>
      </c>
      <c r="C3319" s="5" t="n">
        <v>5323118</v>
      </c>
      <c r="D3319" s="5" t="n">
        <v>0.39</v>
      </c>
      <c r="E3319" s="5" t="n">
        <v>5.323118</v>
      </c>
    </row>
    <row r="3320" customFormat="false" ht="12.75" hidden="false" customHeight="true" outlineLevel="0" collapsed="false">
      <c r="A3320" s="5" t="n">
        <v>213</v>
      </c>
      <c r="B3320" s="5" t="n">
        <v>102</v>
      </c>
      <c r="C3320" s="5" t="n">
        <v>5717118</v>
      </c>
      <c r="D3320" s="5" t="n">
        <v>0.398</v>
      </c>
      <c r="E3320" s="5" t="n">
        <v>5.717118</v>
      </c>
    </row>
    <row r="3321" customFormat="false" ht="12.75" hidden="false" customHeight="true" outlineLevel="0" collapsed="false">
      <c r="A3321" s="5" t="n">
        <v>213</v>
      </c>
      <c r="B3321" s="5" t="n">
        <v>103</v>
      </c>
      <c r="C3321" s="5" t="n">
        <v>6121118</v>
      </c>
      <c r="D3321" s="5" t="n">
        <v>0.41</v>
      </c>
      <c r="E3321" s="5" t="n">
        <v>6.121118</v>
      </c>
    </row>
    <row r="3322" customFormat="false" ht="12.75" hidden="false" customHeight="true" outlineLevel="0" collapsed="false">
      <c r="A3322" s="5" t="n">
        <v>213</v>
      </c>
      <c r="B3322" s="5" t="n">
        <v>104</v>
      </c>
      <c r="C3322" s="5" t="n">
        <v>6539118</v>
      </c>
      <c r="D3322" s="5" t="n">
        <v>0.426</v>
      </c>
      <c r="E3322" s="5" t="n">
        <v>6.539118</v>
      </c>
    </row>
    <row r="3323" customFormat="false" ht="12.75" hidden="false" customHeight="true" outlineLevel="0" collapsed="false">
      <c r="A3323" s="5" t="n">
        <v>215</v>
      </c>
      <c r="B3323" s="5" t="n">
        <v>49</v>
      </c>
      <c r="C3323" s="5" t="n">
        <v>0</v>
      </c>
      <c r="D3323" s="5" t="n">
        <v>0</v>
      </c>
      <c r="E3323" s="5" t="n">
        <v>0</v>
      </c>
    </row>
    <row r="3324" customFormat="false" ht="12.75" hidden="false" customHeight="true" outlineLevel="0" collapsed="false">
      <c r="A3324" s="5" t="n">
        <v>215</v>
      </c>
      <c r="B3324" s="5" t="n">
        <v>50</v>
      </c>
      <c r="C3324" s="5" t="n">
        <v>214000</v>
      </c>
      <c r="D3324" s="5" t="n">
        <v>0.43</v>
      </c>
      <c r="E3324" s="5" t="n">
        <v>0.214</v>
      </c>
    </row>
    <row r="3325" customFormat="false" ht="12.75" hidden="false" customHeight="true" outlineLevel="0" collapsed="false">
      <c r="A3325" s="5" t="n">
        <v>215</v>
      </c>
      <c r="B3325" s="5" t="n">
        <v>51</v>
      </c>
      <c r="C3325" s="5" t="n">
        <v>901000</v>
      </c>
      <c r="D3325" s="5" t="n">
        <v>0.95</v>
      </c>
      <c r="E3325" s="5" t="n">
        <v>0.901</v>
      </c>
    </row>
    <row r="3326" customFormat="false" ht="12.75" hidden="false" customHeight="true" outlineLevel="0" collapsed="false">
      <c r="A3326" s="5" t="n">
        <v>215</v>
      </c>
      <c r="B3326" s="5" t="n">
        <v>52</v>
      </c>
      <c r="C3326" s="5" t="n">
        <v>2115000</v>
      </c>
      <c r="D3326" s="5" t="n">
        <v>1.48</v>
      </c>
      <c r="E3326" s="5" t="n">
        <v>2.115</v>
      </c>
    </row>
    <row r="3327" customFormat="false" ht="12.75" hidden="false" customHeight="true" outlineLevel="0" collapsed="false">
      <c r="A3327" s="5" t="n">
        <v>215</v>
      </c>
      <c r="B3327" s="5" t="n">
        <v>53</v>
      </c>
      <c r="C3327" s="5" t="n">
        <v>3600000</v>
      </c>
      <c r="D3327" s="5" t="n">
        <v>2.08</v>
      </c>
      <c r="E3327" s="5" t="n">
        <v>3.6</v>
      </c>
    </row>
    <row r="3328" customFormat="false" ht="12.75" hidden="false" customHeight="true" outlineLevel="0" collapsed="false">
      <c r="A3328" s="5" t="n">
        <v>215</v>
      </c>
      <c r="B3328" s="5" t="n">
        <v>54</v>
      </c>
      <c r="C3328" s="5" t="n">
        <v>6304000</v>
      </c>
      <c r="D3328" s="5" t="n">
        <v>2.73</v>
      </c>
      <c r="E3328" s="5" t="n">
        <v>6.304</v>
      </c>
    </row>
    <row r="3329" customFormat="false" ht="12.75" hidden="false" customHeight="true" outlineLevel="0" collapsed="false">
      <c r="A3329" s="5" t="n">
        <v>215</v>
      </c>
      <c r="B3329" s="5" t="n">
        <v>55</v>
      </c>
      <c r="C3329" s="5" t="n">
        <v>9393000</v>
      </c>
      <c r="D3329" s="5" t="n">
        <v>3.45</v>
      </c>
      <c r="E3329" s="5" t="n">
        <v>9.393</v>
      </c>
    </row>
    <row r="3330" customFormat="false" ht="12.75" hidden="false" customHeight="true" outlineLevel="0" collapsed="false">
      <c r="A3330" s="5" t="n">
        <v>215</v>
      </c>
      <c r="B3330" s="5" t="n">
        <v>56</v>
      </c>
      <c r="C3330" s="5" t="n">
        <v>13262000</v>
      </c>
      <c r="D3330" s="5" t="n">
        <v>4.29</v>
      </c>
      <c r="E3330" s="5" t="n">
        <v>13.262</v>
      </c>
    </row>
    <row r="3331" customFormat="false" ht="12.75" hidden="false" customHeight="true" outlineLevel="0" collapsed="false">
      <c r="A3331" s="5" t="n">
        <v>215</v>
      </c>
      <c r="B3331" s="5" t="n">
        <v>57</v>
      </c>
      <c r="C3331" s="5" t="n">
        <v>18040000</v>
      </c>
      <c r="D3331" s="5" t="n">
        <v>5.27</v>
      </c>
      <c r="E3331" s="5" t="n">
        <v>18.04</v>
      </c>
    </row>
    <row r="3332" customFormat="false" ht="12.75" hidden="false" customHeight="true" outlineLevel="0" collapsed="false">
      <c r="A3332" s="5" t="n">
        <v>215</v>
      </c>
      <c r="B3332" s="5" t="n">
        <v>58</v>
      </c>
      <c r="C3332" s="5" t="n">
        <v>24070000</v>
      </c>
      <c r="D3332" s="5" t="n">
        <v>6.79</v>
      </c>
      <c r="E3332" s="5" t="n">
        <v>24.07</v>
      </c>
    </row>
    <row r="3333" customFormat="false" ht="12.75" hidden="false" customHeight="true" outlineLevel="0" collapsed="false">
      <c r="A3333" s="5" t="n">
        <v>215</v>
      </c>
      <c r="B3333" s="5" t="n">
        <v>59</v>
      </c>
      <c r="C3333" s="5" t="n">
        <v>31340000</v>
      </c>
      <c r="D3333" s="5" t="n">
        <v>7.75</v>
      </c>
      <c r="E3333" s="5" t="n">
        <v>31.34</v>
      </c>
    </row>
    <row r="3334" customFormat="false" ht="12.75" hidden="false" customHeight="true" outlineLevel="0" collapsed="false">
      <c r="A3334" s="5" t="n">
        <v>216</v>
      </c>
      <c r="B3334" s="5" t="n">
        <v>251</v>
      </c>
      <c r="C3334" s="5" t="n">
        <v>0</v>
      </c>
      <c r="D3334" s="5" t="n">
        <v>0</v>
      </c>
      <c r="E3334" s="5" t="n">
        <v>0</v>
      </c>
    </row>
    <row r="3335" customFormat="false" ht="12.75" hidden="false" customHeight="true" outlineLevel="0" collapsed="false">
      <c r="A3335" s="5" t="n">
        <v>216</v>
      </c>
      <c r="B3335" s="5" t="n">
        <v>252</v>
      </c>
      <c r="C3335" s="5" t="n">
        <v>620</v>
      </c>
      <c r="D3335" s="5" t="n">
        <v>0.0012</v>
      </c>
      <c r="E3335" s="5" t="n">
        <v>0.00062</v>
      </c>
    </row>
    <row r="3336" customFormat="false" ht="12.75" hidden="false" customHeight="true" outlineLevel="0" collapsed="false">
      <c r="A3336" s="5" t="n">
        <v>216</v>
      </c>
      <c r="B3336" s="5" t="n">
        <v>253</v>
      </c>
      <c r="C3336" s="5" t="n">
        <v>3900</v>
      </c>
      <c r="D3336" s="5" t="n">
        <v>0.005</v>
      </c>
      <c r="E3336" s="5" t="n">
        <v>0.0039</v>
      </c>
    </row>
    <row r="3337" customFormat="false" ht="12.75" hidden="false" customHeight="true" outlineLevel="0" collapsed="false">
      <c r="A3337" s="5" t="n">
        <v>216</v>
      </c>
      <c r="B3337" s="5" t="n">
        <v>254</v>
      </c>
      <c r="C3337" s="5" t="n">
        <v>12000</v>
      </c>
      <c r="D3337" s="5" t="n">
        <v>0.01</v>
      </c>
      <c r="E3337" s="5" t="n">
        <v>0.012</v>
      </c>
    </row>
    <row r="3338" customFormat="false" ht="12.75" hidden="false" customHeight="true" outlineLevel="0" collapsed="false">
      <c r="A3338" s="5" t="n">
        <v>216</v>
      </c>
      <c r="B3338" s="5" t="n">
        <v>255</v>
      </c>
      <c r="C3338" s="5" t="n">
        <v>32000</v>
      </c>
      <c r="D3338" s="5" t="n">
        <v>0.03</v>
      </c>
      <c r="E3338" s="5" t="n">
        <v>0.032</v>
      </c>
    </row>
    <row r="3339" customFormat="false" ht="12.75" hidden="false" customHeight="true" outlineLevel="0" collapsed="false">
      <c r="A3339" s="5" t="n">
        <v>216</v>
      </c>
      <c r="B3339" s="5" t="n">
        <v>256</v>
      </c>
      <c r="C3339" s="5" t="n">
        <v>94000</v>
      </c>
      <c r="D3339" s="5" t="n">
        <v>0.1</v>
      </c>
      <c r="E3339" s="5" t="n">
        <v>0.094</v>
      </c>
    </row>
    <row r="3340" customFormat="false" ht="12.75" hidden="false" customHeight="true" outlineLevel="0" collapsed="false">
      <c r="A3340" s="5" t="n">
        <v>216</v>
      </c>
      <c r="B3340" s="5" t="n">
        <v>257</v>
      </c>
      <c r="C3340" s="5" t="n">
        <v>232000</v>
      </c>
      <c r="D3340" s="5" t="n">
        <v>0.18</v>
      </c>
      <c r="E3340" s="5" t="n">
        <v>0.232</v>
      </c>
    </row>
    <row r="3341" customFormat="false" ht="12.75" hidden="false" customHeight="true" outlineLevel="0" collapsed="false">
      <c r="A3341" s="5" t="n">
        <v>216</v>
      </c>
      <c r="B3341" s="5" t="n">
        <v>258</v>
      </c>
      <c r="C3341" s="5" t="n">
        <v>448000</v>
      </c>
      <c r="D3341" s="5" t="n">
        <v>0.25</v>
      </c>
      <c r="E3341" s="5" t="n">
        <v>0.448</v>
      </c>
    </row>
    <row r="3342" customFormat="false" ht="12.75" hidden="false" customHeight="true" outlineLevel="0" collapsed="false">
      <c r="A3342" s="5" t="n">
        <v>216</v>
      </c>
      <c r="B3342" s="5" t="n">
        <v>259</v>
      </c>
      <c r="C3342" s="5" t="n">
        <v>744000</v>
      </c>
      <c r="D3342" s="5" t="n">
        <v>0.34</v>
      </c>
      <c r="E3342" s="5" t="n">
        <v>0.744</v>
      </c>
    </row>
    <row r="3343" customFormat="false" ht="12.75" hidden="false" customHeight="true" outlineLevel="0" collapsed="false">
      <c r="A3343" s="5" t="n">
        <v>216</v>
      </c>
      <c r="B3343" s="5" t="n">
        <v>260</v>
      </c>
      <c r="C3343" s="5" t="n">
        <v>1126000</v>
      </c>
      <c r="D3343" s="5" t="n">
        <v>0.43</v>
      </c>
      <c r="E3343" s="5" t="n">
        <v>1.126</v>
      </c>
    </row>
    <row r="3344" customFormat="false" ht="12.75" hidden="false" customHeight="true" outlineLevel="0" collapsed="false">
      <c r="A3344" s="5" t="n">
        <v>216</v>
      </c>
      <c r="B3344" s="5" t="n">
        <v>261</v>
      </c>
      <c r="C3344" s="5" t="n">
        <v>1624000</v>
      </c>
      <c r="D3344" s="5" t="n">
        <v>0.57</v>
      </c>
      <c r="E3344" s="5" t="n">
        <v>1.624</v>
      </c>
    </row>
    <row r="3345" customFormat="false" ht="12.75" hidden="false" customHeight="true" outlineLevel="0" collapsed="false">
      <c r="A3345" s="5" t="n">
        <v>216</v>
      </c>
      <c r="B3345" s="5" t="n">
        <v>262</v>
      </c>
      <c r="C3345" s="5" t="n">
        <v>2245000</v>
      </c>
      <c r="D3345" s="5" t="n">
        <v>0.67</v>
      </c>
      <c r="E3345" s="5" t="n">
        <v>2.245</v>
      </c>
    </row>
    <row r="3346" customFormat="false" ht="12.75" hidden="false" customHeight="true" outlineLevel="0" collapsed="false">
      <c r="A3346" s="5" t="n">
        <v>216</v>
      </c>
      <c r="B3346" s="5" t="n">
        <v>263</v>
      </c>
      <c r="C3346" s="5" t="n">
        <v>2994000</v>
      </c>
      <c r="D3346" s="5" t="n">
        <v>0.83</v>
      </c>
      <c r="E3346" s="5" t="n">
        <v>2.994</v>
      </c>
    </row>
    <row r="3347" customFormat="false" ht="12.75" hidden="false" customHeight="true" outlineLevel="0" collapsed="false">
      <c r="A3347" s="5" t="n">
        <v>216</v>
      </c>
      <c r="B3347" s="5" t="n">
        <v>264</v>
      </c>
      <c r="C3347" s="5" t="n">
        <v>3899000</v>
      </c>
      <c r="D3347" s="5" t="n">
        <v>0.98</v>
      </c>
      <c r="E3347" s="5" t="n">
        <v>3.899</v>
      </c>
    </row>
    <row r="3348" customFormat="false" ht="12.75" hidden="false" customHeight="true" outlineLevel="0" collapsed="false">
      <c r="A3348" s="5" t="n">
        <v>216</v>
      </c>
      <c r="B3348" s="5" t="n">
        <v>265</v>
      </c>
      <c r="C3348" s="5" t="n">
        <v>4970000</v>
      </c>
      <c r="D3348" s="5" t="n">
        <v>1.17</v>
      </c>
      <c r="E3348" s="5" t="n">
        <v>4.97</v>
      </c>
    </row>
    <row r="3349" customFormat="false" ht="12.75" hidden="false" customHeight="true" outlineLevel="0" collapsed="false">
      <c r="A3349" s="5" t="n">
        <v>216</v>
      </c>
      <c r="B3349" s="5" t="n">
        <v>266</v>
      </c>
      <c r="C3349" s="5" t="n">
        <v>6240000</v>
      </c>
      <c r="D3349" s="5" t="n">
        <v>1.37</v>
      </c>
      <c r="E3349" s="5" t="n">
        <v>6.24</v>
      </c>
    </row>
    <row r="3350" customFormat="false" ht="12.75" hidden="false" customHeight="true" outlineLevel="0" collapsed="false">
      <c r="A3350" s="5" t="n">
        <v>216</v>
      </c>
      <c r="B3350" s="5" t="n">
        <v>267</v>
      </c>
      <c r="C3350" s="5" t="n">
        <v>7704000</v>
      </c>
      <c r="D3350" s="5" t="n">
        <v>1.55</v>
      </c>
      <c r="E3350" s="5" t="n">
        <v>7.704</v>
      </c>
    </row>
    <row r="3351" customFormat="false" ht="12.75" hidden="false" customHeight="true" outlineLevel="0" collapsed="false">
      <c r="A3351" s="5" t="n">
        <v>216</v>
      </c>
      <c r="B3351" s="5" t="n">
        <v>268</v>
      </c>
      <c r="C3351" s="5" t="n">
        <v>9378000</v>
      </c>
      <c r="D3351" s="5" t="n">
        <v>1.8</v>
      </c>
      <c r="E3351" s="5" t="n">
        <v>9.378</v>
      </c>
    </row>
    <row r="3352" customFormat="false" ht="12.75" hidden="false" customHeight="true" outlineLevel="0" collapsed="false">
      <c r="A3352" s="5" t="n">
        <v>216</v>
      </c>
      <c r="B3352" s="5" t="n">
        <v>269</v>
      </c>
      <c r="C3352" s="5" t="n">
        <v>11270000</v>
      </c>
      <c r="D3352" s="5" t="n">
        <v>1.99</v>
      </c>
      <c r="E3352" s="5" t="n">
        <v>11.27</v>
      </c>
    </row>
    <row r="3353" customFormat="false" ht="12.75" hidden="false" customHeight="true" outlineLevel="0" collapsed="false">
      <c r="A3353" s="5" t="n">
        <v>216</v>
      </c>
      <c r="B3353" s="5" t="n">
        <v>270</v>
      </c>
      <c r="C3353" s="5" t="n">
        <v>13510000</v>
      </c>
      <c r="D3353" s="5" t="n">
        <v>2.17</v>
      </c>
      <c r="E3353" s="5" t="n">
        <v>13.51</v>
      </c>
    </row>
    <row r="3354" customFormat="false" ht="12.75" hidden="false" customHeight="true" outlineLevel="0" collapsed="false">
      <c r="A3354" s="5" t="n">
        <v>216</v>
      </c>
      <c r="B3354" s="5" t="n">
        <v>271</v>
      </c>
      <c r="C3354" s="5" t="n">
        <v>15605000</v>
      </c>
      <c r="D3354" s="5" t="n">
        <v>2.34</v>
      </c>
      <c r="E3354" s="5" t="n">
        <v>15.605</v>
      </c>
    </row>
    <row r="3355" customFormat="false" ht="12.75" hidden="false" customHeight="true" outlineLevel="0" collapsed="false">
      <c r="A3355" s="5" t="n">
        <v>216</v>
      </c>
      <c r="B3355" s="5" t="n">
        <v>272</v>
      </c>
      <c r="C3355" s="5" t="n">
        <v>18015000</v>
      </c>
      <c r="D3355" s="5" t="n">
        <v>2.48</v>
      </c>
      <c r="E3355" s="5" t="n">
        <v>18.015</v>
      </c>
    </row>
    <row r="3356" customFormat="false" ht="12.75" hidden="false" customHeight="true" outlineLevel="0" collapsed="false">
      <c r="A3356" s="5" t="n">
        <v>216</v>
      </c>
      <c r="B3356" s="5" t="n">
        <v>273</v>
      </c>
      <c r="C3356" s="5" t="n">
        <v>20580000</v>
      </c>
      <c r="D3356" s="5" t="n">
        <v>2.65</v>
      </c>
      <c r="E3356" s="5" t="n">
        <v>20.58</v>
      </c>
    </row>
    <row r="3357" customFormat="false" ht="12.75" hidden="false" customHeight="true" outlineLevel="0" collapsed="false">
      <c r="A3357" s="5" t="n">
        <v>216</v>
      </c>
      <c r="B3357" s="5" t="n">
        <v>274</v>
      </c>
      <c r="C3357" s="5" t="n">
        <v>23300000</v>
      </c>
      <c r="D3357" s="5" t="n">
        <v>2.82</v>
      </c>
      <c r="E3357" s="5" t="n">
        <v>23.3</v>
      </c>
    </row>
    <row r="3358" customFormat="false" ht="12.75" hidden="false" customHeight="true" outlineLevel="0" collapsed="false">
      <c r="A3358" s="5" t="n">
        <v>216</v>
      </c>
      <c r="B3358" s="5" t="n">
        <v>275</v>
      </c>
      <c r="C3358" s="5" t="n">
        <v>26200000</v>
      </c>
      <c r="D3358" s="5" t="n">
        <v>2.98</v>
      </c>
      <c r="E3358" s="5" t="n">
        <v>26.2</v>
      </c>
    </row>
    <row r="3359" customFormat="false" ht="12.75" hidden="false" customHeight="true" outlineLevel="0" collapsed="false">
      <c r="A3359" s="5" t="n">
        <v>216</v>
      </c>
      <c r="B3359" s="5" t="n">
        <v>276</v>
      </c>
      <c r="C3359" s="5" t="n">
        <v>29400000</v>
      </c>
      <c r="D3359" s="5" t="n">
        <v>3.4</v>
      </c>
      <c r="E3359" s="5" t="n">
        <v>29.4</v>
      </c>
    </row>
    <row r="3360" customFormat="false" ht="12.75" hidden="false" customHeight="true" outlineLevel="0" collapsed="false">
      <c r="A3360" s="5" t="n">
        <v>217</v>
      </c>
      <c r="B3360" s="5" t="n">
        <v>90.86</v>
      </c>
      <c r="C3360" s="5" t="n">
        <v>0</v>
      </c>
      <c r="D3360" s="5" t="n">
        <v>0</v>
      </c>
      <c r="E3360" s="5" t="n">
        <v>0</v>
      </c>
    </row>
    <row r="3361" customFormat="false" ht="12.75" hidden="false" customHeight="true" outlineLevel="0" collapsed="false">
      <c r="A3361" s="5" t="n">
        <v>217</v>
      </c>
      <c r="B3361" s="5" t="n">
        <v>91</v>
      </c>
      <c r="C3361" s="5" t="n">
        <v>0</v>
      </c>
      <c r="D3361" s="5" t="n">
        <v>0.0003</v>
      </c>
      <c r="E3361" s="5" t="n">
        <v>0</v>
      </c>
    </row>
    <row r="3362" customFormat="false" ht="12.75" hidden="false" customHeight="true" outlineLevel="0" collapsed="false">
      <c r="A3362" s="5" t="n">
        <v>217</v>
      </c>
      <c r="B3362" s="5" t="n">
        <v>92</v>
      </c>
      <c r="C3362" s="5" t="n">
        <v>70</v>
      </c>
      <c r="D3362" s="5" t="n">
        <v>0.0001</v>
      </c>
      <c r="E3362" s="5" t="n">
        <v>7E-005</v>
      </c>
    </row>
    <row r="3363" customFormat="false" ht="12.75" hidden="false" customHeight="true" outlineLevel="0" collapsed="false">
      <c r="A3363" s="5" t="n">
        <v>217</v>
      </c>
      <c r="B3363" s="5" t="n">
        <v>93</v>
      </c>
      <c r="C3363" s="5" t="n">
        <v>500</v>
      </c>
      <c r="D3363" s="5" t="n">
        <v>0.001</v>
      </c>
      <c r="E3363" s="5" t="n">
        <v>0.0005</v>
      </c>
    </row>
    <row r="3364" customFormat="false" ht="12.75" hidden="false" customHeight="true" outlineLevel="0" collapsed="false">
      <c r="A3364" s="5" t="n">
        <v>217</v>
      </c>
      <c r="B3364" s="5" t="n">
        <v>94</v>
      </c>
      <c r="C3364" s="5" t="n">
        <v>3200</v>
      </c>
      <c r="D3364" s="5" t="n">
        <v>0.005</v>
      </c>
      <c r="E3364" s="5" t="n">
        <v>0.0032</v>
      </c>
    </row>
    <row r="3365" customFormat="false" ht="12.75" hidden="false" customHeight="true" outlineLevel="0" collapsed="false">
      <c r="A3365" s="5" t="n">
        <v>217</v>
      </c>
      <c r="B3365" s="5" t="n">
        <v>95</v>
      </c>
      <c r="C3365" s="5" t="n">
        <v>18000</v>
      </c>
      <c r="D3365" s="5" t="n">
        <v>0.027</v>
      </c>
      <c r="E3365" s="5" t="n">
        <v>0.018</v>
      </c>
    </row>
    <row r="3366" customFormat="false" ht="12.75" hidden="false" customHeight="true" outlineLevel="0" collapsed="false">
      <c r="A3366" s="5" t="n">
        <v>217</v>
      </c>
      <c r="B3366" s="5" t="n">
        <v>96</v>
      </c>
      <c r="C3366" s="5" t="n">
        <v>68000</v>
      </c>
      <c r="D3366" s="5" t="n">
        <v>0.078</v>
      </c>
      <c r="E3366" s="5" t="n">
        <v>0.068</v>
      </c>
    </row>
    <row r="3367" customFormat="false" ht="12.75" hidden="false" customHeight="true" outlineLevel="0" collapsed="false">
      <c r="A3367" s="5" t="n">
        <v>217</v>
      </c>
      <c r="B3367" s="5" t="n">
        <v>97</v>
      </c>
      <c r="C3367" s="5" t="n">
        <v>198000</v>
      </c>
      <c r="D3367" s="5" t="n">
        <v>0.192</v>
      </c>
      <c r="E3367" s="5" t="n">
        <v>0.198</v>
      </c>
    </row>
    <row r="3368" customFormat="false" ht="12.75" hidden="false" customHeight="true" outlineLevel="0" collapsed="false">
      <c r="A3368" s="5" t="n">
        <v>217</v>
      </c>
      <c r="B3368" s="5" t="n">
        <v>98</v>
      </c>
      <c r="C3368" s="5" t="n">
        <v>453000</v>
      </c>
      <c r="D3368" s="5" t="n">
        <v>0.298</v>
      </c>
      <c r="E3368" s="5" t="n">
        <v>0.453</v>
      </c>
    </row>
    <row r="3369" customFormat="false" ht="12.75" hidden="false" customHeight="true" outlineLevel="0" collapsed="false">
      <c r="A3369" s="5" t="n">
        <v>217</v>
      </c>
      <c r="B3369" s="5" t="n">
        <v>99</v>
      </c>
      <c r="C3369" s="5" t="n">
        <v>774000</v>
      </c>
      <c r="D3369" s="5" t="n">
        <v>0.339</v>
      </c>
      <c r="E3369" s="5" t="n">
        <v>0.774</v>
      </c>
    </row>
    <row r="3370" customFormat="false" ht="12.75" hidden="false" customHeight="true" outlineLevel="0" collapsed="false">
      <c r="A3370" s="5" t="n">
        <v>217</v>
      </c>
      <c r="B3370" s="5" t="n">
        <v>100</v>
      </c>
      <c r="C3370" s="5" t="n">
        <v>1130000</v>
      </c>
      <c r="D3370" s="5" t="n">
        <v>0.423</v>
      </c>
      <c r="E3370" s="5" t="n">
        <v>1.13</v>
      </c>
    </row>
    <row r="3371" customFormat="false" ht="12.75" hidden="false" customHeight="true" outlineLevel="0" collapsed="false">
      <c r="A3371" s="5" t="n">
        <v>217</v>
      </c>
      <c r="B3371" s="5" t="n">
        <v>101</v>
      </c>
      <c r="C3371" s="5" t="n">
        <v>1620000</v>
      </c>
      <c r="D3371" s="5" t="n">
        <v>0.563</v>
      </c>
      <c r="E3371" s="5" t="n">
        <v>1.62</v>
      </c>
    </row>
    <row r="3372" customFormat="false" ht="12.75" hidden="false" customHeight="true" outlineLevel="0" collapsed="false">
      <c r="A3372" s="5" t="n">
        <v>217</v>
      </c>
      <c r="B3372" s="5" t="n">
        <v>102</v>
      </c>
      <c r="C3372" s="5" t="n">
        <v>2281500</v>
      </c>
      <c r="D3372" s="5" t="n">
        <v>0.76</v>
      </c>
      <c r="E3372" s="5" t="n">
        <v>2.2815</v>
      </c>
    </row>
    <row r="3373" customFormat="false" ht="12.75" hidden="false" customHeight="true" outlineLevel="0" collapsed="false">
      <c r="A3373" s="5" t="n">
        <v>219</v>
      </c>
      <c r="B3373" s="5" t="n">
        <v>0.23</v>
      </c>
      <c r="C3373" s="5" t="n">
        <v>0</v>
      </c>
      <c r="D3373" s="5" t="n">
        <v>0</v>
      </c>
      <c r="E3373" s="5" t="n">
        <v>0</v>
      </c>
    </row>
    <row r="3374" customFormat="false" ht="12.75" hidden="false" customHeight="true" outlineLevel="0" collapsed="false">
      <c r="A3374" s="5" t="n">
        <v>219</v>
      </c>
      <c r="B3374" s="5" t="n">
        <v>1</v>
      </c>
      <c r="C3374" s="5" t="n">
        <v>2282</v>
      </c>
      <c r="D3374" s="5" t="n">
        <v>0.0113</v>
      </c>
      <c r="E3374" s="5" t="n">
        <v>0.002282</v>
      </c>
    </row>
    <row r="3375" customFormat="false" ht="12.75" hidden="false" customHeight="true" outlineLevel="0" collapsed="false">
      <c r="A3375" s="5" t="n">
        <v>219</v>
      </c>
      <c r="B3375" s="5" t="n">
        <v>2</v>
      </c>
      <c r="C3375" s="5" t="n">
        <v>271646</v>
      </c>
      <c r="D3375" s="5" t="n">
        <v>1.2224</v>
      </c>
      <c r="E3375" s="5" t="n">
        <v>0.271646</v>
      </c>
    </row>
    <row r="3376" customFormat="false" ht="12.75" hidden="false" customHeight="true" outlineLevel="0" collapsed="false">
      <c r="A3376" s="5" t="n">
        <v>219</v>
      </c>
      <c r="B3376" s="5" t="n">
        <v>3</v>
      </c>
      <c r="C3376" s="5" t="n">
        <v>2771521.98</v>
      </c>
      <c r="D3376" s="5" t="n">
        <v>3.5947</v>
      </c>
      <c r="E3376" s="5" t="n">
        <v>2.77152198</v>
      </c>
    </row>
    <row r="3377" customFormat="false" ht="12.75" hidden="false" customHeight="true" outlineLevel="0" collapsed="false">
      <c r="A3377" s="5" t="n">
        <v>219</v>
      </c>
      <c r="B3377" s="5" t="n">
        <v>4</v>
      </c>
      <c r="C3377" s="5" t="n">
        <v>7007479</v>
      </c>
      <c r="D3377" s="5" t="n">
        <v>4.7808</v>
      </c>
      <c r="E3377" s="5" t="n">
        <v>7.007479</v>
      </c>
    </row>
    <row r="3378" customFormat="false" ht="12.75" hidden="false" customHeight="true" outlineLevel="0" collapsed="false">
      <c r="A3378" s="5" t="n">
        <v>219</v>
      </c>
      <c r="B3378" s="5" t="n">
        <v>5</v>
      </c>
      <c r="C3378" s="5" t="n">
        <v>12035337</v>
      </c>
      <c r="D3378" s="5" t="n">
        <v>5.1383</v>
      </c>
      <c r="E3378" s="5" t="n">
        <v>12.035337</v>
      </c>
    </row>
    <row r="3379" customFormat="false" ht="12.75" hidden="false" customHeight="true" outlineLevel="0" collapsed="false">
      <c r="A3379" s="5" t="n">
        <v>219</v>
      </c>
      <c r="B3379" s="5" t="n">
        <v>6</v>
      </c>
      <c r="C3379" s="5" t="n">
        <v>17239775</v>
      </c>
      <c r="D3379" s="5" t="n">
        <v>5.2664</v>
      </c>
      <c r="E3379" s="5" t="n">
        <v>17.239775</v>
      </c>
    </row>
    <row r="3380" customFormat="false" ht="12.75" hidden="false" customHeight="true" outlineLevel="0" collapsed="false">
      <c r="A3380" s="5" t="n">
        <v>219</v>
      </c>
      <c r="B3380" s="5" t="n">
        <v>6.26</v>
      </c>
      <c r="C3380" s="5" t="n">
        <v>18612910</v>
      </c>
      <c r="D3380" s="5" t="n">
        <v>5.2959</v>
      </c>
      <c r="E3380" s="5" t="n">
        <v>18.61291</v>
      </c>
    </row>
    <row r="3381" customFormat="false" ht="12.75" hidden="false" customHeight="true" outlineLevel="0" collapsed="false">
      <c r="A3381" s="5" t="n">
        <v>219</v>
      </c>
      <c r="B3381" s="5" t="n">
        <v>6.4</v>
      </c>
      <c r="C3381" s="5" t="n">
        <v>19674256</v>
      </c>
      <c r="D3381" s="5" t="n">
        <v>5.3174</v>
      </c>
      <c r="E3381" s="5" t="n">
        <v>19.674256</v>
      </c>
    </row>
    <row r="3382" customFormat="false" ht="12.75" hidden="false" customHeight="true" outlineLevel="0" collapsed="false">
      <c r="A3382" s="5" t="n">
        <v>219</v>
      </c>
      <c r="B3382" s="5" t="n">
        <v>6.71</v>
      </c>
      <c r="C3382" s="5" t="n">
        <v>21006848</v>
      </c>
      <c r="D3382" s="5" t="n">
        <v>5.3355</v>
      </c>
      <c r="E3382" s="5" t="n">
        <v>21.006848</v>
      </c>
    </row>
    <row r="3383" customFormat="false" ht="12.75" hidden="false" customHeight="true" outlineLevel="0" collapsed="false">
      <c r="A3383" s="5" t="n">
        <v>219</v>
      </c>
      <c r="B3383" s="5" t="n">
        <v>7</v>
      </c>
      <c r="C3383" s="5" t="n">
        <v>22556594</v>
      </c>
      <c r="D3383" s="5" t="n">
        <v>5.3524</v>
      </c>
      <c r="E3383" s="5" t="n">
        <v>22.556594</v>
      </c>
    </row>
    <row r="3384" customFormat="false" ht="12.75" hidden="false" customHeight="true" outlineLevel="0" collapsed="false">
      <c r="A3384" s="5" t="n">
        <v>219</v>
      </c>
      <c r="B3384" s="5" t="n">
        <v>7.5</v>
      </c>
      <c r="C3384" s="5" t="n">
        <v>25240082</v>
      </c>
      <c r="D3384" s="5" t="n">
        <v>5.3816</v>
      </c>
      <c r="E3384" s="5" t="n">
        <v>25.240082</v>
      </c>
    </row>
    <row r="3385" customFormat="false" ht="12.75" hidden="false" customHeight="true" outlineLevel="0" collapsed="false">
      <c r="A3385" s="5" t="n">
        <v>219</v>
      </c>
      <c r="B3385" s="5" t="n">
        <v>8</v>
      </c>
      <c r="C3385" s="5" t="n">
        <v>27938144</v>
      </c>
      <c r="D3385" s="5" t="n">
        <v>5.4107</v>
      </c>
      <c r="E3385" s="5" t="n">
        <v>27.938144</v>
      </c>
    </row>
    <row r="3386" customFormat="false" ht="12.75" hidden="false" customHeight="true" outlineLevel="0" collapsed="false">
      <c r="A3386" s="5" t="n">
        <v>220</v>
      </c>
      <c r="B3386" s="5" t="n">
        <v>7.94</v>
      </c>
      <c r="C3386" s="5" t="n">
        <v>0</v>
      </c>
      <c r="D3386" s="5" t="n">
        <v>0</v>
      </c>
      <c r="E3386" s="5" t="n">
        <v>0</v>
      </c>
    </row>
    <row r="3387" customFormat="false" ht="12.75" hidden="false" customHeight="true" outlineLevel="0" collapsed="false">
      <c r="A3387" s="5" t="n">
        <v>220</v>
      </c>
      <c r="B3387" s="5" t="n">
        <v>8</v>
      </c>
      <c r="C3387" s="5" t="n">
        <v>0.07</v>
      </c>
      <c r="D3387" s="5" t="n">
        <v>0</v>
      </c>
      <c r="E3387" s="5" t="n">
        <v>7E-008</v>
      </c>
    </row>
    <row r="3388" customFormat="false" ht="12.75" hidden="false" customHeight="true" outlineLevel="0" collapsed="false">
      <c r="A3388" s="5" t="n">
        <v>220</v>
      </c>
      <c r="B3388" s="5" t="n">
        <v>9</v>
      </c>
      <c r="C3388" s="5" t="n">
        <v>1352</v>
      </c>
      <c r="D3388" s="5" t="n">
        <v>0.00858</v>
      </c>
      <c r="E3388" s="5" t="n">
        <v>0.001352</v>
      </c>
    </row>
    <row r="3389" customFormat="false" ht="12.75" hidden="false" customHeight="true" outlineLevel="0" collapsed="false">
      <c r="A3389" s="5" t="n">
        <v>220</v>
      </c>
      <c r="B3389" s="5" t="n">
        <v>10</v>
      </c>
      <c r="C3389" s="5" t="n">
        <v>41697</v>
      </c>
      <c r="D3389" s="5" t="n">
        <v>0.08498</v>
      </c>
      <c r="E3389" s="5" t="n">
        <v>0.041697</v>
      </c>
    </row>
    <row r="3390" customFormat="false" ht="12.75" hidden="false" customHeight="true" outlineLevel="0" collapsed="false">
      <c r="A3390" s="5" t="n">
        <v>220</v>
      </c>
      <c r="B3390" s="5" t="n">
        <v>11</v>
      </c>
      <c r="C3390" s="5" t="n">
        <v>231351</v>
      </c>
      <c r="D3390" s="5" t="n">
        <v>0.34763</v>
      </c>
      <c r="E3390" s="5" t="n">
        <v>0.231351</v>
      </c>
    </row>
    <row r="3391" customFormat="false" ht="12.75" hidden="false" customHeight="true" outlineLevel="0" collapsed="false">
      <c r="A3391" s="5" t="n">
        <v>220</v>
      </c>
      <c r="B3391" s="5" t="n">
        <v>12</v>
      </c>
      <c r="C3391" s="5" t="n">
        <v>820488</v>
      </c>
      <c r="D3391" s="5" t="n">
        <v>0.86574</v>
      </c>
      <c r="E3391" s="5" t="n">
        <v>0.820488</v>
      </c>
    </row>
    <row r="3392" customFormat="false" ht="12.75" hidden="false" customHeight="true" outlineLevel="0" collapsed="false">
      <c r="A3392" s="5" t="n">
        <v>220</v>
      </c>
      <c r="B3392" s="5" t="n">
        <v>13</v>
      </c>
      <c r="C3392" s="5" t="n">
        <v>1954161</v>
      </c>
      <c r="D3392" s="5" t="n">
        <v>1.42637</v>
      </c>
      <c r="E3392" s="5" t="n">
        <v>1.954161</v>
      </c>
    </row>
    <row r="3393" customFormat="false" ht="12.75" hidden="false" customHeight="true" outlineLevel="0" collapsed="false">
      <c r="A3393" s="5" t="n">
        <v>220</v>
      </c>
      <c r="B3393" s="5" t="n">
        <v>14</v>
      </c>
      <c r="C3393" s="5" t="n">
        <v>3536419</v>
      </c>
      <c r="D3393" s="5" t="n">
        <v>1.67086</v>
      </c>
      <c r="E3393" s="5" t="n">
        <v>3.536419</v>
      </c>
    </row>
    <row r="3394" customFormat="false" ht="12.75" hidden="false" customHeight="true" outlineLevel="0" collapsed="false">
      <c r="A3394" s="5" t="n">
        <v>220</v>
      </c>
      <c r="B3394" s="5" t="n">
        <v>14.9</v>
      </c>
      <c r="C3394" s="5" t="n">
        <v>5095672</v>
      </c>
      <c r="D3394" s="5" t="n">
        <v>1.79517</v>
      </c>
      <c r="E3394" s="5" t="n">
        <v>5.095672</v>
      </c>
    </row>
    <row r="3395" customFormat="false" ht="12.75" hidden="false" customHeight="true" outlineLevel="0" collapsed="false">
      <c r="A3395" s="5" t="n">
        <v>220</v>
      </c>
      <c r="B3395" s="5" t="n">
        <v>15</v>
      </c>
      <c r="C3395" s="5" t="n">
        <v>5125590</v>
      </c>
      <c r="D3395" s="5" t="n">
        <v>1.86187</v>
      </c>
      <c r="E3395" s="5" t="n">
        <v>5.12559</v>
      </c>
    </row>
    <row r="3396" customFormat="false" ht="12.75" hidden="false" customHeight="true" outlineLevel="0" collapsed="false">
      <c r="A3396" s="5" t="n">
        <v>220</v>
      </c>
      <c r="B3396" s="5" t="n">
        <v>16</v>
      </c>
      <c r="C3396" s="5" t="n">
        <v>5671391</v>
      </c>
      <c r="D3396" s="5" t="n">
        <v>2.17004</v>
      </c>
      <c r="E3396" s="5" t="n">
        <v>5.671391</v>
      </c>
    </row>
    <row r="3397" customFormat="false" ht="12.75" hidden="false" customHeight="true" outlineLevel="0" collapsed="false">
      <c r="A3397" s="5" t="n">
        <v>220</v>
      </c>
      <c r="B3397" s="5" t="n">
        <v>17</v>
      </c>
      <c r="C3397" s="5" t="n">
        <v>6217995</v>
      </c>
      <c r="D3397" s="5" t="n">
        <v>2.47822</v>
      </c>
      <c r="E3397" s="5" t="n">
        <v>6.217995</v>
      </c>
    </row>
    <row r="3398" customFormat="false" ht="12.75" hidden="false" customHeight="true" outlineLevel="0" collapsed="false">
      <c r="A3398" s="5" t="n">
        <v>220</v>
      </c>
      <c r="B3398" s="5" t="n">
        <v>18</v>
      </c>
      <c r="C3398" s="5" t="n">
        <v>6764194</v>
      </c>
      <c r="D3398" s="5" t="n">
        <v>2.78639</v>
      </c>
      <c r="E3398" s="5" t="n">
        <v>6.764194</v>
      </c>
    </row>
    <row r="3399" customFormat="false" ht="12.75" hidden="false" customHeight="true" outlineLevel="0" collapsed="false">
      <c r="A3399" s="5" t="n">
        <v>223</v>
      </c>
      <c r="B3399" s="5" t="n">
        <v>32.83</v>
      </c>
      <c r="C3399" s="5" t="n">
        <v>0</v>
      </c>
      <c r="D3399" s="5" t="n">
        <v>0</v>
      </c>
      <c r="E3399" s="5" t="n">
        <v>0</v>
      </c>
    </row>
    <row r="3400" customFormat="false" ht="12.75" hidden="false" customHeight="true" outlineLevel="0" collapsed="false">
      <c r="A3400" s="5" t="n">
        <v>223</v>
      </c>
      <c r="B3400" s="5" t="n">
        <v>33</v>
      </c>
      <c r="C3400" s="5" t="n">
        <v>6</v>
      </c>
      <c r="D3400" s="5" t="n">
        <v>0.0001</v>
      </c>
      <c r="E3400" s="5" t="n">
        <v>6E-006</v>
      </c>
    </row>
    <row r="3401" customFormat="false" ht="12.75" hidden="false" customHeight="true" outlineLevel="0" collapsed="false">
      <c r="A3401" s="5" t="n">
        <v>223</v>
      </c>
      <c r="B3401" s="5" t="n">
        <v>34</v>
      </c>
      <c r="C3401" s="5" t="n">
        <v>13000</v>
      </c>
      <c r="D3401" s="5" t="n">
        <v>0.054</v>
      </c>
      <c r="E3401" s="5" t="n">
        <v>0.013</v>
      </c>
    </row>
    <row r="3402" customFormat="false" ht="12.75" hidden="false" customHeight="true" outlineLevel="0" collapsed="false">
      <c r="A3402" s="5" t="n">
        <v>223</v>
      </c>
      <c r="B3402" s="5" t="n">
        <v>35</v>
      </c>
      <c r="C3402" s="5" t="n">
        <v>153000</v>
      </c>
      <c r="D3402" s="5" t="n">
        <v>0.246</v>
      </c>
      <c r="E3402" s="5" t="n">
        <v>0.153</v>
      </c>
    </row>
    <row r="3403" customFormat="false" ht="12.75" hidden="false" customHeight="true" outlineLevel="0" collapsed="false">
      <c r="A3403" s="5" t="n">
        <v>223</v>
      </c>
      <c r="B3403" s="5" t="n">
        <v>36</v>
      </c>
      <c r="C3403" s="5" t="n">
        <v>520000</v>
      </c>
      <c r="D3403" s="5" t="n">
        <v>0.503</v>
      </c>
      <c r="E3403" s="5" t="n">
        <v>0.52</v>
      </c>
    </row>
    <row r="3404" customFormat="false" ht="12.75" hidden="false" customHeight="true" outlineLevel="0" collapsed="false">
      <c r="A3404" s="5" t="n">
        <v>223</v>
      </c>
      <c r="B3404" s="5" t="n">
        <v>37</v>
      </c>
      <c r="C3404" s="5" t="n">
        <v>1162000</v>
      </c>
      <c r="D3404" s="5" t="n">
        <v>0.795</v>
      </c>
      <c r="E3404" s="5" t="n">
        <v>1.162</v>
      </c>
    </row>
    <row r="3405" customFormat="false" ht="12.75" hidden="false" customHeight="true" outlineLevel="0" collapsed="false">
      <c r="A3405" s="5" t="n">
        <v>223</v>
      </c>
      <c r="B3405" s="5" t="n">
        <v>38</v>
      </c>
      <c r="C3405" s="5" t="n">
        <v>2066000</v>
      </c>
      <c r="D3405" s="5" t="n">
        <v>0.976</v>
      </c>
      <c r="E3405" s="5" t="n">
        <v>2.066</v>
      </c>
    </row>
    <row r="3406" customFormat="false" ht="12.75" hidden="false" customHeight="true" outlineLevel="0" collapsed="false">
      <c r="A3406" s="5" t="n">
        <v>223</v>
      </c>
      <c r="B3406" s="5" t="n">
        <v>39</v>
      </c>
      <c r="C3406" s="5" t="n">
        <v>3064000</v>
      </c>
      <c r="D3406" s="5" t="n">
        <v>1.021</v>
      </c>
      <c r="E3406" s="5" t="n">
        <v>3.064</v>
      </c>
    </row>
    <row r="3407" customFormat="false" ht="12.75" hidden="false" customHeight="true" outlineLevel="0" collapsed="false">
      <c r="A3407" s="5" t="n">
        <v>223</v>
      </c>
      <c r="B3407" s="5" t="n">
        <v>39.13</v>
      </c>
      <c r="C3407" s="5" t="n">
        <v>3198000</v>
      </c>
      <c r="D3407" s="5" t="n">
        <v>1.027</v>
      </c>
      <c r="E3407" s="5" t="n">
        <v>3.198</v>
      </c>
    </row>
    <row r="3408" customFormat="false" ht="12.75" hidden="false" customHeight="true" outlineLevel="0" collapsed="false">
      <c r="A3408" s="5" t="n">
        <v>223</v>
      </c>
      <c r="B3408" s="5" t="n">
        <v>40</v>
      </c>
      <c r="C3408" s="5" t="n">
        <v>5051000</v>
      </c>
      <c r="D3408" s="5" t="n">
        <v>1.462</v>
      </c>
      <c r="E3408" s="5" t="n">
        <v>5.051</v>
      </c>
    </row>
    <row r="3409" customFormat="false" ht="12.75" hidden="false" customHeight="true" outlineLevel="0" collapsed="false">
      <c r="A3409" s="5" t="n">
        <v>223</v>
      </c>
      <c r="B3409" s="5" t="n">
        <v>41</v>
      </c>
      <c r="C3409" s="5" t="n">
        <v>7691000</v>
      </c>
      <c r="D3409" s="5" t="n">
        <v>1.982</v>
      </c>
      <c r="E3409" s="5" t="n">
        <v>7.691</v>
      </c>
    </row>
    <row r="3410" customFormat="false" ht="12.75" hidden="false" customHeight="true" outlineLevel="0" collapsed="false">
      <c r="A3410" s="5" t="n">
        <v>223</v>
      </c>
      <c r="B3410" s="5" t="n">
        <v>42</v>
      </c>
      <c r="C3410" s="5" t="n">
        <v>10961000</v>
      </c>
      <c r="D3410" s="5" t="n">
        <v>2.732</v>
      </c>
      <c r="E3410" s="5" t="n">
        <v>10.961</v>
      </c>
    </row>
    <row r="3411" customFormat="false" ht="12.75" hidden="false" customHeight="true" outlineLevel="0" collapsed="false">
      <c r="A3411" s="5" t="n">
        <v>223</v>
      </c>
      <c r="B3411" s="5" t="n">
        <v>43</v>
      </c>
      <c r="C3411" s="5" t="n">
        <v>14921000</v>
      </c>
      <c r="D3411" s="5" t="n">
        <v>3.352</v>
      </c>
      <c r="E3411" s="5" t="n">
        <v>14.921</v>
      </c>
    </row>
    <row r="3412" customFormat="false" ht="12.75" hidden="false" customHeight="true" outlineLevel="0" collapsed="false">
      <c r="A3412" s="5" t="n">
        <v>223</v>
      </c>
      <c r="B3412" s="5" t="n">
        <v>44</v>
      </c>
      <c r="C3412" s="5" t="n">
        <v>19570100</v>
      </c>
      <c r="D3412" s="5" t="n">
        <v>4.102</v>
      </c>
      <c r="E3412" s="5" t="n">
        <v>19.5701</v>
      </c>
    </row>
    <row r="3413" customFormat="false" ht="12.75" hidden="false" customHeight="true" outlineLevel="0" collapsed="false">
      <c r="A3413" s="5" t="n">
        <v>223</v>
      </c>
      <c r="B3413" s="5" t="n">
        <v>45</v>
      </c>
      <c r="C3413" s="5" t="n">
        <v>24900000</v>
      </c>
      <c r="D3413" s="5" t="n">
        <v>4.702</v>
      </c>
      <c r="E3413" s="5" t="n">
        <v>24.9</v>
      </c>
    </row>
    <row r="3414" customFormat="false" ht="12.75" hidden="false" customHeight="true" outlineLevel="0" collapsed="false">
      <c r="A3414" s="5" t="n">
        <v>223</v>
      </c>
      <c r="B3414" s="5" t="n">
        <v>46</v>
      </c>
      <c r="C3414" s="5" t="n">
        <v>31000000</v>
      </c>
      <c r="D3414" s="5" t="n">
        <v>5.532</v>
      </c>
      <c r="E3414" s="5" t="n">
        <v>31</v>
      </c>
    </row>
    <row r="3415" customFormat="false" ht="12.75" hidden="false" customHeight="true" outlineLevel="0" collapsed="false">
      <c r="A3415" s="5" t="n">
        <v>223</v>
      </c>
      <c r="B3415" s="5" t="n">
        <v>47</v>
      </c>
      <c r="C3415" s="5" t="n">
        <v>37860000</v>
      </c>
      <c r="D3415" s="5" t="n">
        <v>6.512</v>
      </c>
      <c r="E3415" s="5" t="n">
        <v>37.86</v>
      </c>
    </row>
    <row r="3416" customFormat="false" ht="12.75" hidden="false" customHeight="true" outlineLevel="0" collapsed="false">
      <c r="A3416" s="5" t="n">
        <v>223</v>
      </c>
      <c r="B3416" s="5" t="n">
        <v>48</v>
      </c>
      <c r="C3416" s="5" t="n">
        <v>45500000</v>
      </c>
      <c r="D3416" s="5" t="n">
        <v>6.952</v>
      </c>
      <c r="E3416" s="5" t="n">
        <v>45.5</v>
      </c>
    </row>
    <row r="3417" customFormat="false" ht="12.75" hidden="false" customHeight="true" outlineLevel="0" collapsed="false">
      <c r="A3417" s="5" t="n">
        <v>233</v>
      </c>
      <c r="B3417" s="5" t="n">
        <v>45</v>
      </c>
      <c r="C3417" s="5" t="n">
        <v>0</v>
      </c>
      <c r="D3417" s="5" t="n">
        <v>0</v>
      </c>
      <c r="E3417" s="5" t="n">
        <v>0</v>
      </c>
    </row>
    <row r="3418" customFormat="false" ht="12.75" hidden="false" customHeight="true" outlineLevel="0" collapsed="false">
      <c r="A3418" s="5" t="n">
        <v>233</v>
      </c>
      <c r="B3418" s="5" t="n">
        <v>46</v>
      </c>
      <c r="C3418" s="5" t="n">
        <v>2000</v>
      </c>
      <c r="D3418" s="5" t="n">
        <v>0.004</v>
      </c>
      <c r="E3418" s="5" t="n">
        <v>0.002</v>
      </c>
    </row>
    <row r="3419" customFormat="false" ht="12.75" hidden="false" customHeight="true" outlineLevel="0" collapsed="false">
      <c r="A3419" s="5" t="n">
        <v>233</v>
      </c>
      <c r="B3419" s="5" t="n">
        <v>47</v>
      </c>
      <c r="C3419" s="5" t="n">
        <v>8600</v>
      </c>
      <c r="D3419" s="5" t="n">
        <v>0.01</v>
      </c>
      <c r="E3419" s="5" t="n">
        <v>0.0086</v>
      </c>
    </row>
    <row r="3420" customFormat="false" ht="12.75" hidden="false" customHeight="true" outlineLevel="0" collapsed="false">
      <c r="A3420" s="5" t="n">
        <v>233</v>
      </c>
      <c r="B3420" s="5" t="n">
        <v>48</v>
      </c>
      <c r="C3420" s="5" t="n">
        <v>31000</v>
      </c>
      <c r="D3420" s="5" t="n">
        <v>0.05</v>
      </c>
      <c r="E3420" s="5" t="n">
        <v>0.031</v>
      </c>
    </row>
    <row r="3421" customFormat="false" ht="12.75" hidden="false" customHeight="true" outlineLevel="0" collapsed="false">
      <c r="A3421" s="5" t="n">
        <v>233</v>
      </c>
      <c r="B3421" s="5" t="n">
        <v>49</v>
      </c>
      <c r="C3421" s="5" t="n">
        <v>79000</v>
      </c>
      <c r="D3421" s="5" t="n">
        <v>0.1</v>
      </c>
      <c r="E3421" s="5" t="n">
        <v>0.079</v>
      </c>
    </row>
    <row r="3422" customFormat="false" ht="12.75" hidden="false" customHeight="true" outlineLevel="0" collapsed="false">
      <c r="A3422" s="5" t="n">
        <v>233</v>
      </c>
      <c r="B3422" s="5" t="n">
        <v>50</v>
      </c>
      <c r="C3422" s="5" t="n">
        <v>153000</v>
      </c>
      <c r="D3422" s="5" t="n">
        <v>0.15</v>
      </c>
      <c r="E3422" s="5" t="n">
        <v>0.153</v>
      </c>
    </row>
    <row r="3423" customFormat="false" ht="12.75" hidden="false" customHeight="true" outlineLevel="0" collapsed="false">
      <c r="A3423" s="5" t="n">
        <v>233</v>
      </c>
      <c r="B3423" s="5" t="n">
        <v>51</v>
      </c>
      <c r="C3423" s="5" t="n">
        <v>249000</v>
      </c>
      <c r="D3423" s="5" t="n">
        <v>0.19</v>
      </c>
      <c r="E3423" s="5" t="n">
        <v>0.249</v>
      </c>
    </row>
    <row r="3424" customFormat="false" ht="12.75" hidden="false" customHeight="true" outlineLevel="0" collapsed="false">
      <c r="A3424" s="5" t="n">
        <v>233</v>
      </c>
      <c r="B3424" s="5" t="n">
        <v>52</v>
      </c>
      <c r="C3424" s="5" t="n">
        <v>377000</v>
      </c>
      <c r="D3424" s="5" t="n">
        <v>0.26</v>
      </c>
      <c r="E3424" s="5" t="n">
        <v>0.377</v>
      </c>
    </row>
    <row r="3425" customFormat="false" ht="12.75" hidden="false" customHeight="true" outlineLevel="0" collapsed="false">
      <c r="A3425" s="5" t="n">
        <v>233</v>
      </c>
      <c r="B3425" s="5" t="n">
        <v>53</v>
      </c>
      <c r="C3425" s="5" t="n">
        <v>542000</v>
      </c>
      <c r="D3425" s="5" t="n">
        <v>0.33</v>
      </c>
      <c r="E3425" s="5" t="n">
        <v>0.542</v>
      </c>
    </row>
    <row r="3426" customFormat="false" ht="12.75" hidden="false" customHeight="true" outlineLevel="0" collapsed="false">
      <c r="A3426" s="5" t="n">
        <v>233</v>
      </c>
      <c r="B3426" s="5" t="n">
        <v>54</v>
      </c>
      <c r="C3426" s="5" t="n">
        <v>729000</v>
      </c>
      <c r="D3426" s="5" t="n">
        <v>0.37</v>
      </c>
      <c r="E3426" s="5" t="n">
        <v>0.729</v>
      </c>
    </row>
    <row r="3427" customFormat="false" ht="12.75" hidden="false" customHeight="true" outlineLevel="0" collapsed="false">
      <c r="A3427" s="5" t="n">
        <v>233</v>
      </c>
      <c r="B3427" s="5" t="n">
        <v>54.5</v>
      </c>
      <c r="C3427" s="5" t="n">
        <v>833000</v>
      </c>
      <c r="D3427" s="5" t="n">
        <v>0.41</v>
      </c>
      <c r="E3427" s="5" t="n">
        <v>0.833</v>
      </c>
    </row>
    <row r="3428" customFormat="false" ht="12.75" hidden="false" customHeight="true" outlineLevel="0" collapsed="false">
      <c r="A3428" s="5" t="n">
        <v>233</v>
      </c>
      <c r="B3428" s="5" t="n">
        <v>55</v>
      </c>
      <c r="C3428" s="5" t="n">
        <v>900000</v>
      </c>
      <c r="D3428" s="5" t="n">
        <v>0.5</v>
      </c>
      <c r="E3428" s="5" t="n">
        <v>0.9</v>
      </c>
    </row>
    <row r="3429" customFormat="false" ht="12.75" hidden="false" customHeight="true" outlineLevel="0" collapsed="false">
      <c r="A3429" s="5" t="n">
        <v>233</v>
      </c>
      <c r="B3429" s="5" t="n">
        <v>56</v>
      </c>
      <c r="C3429" s="5" t="n">
        <v>1200000</v>
      </c>
      <c r="D3429" s="5" t="n">
        <v>0.8</v>
      </c>
      <c r="E3429" s="5" t="n">
        <v>1.2</v>
      </c>
    </row>
    <row r="3430" customFormat="false" ht="12.75" hidden="false" customHeight="true" outlineLevel="0" collapsed="false">
      <c r="A3430" s="5" t="n">
        <v>234</v>
      </c>
      <c r="B3430" s="5" t="n">
        <v>66.65</v>
      </c>
      <c r="C3430" s="5" t="n">
        <v>0</v>
      </c>
      <c r="D3430" s="5" t="n">
        <v>0</v>
      </c>
      <c r="E3430" s="5" t="n">
        <v>0</v>
      </c>
    </row>
    <row r="3431" customFormat="false" ht="12.75" hidden="false" customHeight="true" outlineLevel="0" collapsed="false">
      <c r="A3431" s="5" t="n">
        <v>234</v>
      </c>
      <c r="B3431" s="5" t="n">
        <v>67</v>
      </c>
      <c r="C3431" s="5" t="n">
        <v>40</v>
      </c>
      <c r="D3431" s="5" t="n">
        <v>0.0004</v>
      </c>
      <c r="E3431" s="5" t="n">
        <v>4E-005</v>
      </c>
    </row>
    <row r="3432" customFormat="false" ht="12.75" hidden="false" customHeight="true" outlineLevel="0" collapsed="false">
      <c r="A3432" s="5" t="n">
        <v>234</v>
      </c>
      <c r="B3432" s="5" t="n">
        <v>68</v>
      </c>
      <c r="C3432" s="5" t="n">
        <v>2559</v>
      </c>
      <c r="D3432" s="5" t="n">
        <v>0.0064</v>
      </c>
      <c r="E3432" s="5" t="n">
        <v>0.002559</v>
      </c>
    </row>
    <row r="3433" customFormat="false" ht="12.75" hidden="false" customHeight="true" outlineLevel="0" collapsed="false">
      <c r="A3433" s="5" t="n">
        <v>234</v>
      </c>
      <c r="B3433" s="5" t="n">
        <v>69</v>
      </c>
      <c r="C3433" s="5" t="n">
        <v>16337</v>
      </c>
      <c r="D3433" s="5" t="n">
        <v>0.0233</v>
      </c>
      <c r="E3433" s="5" t="n">
        <v>0.016337</v>
      </c>
    </row>
    <row r="3434" customFormat="false" ht="12.75" hidden="false" customHeight="true" outlineLevel="0" collapsed="false">
      <c r="A3434" s="5" t="n">
        <v>234</v>
      </c>
      <c r="B3434" s="5" t="n">
        <v>70</v>
      </c>
      <c r="C3434" s="5" t="n">
        <v>55963</v>
      </c>
      <c r="D3434" s="5" t="n">
        <v>0.0609</v>
      </c>
      <c r="E3434" s="5" t="n">
        <v>0.055963</v>
      </c>
    </row>
    <row r="3435" customFormat="false" ht="12.75" hidden="false" customHeight="true" outlineLevel="0" collapsed="false">
      <c r="A3435" s="5" t="n">
        <v>234</v>
      </c>
      <c r="B3435" s="5" t="n">
        <v>71</v>
      </c>
      <c r="C3435" s="5" t="n">
        <v>169220</v>
      </c>
      <c r="D3435" s="5" t="n">
        <v>0.187</v>
      </c>
      <c r="E3435" s="5" t="n">
        <v>0.16922</v>
      </c>
    </row>
    <row r="3436" customFormat="false" ht="12.75" hidden="false" customHeight="true" outlineLevel="0" collapsed="false">
      <c r="A3436" s="5" t="n">
        <v>234</v>
      </c>
      <c r="B3436" s="5" t="n">
        <v>72</v>
      </c>
      <c r="C3436" s="5" t="n">
        <v>456343</v>
      </c>
      <c r="D3436" s="5" t="n">
        <v>0.396</v>
      </c>
      <c r="E3436" s="5" t="n">
        <v>0.456343</v>
      </c>
    </row>
    <row r="3437" customFormat="false" ht="12.75" hidden="false" customHeight="true" outlineLevel="0" collapsed="false">
      <c r="A3437" s="5" t="n">
        <v>234</v>
      </c>
      <c r="B3437" s="5" t="n">
        <v>73</v>
      </c>
      <c r="C3437" s="5" t="n">
        <v>987081</v>
      </c>
      <c r="D3437" s="5" t="n">
        <v>0.664</v>
      </c>
      <c r="E3437" s="5" t="n">
        <v>0.987081</v>
      </c>
    </row>
    <row r="3438" customFormat="false" ht="12.75" hidden="false" customHeight="true" outlineLevel="0" collapsed="false">
      <c r="A3438" s="5" t="n">
        <v>234</v>
      </c>
      <c r="B3438" s="5" t="n">
        <v>74</v>
      </c>
      <c r="C3438" s="5" t="n">
        <v>1785365</v>
      </c>
      <c r="D3438" s="5" t="n">
        <v>0.938</v>
      </c>
      <c r="E3438" s="5" t="n">
        <v>1.785365</v>
      </c>
    </row>
    <row r="3439" customFormat="false" ht="12.75" hidden="false" customHeight="true" outlineLevel="0" collapsed="false">
      <c r="A3439" s="5" t="n">
        <v>234</v>
      </c>
      <c r="B3439" s="5" t="n">
        <v>75</v>
      </c>
      <c r="C3439" s="5" t="n">
        <v>2872167</v>
      </c>
      <c r="D3439" s="5" t="n">
        <v>1.233</v>
      </c>
      <c r="E3439" s="5" t="n">
        <v>2.872167</v>
      </c>
    </row>
    <row r="3440" customFormat="false" ht="12.75" hidden="false" customHeight="true" outlineLevel="0" collapsed="false">
      <c r="A3440" s="5" t="n">
        <v>234</v>
      </c>
      <c r="B3440" s="5" t="n">
        <v>76</v>
      </c>
      <c r="C3440" s="5" t="n">
        <v>4308167</v>
      </c>
      <c r="D3440" s="5" t="n">
        <v>1.642</v>
      </c>
      <c r="E3440" s="5" t="n">
        <v>4.308167</v>
      </c>
    </row>
    <row r="3441" customFormat="false" ht="12.75" hidden="false" customHeight="true" outlineLevel="0" collapsed="false">
      <c r="A3441" s="5" t="n">
        <v>234</v>
      </c>
      <c r="B3441" s="5" t="n">
        <v>77</v>
      </c>
      <c r="C3441" s="5" t="n">
        <v>6149981</v>
      </c>
      <c r="D3441" s="5" t="n">
        <v>2.056</v>
      </c>
      <c r="E3441" s="5" t="n">
        <v>6.149981</v>
      </c>
    </row>
    <row r="3442" customFormat="false" ht="12.75" hidden="false" customHeight="true" outlineLevel="0" collapsed="false">
      <c r="A3442" s="5" t="n">
        <v>234</v>
      </c>
      <c r="B3442" s="5" t="n">
        <v>78</v>
      </c>
      <c r="C3442" s="5" t="n">
        <v>8421251</v>
      </c>
      <c r="D3442" s="5" t="n">
        <v>2.493</v>
      </c>
      <c r="E3442" s="5" t="n">
        <v>8.421251</v>
      </c>
    </row>
    <row r="3443" customFormat="false" ht="12.75" hidden="false" customHeight="true" outlineLevel="0" collapsed="false">
      <c r="A3443" s="5" t="n">
        <v>234</v>
      </c>
      <c r="B3443" s="5" t="n">
        <v>79</v>
      </c>
      <c r="C3443" s="5" t="n">
        <v>11159982</v>
      </c>
      <c r="D3443" s="5" t="n">
        <v>2.996</v>
      </c>
      <c r="E3443" s="5" t="n">
        <v>11.159982</v>
      </c>
    </row>
    <row r="3444" customFormat="false" ht="12.75" hidden="false" customHeight="true" outlineLevel="0" collapsed="false">
      <c r="A3444" s="5" t="n">
        <v>234</v>
      </c>
      <c r="B3444" s="5" t="n">
        <v>80</v>
      </c>
      <c r="C3444" s="5" t="n">
        <v>14419695</v>
      </c>
      <c r="D3444" s="5" t="n">
        <v>3.532</v>
      </c>
      <c r="E3444" s="5" t="n">
        <v>14.419695</v>
      </c>
    </row>
    <row r="3445" customFormat="false" ht="12.75" hidden="false" customHeight="true" outlineLevel="0" collapsed="false">
      <c r="A3445" s="5" t="n">
        <v>234</v>
      </c>
      <c r="B3445" s="5" t="n">
        <v>81</v>
      </c>
      <c r="C3445" s="5" t="n">
        <v>18264700</v>
      </c>
      <c r="D3445" s="5" t="n">
        <v>4.17</v>
      </c>
      <c r="E3445" s="5" t="n">
        <v>18.2647</v>
      </c>
    </row>
    <row r="3446" customFormat="false" ht="12.75" hidden="false" customHeight="true" outlineLevel="0" collapsed="false">
      <c r="A3446" s="5" t="n">
        <v>234</v>
      </c>
      <c r="B3446" s="5" t="n">
        <v>82</v>
      </c>
      <c r="C3446" s="5" t="n">
        <v>22771172</v>
      </c>
      <c r="D3446" s="5" t="n">
        <v>4.834</v>
      </c>
      <c r="E3446" s="5" t="n">
        <v>22.771172</v>
      </c>
    </row>
    <row r="3447" customFormat="false" ht="12.75" hidden="false" customHeight="true" outlineLevel="0" collapsed="false">
      <c r="A3447" s="5" t="n">
        <v>234</v>
      </c>
      <c r="B3447" s="5" t="n">
        <v>83</v>
      </c>
      <c r="C3447" s="5" t="n">
        <v>27939336</v>
      </c>
      <c r="D3447" s="5" t="n">
        <v>5.449</v>
      </c>
      <c r="E3447" s="5" t="n">
        <v>27.939336</v>
      </c>
    </row>
    <row r="3448" customFormat="false" ht="12.75" hidden="false" customHeight="true" outlineLevel="0" collapsed="false">
      <c r="A3448" s="5" t="n">
        <v>234</v>
      </c>
      <c r="B3448" s="5" t="n">
        <v>84</v>
      </c>
      <c r="C3448" s="5" t="n">
        <v>33564958</v>
      </c>
      <c r="D3448" s="5" t="n">
        <v>5.775</v>
      </c>
      <c r="E3448" s="5" t="n">
        <v>33.564958</v>
      </c>
    </row>
    <row r="3449" customFormat="false" ht="12.75" hidden="false" customHeight="true" outlineLevel="0" collapsed="false">
      <c r="A3449" s="5" t="n">
        <v>234</v>
      </c>
      <c r="B3449" s="5" t="n">
        <v>84.19</v>
      </c>
      <c r="C3449" s="5" t="n">
        <v>34667669</v>
      </c>
      <c r="D3449" s="5" t="n">
        <v>5.815</v>
      </c>
      <c r="E3449" s="5" t="n">
        <v>34.667669</v>
      </c>
    </row>
    <row r="3450" customFormat="false" ht="12.75" hidden="false" customHeight="true" outlineLevel="0" collapsed="false">
      <c r="A3450" s="5" t="n">
        <v>234</v>
      </c>
      <c r="B3450" s="5" t="n">
        <v>85</v>
      </c>
      <c r="C3450" s="5" t="n">
        <v>39151669</v>
      </c>
      <c r="D3450" s="5" t="n">
        <v>6.263</v>
      </c>
      <c r="E3450" s="5" t="n">
        <v>39.151669</v>
      </c>
    </row>
    <row r="3451" customFormat="false" ht="12.75" hidden="false" customHeight="true" outlineLevel="0" collapsed="false">
      <c r="A3451" s="5" t="n">
        <v>234</v>
      </c>
      <c r="B3451" s="5" t="n">
        <v>90</v>
      </c>
      <c r="C3451" s="5" t="n">
        <v>87281669</v>
      </c>
      <c r="D3451" s="5" t="n">
        <v>10.343</v>
      </c>
      <c r="E3451" s="5" t="n">
        <v>87.281669</v>
      </c>
    </row>
    <row r="3452" customFormat="false" ht="12.75" hidden="false" customHeight="true" outlineLevel="0" collapsed="false">
      <c r="A3452" s="5" t="n">
        <v>234</v>
      </c>
      <c r="B3452" s="5" t="n">
        <v>95</v>
      </c>
      <c r="C3452" s="5" t="n">
        <v>162000000</v>
      </c>
      <c r="D3452" s="5" t="n">
        <v>15.783</v>
      </c>
      <c r="E3452" s="5" t="n">
        <v>162</v>
      </c>
    </row>
    <row r="3453" customFormat="false" ht="12.75" hidden="false" customHeight="true" outlineLevel="0" collapsed="false">
      <c r="A3453" s="5" t="n">
        <v>234</v>
      </c>
      <c r="B3453" s="5" t="n">
        <v>100</v>
      </c>
      <c r="C3453" s="5" t="n">
        <v>267000000</v>
      </c>
      <c r="D3453" s="5" t="n">
        <v>22.063</v>
      </c>
      <c r="E3453" s="5" t="n">
        <v>267</v>
      </c>
    </row>
    <row r="3454" customFormat="false" ht="12.75" hidden="false" customHeight="true" outlineLevel="0" collapsed="false">
      <c r="A3454" s="5" t="n">
        <v>235</v>
      </c>
      <c r="B3454" s="5" t="n">
        <v>10.22</v>
      </c>
      <c r="C3454" s="5" t="n">
        <v>0</v>
      </c>
      <c r="D3454" s="5" t="n">
        <v>0</v>
      </c>
      <c r="E3454" s="5" t="n">
        <v>0</v>
      </c>
    </row>
    <row r="3455" customFormat="false" ht="12.75" hidden="false" customHeight="true" outlineLevel="0" collapsed="false">
      <c r="A3455" s="5" t="n">
        <v>235</v>
      </c>
      <c r="B3455" s="5" t="n">
        <v>11</v>
      </c>
      <c r="C3455" s="5" t="n">
        <v>555</v>
      </c>
      <c r="D3455" s="5" t="n">
        <v>0.002</v>
      </c>
      <c r="E3455" s="5" t="n">
        <v>0.000555</v>
      </c>
    </row>
    <row r="3456" customFormat="false" ht="12.75" hidden="false" customHeight="true" outlineLevel="0" collapsed="false">
      <c r="A3456" s="5" t="n">
        <v>235</v>
      </c>
      <c r="B3456" s="5" t="n">
        <v>12</v>
      </c>
      <c r="C3456" s="5" t="n">
        <v>29101</v>
      </c>
      <c r="D3456" s="5" t="n">
        <v>0.07</v>
      </c>
      <c r="E3456" s="5" t="n">
        <v>0.029101</v>
      </c>
    </row>
    <row r="3457" customFormat="false" ht="12.75" hidden="false" customHeight="true" outlineLevel="0" collapsed="false">
      <c r="A3457" s="5" t="n">
        <v>235</v>
      </c>
      <c r="B3457" s="5" t="n">
        <v>13</v>
      </c>
      <c r="C3457" s="5" t="n">
        <v>216398</v>
      </c>
      <c r="D3457" s="5" t="n">
        <v>0.31</v>
      </c>
      <c r="E3457" s="5" t="n">
        <v>0.216398</v>
      </c>
    </row>
    <row r="3458" customFormat="false" ht="12.75" hidden="false" customHeight="true" outlineLevel="0" collapsed="false">
      <c r="A3458" s="5" t="n">
        <v>235</v>
      </c>
      <c r="B3458" s="5" t="n">
        <v>14</v>
      </c>
      <c r="C3458" s="5" t="n">
        <v>666372</v>
      </c>
      <c r="D3458" s="5" t="n">
        <v>0.61</v>
      </c>
      <c r="E3458" s="5" t="n">
        <v>0.666372</v>
      </c>
    </row>
    <row r="3459" customFormat="false" ht="12.75" hidden="false" customHeight="true" outlineLevel="0" collapsed="false">
      <c r="A3459" s="5" t="n">
        <v>235</v>
      </c>
      <c r="B3459" s="5" t="n">
        <v>15</v>
      </c>
      <c r="C3459" s="5" t="n">
        <v>1466292</v>
      </c>
      <c r="D3459" s="5" t="n">
        <v>1.02</v>
      </c>
      <c r="E3459" s="5" t="n">
        <v>1.466292</v>
      </c>
    </row>
    <row r="3460" customFormat="false" ht="12.75" hidden="false" customHeight="true" outlineLevel="0" collapsed="false">
      <c r="A3460" s="5" t="n">
        <v>235</v>
      </c>
      <c r="B3460" s="5" t="n">
        <v>16</v>
      </c>
      <c r="C3460" s="5" t="n">
        <v>2741486</v>
      </c>
      <c r="D3460" s="5" t="n">
        <v>1.52</v>
      </c>
      <c r="E3460" s="5" t="n">
        <v>2.741486</v>
      </c>
    </row>
    <row r="3461" customFormat="false" ht="12.75" hidden="false" customHeight="true" outlineLevel="0" collapsed="false">
      <c r="A3461" s="5" t="n">
        <v>235</v>
      </c>
      <c r="B3461" s="5" t="n">
        <v>17</v>
      </c>
      <c r="C3461" s="5" t="n">
        <v>4540664</v>
      </c>
      <c r="D3461" s="5" t="n">
        <v>2.11</v>
      </c>
      <c r="E3461" s="5" t="n">
        <v>4.540664</v>
      </c>
    </row>
    <row r="3462" customFormat="false" ht="12.75" hidden="false" customHeight="true" outlineLevel="0" collapsed="false">
      <c r="A3462" s="5" t="n">
        <v>235</v>
      </c>
      <c r="B3462" s="5" t="n">
        <v>18</v>
      </c>
      <c r="C3462" s="5" t="n">
        <v>7067041</v>
      </c>
      <c r="D3462" s="5" t="n">
        <v>2.96</v>
      </c>
      <c r="E3462" s="5" t="n">
        <v>7.067041</v>
      </c>
    </row>
    <row r="3463" customFormat="false" ht="12.75" hidden="false" customHeight="true" outlineLevel="0" collapsed="false">
      <c r="A3463" s="5" t="n">
        <v>235</v>
      </c>
      <c r="B3463" s="5" t="n">
        <v>19</v>
      </c>
      <c r="C3463" s="5" t="n">
        <v>10241919</v>
      </c>
      <c r="D3463" s="5" t="n">
        <v>3.3</v>
      </c>
      <c r="E3463" s="5" t="n">
        <v>10.241919</v>
      </c>
    </row>
    <row r="3464" customFormat="false" ht="12.75" hidden="false" customHeight="true" outlineLevel="0" collapsed="false">
      <c r="A3464" s="5" t="n">
        <v>235</v>
      </c>
      <c r="B3464" s="5" t="n">
        <v>19.35</v>
      </c>
      <c r="C3464" s="5" t="n">
        <v>11413265</v>
      </c>
      <c r="D3464" s="5" t="n">
        <v>3.39</v>
      </c>
      <c r="E3464" s="5" t="n">
        <v>11.413265</v>
      </c>
    </row>
    <row r="3465" customFormat="false" ht="12.75" hidden="false" customHeight="true" outlineLevel="0" collapsed="false">
      <c r="A3465" s="5" t="n">
        <v>235</v>
      </c>
      <c r="B3465" s="5" t="n">
        <v>20</v>
      </c>
      <c r="C3465" s="5" t="n">
        <v>14000000</v>
      </c>
      <c r="D3465" s="5" t="n">
        <v>3.91</v>
      </c>
      <c r="E3465" s="5" t="n">
        <v>14</v>
      </c>
    </row>
    <row r="3466" customFormat="false" ht="12.75" hidden="false" customHeight="true" outlineLevel="0" collapsed="false">
      <c r="A3466" s="5" t="n">
        <v>235</v>
      </c>
      <c r="B3466" s="5" t="n">
        <v>21</v>
      </c>
      <c r="C3466" s="5" t="n">
        <v>18700000</v>
      </c>
      <c r="D3466" s="5" t="n">
        <v>4.53</v>
      </c>
      <c r="E3466" s="5" t="n">
        <v>18.7</v>
      </c>
    </row>
    <row r="3467" customFormat="false" ht="12.75" hidden="false" customHeight="true" outlineLevel="0" collapsed="false">
      <c r="A3467" s="5" t="n">
        <v>235</v>
      </c>
      <c r="B3467" s="5" t="n">
        <v>22</v>
      </c>
      <c r="C3467" s="5" t="n">
        <v>24000000</v>
      </c>
      <c r="D3467" s="5" t="n">
        <v>5.23</v>
      </c>
      <c r="E3467" s="5" t="n">
        <v>24</v>
      </c>
    </row>
    <row r="3468" customFormat="false" ht="12.75" hidden="false" customHeight="true" outlineLevel="0" collapsed="false">
      <c r="A3468" s="5" t="n">
        <v>235</v>
      </c>
      <c r="B3468" s="5" t="n">
        <v>23</v>
      </c>
      <c r="C3468" s="5" t="n">
        <v>29960000</v>
      </c>
      <c r="D3468" s="5" t="n">
        <v>5.85</v>
      </c>
      <c r="E3468" s="5" t="n">
        <v>29.96</v>
      </c>
    </row>
    <row r="3469" customFormat="false" ht="12.75" hidden="false" customHeight="true" outlineLevel="0" collapsed="false">
      <c r="A3469" s="5" t="n">
        <v>235</v>
      </c>
      <c r="B3469" s="5" t="n">
        <v>24</v>
      </c>
      <c r="C3469" s="5" t="n">
        <v>36500000</v>
      </c>
      <c r="D3469" s="5" t="n">
        <v>6.44</v>
      </c>
      <c r="E3469" s="5" t="n">
        <v>36.5</v>
      </c>
    </row>
    <row r="3470" customFormat="false" ht="12.75" hidden="false" customHeight="true" outlineLevel="0" collapsed="false">
      <c r="A3470" s="5" t="n">
        <v>235</v>
      </c>
      <c r="B3470" s="5" t="n">
        <v>25</v>
      </c>
      <c r="C3470" s="5" t="n">
        <v>43710000</v>
      </c>
      <c r="D3470" s="5" t="n">
        <v>6.7</v>
      </c>
      <c r="E3470" s="5" t="n">
        <v>43.71</v>
      </c>
    </row>
    <row r="3471" customFormat="false" ht="12.75" hidden="false" customHeight="true" outlineLevel="0" collapsed="false">
      <c r="A3471" s="5" t="n">
        <v>235</v>
      </c>
      <c r="B3471" s="5" t="n">
        <v>26</v>
      </c>
      <c r="C3471" s="5" t="n">
        <v>51500000</v>
      </c>
      <c r="D3471" s="5" t="n">
        <v>7.69</v>
      </c>
      <c r="E3471" s="5" t="n">
        <v>51.5</v>
      </c>
    </row>
    <row r="3472" customFormat="false" ht="12.75" hidden="false" customHeight="true" outlineLevel="0" collapsed="false">
      <c r="A3472" s="5" t="n">
        <v>235</v>
      </c>
      <c r="B3472" s="5" t="n">
        <v>27</v>
      </c>
      <c r="C3472" s="5" t="n">
        <v>60115000</v>
      </c>
      <c r="D3472" s="5" t="n">
        <v>8.65</v>
      </c>
      <c r="E3472" s="5" t="n">
        <v>60.115</v>
      </c>
    </row>
    <row r="3473" customFormat="false" ht="12.75" hidden="false" customHeight="true" outlineLevel="0" collapsed="false">
      <c r="A3473" s="5" t="n">
        <v>236</v>
      </c>
      <c r="B3473" s="5" t="n">
        <v>264.54</v>
      </c>
      <c r="C3473" s="5" t="n">
        <v>0</v>
      </c>
      <c r="D3473" s="5" t="n">
        <v>0</v>
      </c>
      <c r="E3473" s="5" t="n">
        <v>0</v>
      </c>
    </row>
    <row r="3474" customFormat="false" ht="12.75" hidden="false" customHeight="true" outlineLevel="0" collapsed="false">
      <c r="A3474" s="5" t="n">
        <v>236</v>
      </c>
      <c r="B3474" s="5" t="n">
        <v>265</v>
      </c>
      <c r="C3474" s="5" t="n">
        <v>10</v>
      </c>
      <c r="D3474" s="5" t="n">
        <v>0.0001</v>
      </c>
      <c r="E3474" s="5" t="n">
        <v>1E-005</v>
      </c>
    </row>
    <row r="3475" customFormat="false" ht="12.75" hidden="false" customHeight="true" outlineLevel="0" collapsed="false">
      <c r="A3475" s="5" t="n">
        <v>236</v>
      </c>
      <c r="B3475" s="5" t="n">
        <v>266</v>
      </c>
      <c r="C3475" s="5" t="n">
        <v>3000</v>
      </c>
      <c r="D3475" s="5" t="n">
        <v>0.009</v>
      </c>
      <c r="E3475" s="5" t="n">
        <v>0.003</v>
      </c>
    </row>
    <row r="3476" customFormat="false" ht="12.75" hidden="false" customHeight="true" outlineLevel="0" collapsed="false">
      <c r="A3476" s="5" t="n">
        <v>236</v>
      </c>
      <c r="B3476" s="5" t="n">
        <v>267</v>
      </c>
      <c r="C3476" s="5" t="n">
        <v>36000</v>
      </c>
      <c r="D3476" s="5" t="n">
        <v>0.0061</v>
      </c>
      <c r="E3476" s="5" t="n">
        <v>0.036</v>
      </c>
    </row>
    <row r="3477" customFormat="false" ht="12.75" hidden="false" customHeight="true" outlineLevel="0" collapsed="false">
      <c r="A3477" s="5" t="n">
        <v>236</v>
      </c>
      <c r="B3477" s="5" t="n">
        <v>268</v>
      </c>
      <c r="C3477" s="5" t="n">
        <v>122000</v>
      </c>
      <c r="D3477" s="5" t="n">
        <v>0.111</v>
      </c>
      <c r="E3477" s="5" t="n">
        <v>0.122</v>
      </c>
    </row>
    <row r="3478" customFormat="false" ht="12.75" hidden="false" customHeight="true" outlineLevel="0" collapsed="false">
      <c r="A3478" s="5" t="n">
        <v>236</v>
      </c>
      <c r="B3478" s="5" t="n">
        <v>269</v>
      </c>
      <c r="C3478" s="5" t="n">
        <v>256000</v>
      </c>
      <c r="D3478" s="5" t="n">
        <v>0.164</v>
      </c>
      <c r="E3478" s="5" t="n">
        <v>0.256</v>
      </c>
    </row>
    <row r="3479" customFormat="false" ht="12.75" hidden="false" customHeight="true" outlineLevel="0" collapsed="false">
      <c r="A3479" s="5" t="n">
        <v>236</v>
      </c>
      <c r="B3479" s="5" t="n">
        <v>270</v>
      </c>
      <c r="C3479" s="5" t="n">
        <v>460000</v>
      </c>
      <c r="D3479" s="5" t="n">
        <v>0.232</v>
      </c>
      <c r="E3479" s="5" t="n">
        <v>0.46</v>
      </c>
    </row>
    <row r="3480" customFormat="false" ht="12.75" hidden="false" customHeight="true" outlineLevel="0" collapsed="false">
      <c r="A3480" s="5" t="n">
        <v>236</v>
      </c>
      <c r="B3480" s="5" t="n">
        <v>270.98</v>
      </c>
      <c r="C3480" s="5" t="n">
        <v>700000</v>
      </c>
      <c r="D3480" s="5" t="n">
        <v>0.251</v>
      </c>
      <c r="E3480" s="5" t="n">
        <v>0.7</v>
      </c>
    </row>
    <row r="3481" customFormat="false" ht="12.75" hidden="false" customHeight="true" outlineLevel="0" collapsed="false">
      <c r="A3481" s="5" t="n">
        <v>236</v>
      </c>
      <c r="B3481" s="5" t="n">
        <v>271</v>
      </c>
      <c r="C3481" s="5" t="n">
        <v>703000</v>
      </c>
      <c r="D3481" s="5" t="n">
        <v>0.25</v>
      </c>
      <c r="E3481" s="5" t="n">
        <v>0.703</v>
      </c>
    </row>
    <row r="3482" customFormat="false" ht="12.75" hidden="false" customHeight="true" outlineLevel="0" collapsed="false">
      <c r="A3482" s="5" t="n">
        <v>236</v>
      </c>
      <c r="B3482" s="5" t="n">
        <v>272</v>
      </c>
      <c r="C3482" s="5" t="n">
        <v>1130000</v>
      </c>
      <c r="D3482" s="5" t="n">
        <v>0.37</v>
      </c>
      <c r="E3482" s="5" t="n">
        <v>1.13</v>
      </c>
    </row>
    <row r="3483" customFormat="false" ht="12.75" hidden="false" customHeight="true" outlineLevel="0" collapsed="false">
      <c r="A3483" s="5" t="n">
        <v>236</v>
      </c>
      <c r="B3483" s="5" t="n">
        <v>273</v>
      </c>
      <c r="C3483" s="5" t="n">
        <v>1700000</v>
      </c>
      <c r="D3483" s="5" t="n">
        <v>0.53</v>
      </c>
      <c r="E3483" s="5" t="n">
        <v>1.7</v>
      </c>
    </row>
    <row r="3484" customFormat="false" ht="12.75" hidden="false" customHeight="true" outlineLevel="0" collapsed="false">
      <c r="A3484" s="5" t="n">
        <v>236</v>
      </c>
      <c r="B3484" s="5" t="n">
        <v>274</v>
      </c>
      <c r="C3484" s="5" t="n">
        <v>2440000</v>
      </c>
      <c r="D3484" s="5" t="n">
        <v>0.72</v>
      </c>
      <c r="E3484" s="5" t="n">
        <v>2.44</v>
      </c>
    </row>
    <row r="3485" customFormat="false" ht="12.75" hidden="false" customHeight="true" outlineLevel="0" collapsed="false">
      <c r="A3485" s="5" t="n">
        <v>236</v>
      </c>
      <c r="B3485" s="5" t="n">
        <v>275</v>
      </c>
      <c r="C3485" s="5" t="n">
        <v>3405000</v>
      </c>
      <c r="D3485" s="5" t="n">
        <v>0.96</v>
      </c>
      <c r="E3485" s="5" t="n">
        <v>3.405</v>
      </c>
    </row>
    <row r="3486" customFormat="false" ht="12.75" hidden="false" customHeight="true" outlineLevel="0" collapsed="false">
      <c r="A3486" s="5" t="n">
        <v>236</v>
      </c>
      <c r="B3486" s="5" t="n">
        <v>276</v>
      </c>
      <c r="C3486" s="5" t="n">
        <v>4710000</v>
      </c>
      <c r="D3486" s="5" t="n">
        <v>1.44</v>
      </c>
      <c r="E3486" s="5" t="n">
        <v>4.71</v>
      </c>
    </row>
    <row r="3487" customFormat="false" ht="12.75" hidden="false" customHeight="true" outlineLevel="0" collapsed="false">
      <c r="A3487" s="5" t="n">
        <v>236</v>
      </c>
      <c r="B3487" s="5" t="n">
        <v>277</v>
      </c>
      <c r="C3487" s="5" t="n">
        <v>6410000</v>
      </c>
      <c r="D3487" s="5" t="n">
        <v>1.72</v>
      </c>
      <c r="E3487" s="5" t="n">
        <v>6.41</v>
      </c>
    </row>
    <row r="3488" customFormat="false" ht="12.75" hidden="false" customHeight="true" outlineLevel="0" collapsed="false">
      <c r="A3488" s="5" t="n">
        <v>236</v>
      </c>
      <c r="B3488" s="5" t="n">
        <v>278</v>
      </c>
      <c r="C3488" s="5" t="n">
        <v>8401000</v>
      </c>
      <c r="D3488" s="5" t="n">
        <v>2.04</v>
      </c>
      <c r="E3488" s="5" t="n">
        <v>8.401</v>
      </c>
    </row>
    <row r="3489" customFormat="false" ht="12.75" hidden="false" customHeight="true" outlineLevel="0" collapsed="false">
      <c r="A3489" s="5" t="n">
        <v>236</v>
      </c>
      <c r="B3489" s="5" t="n">
        <v>279</v>
      </c>
      <c r="C3489" s="5" t="n">
        <v>10780000</v>
      </c>
      <c r="D3489" s="5" t="n">
        <v>2.48</v>
      </c>
      <c r="E3489" s="5" t="n">
        <v>10.78</v>
      </c>
    </row>
    <row r="3490" customFormat="false" ht="12.75" hidden="false" customHeight="true" outlineLevel="0" collapsed="false">
      <c r="A3490" s="5" t="n">
        <v>236</v>
      </c>
      <c r="B3490" s="5" t="n">
        <v>280</v>
      </c>
      <c r="C3490" s="5" t="n">
        <v>13480000</v>
      </c>
      <c r="D3490" s="5" t="n">
        <v>2.69</v>
      </c>
      <c r="E3490" s="5" t="n">
        <v>13.48</v>
      </c>
    </row>
    <row r="3491" customFormat="false" ht="12.75" hidden="false" customHeight="true" outlineLevel="0" collapsed="false">
      <c r="A3491" s="5" t="n">
        <v>236</v>
      </c>
      <c r="B3491" s="5" t="n">
        <v>281</v>
      </c>
      <c r="C3491" s="5" t="n">
        <v>16450000</v>
      </c>
      <c r="D3491" s="5" t="n">
        <v>3.01</v>
      </c>
      <c r="E3491" s="5" t="n">
        <v>16.45</v>
      </c>
    </row>
    <row r="3492" customFormat="false" ht="12.75" hidden="false" customHeight="true" outlineLevel="0" collapsed="false">
      <c r="A3492" s="5" t="n">
        <v>236</v>
      </c>
      <c r="B3492" s="5" t="n">
        <v>282</v>
      </c>
      <c r="C3492" s="5" t="n">
        <v>19750000</v>
      </c>
      <c r="D3492" s="5" t="n">
        <v>3.37</v>
      </c>
      <c r="E3492" s="5" t="n">
        <v>19.75</v>
      </c>
    </row>
    <row r="3493" customFormat="false" ht="12.75" hidden="false" customHeight="true" outlineLevel="0" collapsed="false">
      <c r="A3493" s="5" t="n">
        <v>236</v>
      </c>
      <c r="B3493" s="5" t="n">
        <v>283</v>
      </c>
      <c r="C3493" s="5" t="n">
        <v>23425000</v>
      </c>
      <c r="D3493" s="5" t="n">
        <v>3.75</v>
      </c>
      <c r="E3493" s="5" t="n">
        <v>23.425</v>
      </c>
    </row>
    <row r="3494" customFormat="false" ht="12.75" hidden="false" customHeight="true" outlineLevel="0" collapsed="false">
      <c r="A3494" s="5" t="n">
        <v>238</v>
      </c>
      <c r="B3494" s="5" t="n">
        <v>76</v>
      </c>
      <c r="C3494" s="5" t="n">
        <v>0</v>
      </c>
      <c r="D3494" s="5" t="n">
        <v>0</v>
      </c>
      <c r="E3494" s="5" t="n">
        <v>0</v>
      </c>
    </row>
    <row r="3495" customFormat="false" ht="12.75" hidden="false" customHeight="true" outlineLevel="0" collapsed="false">
      <c r="A3495" s="5" t="n">
        <v>238</v>
      </c>
      <c r="B3495" s="5" t="n">
        <v>78</v>
      </c>
      <c r="C3495" s="5" t="n">
        <v>299700</v>
      </c>
      <c r="D3495" s="5" t="n">
        <v>0.2997</v>
      </c>
      <c r="E3495" s="5" t="n">
        <v>0.2997</v>
      </c>
    </row>
    <row r="3496" customFormat="false" ht="12.75" hidden="false" customHeight="true" outlineLevel="0" collapsed="false">
      <c r="A3496" s="5" t="n">
        <v>238</v>
      </c>
      <c r="B3496" s="5" t="n">
        <v>80</v>
      </c>
      <c r="C3496" s="5" t="n">
        <v>1399450</v>
      </c>
      <c r="D3496" s="5" t="n">
        <v>0.8001</v>
      </c>
      <c r="E3496" s="5" t="n">
        <v>1.39945</v>
      </c>
    </row>
    <row r="3497" customFormat="false" ht="12.75" hidden="false" customHeight="true" outlineLevel="0" collapsed="false">
      <c r="A3497" s="5" t="n">
        <v>238</v>
      </c>
      <c r="B3497" s="5" t="n">
        <v>82</v>
      </c>
      <c r="C3497" s="5" t="n">
        <v>4095952</v>
      </c>
      <c r="D3497" s="5" t="n">
        <v>1.8965</v>
      </c>
      <c r="E3497" s="5" t="n">
        <v>4.095952</v>
      </c>
    </row>
    <row r="3498" customFormat="false" ht="12.75" hidden="false" customHeight="true" outlineLevel="0" collapsed="false">
      <c r="A3498" s="5" t="n">
        <v>238</v>
      </c>
      <c r="B3498" s="5" t="n">
        <v>84</v>
      </c>
      <c r="C3498" s="5" t="n">
        <v>9394703</v>
      </c>
      <c r="D3498" s="5" t="n">
        <v>3.4023</v>
      </c>
      <c r="E3498" s="5" t="n">
        <v>9.394703</v>
      </c>
    </row>
    <row r="3499" customFormat="false" ht="12.75" hidden="false" customHeight="true" outlineLevel="0" collapsed="false">
      <c r="A3499" s="5" t="n">
        <v>238</v>
      </c>
      <c r="B3499" s="5" t="n">
        <v>86</v>
      </c>
      <c r="C3499" s="5" t="n">
        <v>18631510</v>
      </c>
      <c r="D3499" s="5" t="n">
        <v>5.8345</v>
      </c>
      <c r="E3499" s="5" t="n">
        <v>18.63151</v>
      </c>
    </row>
    <row r="3500" customFormat="false" ht="12.75" hidden="false" customHeight="true" outlineLevel="0" collapsed="false">
      <c r="A3500" s="5" t="n">
        <v>238</v>
      </c>
      <c r="B3500" s="5" t="n">
        <v>88</v>
      </c>
      <c r="C3500" s="5" t="n">
        <v>32928562</v>
      </c>
      <c r="D3500" s="5" t="n">
        <v>8.4625</v>
      </c>
      <c r="E3500" s="5" t="n">
        <v>32.928562</v>
      </c>
    </row>
    <row r="3501" customFormat="false" ht="12.75" hidden="false" customHeight="true" outlineLevel="0" collapsed="false">
      <c r="A3501" s="5" t="n">
        <v>239</v>
      </c>
      <c r="B3501" s="5" t="n">
        <v>227.01</v>
      </c>
      <c r="C3501" s="5" t="n">
        <v>0</v>
      </c>
      <c r="D3501" s="5" t="n">
        <v>0</v>
      </c>
      <c r="E3501" s="5" t="n">
        <v>0</v>
      </c>
    </row>
    <row r="3502" customFormat="false" ht="12.75" hidden="false" customHeight="true" outlineLevel="0" collapsed="false">
      <c r="A3502" s="5" t="n">
        <v>239</v>
      </c>
      <c r="B3502" s="5" t="n">
        <v>228</v>
      </c>
      <c r="C3502" s="5" t="n">
        <v>31000</v>
      </c>
      <c r="D3502" s="5" t="n">
        <v>0.04</v>
      </c>
      <c r="E3502" s="5" t="n">
        <v>0.031</v>
      </c>
    </row>
    <row r="3503" customFormat="false" ht="12.75" hidden="false" customHeight="true" outlineLevel="0" collapsed="false">
      <c r="A3503" s="5" t="n">
        <v>239</v>
      </c>
      <c r="B3503" s="5" t="n">
        <v>229</v>
      </c>
      <c r="C3503" s="5" t="n">
        <v>92000</v>
      </c>
      <c r="D3503" s="5" t="n">
        <v>0.09</v>
      </c>
      <c r="E3503" s="5" t="n">
        <v>0.092</v>
      </c>
    </row>
    <row r="3504" customFormat="false" ht="12.75" hidden="false" customHeight="true" outlineLevel="0" collapsed="false">
      <c r="A3504" s="5" t="n">
        <v>239</v>
      </c>
      <c r="B3504" s="5" t="n">
        <v>229.86</v>
      </c>
      <c r="C3504" s="5" t="n">
        <v>186000</v>
      </c>
      <c r="D3504" s="5" t="n">
        <v>0.12</v>
      </c>
      <c r="E3504" s="5" t="n">
        <v>0.186</v>
      </c>
    </row>
    <row r="3505" customFormat="false" ht="12.75" hidden="false" customHeight="true" outlineLevel="0" collapsed="false">
      <c r="A3505" s="5" t="n">
        <v>239</v>
      </c>
      <c r="B3505" s="5" t="n">
        <v>230</v>
      </c>
      <c r="C3505" s="5" t="n">
        <v>203000</v>
      </c>
      <c r="D3505" s="5" t="n">
        <v>0.12</v>
      </c>
      <c r="E3505" s="5" t="n">
        <v>0.203</v>
      </c>
    </row>
    <row r="3506" customFormat="false" ht="12.75" hidden="false" customHeight="true" outlineLevel="0" collapsed="false">
      <c r="A3506" s="5" t="n">
        <v>239</v>
      </c>
      <c r="B3506" s="5" t="n">
        <v>231</v>
      </c>
      <c r="C3506" s="5" t="n">
        <v>833000</v>
      </c>
      <c r="D3506" s="5" t="n">
        <v>0.4</v>
      </c>
      <c r="E3506" s="5" t="n">
        <v>0.833</v>
      </c>
    </row>
    <row r="3507" customFormat="false" ht="12.75" hidden="false" customHeight="true" outlineLevel="0" collapsed="false">
      <c r="A3507" s="5" t="n">
        <v>239</v>
      </c>
      <c r="B3507" s="5" t="n">
        <v>232</v>
      </c>
      <c r="C3507" s="5" t="n">
        <v>1463000</v>
      </c>
      <c r="D3507" s="5" t="n">
        <v>0.55</v>
      </c>
      <c r="E3507" s="5" t="n">
        <v>1.463</v>
      </c>
    </row>
    <row r="3508" customFormat="false" ht="12.75" hidden="false" customHeight="true" outlineLevel="0" collapsed="false">
      <c r="A3508" s="5" t="n">
        <v>239</v>
      </c>
      <c r="B3508" s="5" t="n">
        <v>233</v>
      </c>
      <c r="C3508" s="5" t="n">
        <v>2093000</v>
      </c>
      <c r="D3508" s="5" t="n">
        <v>0.73</v>
      </c>
      <c r="E3508" s="5" t="n">
        <v>2.093</v>
      </c>
    </row>
    <row r="3509" customFormat="false" ht="12.75" hidden="false" customHeight="true" outlineLevel="0" collapsed="false">
      <c r="A3509" s="5" t="n">
        <v>239</v>
      </c>
      <c r="B3509" s="5" t="n">
        <v>234</v>
      </c>
      <c r="C3509" s="5" t="n">
        <v>2723000</v>
      </c>
      <c r="D3509" s="5" t="n">
        <v>0.94</v>
      </c>
      <c r="E3509" s="5" t="n">
        <v>2.723</v>
      </c>
    </row>
    <row r="3510" customFormat="false" ht="12.75" hidden="false" customHeight="true" outlineLevel="0" collapsed="false">
      <c r="A3510" s="5" t="n">
        <v>239</v>
      </c>
      <c r="B3510" s="5" t="n">
        <v>235</v>
      </c>
      <c r="C3510" s="5" t="n">
        <v>3353000</v>
      </c>
      <c r="D3510" s="5" t="n">
        <v>1.16</v>
      </c>
      <c r="E3510" s="5" t="n">
        <v>3.353</v>
      </c>
    </row>
    <row r="3511" customFormat="false" ht="12.75" hidden="false" customHeight="true" outlineLevel="0" collapsed="false">
      <c r="A3511" s="5" t="n">
        <v>239</v>
      </c>
      <c r="B3511" s="5" t="n">
        <v>236</v>
      </c>
      <c r="C3511" s="5" t="n">
        <v>4803000</v>
      </c>
      <c r="D3511" s="5" t="n">
        <v>1.94</v>
      </c>
      <c r="E3511" s="5" t="n">
        <v>4.803</v>
      </c>
    </row>
    <row r="3512" customFormat="false" ht="12.75" hidden="false" customHeight="true" outlineLevel="0" collapsed="false">
      <c r="A3512" s="5" t="n">
        <v>239</v>
      </c>
      <c r="B3512" s="5" t="n">
        <v>237</v>
      </c>
      <c r="C3512" s="5" t="n">
        <v>6983000</v>
      </c>
      <c r="D3512" s="5" t="n">
        <v>2.72</v>
      </c>
      <c r="E3512" s="5" t="n">
        <v>6.983</v>
      </c>
    </row>
    <row r="3513" customFormat="false" ht="12.75" hidden="false" customHeight="true" outlineLevel="0" collapsed="false">
      <c r="A3513" s="5" t="n">
        <v>239</v>
      </c>
      <c r="B3513" s="5" t="n">
        <v>238</v>
      </c>
      <c r="C3513" s="5" t="n">
        <v>9953000</v>
      </c>
      <c r="D3513" s="5" t="n">
        <v>3.5</v>
      </c>
      <c r="E3513" s="5" t="n">
        <v>9.953</v>
      </c>
    </row>
    <row r="3514" customFormat="false" ht="12.75" hidden="false" customHeight="true" outlineLevel="0" collapsed="false">
      <c r="A3514" s="5" t="n">
        <v>239</v>
      </c>
      <c r="B3514" s="5" t="n">
        <v>239</v>
      </c>
      <c r="C3514" s="5" t="n">
        <v>11823000</v>
      </c>
      <c r="D3514" s="5" t="n">
        <v>4.28</v>
      </c>
      <c r="E3514" s="5" t="n">
        <v>11.823</v>
      </c>
    </row>
    <row r="3515" customFormat="false" ht="12.75" hidden="false" customHeight="true" outlineLevel="0" collapsed="false">
      <c r="A3515" s="5" t="n">
        <v>239</v>
      </c>
      <c r="B3515" s="5" t="n">
        <v>240</v>
      </c>
      <c r="C3515" s="5" t="n">
        <v>13703000</v>
      </c>
      <c r="D3515" s="5" t="n">
        <v>5.06</v>
      </c>
      <c r="E3515" s="5" t="n">
        <v>13.703</v>
      </c>
    </row>
    <row r="3516" customFormat="false" ht="12.75" hidden="false" customHeight="true" outlineLevel="0" collapsed="false">
      <c r="A3516" s="5" t="n">
        <v>239</v>
      </c>
      <c r="B3516" s="5" t="n">
        <v>241</v>
      </c>
      <c r="C3516" s="5" t="n">
        <v>18243000</v>
      </c>
      <c r="D3516" s="5" t="n">
        <v>5.85</v>
      </c>
      <c r="E3516" s="5" t="n">
        <v>18.243</v>
      </c>
    </row>
    <row r="3517" customFormat="false" ht="12.75" hidden="false" customHeight="true" outlineLevel="0" collapsed="false">
      <c r="A3517" s="5" t="n">
        <v>239</v>
      </c>
      <c r="B3517" s="5" t="n">
        <v>241.17</v>
      </c>
      <c r="C3517" s="5" t="n">
        <v>19200000</v>
      </c>
      <c r="D3517" s="5" t="n">
        <v>5.87</v>
      </c>
      <c r="E3517" s="5" t="n">
        <v>19.2</v>
      </c>
    </row>
    <row r="3518" customFormat="false" ht="12.75" hidden="false" customHeight="true" outlineLevel="0" collapsed="false">
      <c r="A3518" s="5" t="n">
        <v>239</v>
      </c>
      <c r="B3518" s="5" t="n">
        <v>242</v>
      </c>
      <c r="C3518" s="5" t="n">
        <v>24353000</v>
      </c>
      <c r="D3518" s="5" t="n">
        <v>5.99</v>
      </c>
      <c r="E3518" s="5" t="n">
        <v>24.353</v>
      </c>
    </row>
    <row r="3519" customFormat="false" ht="12.75" hidden="false" customHeight="true" outlineLevel="0" collapsed="false">
      <c r="A3519" s="5" t="n">
        <v>239</v>
      </c>
      <c r="B3519" s="5" t="n">
        <v>242.5</v>
      </c>
      <c r="C3519" s="5" t="n">
        <v>27803000</v>
      </c>
      <c r="D3519" s="5" t="n">
        <v>6.63</v>
      </c>
      <c r="E3519" s="5" t="n">
        <v>27.803</v>
      </c>
    </row>
    <row r="3520" customFormat="false" ht="12.75" hidden="false" customHeight="true" outlineLevel="0" collapsed="false">
      <c r="A3520" s="5" t="n">
        <v>239</v>
      </c>
      <c r="B3520" s="5" t="n">
        <v>243</v>
      </c>
      <c r="C3520" s="5" t="n">
        <v>36593000</v>
      </c>
      <c r="D3520" s="5" t="n">
        <v>7.42</v>
      </c>
      <c r="E3520" s="5" t="n">
        <v>36.593</v>
      </c>
    </row>
    <row r="3521" customFormat="false" ht="12.75" hidden="false" customHeight="true" outlineLevel="0" collapsed="false">
      <c r="A3521" s="5" t="n">
        <v>239</v>
      </c>
      <c r="B3521" s="5" t="n">
        <v>244</v>
      </c>
      <c r="C3521" s="5" t="n">
        <v>44293000</v>
      </c>
      <c r="D3521" s="5" t="n">
        <v>8.21</v>
      </c>
      <c r="E3521" s="5" t="n">
        <v>44.293</v>
      </c>
    </row>
    <row r="3522" customFormat="false" ht="12.75" hidden="false" customHeight="true" outlineLevel="0" collapsed="false">
      <c r="A3522" s="5" t="n">
        <v>239</v>
      </c>
      <c r="B3522" s="5" t="n">
        <v>245</v>
      </c>
      <c r="C3522" s="5" t="n">
        <v>52793000</v>
      </c>
      <c r="D3522" s="5" t="n">
        <v>9</v>
      </c>
      <c r="E3522" s="5" t="n">
        <v>52.793</v>
      </c>
    </row>
    <row r="3523" customFormat="false" ht="12.75" hidden="false" customHeight="true" outlineLevel="0" collapsed="false">
      <c r="A3523" s="5" t="n">
        <v>239</v>
      </c>
      <c r="B3523" s="5" t="n">
        <v>246</v>
      </c>
      <c r="C3523" s="5" t="n">
        <v>62083000</v>
      </c>
      <c r="D3523" s="5" t="n">
        <v>9.79</v>
      </c>
      <c r="E3523" s="5" t="n">
        <v>62.083</v>
      </c>
    </row>
    <row r="3524" customFormat="false" ht="12.75" hidden="false" customHeight="true" outlineLevel="0" collapsed="false">
      <c r="A3524" s="5" t="n">
        <v>239</v>
      </c>
      <c r="B3524" s="5" t="n">
        <v>247</v>
      </c>
      <c r="C3524" s="5" t="n">
        <v>72173000</v>
      </c>
      <c r="D3524" s="5" t="n">
        <v>10.59</v>
      </c>
      <c r="E3524" s="5" t="n">
        <v>72.173</v>
      </c>
    </row>
    <row r="3525" customFormat="false" ht="12.75" hidden="false" customHeight="true" outlineLevel="0" collapsed="false">
      <c r="A3525" s="5" t="n">
        <v>239</v>
      </c>
      <c r="B3525" s="5" t="n">
        <v>248</v>
      </c>
      <c r="C3525" s="5" t="n">
        <v>83063000</v>
      </c>
      <c r="D3525" s="5" t="n">
        <v>11.38</v>
      </c>
      <c r="E3525" s="5" t="n">
        <v>83.063</v>
      </c>
    </row>
    <row r="3526" customFormat="false" ht="12.75" hidden="false" customHeight="true" outlineLevel="0" collapsed="false">
      <c r="A3526" s="5" t="n">
        <v>239</v>
      </c>
      <c r="B3526" s="5" t="n">
        <v>249</v>
      </c>
      <c r="C3526" s="5" t="n">
        <v>94753000</v>
      </c>
      <c r="D3526" s="5" t="n">
        <v>12.18</v>
      </c>
      <c r="E3526" s="5" t="n">
        <v>94.753</v>
      </c>
    </row>
    <row r="3527" customFormat="false" ht="12.75" hidden="false" customHeight="true" outlineLevel="0" collapsed="false">
      <c r="A3527" s="5" t="n">
        <v>239</v>
      </c>
      <c r="B3527" s="5" t="n">
        <v>250</v>
      </c>
      <c r="C3527" s="5" t="n">
        <v>107243000</v>
      </c>
      <c r="D3527" s="5" t="n">
        <v>12.98</v>
      </c>
      <c r="E3527" s="5" t="n">
        <v>107.243</v>
      </c>
    </row>
    <row r="3528" customFormat="false" ht="12.75" hidden="false" customHeight="true" outlineLevel="0" collapsed="false">
      <c r="A3528" s="5" t="n">
        <v>240</v>
      </c>
      <c r="B3528" s="5" t="n">
        <v>342.49</v>
      </c>
      <c r="C3528" s="5" t="n">
        <v>0</v>
      </c>
      <c r="D3528" s="5" t="n">
        <v>0</v>
      </c>
      <c r="E3528" s="5" t="n">
        <v>0</v>
      </c>
    </row>
    <row r="3529" customFormat="false" ht="12.75" hidden="false" customHeight="true" outlineLevel="0" collapsed="false">
      <c r="A3529" s="5" t="n">
        <v>240</v>
      </c>
      <c r="B3529" s="5" t="n">
        <v>343</v>
      </c>
      <c r="C3529" s="5" t="n">
        <v>300</v>
      </c>
      <c r="D3529" s="5" t="n">
        <v>0.0015</v>
      </c>
      <c r="E3529" s="5" t="n">
        <v>0.0003</v>
      </c>
    </row>
    <row r="3530" customFormat="false" ht="12.75" hidden="false" customHeight="true" outlineLevel="0" collapsed="false">
      <c r="A3530" s="5" t="n">
        <v>240</v>
      </c>
      <c r="B3530" s="5" t="n">
        <v>344</v>
      </c>
      <c r="C3530" s="5" t="n">
        <v>8700</v>
      </c>
      <c r="D3530" s="5" t="n">
        <v>0.0204</v>
      </c>
      <c r="E3530" s="5" t="n">
        <v>0.0087</v>
      </c>
    </row>
    <row r="3531" customFormat="false" ht="12.75" hidden="false" customHeight="true" outlineLevel="0" collapsed="false">
      <c r="A3531" s="5" t="n">
        <v>240</v>
      </c>
      <c r="B3531" s="5" t="n">
        <v>345</v>
      </c>
      <c r="C3531" s="5" t="n">
        <v>60000</v>
      </c>
      <c r="D3531" s="5" t="n">
        <v>0.0909</v>
      </c>
      <c r="E3531" s="5" t="n">
        <v>0.06</v>
      </c>
    </row>
    <row r="3532" customFormat="false" ht="12.75" hidden="false" customHeight="true" outlineLevel="0" collapsed="false">
      <c r="A3532" s="5" t="n">
        <v>240</v>
      </c>
      <c r="B3532" s="5" t="n">
        <v>346</v>
      </c>
      <c r="C3532" s="5" t="n">
        <v>200000</v>
      </c>
      <c r="D3532" s="5" t="n">
        <v>0.197</v>
      </c>
      <c r="E3532" s="5" t="n">
        <v>0.2</v>
      </c>
    </row>
    <row r="3533" customFormat="false" ht="12.75" hidden="false" customHeight="true" outlineLevel="0" collapsed="false">
      <c r="A3533" s="5" t="n">
        <v>240</v>
      </c>
      <c r="B3533" s="5" t="n">
        <v>347</v>
      </c>
      <c r="C3533" s="5" t="n">
        <v>477000</v>
      </c>
      <c r="D3533" s="5" t="n">
        <v>0.3771</v>
      </c>
      <c r="E3533" s="5" t="n">
        <v>0.477</v>
      </c>
    </row>
    <row r="3534" customFormat="false" ht="12.75" hidden="false" customHeight="true" outlineLevel="0" collapsed="false">
      <c r="A3534" s="5" t="n">
        <v>240</v>
      </c>
      <c r="B3534" s="5" t="n">
        <v>348</v>
      </c>
      <c r="C3534" s="5" t="n">
        <v>996000</v>
      </c>
      <c r="D3534" s="5" t="n">
        <v>0.6755</v>
      </c>
      <c r="E3534" s="5" t="n">
        <v>0.996</v>
      </c>
    </row>
    <row r="3535" customFormat="false" ht="12.75" hidden="false" customHeight="true" outlineLevel="0" collapsed="false">
      <c r="A3535" s="5" t="n">
        <v>240</v>
      </c>
      <c r="B3535" s="5" t="n">
        <v>349</v>
      </c>
      <c r="C3535" s="5" t="n">
        <v>1867000</v>
      </c>
      <c r="D3535" s="5" t="n">
        <v>1.091</v>
      </c>
      <c r="E3535" s="5" t="n">
        <v>1.867</v>
      </c>
    </row>
    <row r="3536" customFormat="false" ht="12.75" hidden="false" customHeight="true" outlineLevel="0" collapsed="false">
      <c r="A3536" s="5" t="n">
        <v>240</v>
      </c>
      <c r="B3536" s="5" t="n">
        <v>350</v>
      </c>
      <c r="C3536" s="5" t="n">
        <v>3217000</v>
      </c>
      <c r="D3536" s="5" t="n">
        <v>1.654</v>
      </c>
      <c r="E3536" s="5" t="n">
        <v>3.217</v>
      </c>
    </row>
    <row r="3537" customFormat="false" ht="12.75" hidden="false" customHeight="true" outlineLevel="0" collapsed="false">
      <c r="A3537" s="5" t="n">
        <v>240</v>
      </c>
      <c r="B3537" s="5" t="n">
        <v>351</v>
      </c>
      <c r="C3537" s="5" t="n">
        <v>5224000</v>
      </c>
      <c r="D3537" s="5" t="n">
        <v>2.36</v>
      </c>
      <c r="E3537" s="5" t="n">
        <v>5.224</v>
      </c>
    </row>
    <row r="3538" customFormat="false" ht="12.75" hidden="false" customHeight="true" outlineLevel="0" collapsed="false">
      <c r="A3538" s="5" t="n">
        <v>240</v>
      </c>
      <c r="B3538" s="5" t="n">
        <v>352</v>
      </c>
      <c r="C3538" s="5" t="n">
        <v>7977000</v>
      </c>
      <c r="D3538" s="5" t="n">
        <v>3.137</v>
      </c>
      <c r="E3538" s="5" t="n">
        <v>7.977</v>
      </c>
    </row>
    <row r="3539" customFormat="false" ht="12.75" hidden="false" customHeight="true" outlineLevel="0" collapsed="false">
      <c r="A3539" s="5" t="n">
        <v>240</v>
      </c>
      <c r="B3539" s="5" t="n">
        <v>353</v>
      </c>
      <c r="C3539" s="5" t="n">
        <v>11490000</v>
      </c>
      <c r="D3539" s="5" t="n">
        <v>3.843</v>
      </c>
      <c r="E3539" s="5" t="n">
        <v>11.49</v>
      </c>
    </row>
    <row r="3540" customFormat="false" ht="12.75" hidden="false" customHeight="true" outlineLevel="0" collapsed="false">
      <c r="A3540" s="5" t="n">
        <v>240</v>
      </c>
      <c r="B3540" s="5" t="n">
        <v>354</v>
      </c>
      <c r="C3540" s="5" t="n">
        <v>15530000</v>
      </c>
      <c r="D3540" s="5" t="n">
        <v>4.179</v>
      </c>
      <c r="E3540" s="5" t="n">
        <v>15.53</v>
      </c>
    </row>
    <row r="3541" customFormat="false" ht="12.75" hidden="false" customHeight="true" outlineLevel="0" collapsed="false">
      <c r="A3541" s="5" t="n">
        <v>240</v>
      </c>
      <c r="B3541" s="5" t="n">
        <v>354.67</v>
      </c>
      <c r="C3541" s="5" t="n">
        <v>18380000</v>
      </c>
      <c r="D3541" s="5" t="n">
        <v>4.312</v>
      </c>
      <c r="E3541" s="5" t="n">
        <v>18.38</v>
      </c>
    </row>
    <row r="3542" customFormat="false" ht="12.75" hidden="false" customHeight="true" outlineLevel="0" collapsed="false">
      <c r="A3542" s="5" t="n">
        <v>240</v>
      </c>
      <c r="B3542" s="5" t="n">
        <v>355</v>
      </c>
      <c r="C3542" s="5" t="n">
        <v>20130000</v>
      </c>
      <c r="D3542" s="5" t="n">
        <v>4.563</v>
      </c>
      <c r="E3542" s="5" t="n">
        <v>20.13</v>
      </c>
    </row>
    <row r="3543" customFormat="false" ht="12.75" hidden="false" customHeight="true" outlineLevel="0" collapsed="false">
      <c r="A3543" s="5" t="n">
        <v>240</v>
      </c>
      <c r="B3543" s="5" t="n">
        <v>357.5</v>
      </c>
      <c r="C3543" s="5" t="n">
        <v>38600000</v>
      </c>
      <c r="D3543" s="5" t="n">
        <v>6.812</v>
      </c>
      <c r="E3543" s="5" t="n">
        <v>38.6</v>
      </c>
    </row>
    <row r="3544" customFormat="false" ht="12.75" hidden="false" customHeight="true" outlineLevel="0" collapsed="false">
      <c r="A3544" s="5" t="n">
        <v>240</v>
      </c>
      <c r="B3544" s="5" t="n">
        <v>360</v>
      </c>
      <c r="C3544" s="5" t="n">
        <v>63000000</v>
      </c>
      <c r="D3544" s="5" t="n">
        <v>9.285</v>
      </c>
      <c r="E3544" s="5" t="n">
        <v>63</v>
      </c>
    </row>
    <row r="3545" customFormat="false" ht="12.75" hidden="false" customHeight="true" outlineLevel="0" collapsed="false">
      <c r="A3545" s="5" t="n">
        <v>240</v>
      </c>
      <c r="B3545" s="5" t="n">
        <v>362.5</v>
      </c>
      <c r="C3545" s="5" t="n">
        <v>93800000</v>
      </c>
      <c r="D3545" s="5" t="n">
        <v>11.937</v>
      </c>
      <c r="E3545" s="5" t="n">
        <v>93.8</v>
      </c>
    </row>
    <row r="3546" customFormat="false" ht="12.75" hidden="false" customHeight="true" outlineLevel="0" collapsed="false">
      <c r="A3546" s="5" t="n">
        <v>240</v>
      </c>
      <c r="B3546" s="5" t="n">
        <v>365</v>
      </c>
      <c r="C3546" s="5" t="n">
        <v>131570000</v>
      </c>
      <c r="D3546" s="5" t="n">
        <v>14.855</v>
      </c>
      <c r="E3546" s="5" t="n">
        <v>131.57</v>
      </c>
    </row>
    <row r="3547" customFormat="false" ht="12.75" hidden="false" customHeight="true" outlineLevel="0" collapsed="false">
      <c r="A3547" s="5" t="n">
        <v>240</v>
      </c>
      <c r="B3547" s="5" t="n">
        <v>367.5</v>
      </c>
      <c r="C3547" s="5" t="n">
        <v>176800000</v>
      </c>
      <c r="D3547" s="5" t="n">
        <v>17.882</v>
      </c>
      <c r="E3547" s="5" t="n">
        <v>176.8</v>
      </c>
    </row>
    <row r="3548" customFormat="false" ht="12.75" hidden="false" customHeight="true" outlineLevel="0" collapsed="false">
      <c r="A3548" s="5" t="n">
        <v>240</v>
      </c>
      <c r="B3548" s="5" t="n">
        <v>368</v>
      </c>
      <c r="C3548" s="5" t="n">
        <v>187700000</v>
      </c>
      <c r="D3548" s="5" t="n">
        <v>18.605</v>
      </c>
      <c r="E3548" s="5" t="n">
        <v>187.7</v>
      </c>
    </row>
    <row r="3549" customFormat="false" ht="12.75" hidden="false" customHeight="true" outlineLevel="0" collapsed="false">
      <c r="A3549" s="5" t="n">
        <v>240</v>
      </c>
      <c r="B3549" s="5" t="n">
        <v>370</v>
      </c>
      <c r="C3549" s="5" t="n">
        <v>230260000</v>
      </c>
      <c r="D3549" s="5" t="n">
        <v>21.496</v>
      </c>
      <c r="E3549" s="5" t="n">
        <v>230.26</v>
      </c>
    </row>
    <row r="3550" customFormat="false" ht="12.75" hidden="false" customHeight="true" outlineLevel="0" collapsed="false">
      <c r="A3550" s="5" t="n">
        <v>244</v>
      </c>
      <c r="B3550" s="5" t="n">
        <v>105.5</v>
      </c>
      <c r="C3550" s="5" t="n">
        <v>0</v>
      </c>
      <c r="D3550" s="5" t="n">
        <v>0</v>
      </c>
      <c r="E3550" s="5" t="n">
        <v>0</v>
      </c>
    </row>
    <row r="3551" customFormat="false" ht="12.75" hidden="false" customHeight="true" outlineLevel="0" collapsed="false">
      <c r="A3551" s="5" t="n">
        <v>244</v>
      </c>
      <c r="B3551" s="5" t="n">
        <v>106</v>
      </c>
      <c r="C3551" s="5" t="n">
        <v>25</v>
      </c>
      <c r="D3551" s="5" t="n">
        <v>0.0002</v>
      </c>
      <c r="E3551" s="5" t="n">
        <v>2.5E-005</v>
      </c>
    </row>
    <row r="3552" customFormat="false" ht="12.75" hidden="false" customHeight="true" outlineLevel="0" collapsed="false">
      <c r="A3552" s="5" t="n">
        <v>244</v>
      </c>
      <c r="B3552" s="5" t="n">
        <v>107</v>
      </c>
      <c r="C3552" s="5" t="n">
        <v>1474</v>
      </c>
      <c r="D3552" s="5" t="n">
        <v>0.0046</v>
      </c>
      <c r="E3552" s="5" t="n">
        <v>0.001474</v>
      </c>
    </row>
    <row r="3553" customFormat="false" ht="12.75" hidden="false" customHeight="true" outlineLevel="0" collapsed="false">
      <c r="A3553" s="5" t="n">
        <v>244</v>
      </c>
      <c r="B3553" s="5" t="n">
        <v>108</v>
      </c>
      <c r="C3553" s="5" t="n">
        <v>22769</v>
      </c>
      <c r="D3553" s="5" t="n">
        <v>0.0494</v>
      </c>
      <c r="E3553" s="5" t="n">
        <v>0.022769</v>
      </c>
    </row>
    <row r="3554" customFormat="false" ht="12.75" hidden="false" customHeight="true" outlineLevel="0" collapsed="false">
      <c r="A3554" s="5" t="n">
        <v>244</v>
      </c>
      <c r="B3554" s="5" t="n">
        <v>109</v>
      </c>
      <c r="C3554" s="5" t="n">
        <v>143642</v>
      </c>
      <c r="D3554" s="5" t="n">
        <v>0.1946</v>
      </c>
      <c r="E3554" s="5" t="n">
        <v>0.143642</v>
      </c>
    </row>
    <row r="3555" customFormat="false" ht="12.75" hidden="false" customHeight="true" outlineLevel="0" collapsed="false">
      <c r="A3555" s="5" t="n">
        <v>244</v>
      </c>
      <c r="B3555" s="5" t="n">
        <v>110</v>
      </c>
      <c r="C3555" s="5" t="n">
        <v>418103</v>
      </c>
      <c r="D3555" s="5" t="n">
        <v>0.3605</v>
      </c>
      <c r="E3555" s="5" t="n">
        <v>0.418103</v>
      </c>
    </row>
    <row r="3556" customFormat="false" ht="12.75" hidden="false" customHeight="true" outlineLevel="0" collapsed="false">
      <c r="A3556" s="5" t="n">
        <v>244</v>
      </c>
      <c r="B3556" s="5" t="n">
        <v>111</v>
      </c>
      <c r="C3556" s="5" t="n">
        <v>865150</v>
      </c>
      <c r="D3556" s="5" t="n">
        <v>0.535</v>
      </c>
      <c r="E3556" s="5" t="n">
        <v>0.86515</v>
      </c>
    </row>
    <row r="3557" customFormat="false" ht="12.75" hidden="false" customHeight="true" outlineLevel="0" collapsed="false">
      <c r="A3557" s="5" t="n">
        <v>244</v>
      </c>
      <c r="B3557" s="5" t="n">
        <v>112</v>
      </c>
      <c r="C3557" s="5" t="n">
        <v>1506052</v>
      </c>
      <c r="D3557" s="5" t="n">
        <v>0.7489</v>
      </c>
      <c r="E3557" s="5" t="n">
        <v>1.506052</v>
      </c>
    </row>
    <row r="3558" customFormat="false" ht="12.75" hidden="false" customHeight="true" outlineLevel="0" collapsed="false">
      <c r="A3558" s="5" t="n">
        <v>244</v>
      </c>
      <c r="B3558" s="5" t="n">
        <v>113</v>
      </c>
      <c r="C3558" s="5" t="n">
        <v>2371173</v>
      </c>
      <c r="D3558" s="5" t="n">
        <v>0.9788</v>
      </c>
      <c r="E3558" s="5" t="n">
        <v>2.371173</v>
      </c>
    </row>
    <row r="3559" customFormat="false" ht="12.75" hidden="false" customHeight="true" outlineLevel="0" collapsed="false">
      <c r="A3559" s="5" t="n">
        <v>244</v>
      </c>
      <c r="B3559" s="5" t="n">
        <v>114</v>
      </c>
      <c r="C3559" s="5" t="n">
        <v>3471130</v>
      </c>
      <c r="D3559" s="5" t="n">
        <v>1.211</v>
      </c>
      <c r="E3559" s="5" t="n">
        <v>3.47113</v>
      </c>
    </row>
    <row r="3560" customFormat="false" ht="12.75" hidden="false" customHeight="true" outlineLevel="0" collapsed="false">
      <c r="A3560" s="5" t="n">
        <v>244</v>
      </c>
      <c r="B3560" s="5" t="n">
        <v>115</v>
      </c>
      <c r="C3560" s="5" t="n">
        <v>4723343</v>
      </c>
      <c r="D3560" s="5" t="n">
        <v>1.2707</v>
      </c>
      <c r="E3560" s="5" t="n">
        <v>4.723343</v>
      </c>
    </row>
    <row r="3561" customFormat="false" ht="12.75" hidden="false" customHeight="true" outlineLevel="0" collapsed="false">
      <c r="A3561" s="5" t="n">
        <v>244</v>
      </c>
      <c r="B3561" s="5" t="n">
        <v>115.5</v>
      </c>
      <c r="C3561" s="5" t="n">
        <v>5361614</v>
      </c>
      <c r="D3561" s="5" t="n">
        <v>1.2824</v>
      </c>
      <c r="E3561" s="5" t="n">
        <v>5.361614</v>
      </c>
    </row>
    <row r="3562" customFormat="false" ht="12.75" hidden="false" customHeight="true" outlineLevel="0" collapsed="false">
      <c r="A3562" s="5" t="n">
        <v>244</v>
      </c>
      <c r="B3562" s="5" t="n">
        <v>116</v>
      </c>
      <c r="C3562" s="5" t="n">
        <v>6000000</v>
      </c>
      <c r="D3562" s="5" t="n">
        <v>1.3373</v>
      </c>
      <c r="E3562" s="5" t="n">
        <v>6</v>
      </c>
    </row>
    <row r="3563" customFormat="false" ht="12.75" hidden="false" customHeight="true" outlineLevel="0" collapsed="false">
      <c r="A3563" s="5" t="n">
        <v>244</v>
      </c>
      <c r="B3563" s="5" t="n">
        <v>116.5</v>
      </c>
      <c r="C3563" s="5" t="n">
        <v>7437752</v>
      </c>
      <c r="D3563" s="5" t="n">
        <v>1.4173</v>
      </c>
      <c r="E3563" s="5" t="n">
        <v>7.437752</v>
      </c>
    </row>
    <row r="3564" customFormat="false" ht="12.75" hidden="false" customHeight="true" outlineLevel="0" collapsed="false">
      <c r="A3564" s="5" t="n">
        <v>244</v>
      </c>
      <c r="B3564" s="5" t="n">
        <v>117</v>
      </c>
      <c r="C3564" s="5" t="n">
        <v>8215152</v>
      </c>
      <c r="D3564" s="5" t="n">
        <v>1.5073</v>
      </c>
      <c r="E3564" s="5" t="n">
        <v>8.215152</v>
      </c>
    </row>
    <row r="3565" customFormat="false" ht="12.75" hidden="false" customHeight="true" outlineLevel="0" collapsed="false">
      <c r="A3565" s="5" t="n">
        <v>254</v>
      </c>
      <c r="B3565" s="5" t="n">
        <v>102.5</v>
      </c>
      <c r="C3565" s="5" t="n">
        <v>0</v>
      </c>
      <c r="D3565" s="5" t="n">
        <v>0</v>
      </c>
      <c r="E3565" s="5" t="n">
        <v>0</v>
      </c>
    </row>
    <row r="3566" customFormat="false" ht="12.75" hidden="false" customHeight="true" outlineLevel="0" collapsed="false">
      <c r="A3566" s="5" t="n">
        <v>254</v>
      </c>
      <c r="B3566" s="5" t="n">
        <v>105</v>
      </c>
      <c r="C3566" s="5" t="n">
        <v>10915</v>
      </c>
      <c r="D3566" s="5" t="n">
        <v>0.013</v>
      </c>
      <c r="E3566" s="5" t="n">
        <v>0.010915</v>
      </c>
    </row>
    <row r="3567" customFormat="false" ht="12.75" hidden="false" customHeight="true" outlineLevel="0" collapsed="false">
      <c r="A3567" s="5" t="n">
        <v>254</v>
      </c>
      <c r="B3567" s="5" t="n">
        <v>106</v>
      </c>
      <c r="C3567" s="5" t="n">
        <v>31306</v>
      </c>
      <c r="D3567" s="5" t="n">
        <v>0.029</v>
      </c>
      <c r="E3567" s="5" t="n">
        <v>0.031306</v>
      </c>
    </row>
    <row r="3568" customFormat="false" ht="12.75" hidden="false" customHeight="true" outlineLevel="0" collapsed="false">
      <c r="A3568" s="5" t="n">
        <v>254</v>
      </c>
      <c r="B3568" s="5" t="n">
        <v>108</v>
      </c>
      <c r="C3568" s="5" t="n">
        <v>179003</v>
      </c>
      <c r="D3568" s="5" t="n">
        <v>0.131</v>
      </c>
      <c r="E3568" s="5" t="n">
        <v>0.179003</v>
      </c>
    </row>
    <row r="3569" customFormat="false" ht="12.75" hidden="false" customHeight="true" outlineLevel="0" collapsed="false">
      <c r="A3569" s="5" t="n">
        <v>254</v>
      </c>
      <c r="B3569" s="5" t="n">
        <v>110</v>
      </c>
      <c r="C3569" s="5" t="n">
        <v>807652</v>
      </c>
      <c r="D3569" s="5" t="n">
        <v>0.544</v>
      </c>
      <c r="E3569" s="5" t="n">
        <v>0.807652</v>
      </c>
    </row>
    <row r="3570" customFormat="false" ht="12.75" hidden="false" customHeight="true" outlineLevel="0" collapsed="false">
      <c r="A3570" s="5" t="n">
        <v>254</v>
      </c>
      <c r="B3570" s="5" t="n">
        <v>112</v>
      </c>
      <c r="C3570" s="5" t="n">
        <v>2651442</v>
      </c>
      <c r="D3570" s="5" t="n">
        <v>1.361</v>
      </c>
      <c r="E3570" s="5" t="n">
        <v>2.651442</v>
      </c>
    </row>
    <row r="3571" customFormat="false" ht="12.75" hidden="false" customHeight="true" outlineLevel="0" collapsed="false">
      <c r="A3571" s="5" t="n">
        <v>254</v>
      </c>
      <c r="B3571" s="5" t="n">
        <v>114</v>
      </c>
      <c r="C3571" s="5" t="n">
        <v>6455866</v>
      </c>
      <c r="D3571" s="5" t="n">
        <v>2.501</v>
      </c>
      <c r="E3571" s="5" t="n">
        <v>6.455866</v>
      </c>
    </row>
    <row r="3572" customFormat="false" ht="12.75" hidden="false" customHeight="true" outlineLevel="0" collapsed="false">
      <c r="A3572" s="5" t="n">
        <v>254</v>
      </c>
      <c r="B3572" s="5" t="n">
        <v>116</v>
      </c>
      <c r="C3572" s="5" t="n">
        <v>12697548</v>
      </c>
      <c r="D3572" s="5" t="n">
        <v>3.785</v>
      </c>
      <c r="E3572" s="5" t="n">
        <v>12.697548</v>
      </c>
    </row>
    <row r="3573" customFormat="false" ht="12.75" hidden="false" customHeight="true" outlineLevel="0" collapsed="false">
      <c r="A3573" s="5" t="n">
        <v>254</v>
      </c>
      <c r="B3573" s="5" t="n">
        <v>118</v>
      </c>
      <c r="C3573" s="5" t="n">
        <v>22351981</v>
      </c>
      <c r="D3573" s="5" t="n">
        <v>5.951</v>
      </c>
      <c r="E3573" s="5" t="n">
        <v>22.351981</v>
      </c>
    </row>
    <row r="3574" customFormat="false" ht="12.75" hidden="false" customHeight="true" outlineLevel="0" collapsed="false">
      <c r="A3574" s="5" t="n">
        <v>254</v>
      </c>
      <c r="B3574" s="5" t="n">
        <v>120</v>
      </c>
      <c r="C3574" s="5" t="n">
        <v>36297723</v>
      </c>
      <c r="D3574" s="5" t="n">
        <v>8.148</v>
      </c>
      <c r="E3574" s="5" t="n">
        <v>36.297723</v>
      </c>
    </row>
    <row r="3575" customFormat="false" ht="12.75" hidden="false" customHeight="true" outlineLevel="0" collapsed="false">
      <c r="A3575" s="5" t="n">
        <v>254</v>
      </c>
      <c r="B3575" s="5" t="n">
        <v>122</v>
      </c>
      <c r="C3575" s="5" t="n">
        <v>54831132</v>
      </c>
      <c r="D3575" s="5" t="n">
        <v>10.542</v>
      </c>
      <c r="E3575" s="5" t="n">
        <v>54.831132</v>
      </c>
    </row>
    <row r="3576" customFormat="false" ht="12.75" hidden="false" customHeight="true" outlineLevel="0" collapsed="false">
      <c r="A3576" s="5" t="n">
        <v>254</v>
      </c>
      <c r="B3576" s="5" t="n">
        <v>124</v>
      </c>
      <c r="C3576" s="5" t="n">
        <v>78583423</v>
      </c>
      <c r="D3576" s="5" t="n">
        <v>12.263</v>
      </c>
      <c r="E3576" s="5" t="n">
        <v>78.583423</v>
      </c>
    </row>
    <row r="3577" customFormat="false" ht="12.75" hidden="false" customHeight="true" outlineLevel="0" collapsed="false">
      <c r="A3577" s="5" t="n">
        <v>254</v>
      </c>
      <c r="B3577" s="5" t="n">
        <v>126</v>
      </c>
      <c r="C3577" s="5" t="n">
        <v>109817700</v>
      </c>
      <c r="D3577" s="5" t="n">
        <v>18.096</v>
      </c>
      <c r="E3577" s="5" t="n">
        <v>109.8177</v>
      </c>
    </row>
    <row r="3578" customFormat="false" ht="12.75" hidden="false" customHeight="true" outlineLevel="0" collapsed="false">
      <c r="A3578" s="5" t="n">
        <v>254</v>
      </c>
      <c r="B3578" s="5" t="n">
        <v>128</v>
      </c>
      <c r="C3578" s="5" t="n">
        <v>151481374</v>
      </c>
      <c r="D3578" s="5" t="n">
        <v>23.693</v>
      </c>
      <c r="E3578" s="5" t="n">
        <v>151.481374</v>
      </c>
    </row>
    <row r="3579" customFormat="false" ht="12.75" hidden="false" customHeight="true" outlineLevel="0" collapsed="false">
      <c r="A3579" s="5" t="n">
        <v>254</v>
      </c>
      <c r="B3579" s="5" t="n">
        <v>130</v>
      </c>
      <c r="C3579" s="5" t="n">
        <v>204394868</v>
      </c>
      <c r="D3579" s="5" t="n">
        <v>29.321</v>
      </c>
      <c r="E3579" s="5" t="n">
        <v>204.394868</v>
      </c>
    </row>
    <row r="3580" customFormat="false" ht="12.75" hidden="false" customHeight="true" outlineLevel="0" collapsed="false">
      <c r="A3580" s="5" t="n">
        <v>254</v>
      </c>
      <c r="B3580" s="5" t="n">
        <v>132</v>
      </c>
      <c r="C3580" s="5" t="n">
        <v>274457228</v>
      </c>
      <c r="D3580" s="5" t="n">
        <v>41.071</v>
      </c>
      <c r="E3580" s="5" t="n">
        <v>274.457228</v>
      </c>
    </row>
    <row r="3581" customFormat="false" ht="12.75" hidden="false" customHeight="true" outlineLevel="0" collapsed="false">
      <c r="A3581" s="5" t="n">
        <v>254</v>
      </c>
      <c r="B3581" s="5" t="n">
        <v>133</v>
      </c>
      <c r="C3581" s="5" t="n">
        <v>320000000</v>
      </c>
      <c r="D3581" s="5" t="n">
        <v>46.431</v>
      </c>
      <c r="E3581" s="5" t="n">
        <v>320</v>
      </c>
    </row>
    <row r="3582" customFormat="false" ht="12.75" hidden="false" customHeight="true" outlineLevel="0" collapsed="false">
      <c r="A3582" s="5" t="n">
        <v>254</v>
      </c>
      <c r="B3582" s="5" t="n">
        <v>134</v>
      </c>
      <c r="C3582" s="5" t="n">
        <v>367111803</v>
      </c>
      <c r="D3582" s="5" t="n">
        <v>51.791</v>
      </c>
      <c r="E3582" s="5" t="n">
        <v>367.111803</v>
      </c>
    </row>
    <row r="3583" customFormat="false" ht="12.75" hidden="false" customHeight="true" outlineLevel="0" collapsed="false">
      <c r="A3583" s="5" t="n">
        <v>254</v>
      </c>
      <c r="B3583" s="5" t="n">
        <v>135</v>
      </c>
      <c r="C3583" s="5" t="n">
        <v>420983138</v>
      </c>
      <c r="D3583" s="5" t="n">
        <v>55.979</v>
      </c>
      <c r="E3583" s="5" t="n">
        <v>420.983138</v>
      </c>
    </row>
    <row r="3584" customFormat="false" ht="12.75" hidden="false" customHeight="true" outlineLevel="0" collapsed="false">
      <c r="A3584" s="5" t="n">
        <v>1119</v>
      </c>
      <c r="B3584" s="5" t="n">
        <v>39.15</v>
      </c>
      <c r="C3584" s="5" t="n">
        <v>0</v>
      </c>
      <c r="D3584" s="5" t="n">
        <v>0</v>
      </c>
      <c r="E3584" s="5" t="n">
        <v>0</v>
      </c>
    </row>
    <row r="3585" customFormat="false" ht="12.75" hidden="false" customHeight="true" outlineLevel="0" collapsed="false">
      <c r="A3585" s="5" t="n">
        <v>1119</v>
      </c>
      <c r="B3585" s="5" t="n">
        <v>40</v>
      </c>
      <c r="C3585" s="5" t="n">
        <v>81</v>
      </c>
      <c r="D3585" s="5" t="n">
        <v>0</v>
      </c>
      <c r="E3585" s="5" t="n">
        <v>8.1E-005</v>
      </c>
    </row>
    <row r="3586" customFormat="false" ht="12.75" hidden="false" customHeight="true" outlineLevel="0" collapsed="false">
      <c r="A3586" s="5" t="n">
        <v>1119</v>
      </c>
      <c r="B3586" s="5" t="n">
        <v>41</v>
      </c>
      <c r="C3586" s="5" t="n">
        <v>1535</v>
      </c>
      <c r="D3586" s="5" t="n">
        <v>0.013</v>
      </c>
      <c r="E3586" s="5" t="n">
        <v>0.001535</v>
      </c>
    </row>
    <row r="3587" customFormat="false" ht="12.75" hidden="false" customHeight="true" outlineLevel="0" collapsed="false">
      <c r="A3587" s="5" t="n">
        <v>1119</v>
      </c>
      <c r="B3587" s="5" t="n">
        <v>42</v>
      </c>
      <c r="C3587" s="5" t="n">
        <v>20513</v>
      </c>
      <c r="D3587" s="5" t="n">
        <v>0.041</v>
      </c>
      <c r="E3587" s="5" t="n">
        <v>0.020513</v>
      </c>
    </row>
    <row r="3588" customFormat="false" ht="12.75" hidden="false" customHeight="true" outlineLevel="0" collapsed="false">
      <c r="A3588" s="5" t="n">
        <v>1119</v>
      </c>
      <c r="B3588" s="5" t="n">
        <v>43</v>
      </c>
      <c r="C3588" s="5" t="n">
        <v>91757</v>
      </c>
      <c r="D3588" s="5" t="n">
        <v>0.148</v>
      </c>
      <c r="E3588" s="5" t="n">
        <v>0.091757</v>
      </c>
    </row>
    <row r="3589" customFormat="false" ht="12.75" hidden="false" customHeight="true" outlineLevel="0" collapsed="false">
      <c r="A3589" s="5" t="n">
        <v>1119</v>
      </c>
      <c r="B3589" s="5" t="n">
        <v>44</v>
      </c>
      <c r="C3589" s="5" t="n">
        <v>350581</v>
      </c>
      <c r="D3589" s="5" t="n">
        <v>0.431</v>
      </c>
      <c r="E3589" s="5" t="n">
        <v>0.350581</v>
      </c>
    </row>
    <row r="3590" customFormat="false" ht="12.75" hidden="false" customHeight="true" outlineLevel="0" collapsed="false">
      <c r="A3590" s="5" t="n">
        <v>1119</v>
      </c>
      <c r="B3590" s="5" t="n">
        <v>45</v>
      </c>
      <c r="C3590" s="5" t="n">
        <v>1012839</v>
      </c>
      <c r="D3590" s="5" t="n">
        <v>0.914</v>
      </c>
      <c r="E3590" s="5" t="n">
        <v>1.012839</v>
      </c>
    </row>
    <row r="3591" customFormat="false" ht="12.75" hidden="false" customHeight="true" outlineLevel="0" collapsed="false">
      <c r="A3591" s="5" t="n">
        <v>1119</v>
      </c>
      <c r="B3591" s="5" t="n">
        <v>46</v>
      </c>
      <c r="C3591" s="5" t="n">
        <v>2212104</v>
      </c>
      <c r="D3591" s="5" t="n">
        <v>1.55</v>
      </c>
      <c r="E3591" s="5" t="n">
        <v>2.212104</v>
      </c>
    </row>
    <row r="3592" customFormat="false" ht="12.75" hidden="false" customHeight="true" outlineLevel="0" collapsed="false">
      <c r="A3592" s="5" t="n">
        <v>1119</v>
      </c>
      <c r="B3592" s="5" t="n">
        <v>47</v>
      </c>
      <c r="C3592" s="5" t="n">
        <v>4096588</v>
      </c>
      <c r="D3592" s="5" t="n">
        <v>2.32</v>
      </c>
      <c r="E3592" s="5" t="n">
        <v>4.096588</v>
      </c>
    </row>
    <row r="3593" customFormat="false" ht="12.75" hidden="false" customHeight="true" outlineLevel="0" collapsed="false">
      <c r="A3593" s="5" t="n">
        <v>1119</v>
      </c>
      <c r="B3593" s="5" t="n">
        <v>48</v>
      </c>
      <c r="C3593" s="5" t="n">
        <v>6853797</v>
      </c>
      <c r="D3593" s="5" t="n">
        <v>3.218</v>
      </c>
      <c r="E3593" s="5" t="n">
        <v>6.853797</v>
      </c>
    </row>
    <row r="3594" customFormat="false" ht="12.75" hidden="false" customHeight="true" outlineLevel="0" collapsed="false">
      <c r="A3594" s="5" t="n">
        <v>1119</v>
      </c>
      <c r="B3594" s="5" t="n">
        <v>49</v>
      </c>
      <c r="C3594" s="5" t="n">
        <v>10528410</v>
      </c>
      <c r="D3594" s="5" t="n">
        <v>4.176</v>
      </c>
      <c r="E3594" s="5" t="n">
        <v>10.52841</v>
      </c>
    </row>
    <row r="3595" customFormat="false" ht="12.75" hidden="false" customHeight="true" outlineLevel="0" collapsed="false">
      <c r="A3595" s="5" t="n">
        <v>1119</v>
      </c>
      <c r="B3595" s="5" t="n">
        <v>50</v>
      </c>
      <c r="C3595" s="5" t="n">
        <v>15236407</v>
      </c>
      <c r="D3595" s="5" t="n">
        <v>5.283</v>
      </c>
      <c r="E3595" s="5" t="n">
        <v>15.236407</v>
      </c>
    </row>
    <row r="3596" customFormat="false" ht="12.75" hidden="false" customHeight="true" outlineLevel="0" collapsed="false">
      <c r="A3596" s="5" t="n">
        <v>1119</v>
      </c>
      <c r="B3596" s="5" t="n">
        <v>51</v>
      </c>
      <c r="C3596" s="5" t="n">
        <v>21083083</v>
      </c>
      <c r="D3596" s="5" t="n">
        <v>6.505</v>
      </c>
      <c r="E3596" s="5" t="n">
        <v>21.083083</v>
      </c>
    </row>
    <row r="3597" customFormat="false" ht="12.75" hidden="false" customHeight="true" outlineLevel="0" collapsed="false">
      <c r="A3597" s="5" t="n">
        <v>1119</v>
      </c>
      <c r="B3597" s="5" t="n">
        <v>52</v>
      </c>
      <c r="C3597" s="5" t="n">
        <v>28129792</v>
      </c>
      <c r="D3597" s="5" t="n">
        <v>7.567</v>
      </c>
      <c r="E3597" s="5" t="n">
        <v>28.129792</v>
      </c>
    </row>
    <row r="3598" customFormat="false" ht="12.75" hidden="false" customHeight="true" outlineLevel="0" collapsed="false">
      <c r="A3598" s="5" t="n">
        <v>1119</v>
      </c>
      <c r="B3598" s="5" t="n">
        <v>53</v>
      </c>
      <c r="C3598" s="5" t="n">
        <v>36194594</v>
      </c>
      <c r="D3598" s="5" t="n">
        <v>8.792</v>
      </c>
      <c r="E3598" s="5" t="n">
        <v>36.194594</v>
      </c>
    </row>
    <row r="3599" customFormat="false" ht="12.75" hidden="false" customHeight="true" outlineLevel="0" collapsed="false">
      <c r="A3599" s="5" t="n">
        <v>1119</v>
      </c>
      <c r="B3599" s="5" t="n">
        <v>53.1</v>
      </c>
      <c r="C3599" s="5" t="n">
        <v>37042495</v>
      </c>
      <c r="D3599" s="5" t="n">
        <v>9.132</v>
      </c>
      <c r="E3599" s="5" t="n">
        <v>37.042495</v>
      </c>
    </row>
    <row r="3600" customFormat="false" ht="12.75" hidden="false" customHeight="true" outlineLevel="0" collapsed="false">
      <c r="A3600" s="5" t="n">
        <v>1119</v>
      </c>
      <c r="B3600" s="5" t="n">
        <v>54</v>
      </c>
      <c r="C3600" s="5" t="n">
        <v>46061528</v>
      </c>
      <c r="D3600" s="5" t="n">
        <v>10.911</v>
      </c>
      <c r="E3600" s="5" t="n">
        <v>46.061528</v>
      </c>
    </row>
    <row r="3601" customFormat="false" ht="12.75" hidden="false" customHeight="true" outlineLevel="0" collapsed="false">
      <c r="A3601" s="5" t="n">
        <v>1119</v>
      </c>
      <c r="B3601" s="5" t="n">
        <v>54.7</v>
      </c>
      <c r="C3601" s="5" t="n">
        <v>54369088</v>
      </c>
      <c r="D3601" s="5" t="n">
        <v>12.825</v>
      </c>
      <c r="E3601" s="5" t="n">
        <v>54.369088</v>
      </c>
    </row>
    <row r="3602" customFormat="false" ht="12.75" hidden="false" customHeight="true" outlineLevel="0" collapsed="false">
      <c r="A3602" s="5" t="n">
        <v>1119</v>
      </c>
      <c r="B3602" s="5" t="n">
        <v>55</v>
      </c>
      <c r="C3602" s="5" t="n">
        <v>58348683</v>
      </c>
      <c r="D3602" s="5" t="n">
        <v>13.705</v>
      </c>
      <c r="E3602" s="5" t="n">
        <v>58.348683</v>
      </c>
    </row>
    <row r="3603" customFormat="false" ht="12.75" hidden="false" customHeight="true" outlineLevel="0" collapsed="false">
      <c r="A3603" s="5" t="n">
        <v>1119</v>
      </c>
      <c r="B3603" s="5" t="n">
        <v>56</v>
      </c>
      <c r="C3603" s="5" t="n">
        <v>73789231</v>
      </c>
      <c r="D3603" s="5" t="n">
        <v>17.176</v>
      </c>
      <c r="E3603" s="5" t="n">
        <v>73.789231</v>
      </c>
    </row>
    <row r="3604" customFormat="false" ht="12.75" hidden="false" customHeight="true" outlineLevel="0" collapsed="false">
      <c r="A3604" s="5" t="n">
        <v>1120</v>
      </c>
      <c r="B3604" s="5" t="n">
        <v>246.76</v>
      </c>
      <c r="C3604" s="5" t="n">
        <v>0</v>
      </c>
      <c r="D3604" s="5" t="n">
        <v>0</v>
      </c>
      <c r="E3604" s="5" t="n">
        <v>0</v>
      </c>
    </row>
    <row r="3605" customFormat="false" ht="12.75" hidden="false" customHeight="true" outlineLevel="0" collapsed="false">
      <c r="A3605" s="5" t="n">
        <v>1120</v>
      </c>
      <c r="B3605" s="5" t="n">
        <v>247</v>
      </c>
      <c r="C3605" s="5" t="n">
        <v>4</v>
      </c>
      <c r="D3605" s="5" t="n">
        <v>0</v>
      </c>
      <c r="E3605" s="5" t="n">
        <v>4E-006</v>
      </c>
    </row>
    <row r="3606" customFormat="false" ht="12.75" hidden="false" customHeight="true" outlineLevel="0" collapsed="false">
      <c r="A3606" s="5" t="n">
        <v>1120</v>
      </c>
      <c r="B3606" s="5" t="n">
        <v>248</v>
      </c>
      <c r="C3606" s="5" t="n">
        <v>600</v>
      </c>
      <c r="D3606" s="5" t="n">
        <v>0.002</v>
      </c>
      <c r="E3606" s="5" t="n">
        <v>0.0006</v>
      </c>
    </row>
    <row r="3607" customFormat="false" ht="12.75" hidden="false" customHeight="true" outlineLevel="0" collapsed="false">
      <c r="A3607" s="5" t="n">
        <v>1120</v>
      </c>
      <c r="B3607" s="5" t="n">
        <v>249</v>
      </c>
      <c r="C3607" s="5" t="n">
        <v>14000</v>
      </c>
      <c r="D3607" s="5" t="n">
        <v>0.037</v>
      </c>
      <c r="E3607" s="5" t="n">
        <v>0.014</v>
      </c>
    </row>
    <row r="3608" customFormat="false" ht="12.75" hidden="false" customHeight="true" outlineLevel="0" collapsed="false">
      <c r="A3608" s="5" t="n">
        <v>1120</v>
      </c>
      <c r="B3608" s="5" t="n">
        <v>250</v>
      </c>
      <c r="C3608" s="5" t="n">
        <v>67000</v>
      </c>
      <c r="D3608" s="5" t="n">
        <v>0.06</v>
      </c>
      <c r="E3608" s="5" t="n">
        <v>0.067</v>
      </c>
    </row>
    <row r="3609" customFormat="false" ht="12.75" hidden="false" customHeight="true" outlineLevel="0" collapsed="false">
      <c r="A3609" s="5" t="n">
        <v>1120</v>
      </c>
      <c r="B3609" s="5" t="n">
        <v>250.23</v>
      </c>
      <c r="C3609" s="5" t="n">
        <v>81000</v>
      </c>
      <c r="D3609" s="5" t="n">
        <v>0.06</v>
      </c>
      <c r="E3609" s="5" t="n">
        <v>0.081</v>
      </c>
    </row>
    <row r="3610" customFormat="false" ht="12.75" hidden="false" customHeight="true" outlineLevel="0" collapsed="false">
      <c r="A3610" s="5" t="n">
        <v>1120</v>
      </c>
      <c r="B3610" s="5" t="n">
        <v>251</v>
      </c>
      <c r="C3610" s="5" t="n">
        <v>1070000</v>
      </c>
      <c r="D3610" s="5" t="n">
        <v>0.45</v>
      </c>
      <c r="E3610" s="5" t="n">
        <v>1.07</v>
      </c>
    </row>
    <row r="3611" customFormat="false" ht="12.75" hidden="false" customHeight="true" outlineLevel="0" collapsed="false">
      <c r="A3611" s="5" t="n">
        <v>1120</v>
      </c>
      <c r="B3611" s="5" t="n">
        <v>252</v>
      </c>
      <c r="C3611" s="5" t="n">
        <v>3027000</v>
      </c>
      <c r="D3611" s="5" t="n">
        <v>1.29</v>
      </c>
      <c r="E3611" s="5" t="n">
        <v>3.027</v>
      </c>
    </row>
    <row r="3612" customFormat="false" ht="12.75" hidden="false" customHeight="true" outlineLevel="0" collapsed="false">
      <c r="A3612" s="5" t="n">
        <v>1120</v>
      </c>
      <c r="B3612" s="5" t="n">
        <v>253</v>
      </c>
      <c r="C3612" s="5" t="n">
        <v>5630000</v>
      </c>
      <c r="D3612" s="5" t="n">
        <v>1.74</v>
      </c>
      <c r="E3612" s="5" t="n">
        <v>5.63</v>
      </c>
    </row>
    <row r="3613" customFormat="false" ht="12.75" hidden="false" customHeight="true" outlineLevel="0" collapsed="false">
      <c r="A3613" s="5" t="n">
        <v>1120</v>
      </c>
      <c r="B3613" s="5" t="n">
        <v>254</v>
      </c>
      <c r="C3613" s="5" t="n">
        <v>8718000</v>
      </c>
      <c r="D3613" s="5" t="n">
        <v>2.26</v>
      </c>
      <c r="E3613" s="5" t="n">
        <v>8.718</v>
      </c>
    </row>
    <row r="3614" customFormat="false" ht="12.75" hidden="false" customHeight="true" outlineLevel="0" collapsed="false">
      <c r="A3614" s="5" t="n">
        <v>1120</v>
      </c>
      <c r="B3614" s="5" t="n">
        <v>255</v>
      </c>
      <c r="C3614" s="5" t="n">
        <v>12350000</v>
      </c>
      <c r="D3614" s="5" t="n">
        <v>2.83</v>
      </c>
      <c r="E3614" s="5" t="n">
        <v>12.35</v>
      </c>
    </row>
    <row r="3615" customFormat="false" ht="12.75" hidden="false" customHeight="true" outlineLevel="0" collapsed="false">
      <c r="A3615" s="5" t="n">
        <v>1120</v>
      </c>
      <c r="B3615" s="5" t="n">
        <v>256</v>
      </c>
      <c r="C3615" s="5" t="n">
        <v>16600000</v>
      </c>
      <c r="D3615" s="5" t="n">
        <v>3.55</v>
      </c>
      <c r="E3615" s="5" t="n">
        <v>16.6</v>
      </c>
    </row>
    <row r="3616" customFormat="false" ht="12.75" hidden="false" customHeight="true" outlineLevel="0" collapsed="false">
      <c r="A3616" s="5" t="n">
        <v>1120</v>
      </c>
      <c r="B3616" s="5" t="n">
        <v>257</v>
      </c>
      <c r="C3616" s="5" t="n">
        <v>21600000</v>
      </c>
      <c r="D3616" s="5" t="n">
        <v>4.2</v>
      </c>
      <c r="E3616" s="5" t="n">
        <v>21.6</v>
      </c>
    </row>
    <row r="3617" customFormat="false" ht="12.75" hidden="false" customHeight="true" outlineLevel="0" collapsed="false">
      <c r="A3617" s="5" t="n">
        <v>1120</v>
      </c>
      <c r="B3617" s="5" t="n">
        <v>258</v>
      </c>
      <c r="C3617" s="5" t="n">
        <v>27280000</v>
      </c>
      <c r="D3617" s="5" t="n">
        <v>4.97</v>
      </c>
      <c r="E3617" s="5" t="n">
        <v>27.28</v>
      </c>
    </row>
    <row r="3618" customFormat="false" ht="12.75" hidden="false" customHeight="true" outlineLevel="0" collapsed="false">
      <c r="A3618" s="5" t="n">
        <v>1120</v>
      </c>
      <c r="B3618" s="5" t="n">
        <v>259</v>
      </c>
      <c r="C3618" s="5" t="n">
        <v>33800000</v>
      </c>
      <c r="D3618" s="5" t="n">
        <v>5.83</v>
      </c>
      <c r="E3618" s="5" t="n">
        <v>33.8</v>
      </c>
    </row>
    <row r="3619" customFormat="false" ht="12.75" hidden="false" customHeight="true" outlineLevel="0" collapsed="false">
      <c r="A3619" s="5" t="n">
        <v>1120</v>
      </c>
      <c r="B3619" s="5" t="n">
        <v>260</v>
      </c>
      <c r="C3619" s="5" t="n">
        <v>41400000</v>
      </c>
      <c r="D3619" s="5" t="n">
        <v>7.27</v>
      </c>
      <c r="E3619" s="5" t="n">
        <v>41.4</v>
      </c>
    </row>
    <row r="3620" customFormat="false" ht="12.75" hidden="false" customHeight="true" outlineLevel="0" collapsed="false">
      <c r="A3620" s="5" t="n">
        <v>1120</v>
      </c>
      <c r="B3620" s="5" t="n">
        <v>261</v>
      </c>
      <c r="C3620" s="5" t="n">
        <v>50207000</v>
      </c>
      <c r="D3620" s="5" t="n">
        <v>8.15</v>
      </c>
      <c r="E3620" s="5" t="n">
        <v>50.207</v>
      </c>
    </row>
    <row r="3621" customFormat="false" ht="12.75" hidden="false" customHeight="true" outlineLevel="0" collapsed="false">
      <c r="A3621" s="5" t="n">
        <v>1120</v>
      </c>
      <c r="B3621" s="5" t="n">
        <v>262</v>
      </c>
      <c r="C3621" s="5" t="n">
        <v>59980000</v>
      </c>
      <c r="D3621" s="5" t="n">
        <v>9.22</v>
      </c>
      <c r="E3621" s="5" t="n">
        <v>59.98</v>
      </c>
    </row>
    <row r="3622" customFormat="false" ht="12.75" hidden="false" customHeight="true" outlineLevel="0" collapsed="false">
      <c r="A3622" s="5" t="n">
        <v>1120</v>
      </c>
      <c r="B3622" s="5" t="n">
        <v>263</v>
      </c>
      <c r="C3622" s="5" t="n">
        <v>71055000</v>
      </c>
      <c r="D3622" s="5" t="n">
        <v>10.75</v>
      </c>
      <c r="E3622" s="5" t="n">
        <v>71.055</v>
      </c>
    </row>
    <row r="3623" customFormat="false" ht="12.75" hidden="false" customHeight="true" outlineLevel="0" collapsed="false">
      <c r="A3623" s="5" t="n">
        <v>1120</v>
      </c>
      <c r="B3623" s="5" t="n">
        <v>264</v>
      </c>
      <c r="C3623" s="5" t="n">
        <v>83470000</v>
      </c>
      <c r="D3623" s="5" t="n">
        <v>11.9</v>
      </c>
      <c r="E3623" s="5" t="n">
        <v>83.47</v>
      </c>
    </row>
    <row r="3624" customFormat="false" ht="12.75" hidden="false" customHeight="true" outlineLevel="0" collapsed="false">
      <c r="A3624" s="5" t="n">
        <v>1123</v>
      </c>
      <c r="B3624" s="5" t="n">
        <v>88.62</v>
      </c>
      <c r="C3624" s="5" t="n">
        <v>0</v>
      </c>
      <c r="D3624" s="5" t="n">
        <v>0</v>
      </c>
      <c r="E3624" s="5" t="n">
        <v>0</v>
      </c>
    </row>
    <row r="3625" customFormat="false" ht="12.75" hidden="false" customHeight="true" outlineLevel="0" collapsed="false">
      <c r="A3625" s="5" t="n">
        <v>1123</v>
      </c>
      <c r="B3625" s="5" t="n">
        <v>89</v>
      </c>
      <c r="C3625" s="5" t="n">
        <v>2</v>
      </c>
      <c r="D3625" s="5" t="n">
        <v>0</v>
      </c>
      <c r="E3625" s="5" t="n">
        <v>2E-006</v>
      </c>
    </row>
    <row r="3626" customFormat="false" ht="12.75" hidden="false" customHeight="true" outlineLevel="0" collapsed="false">
      <c r="A3626" s="5" t="n">
        <v>1123</v>
      </c>
      <c r="B3626" s="5" t="n">
        <v>90</v>
      </c>
      <c r="C3626" s="5" t="n">
        <v>200</v>
      </c>
      <c r="D3626" s="5" t="n">
        <v>0.0006</v>
      </c>
      <c r="E3626" s="5" t="n">
        <v>0.0002</v>
      </c>
    </row>
    <row r="3627" customFormat="false" ht="12.75" hidden="false" customHeight="true" outlineLevel="0" collapsed="false">
      <c r="A3627" s="5" t="n">
        <v>1123</v>
      </c>
      <c r="B3627" s="5" t="n">
        <v>91</v>
      </c>
      <c r="C3627" s="5" t="n">
        <v>2500</v>
      </c>
      <c r="D3627" s="5" t="n">
        <v>0.005</v>
      </c>
      <c r="E3627" s="5" t="n">
        <v>0.0025</v>
      </c>
    </row>
    <row r="3628" customFormat="false" ht="12.75" hidden="false" customHeight="true" outlineLevel="0" collapsed="false">
      <c r="A3628" s="5" t="n">
        <v>1123</v>
      </c>
      <c r="B3628" s="5" t="n">
        <v>92</v>
      </c>
      <c r="C3628" s="5" t="n">
        <v>19000</v>
      </c>
      <c r="D3628" s="5" t="n">
        <v>0.03</v>
      </c>
      <c r="E3628" s="5" t="n">
        <v>0.019</v>
      </c>
    </row>
    <row r="3629" customFormat="false" ht="12.75" hidden="false" customHeight="true" outlineLevel="0" collapsed="false">
      <c r="A3629" s="5" t="n">
        <v>1123</v>
      </c>
      <c r="B3629" s="5" t="n">
        <v>93</v>
      </c>
      <c r="C3629" s="5" t="n">
        <v>79000</v>
      </c>
      <c r="D3629" s="5" t="n">
        <v>0.09</v>
      </c>
      <c r="E3629" s="5" t="n">
        <v>0.079</v>
      </c>
    </row>
    <row r="3630" customFormat="false" ht="12.75" hidden="false" customHeight="true" outlineLevel="0" collapsed="false">
      <c r="A3630" s="5" t="n">
        <v>1123</v>
      </c>
      <c r="B3630" s="5" t="n">
        <v>94</v>
      </c>
      <c r="C3630" s="5" t="n">
        <v>220000</v>
      </c>
      <c r="D3630" s="5" t="n">
        <v>0.2</v>
      </c>
      <c r="E3630" s="5" t="n">
        <v>0.22</v>
      </c>
    </row>
    <row r="3631" customFormat="false" ht="12.75" hidden="false" customHeight="true" outlineLevel="0" collapsed="false">
      <c r="A3631" s="5" t="n">
        <v>1123</v>
      </c>
      <c r="B3631" s="5" t="n">
        <v>95</v>
      </c>
      <c r="C3631" s="5" t="n">
        <v>485000</v>
      </c>
      <c r="D3631" s="5" t="n">
        <v>0.34</v>
      </c>
      <c r="E3631" s="5" t="n">
        <v>0.485</v>
      </c>
    </row>
    <row r="3632" customFormat="false" ht="12.75" hidden="false" customHeight="true" outlineLevel="0" collapsed="false">
      <c r="A3632" s="5" t="n">
        <v>1123</v>
      </c>
      <c r="B3632" s="5" t="n">
        <v>96</v>
      </c>
      <c r="C3632" s="5" t="n">
        <v>900000</v>
      </c>
      <c r="D3632" s="5" t="n">
        <v>0.5</v>
      </c>
      <c r="E3632" s="5" t="n">
        <v>0.9</v>
      </c>
    </row>
    <row r="3633" customFormat="false" ht="12.75" hidden="false" customHeight="true" outlineLevel="0" collapsed="false">
      <c r="A3633" s="5" t="n">
        <v>1123</v>
      </c>
      <c r="B3633" s="5" t="n">
        <v>97</v>
      </c>
      <c r="C3633" s="5" t="n">
        <v>1500000</v>
      </c>
      <c r="D3633" s="5" t="n">
        <v>0.66</v>
      </c>
      <c r="E3633" s="5" t="n">
        <v>1.5</v>
      </c>
    </row>
    <row r="3634" customFormat="false" ht="12.75" hidden="false" customHeight="true" outlineLevel="0" collapsed="false">
      <c r="A3634" s="5" t="n">
        <v>1123</v>
      </c>
      <c r="B3634" s="5" t="n">
        <v>98</v>
      </c>
      <c r="C3634" s="5" t="n">
        <v>2210000</v>
      </c>
      <c r="D3634" s="5" t="n">
        <v>0.78</v>
      </c>
      <c r="E3634" s="5" t="n">
        <v>2.21</v>
      </c>
    </row>
    <row r="3635" customFormat="false" ht="12.75" hidden="false" customHeight="true" outlineLevel="0" collapsed="false">
      <c r="A3635" s="5" t="n">
        <v>1123</v>
      </c>
      <c r="B3635" s="5" t="n">
        <v>99</v>
      </c>
      <c r="C3635" s="5" t="n">
        <v>3050000</v>
      </c>
      <c r="D3635" s="5" t="n">
        <v>0.89</v>
      </c>
      <c r="E3635" s="5" t="n">
        <v>3.05</v>
      </c>
    </row>
    <row r="3636" customFormat="false" ht="12.75" hidden="false" customHeight="true" outlineLevel="0" collapsed="false">
      <c r="A3636" s="5" t="n">
        <v>1123</v>
      </c>
      <c r="B3636" s="5" t="n">
        <v>99.8</v>
      </c>
      <c r="C3636" s="5" t="n">
        <v>3790000</v>
      </c>
      <c r="D3636" s="5" t="n">
        <v>0.98</v>
      </c>
      <c r="E3636" s="5" t="n">
        <v>3.79</v>
      </c>
    </row>
    <row r="3637" customFormat="false" ht="12.75" hidden="false" customHeight="true" outlineLevel="0" collapsed="false">
      <c r="A3637" s="5" t="n">
        <v>1123</v>
      </c>
      <c r="B3637" s="5" t="n">
        <v>100</v>
      </c>
      <c r="C3637" s="5" t="n">
        <v>4000000</v>
      </c>
      <c r="D3637" s="5" t="n">
        <v>0.99</v>
      </c>
      <c r="E3637" s="5" t="n">
        <v>4</v>
      </c>
    </row>
    <row r="3638" customFormat="false" ht="12.75" hidden="false" customHeight="true" outlineLevel="0" collapsed="false">
      <c r="A3638" s="5" t="n">
        <v>1124</v>
      </c>
      <c r="B3638" s="5" t="n">
        <v>42</v>
      </c>
      <c r="C3638" s="5" t="n">
        <v>0</v>
      </c>
      <c r="D3638" s="5" t="n">
        <v>0</v>
      </c>
      <c r="E3638" s="5" t="n">
        <v>0</v>
      </c>
    </row>
    <row r="3639" customFormat="false" ht="12.75" hidden="false" customHeight="true" outlineLevel="0" collapsed="false">
      <c r="A3639" s="5" t="n">
        <v>1124</v>
      </c>
      <c r="B3639" s="5" t="n">
        <v>43</v>
      </c>
      <c r="C3639" s="5" t="n">
        <v>800</v>
      </c>
      <c r="D3639" s="5" t="n">
        <v>0.0016</v>
      </c>
      <c r="E3639" s="5" t="n">
        <v>0.0008</v>
      </c>
    </row>
    <row r="3640" customFormat="false" ht="12.75" hidden="false" customHeight="true" outlineLevel="0" collapsed="false">
      <c r="A3640" s="5" t="n">
        <v>1124</v>
      </c>
      <c r="B3640" s="5" t="n">
        <v>44</v>
      </c>
      <c r="C3640" s="5" t="n">
        <v>10000</v>
      </c>
      <c r="D3640" s="5" t="n">
        <v>0.018</v>
      </c>
      <c r="E3640" s="5" t="n">
        <v>0.01</v>
      </c>
    </row>
    <row r="3641" customFormat="false" ht="12.75" hidden="false" customHeight="true" outlineLevel="0" collapsed="false">
      <c r="A3641" s="5" t="n">
        <v>1124</v>
      </c>
      <c r="B3641" s="5" t="n">
        <v>45</v>
      </c>
      <c r="C3641" s="5" t="n">
        <v>75000</v>
      </c>
      <c r="D3641" s="5" t="n">
        <v>0.11</v>
      </c>
      <c r="E3641" s="5" t="n">
        <v>0.075</v>
      </c>
    </row>
    <row r="3642" customFormat="false" ht="12.75" hidden="false" customHeight="true" outlineLevel="0" collapsed="false">
      <c r="A3642" s="5" t="n">
        <v>1124</v>
      </c>
      <c r="B3642" s="5" t="n">
        <v>46</v>
      </c>
      <c r="C3642" s="5" t="n">
        <v>332000</v>
      </c>
      <c r="D3642" s="5" t="n">
        <v>0.4</v>
      </c>
      <c r="E3642" s="5" t="n">
        <v>0.332</v>
      </c>
    </row>
    <row r="3643" customFormat="false" ht="12.75" hidden="false" customHeight="true" outlineLevel="0" collapsed="false">
      <c r="A3643" s="5" t="n">
        <v>1124</v>
      </c>
      <c r="B3643" s="5" t="n">
        <v>47</v>
      </c>
      <c r="C3643" s="5" t="n">
        <v>935000</v>
      </c>
      <c r="D3643" s="5" t="n">
        <v>0.8</v>
      </c>
      <c r="E3643" s="5" t="n">
        <v>0.935</v>
      </c>
    </row>
    <row r="3644" customFormat="false" ht="12.75" hidden="false" customHeight="true" outlineLevel="0" collapsed="false">
      <c r="A3644" s="5" t="n">
        <v>1124</v>
      </c>
      <c r="B3644" s="5" t="n">
        <v>48</v>
      </c>
      <c r="C3644" s="5" t="n">
        <v>1971000</v>
      </c>
      <c r="D3644" s="5" t="n">
        <v>1.27</v>
      </c>
      <c r="E3644" s="5" t="n">
        <v>1.971</v>
      </c>
    </row>
    <row r="3645" customFormat="false" ht="12.75" hidden="false" customHeight="true" outlineLevel="0" collapsed="false">
      <c r="A3645" s="5" t="n">
        <v>1124</v>
      </c>
      <c r="B3645" s="5" t="n">
        <v>49</v>
      </c>
      <c r="C3645" s="5" t="n">
        <v>3457000</v>
      </c>
      <c r="D3645" s="5" t="n">
        <v>1.7</v>
      </c>
      <c r="E3645" s="5" t="n">
        <v>3.457</v>
      </c>
    </row>
    <row r="3646" customFormat="false" ht="12.75" hidden="false" customHeight="true" outlineLevel="0" collapsed="false">
      <c r="A3646" s="5" t="n">
        <v>1124</v>
      </c>
      <c r="B3646" s="5" t="n">
        <v>50</v>
      </c>
      <c r="C3646" s="5" t="n">
        <v>5415000</v>
      </c>
      <c r="D3646" s="5" t="n">
        <v>2.22</v>
      </c>
      <c r="E3646" s="5" t="n">
        <v>5.415</v>
      </c>
    </row>
    <row r="3647" customFormat="false" ht="12.75" hidden="false" customHeight="true" outlineLevel="0" collapsed="false">
      <c r="A3647" s="5" t="n">
        <v>1124</v>
      </c>
      <c r="B3647" s="5" t="n">
        <v>51</v>
      </c>
      <c r="C3647" s="5" t="n">
        <v>7895000</v>
      </c>
      <c r="D3647" s="5" t="n">
        <v>2.74</v>
      </c>
      <c r="E3647" s="5" t="n">
        <v>7.895</v>
      </c>
    </row>
    <row r="3648" customFormat="false" ht="12.75" hidden="false" customHeight="true" outlineLevel="0" collapsed="false">
      <c r="A3648" s="5" t="n">
        <v>1124</v>
      </c>
      <c r="B3648" s="5" t="n">
        <v>51.5</v>
      </c>
      <c r="C3648" s="5" t="n">
        <v>9350000</v>
      </c>
      <c r="D3648" s="5" t="n">
        <v>3.068</v>
      </c>
      <c r="E3648" s="5" t="n">
        <v>9.35</v>
      </c>
    </row>
    <row r="3649" customFormat="false" ht="12.75" hidden="false" customHeight="true" outlineLevel="0" collapsed="false">
      <c r="A3649" s="5" t="n">
        <v>1124</v>
      </c>
      <c r="B3649" s="5" t="n">
        <v>52</v>
      </c>
      <c r="C3649" s="5" t="n">
        <v>10970000</v>
      </c>
      <c r="D3649" s="5" t="n">
        <v>3.43</v>
      </c>
      <c r="E3649" s="5" t="n">
        <v>10.97</v>
      </c>
    </row>
    <row r="3650" customFormat="false" ht="12.75" hidden="false" customHeight="true" outlineLevel="0" collapsed="false">
      <c r="A3650" s="5" t="n">
        <v>1124</v>
      </c>
      <c r="B3650" s="5" t="n">
        <v>53</v>
      </c>
      <c r="C3650" s="5" t="n">
        <v>14720000</v>
      </c>
      <c r="D3650" s="5" t="n">
        <v>4.07</v>
      </c>
      <c r="E3650" s="5" t="n">
        <v>14.72</v>
      </c>
    </row>
    <row r="3651" customFormat="false" ht="12.75" hidden="false" customHeight="true" outlineLevel="0" collapsed="false">
      <c r="A3651" s="5" t="n">
        <v>1124</v>
      </c>
      <c r="B3651" s="5" t="n">
        <v>54</v>
      </c>
      <c r="C3651" s="5" t="n">
        <v>19114000</v>
      </c>
      <c r="D3651" s="5" t="n">
        <v>4.719</v>
      </c>
      <c r="E3651" s="5" t="n">
        <v>19.114</v>
      </c>
    </row>
    <row r="3652" customFormat="false" ht="12.75" hidden="false" customHeight="true" outlineLevel="0" collapsed="false">
      <c r="A3652" s="5" t="n">
        <v>1124</v>
      </c>
      <c r="B3652" s="5" t="n">
        <v>55</v>
      </c>
      <c r="C3652" s="5" t="n">
        <v>24244000</v>
      </c>
      <c r="D3652" s="5" t="n">
        <v>5.65</v>
      </c>
      <c r="E3652" s="5" t="n">
        <v>24.244</v>
      </c>
    </row>
    <row r="3653" customFormat="false" ht="12.75" hidden="false" customHeight="true" outlineLevel="0" collapsed="false">
      <c r="A3653" s="5" t="n">
        <v>1137</v>
      </c>
      <c r="B3653" s="5" t="n">
        <v>70</v>
      </c>
      <c r="C3653" s="5" t="n">
        <v>0</v>
      </c>
      <c r="D3653" s="5" t="n">
        <v>0</v>
      </c>
      <c r="E3653" s="5" t="n">
        <v>0</v>
      </c>
    </row>
    <row r="3654" customFormat="false" ht="12.75" hidden="false" customHeight="true" outlineLevel="0" collapsed="false">
      <c r="A3654" s="5" t="n">
        <v>1138</v>
      </c>
      <c r="B3654" s="5" t="n">
        <v>343.1</v>
      </c>
      <c r="C3654" s="5" t="n">
        <v>0</v>
      </c>
      <c r="D3654" s="5" t="n">
        <v>0</v>
      </c>
      <c r="E3654" s="5" t="n">
        <v>0</v>
      </c>
    </row>
    <row r="3655" customFormat="false" ht="12.75" hidden="false" customHeight="true" outlineLevel="0" collapsed="false">
      <c r="A3655" s="5" t="n">
        <v>1138</v>
      </c>
      <c r="B3655" s="5" t="n">
        <v>344</v>
      </c>
      <c r="C3655" s="5" t="n">
        <v>400</v>
      </c>
      <c r="D3655" s="5" t="n">
        <v>0.002</v>
      </c>
      <c r="E3655" s="5" t="n">
        <v>0.0004</v>
      </c>
    </row>
    <row r="3656" customFormat="false" ht="12.75" hidden="false" customHeight="true" outlineLevel="0" collapsed="false">
      <c r="A3656" s="5" t="n">
        <v>1138</v>
      </c>
      <c r="B3656" s="5" t="n">
        <v>345</v>
      </c>
      <c r="C3656" s="5" t="n">
        <v>7800</v>
      </c>
      <c r="D3656" s="5" t="n">
        <v>0.02</v>
      </c>
      <c r="E3656" s="5" t="n">
        <v>0.0078</v>
      </c>
    </row>
    <row r="3657" customFormat="false" ht="12.75" hidden="false" customHeight="true" outlineLevel="0" collapsed="false">
      <c r="A3657" s="5" t="n">
        <v>1138</v>
      </c>
      <c r="B3657" s="5" t="n">
        <v>346</v>
      </c>
      <c r="C3657" s="5" t="n">
        <v>37500</v>
      </c>
      <c r="D3657" s="5" t="n">
        <v>0.04</v>
      </c>
      <c r="E3657" s="5" t="n">
        <v>0.0375</v>
      </c>
    </row>
    <row r="3658" customFormat="false" ht="12.75" hidden="false" customHeight="true" outlineLevel="0" collapsed="false">
      <c r="A3658" s="5" t="n">
        <v>1138</v>
      </c>
      <c r="B3658" s="5" t="n">
        <v>347</v>
      </c>
      <c r="C3658" s="5" t="n">
        <v>100000</v>
      </c>
      <c r="D3658" s="5" t="n">
        <v>0.08</v>
      </c>
      <c r="E3658" s="5" t="n">
        <v>0.1</v>
      </c>
    </row>
    <row r="3659" customFormat="false" ht="12.75" hidden="false" customHeight="true" outlineLevel="0" collapsed="false">
      <c r="A3659" s="5" t="n">
        <v>1138</v>
      </c>
      <c r="B3659" s="5" t="n">
        <v>348</v>
      </c>
      <c r="C3659" s="5" t="n">
        <v>200000</v>
      </c>
      <c r="D3659" s="5" t="n">
        <v>0.11</v>
      </c>
      <c r="E3659" s="5" t="n">
        <v>0.2</v>
      </c>
    </row>
    <row r="3660" customFormat="false" ht="12.75" hidden="false" customHeight="true" outlineLevel="0" collapsed="false">
      <c r="A3660" s="5" t="n">
        <v>1138</v>
      </c>
      <c r="B3660" s="5" t="n">
        <v>348.6</v>
      </c>
      <c r="C3660" s="5" t="n">
        <v>270000</v>
      </c>
      <c r="D3660" s="5" t="n">
        <v>0.13</v>
      </c>
      <c r="E3660" s="5" t="n">
        <v>0.27</v>
      </c>
    </row>
    <row r="3661" customFormat="false" ht="12.75" hidden="false" customHeight="true" outlineLevel="0" collapsed="false">
      <c r="A3661" s="5" t="n">
        <v>1138</v>
      </c>
      <c r="B3661" s="5" t="n">
        <v>349</v>
      </c>
      <c r="C3661" s="5" t="n">
        <v>306000</v>
      </c>
      <c r="D3661" s="5" t="n">
        <v>0.15</v>
      </c>
      <c r="E3661" s="5" t="n">
        <v>0.306</v>
      </c>
    </row>
    <row r="3662" customFormat="false" ht="12.75" hidden="false" customHeight="true" outlineLevel="0" collapsed="false">
      <c r="A3662" s="5" t="n">
        <v>1138</v>
      </c>
      <c r="B3662" s="5" t="n">
        <v>350</v>
      </c>
      <c r="C3662" s="5" t="n">
        <v>493000</v>
      </c>
      <c r="D3662" s="5" t="n">
        <v>0.2</v>
      </c>
      <c r="E3662" s="5" t="n">
        <v>0.493</v>
      </c>
    </row>
    <row r="3663" customFormat="false" ht="12.75" hidden="false" customHeight="true" outlineLevel="0" collapsed="false">
      <c r="A3663" s="5" t="n">
        <v>1138</v>
      </c>
      <c r="B3663" s="5" t="n">
        <v>351</v>
      </c>
      <c r="C3663" s="5" t="n">
        <v>736000</v>
      </c>
      <c r="D3663" s="5" t="n">
        <v>0.25</v>
      </c>
      <c r="E3663" s="5" t="n">
        <v>0.736</v>
      </c>
    </row>
    <row r="3664" customFormat="false" ht="12.75" hidden="false" customHeight="true" outlineLevel="0" collapsed="false">
      <c r="A3664" s="5" t="n">
        <v>2012</v>
      </c>
      <c r="B3664" s="5" t="n">
        <v>70</v>
      </c>
      <c r="C3664" s="5" t="n">
        <v>0</v>
      </c>
      <c r="D3664" s="5" t="n">
        <v>0</v>
      </c>
      <c r="E3664" s="5" t="n">
        <v>0</v>
      </c>
    </row>
    <row r="3665" customFormat="false" ht="12.75" hidden="false" customHeight="true" outlineLevel="0" collapsed="false">
      <c r="A3665" s="5" t="n">
        <v>5000</v>
      </c>
      <c r="B3665" s="5" t="n">
        <v>92.73</v>
      </c>
      <c r="C3665" s="5" t="n">
        <v>0</v>
      </c>
      <c r="D3665" s="5" t="n">
        <v>0</v>
      </c>
      <c r="E3665" s="5" t="n">
        <v>0</v>
      </c>
    </row>
    <row r="3666" customFormat="false" ht="12.75" hidden="false" customHeight="true" outlineLevel="0" collapsed="false">
      <c r="A3666" s="5" t="n">
        <v>5000</v>
      </c>
      <c r="B3666" s="5" t="n">
        <v>93</v>
      </c>
      <c r="C3666" s="5" t="n">
        <v>10</v>
      </c>
      <c r="D3666" s="5" t="n">
        <v>0</v>
      </c>
      <c r="E3666" s="5" t="n">
        <v>1E-005</v>
      </c>
    </row>
    <row r="3667" customFormat="false" ht="12.75" hidden="false" customHeight="true" outlineLevel="0" collapsed="false">
      <c r="A3667" s="5" t="n">
        <v>5000</v>
      </c>
      <c r="B3667" s="5" t="n">
        <v>94</v>
      </c>
      <c r="C3667" s="5" t="n">
        <v>1200</v>
      </c>
      <c r="D3667" s="5" t="n">
        <v>0</v>
      </c>
      <c r="E3667" s="5" t="n">
        <v>0.0012</v>
      </c>
    </row>
    <row r="3668" customFormat="false" ht="12.75" hidden="false" customHeight="true" outlineLevel="0" collapsed="false">
      <c r="A3668" s="5" t="n">
        <v>5000</v>
      </c>
      <c r="B3668" s="5" t="n">
        <v>95</v>
      </c>
      <c r="C3668" s="5" t="n">
        <v>6000</v>
      </c>
      <c r="D3668" s="5" t="n">
        <v>0</v>
      </c>
      <c r="E3668" s="5" t="n">
        <v>0.006</v>
      </c>
    </row>
    <row r="3669" customFormat="false" ht="12.75" hidden="false" customHeight="true" outlineLevel="0" collapsed="false">
      <c r="A3669" s="5" t="n">
        <v>5000</v>
      </c>
      <c r="B3669" s="5" t="n">
        <v>96</v>
      </c>
      <c r="C3669" s="5" t="n">
        <v>16000</v>
      </c>
      <c r="D3669" s="5" t="n">
        <v>0</v>
      </c>
      <c r="E3669" s="5" t="n">
        <v>0.016</v>
      </c>
    </row>
    <row r="3670" customFormat="false" ht="12.75" hidden="false" customHeight="true" outlineLevel="0" collapsed="false">
      <c r="A3670" s="5" t="n">
        <v>5000</v>
      </c>
      <c r="B3670" s="5" t="n">
        <v>97</v>
      </c>
      <c r="C3670" s="5" t="n">
        <v>31000</v>
      </c>
      <c r="D3670" s="5" t="n">
        <v>0</v>
      </c>
      <c r="E3670" s="5" t="n">
        <v>0.031</v>
      </c>
    </row>
    <row r="3671" customFormat="false" ht="12.75" hidden="false" customHeight="true" outlineLevel="0" collapsed="false">
      <c r="A3671" s="5" t="n">
        <v>5000</v>
      </c>
      <c r="B3671" s="5" t="n">
        <v>98</v>
      </c>
      <c r="C3671" s="5" t="n">
        <v>51300</v>
      </c>
      <c r="D3671" s="5" t="n">
        <v>0</v>
      </c>
      <c r="E3671" s="5" t="n">
        <v>0.0513</v>
      </c>
    </row>
    <row r="3672" customFormat="false" ht="12.75" hidden="false" customHeight="true" outlineLevel="0" collapsed="false">
      <c r="A3672" s="5" t="n">
        <v>5000</v>
      </c>
      <c r="B3672" s="5" t="n">
        <v>99</v>
      </c>
      <c r="C3672" s="5" t="n">
        <v>76000</v>
      </c>
      <c r="D3672" s="5" t="n">
        <v>0</v>
      </c>
      <c r="E3672" s="5" t="n">
        <v>0.076</v>
      </c>
    </row>
    <row r="3673" customFormat="false" ht="12.75" hidden="false" customHeight="true" outlineLevel="0" collapsed="false">
      <c r="A3673" s="5" t="n">
        <v>5000</v>
      </c>
      <c r="B3673" s="5" t="n">
        <v>99.5</v>
      </c>
      <c r="C3673" s="5" t="n">
        <v>90000</v>
      </c>
      <c r="D3673" s="5" t="n">
        <v>0</v>
      </c>
      <c r="E3673" s="5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2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23" t="s">
        <v>364</v>
      </c>
      <c r="B1" s="23" t="s">
        <v>365</v>
      </c>
      <c r="C1" s="23" t="s">
        <v>366</v>
      </c>
    </row>
    <row r="2" customFormat="false" ht="12.75" hidden="false" customHeight="true" outlineLevel="0" collapsed="false">
      <c r="A2" s="16" t="n">
        <f aca="false" t="array" ref="A2:A2">IF(ROW()-1&lt;=Verificacao!$B$21,INDEX(Dados_CAV!$E:$E,Verificacao!$B$20+ROW()-2),1E+099)</f>
        <v>0</v>
      </c>
      <c r="B2" s="16" t="n">
        <f aca="false" t="array" ref="B2:B2">IF(ROW()-1&lt;=Verificacao!$B$21,INDEX(Dados_CAV!$D:$D,Verificacao!$B$20+ROW()-2),IF(Verificacao!$B$21&gt;0,INDEX(Dados_CAV!$D:$D,Verificacao!$B$20+Verificacao!$B$21-1),""))</f>
        <v>0</v>
      </c>
      <c r="C2" s="5" t="s">
        <v>367</v>
      </c>
    </row>
    <row r="3" customFormat="false" ht="12.75" hidden="false" customHeight="true" outlineLevel="0" collapsed="false">
      <c r="A3" s="16" t="n">
        <f aca="false" t="array" ref="A3:A3">IF(ROW()-1&lt;=Verificacao!$B$21,INDEX(Dados_CAV!$E:$E,Verificacao!$B$20+ROW()-2),1E+099)</f>
        <v>0.004</v>
      </c>
      <c r="B3" s="16" t="n">
        <f aca="false" t="array" ref="B3:B3">IF(ROW()-1&lt;=Verificacao!$B$21,INDEX(Dados_CAV!$D:$D,Verificacao!$B$20+ROW()-2),IF(Verificacao!$B$21&gt;0,INDEX(Dados_CAV!$D:$D,Verificacao!$B$20+Verificacao!$B$21-1),""))</f>
        <v>0.011</v>
      </c>
    </row>
    <row r="4" customFormat="false" ht="12.75" hidden="false" customHeight="true" outlineLevel="0" collapsed="false">
      <c r="A4" s="16" t="n">
        <f aca="false" t="array" ref="A4:A4">IF(ROW()-1&lt;=Verificacao!$B$21,INDEX(Dados_CAV!$E:$E,Verificacao!$B$20+ROW()-2),1E+099)</f>
        <v>0.0204</v>
      </c>
      <c r="B4" s="16" t="n">
        <f aca="false" t="array" ref="B4:B4">IF(ROW()-1&lt;=Verificacao!$B$21,INDEX(Dados_CAV!$D:$D,Verificacao!$B$20+ROW()-2),IF(Verificacao!$B$21&gt;0,INDEX(Dados_CAV!$D:$D,Verificacao!$B$20+Verificacao!$B$21-1),""))</f>
        <v>0.022</v>
      </c>
    </row>
    <row r="5" customFormat="false" ht="12.75" hidden="false" customHeight="true" outlineLevel="0" collapsed="false">
      <c r="A5" s="16" t="n">
        <f aca="false" t="array" ref="A5:A5">IF(ROW()-1&lt;=Verificacao!$B$21,INDEX(Dados_CAV!$E:$E,Verificacao!$B$20+ROW()-2),1E+099)</f>
        <v>0.06</v>
      </c>
      <c r="B5" s="16" t="n">
        <f aca="false" t="array" ref="B5:B5">IF(ROW()-1&lt;=Verificacao!$B$21,INDEX(Dados_CAV!$D:$D,Verificacao!$B$20+ROW()-2),IF(Verificacao!$B$21&gt;0,INDEX(Dados_CAV!$D:$D,Verificacao!$B$20+Verificacao!$B$21-1),""))</f>
        <v>0.06</v>
      </c>
    </row>
    <row r="6" customFormat="false" ht="12.75" hidden="false" customHeight="true" outlineLevel="0" collapsed="false">
      <c r="A6" s="16" t="n">
        <f aca="false" t="array" ref="A6:A6">IF(ROW()-1&lt;=Verificacao!$B$21,INDEX(Dados_CAV!$E:$E,Verificacao!$B$20+ROW()-2),1E+099)</f>
        <v>0.181</v>
      </c>
      <c r="B6" s="16" t="n">
        <f aca="false" t="array" ref="B6:B6">IF(ROW()-1&lt;=Verificacao!$B$21,INDEX(Dados_CAV!$D:$D,Verificacao!$B$20+ROW()-2),IF(Verificacao!$B$21&gt;0,INDEX(Dados_CAV!$D:$D,Verificacao!$B$20+Verificacao!$B$21-1),""))</f>
        <v>0.19</v>
      </c>
    </row>
    <row r="7" customFormat="false" ht="12.75" hidden="false" customHeight="true" outlineLevel="0" collapsed="false">
      <c r="A7" s="16" t="n">
        <f aca="false" t="array" ref="A7:A7">IF(ROW()-1&lt;=Verificacao!$B$21,INDEX(Dados_CAV!$E:$E,Verificacao!$B$20+ROW()-2),1E+099)</f>
        <v>0.485</v>
      </c>
      <c r="B7" s="16" t="n">
        <f aca="false" t="array" ref="B7:B7">IF(ROW()-1&lt;=Verificacao!$B$21,INDEX(Dados_CAV!$D:$D,Verificacao!$B$20+ROW()-2),IF(Verificacao!$B$21&gt;0,INDEX(Dados_CAV!$D:$D,Verificacao!$B$20+Verificacao!$B$21-1),""))</f>
        <v>0.42</v>
      </c>
    </row>
    <row r="8" customFormat="false" ht="12.75" hidden="false" customHeight="true" outlineLevel="0" collapsed="false">
      <c r="A8" s="16" t="n">
        <f aca="false" t="array" ref="A8:A8">IF(ROW()-1&lt;=Verificacao!$B$21,INDEX(Dados_CAV!$E:$E,Verificacao!$B$20+ROW()-2),1E+099)</f>
        <v>1.05</v>
      </c>
      <c r="B8" s="16" t="n">
        <f aca="false" t="array" ref="B8:B8">IF(ROW()-1&lt;=Verificacao!$B$21,INDEX(Dados_CAV!$D:$D,Verificacao!$B$20+ROW()-2),IF(Verificacao!$B$21&gt;0,INDEX(Dados_CAV!$D:$D,Verificacao!$B$20+Verificacao!$B$21-1),""))</f>
        <v>0.71</v>
      </c>
    </row>
    <row r="9" customFormat="false" ht="12.75" hidden="false" customHeight="true" outlineLevel="0" collapsed="false">
      <c r="A9" s="16" t="n">
        <f aca="false" t="array" ref="A9:A9">IF(ROW()-1&lt;=Verificacao!$B$21,INDEX(Dados_CAV!$E:$E,Verificacao!$B$20+ROW()-2),1E+099)</f>
        <v>2</v>
      </c>
      <c r="B9" s="16" t="n">
        <f aca="false" t="array" ref="B9:B9">IF(ROW()-1&lt;=Verificacao!$B$21,INDEX(Dados_CAV!$D:$D,Verificacao!$B$20+ROW()-2),IF(Verificacao!$B$21&gt;0,INDEX(Dados_CAV!$D:$D,Verificacao!$B$20+Verificacao!$B$21-1),""))</f>
        <v>0.96</v>
      </c>
    </row>
    <row r="10" customFormat="false" ht="12.75" hidden="false" customHeight="true" outlineLevel="0" collapsed="false">
      <c r="A10" s="16" t="n">
        <f aca="false" t="array" ref="A10:A10">IF(ROW()-1&lt;=Verificacao!$B$21,INDEX(Dados_CAV!$E:$E,Verificacao!$B$20+ROW()-2),1E+099)</f>
        <v>4.5</v>
      </c>
      <c r="B10" s="16" t="n">
        <f aca="false" t="array" ref="B10:B10">IF(ROW()-1&lt;=Verificacao!$B$21,INDEX(Dados_CAV!$D:$D,Verificacao!$B$20+ROW()-2),IF(Verificacao!$B$21&gt;0,INDEX(Dados_CAV!$D:$D,Verificacao!$B$20+Verificacao!$B$21-1),""))</f>
        <v>1.64</v>
      </c>
    </row>
    <row r="11" customFormat="false" ht="12.75" hidden="false" customHeight="true" outlineLevel="0" collapsed="false">
      <c r="A11" s="16" t="n">
        <f aca="false" t="array" ref="A11:A11">IF(ROW()-1&lt;=Verificacao!$B$21,INDEX(Dados_CAV!$E:$E,Verificacao!$B$20+ROW()-2),1E+099)</f>
        <v>9.2</v>
      </c>
      <c r="B11" s="16" t="n">
        <f aca="false" t="array" ref="B11:B11">IF(ROW()-1&lt;=Verificacao!$B$21,INDEX(Dados_CAV!$D:$D,Verificacao!$B$20+ROW()-2),IF(Verificacao!$B$21&gt;0,INDEX(Dados_CAV!$D:$D,Verificacao!$B$20+Verificacao!$B$21-1),""))</f>
        <v>3.07</v>
      </c>
    </row>
    <row r="12" customFormat="false" ht="12.75" hidden="false" customHeight="true" outlineLevel="0" collapsed="false">
      <c r="A12" s="16" t="n">
        <f aca="false" t="array" ref="A12:A12">IF(ROW()-1&lt;=Verificacao!$B$21,INDEX(Dados_CAV!$E:$E,Verificacao!$B$20+ROW()-2),1E+099)</f>
        <v>16</v>
      </c>
      <c r="B12" s="16" t="n">
        <f aca="false" t="array" ref="B12:B12">IF(ROW()-1&lt;=Verificacao!$B$21,INDEX(Dados_CAV!$D:$D,Verificacao!$B$20+ROW()-2),IF(Verificacao!$B$21&gt;0,INDEX(Dados_CAV!$D:$D,Verificacao!$B$20+Verificacao!$B$21-1),""))</f>
        <v>3.65</v>
      </c>
    </row>
    <row r="13" customFormat="false" ht="12.75" hidden="false" customHeight="true" outlineLevel="0" collapsed="false">
      <c r="A13" s="16" t="n">
        <f aca="false" t="array" ref="A13:A13">IF(ROW()-1&lt;=Verificacao!$B$21,INDEX(Dados_CAV!$E:$E,Verificacao!$B$20+ROW()-2),1E+099)</f>
        <v>24.2</v>
      </c>
      <c r="B13" s="16" t="n">
        <f aca="false" t="array" ref="B13:B13">IF(ROW()-1&lt;=Verificacao!$B$21,INDEX(Dados_CAV!$D:$D,Verificacao!$B$20+ROW()-2),IF(Verificacao!$B$21&gt;0,INDEX(Dados_CAV!$D:$D,Verificacao!$B$20+Verificacao!$B$21-1),""))</f>
        <v>4.63</v>
      </c>
    </row>
    <row r="14" customFormat="false" ht="12.75" hidden="false" customHeight="true" outlineLevel="0" collapsed="false">
      <c r="A14" s="16" t="n">
        <f aca="false" t="array" ref="A14:A14">IF(ROW()-1&lt;=Verificacao!$B$21,INDEX(Dados_CAV!$E:$E,Verificacao!$B$20+ROW()-2),1E+099)</f>
        <v>34.5</v>
      </c>
      <c r="B14" s="16" t="n">
        <f aca="false" t="array" ref="B14:B14">IF(ROW()-1&lt;=Verificacao!$B$21,INDEX(Dados_CAV!$D:$D,Verificacao!$B$20+ROW()-2),IF(Verificacao!$B$21&gt;0,INDEX(Dados_CAV!$D:$D,Verificacao!$B$20+Verificacao!$B$21-1),""))</f>
        <v>5.7</v>
      </c>
    </row>
    <row r="15" customFormat="false" ht="12.75" hidden="false" customHeight="true" outlineLevel="0" collapsed="false">
      <c r="A15" s="16" t="n">
        <f aca="false" t="array" ref="A15:A15">IF(ROW()-1&lt;=Verificacao!$B$21,INDEX(Dados_CAV!$E:$E,Verificacao!$B$20+ROW()-2),1E+099)</f>
        <v>47.22</v>
      </c>
      <c r="B15" s="16" t="n">
        <f aca="false" t="array" ref="B15:B15">IF(ROW()-1&lt;=Verificacao!$B$21,INDEX(Dados_CAV!$D:$D,Verificacao!$B$20+ROW()-2),IF(Verificacao!$B$21&gt;0,INDEX(Dados_CAV!$D:$D,Verificacao!$B$20+Verificacao!$B$21-1),""))</f>
        <v>6.97</v>
      </c>
    </row>
    <row r="16" customFormat="false" ht="12.75" hidden="false" customHeight="true" outlineLevel="0" collapsed="false">
      <c r="A16" s="16" t="n">
        <f aca="false" t="array" ref="A16:A16">IF(ROW()-1&lt;=Verificacao!$B$21,INDEX(Dados_CAV!$E:$E,Verificacao!$B$20+ROW()-2),1E+099)</f>
        <v>54.6</v>
      </c>
      <c r="B16" s="16" t="n">
        <f aca="false" t="array" ref="B16:B16">IF(ROW()-1&lt;=Verificacao!$B$21,INDEX(Dados_CAV!$D:$D,Verificacao!$B$20+ROW()-2),IF(Verificacao!$B$21&gt;0,INDEX(Dados_CAV!$D:$D,Verificacao!$B$20+Verificacao!$B$21-1),""))</f>
        <v>7.84</v>
      </c>
    </row>
    <row r="17" customFormat="false" ht="12.75" hidden="false" customHeight="true" outlineLevel="0" collapsed="false">
      <c r="A17" s="16" t="n">
        <f aca="false" t="array" ref="A17:A17">IF(ROW()-1&lt;=Verificacao!$B$21,INDEX(Dados_CAV!$E:$E,Verificacao!$B$20+ROW()-2),1E+099)</f>
        <v>63</v>
      </c>
      <c r="B17" s="16" t="n">
        <f aca="false" t="array" ref="B17:B17">IF(ROW()-1&lt;=Verificacao!$B$21,INDEX(Dados_CAV!$D:$D,Verificacao!$B$20+ROW()-2),IF(Verificacao!$B$21&gt;0,INDEX(Dados_CAV!$D:$D,Verificacao!$B$20+Verificacao!$B$21-1),""))</f>
        <v>8.88</v>
      </c>
    </row>
    <row r="18" customFormat="false" ht="12.75" hidden="false" customHeight="true" outlineLevel="0" collapsed="false">
      <c r="A18" s="16" t="n">
        <f aca="false" t="array" ref="A18:A18">IF(ROW()-1&lt;=Verificacao!$B$21,INDEX(Dados_CAV!$E:$E,Verificacao!$B$20+ROW()-2),1E+099)</f>
        <v>72.38</v>
      </c>
      <c r="B18" s="16" t="n">
        <f aca="false" t="array" ref="B18:B18">IF(ROW()-1&lt;=Verificacao!$B$21,INDEX(Dados_CAV!$D:$D,Verificacao!$B$20+ROW()-2),IF(Verificacao!$B$21&gt;0,INDEX(Dados_CAV!$D:$D,Verificacao!$B$20+Verificacao!$B$21-1),""))</f>
        <v>9.92</v>
      </c>
    </row>
    <row r="19" customFormat="false" ht="12.75" hidden="false" customHeight="true" outlineLevel="0" collapsed="false">
      <c r="A19" s="16" t="n">
        <f aca="false" t="array" ref="A19:A19">IF(ROW()-1&lt;=Verificacao!$B$21,INDEX(Dados_CAV!$E:$E,Verificacao!$B$20+ROW()-2),1E+099)</f>
        <v>82.8</v>
      </c>
      <c r="B19" s="16" t="n">
        <f aca="false" t="array" ref="B19:B19">IF(ROW()-1&lt;=Verificacao!$B$21,INDEX(Dados_CAV!$D:$D,Verificacao!$B$20+ROW()-2),IF(Verificacao!$B$21&gt;0,INDEX(Dados_CAV!$D:$D,Verificacao!$B$20+Verificacao!$B$21-1),""))</f>
        <v>10.96</v>
      </c>
    </row>
    <row r="20" customFormat="false" ht="12.75" hidden="false" customHeight="true" outlineLevel="0" collapsed="false">
      <c r="A20" s="16" t="n">
        <f aca="false" t="array" ref="A20:A20">IF(ROW()-1&lt;=Verificacao!$B$21,INDEX(Dados_CAV!$E:$E,Verificacao!$B$20+ROW()-2),1E+099)</f>
        <v>1E+099</v>
      </c>
      <c r="B20" s="16" t="n">
        <f aca="false" t="array" ref="B20:B20">IF(ROW()-1&lt;=Verificacao!$B$21,INDEX(Dados_CAV!$D:$D,Verificacao!$B$20+ROW()-2),IF(Verificacao!$B$21&gt;0,INDEX(Dados_CAV!$D:$D,Verificacao!$B$20+Verificacao!$B$21-1),""))</f>
        <v>10.96</v>
      </c>
    </row>
    <row r="21" customFormat="false" ht="12.75" hidden="false" customHeight="true" outlineLevel="0" collapsed="false">
      <c r="A21" s="16" t="n">
        <f aca="false" t="array" ref="A21:A21">IF(ROW()-1&lt;=Verificacao!$B$21,INDEX(Dados_CAV!$E:$E,Verificacao!$B$20+ROW()-2),1E+099)</f>
        <v>1E+099</v>
      </c>
      <c r="B21" s="16" t="n">
        <f aca="false" t="array" ref="B21:B21">IF(ROW()-1&lt;=Verificacao!$B$21,INDEX(Dados_CAV!$D:$D,Verificacao!$B$20+ROW()-2),IF(Verificacao!$B$21&gt;0,INDEX(Dados_CAV!$D:$D,Verificacao!$B$20+Verificacao!$B$21-1),""))</f>
        <v>10.96</v>
      </c>
    </row>
    <row r="22" customFormat="false" ht="12.75" hidden="false" customHeight="true" outlineLevel="0" collapsed="false">
      <c r="A22" s="16" t="n">
        <f aca="false" t="array" ref="A22:A22">IF(ROW()-1&lt;=Verificacao!$B$21,INDEX(Dados_CAV!$E:$E,Verificacao!$B$20+ROW()-2),1E+099)</f>
        <v>1E+099</v>
      </c>
      <c r="B22" s="16" t="n">
        <f aca="false" t="array" ref="B22:B22">IF(ROW()-1&lt;=Verificacao!$B$21,INDEX(Dados_CAV!$D:$D,Verificacao!$B$20+ROW()-2),IF(Verificacao!$B$21&gt;0,INDEX(Dados_CAV!$D:$D,Verificacao!$B$20+Verificacao!$B$21-1),""))</f>
        <v>10.96</v>
      </c>
    </row>
    <row r="23" customFormat="false" ht="12.75" hidden="false" customHeight="true" outlineLevel="0" collapsed="false">
      <c r="A23" s="16" t="n">
        <f aca="false" t="array" ref="A23:A23">IF(ROW()-1&lt;=Verificacao!$B$21,INDEX(Dados_CAV!$E:$E,Verificacao!$B$20+ROW()-2),1E+099)</f>
        <v>1E+099</v>
      </c>
      <c r="B23" s="16" t="n">
        <f aca="false" t="array" ref="B23:B23">IF(ROW()-1&lt;=Verificacao!$B$21,INDEX(Dados_CAV!$D:$D,Verificacao!$B$20+ROW()-2),IF(Verificacao!$B$21&gt;0,INDEX(Dados_CAV!$D:$D,Verificacao!$B$20+Verificacao!$B$21-1),""))</f>
        <v>10.96</v>
      </c>
    </row>
    <row r="24" customFormat="false" ht="12.75" hidden="false" customHeight="true" outlineLevel="0" collapsed="false">
      <c r="A24" s="16" t="n">
        <f aca="false" t="array" ref="A24:A24">IF(ROW()-1&lt;=Verificacao!$B$21,INDEX(Dados_CAV!$E:$E,Verificacao!$B$20+ROW()-2),1E+099)</f>
        <v>1E+099</v>
      </c>
      <c r="B24" s="16" t="n">
        <f aca="false" t="array" ref="B24:B24">IF(ROW()-1&lt;=Verificacao!$B$21,INDEX(Dados_CAV!$D:$D,Verificacao!$B$20+ROW()-2),IF(Verificacao!$B$21&gt;0,INDEX(Dados_CAV!$D:$D,Verificacao!$B$20+Verificacao!$B$21-1),""))</f>
        <v>10.96</v>
      </c>
    </row>
    <row r="25" customFormat="false" ht="12.75" hidden="false" customHeight="true" outlineLevel="0" collapsed="false">
      <c r="A25" s="16" t="n">
        <f aca="false" t="array" ref="A25:A25">IF(ROW()-1&lt;=Verificacao!$B$21,INDEX(Dados_CAV!$E:$E,Verificacao!$B$20+ROW()-2),1E+099)</f>
        <v>1E+099</v>
      </c>
      <c r="B25" s="16" t="n">
        <f aca="false" t="array" ref="B25:B25">IF(ROW()-1&lt;=Verificacao!$B$21,INDEX(Dados_CAV!$D:$D,Verificacao!$B$20+ROW()-2),IF(Verificacao!$B$21&gt;0,INDEX(Dados_CAV!$D:$D,Verificacao!$B$20+Verificacao!$B$21-1),""))</f>
        <v>10.96</v>
      </c>
    </row>
    <row r="26" customFormat="false" ht="12.75" hidden="false" customHeight="true" outlineLevel="0" collapsed="false">
      <c r="A26" s="16" t="n">
        <f aca="false" t="array" ref="A26:A26">IF(ROW()-1&lt;=Verificacao!$B$21,INDEX(Dados_CAV!$E:$E,Verificacao!$B$20+ROW()-2),1E+099)</f>
        <v>1E+099</v>
      </c>
      <c r="B26" s="16" t="n">
        <f aca="false" t="array" ref="B26:B26">IF(ROW()-1&lt;=Verificacao!$B$21,INDEX(Dados_CAV!$D:$D,Verificacao!$B$20+ROW()-2),IF(Verificacao!$B$21&gt;0,INDEX(Dados_CAV!$D:$D,Verificacao!$B$20+Verificacao!$B$21-1),""))</f>
        <v>10.96</v>
      </c>
    </row>
    <row r="27" customFormat="false" ht="12.75" hidden="false" customHeight="true" outlineLevel="0" collapsed="false">
      <c r="A27" s="16" t="n">
        <f aca="false" t="array" ref="A27:A27">IF(ROW()-1&lt;=Verificacao!$B$21,INDEX(Dados_CAV!$E:$E,Verificacao!$B$20+ROW()-2),1E+099)</f>
        <v>1E+099</v>
      </c>
      <c r="B27" s="16" t="n">
        <f aca="false" t="array" ref="B27:B27">IF(ROW()-1&lt;=Verificacao!$B$21,INDEX(Dados_CAV!$D:$D,Verificacao!$B$20+ROW()-2),IF(Verificacao!$B$21&gt;0,INDEX(Dados_CAV!$D:$D,Verificacao!$B$20+Verificacao!$B$21-1),""))</f>
        <v>10.96</v>
      </c>
    </row>
    <row r="28" customFormat="false" ht="12.75" hidden="false" customHeight="true" outlineLevel="0" collapsed="false">
      <c r="A28" s="16" t="n">
        <f aca="false" t="array" ref="A28:A28">IF(ROW()-1&lt;=Verificacao!$B$21,INDEX(Dados_CAV!$E:$E,Verificacao!$B$20+ROW()-2),1E+099)</f>
        <v>1E+099</v>
      </c>
      <c r="B28" s="16" t="n">
        <f aca="false" t="array" ref="B28:B28">IF(ROW()-1&lt;=Verificacao!$B$21,INDEX(Dados_CAV!$D:$D,Verificacao!$B$20+ROW()-2),IF(Verificacao!$B$21&gt;0,INDEX(Dados_CAV!$D:$D,Verificacao!$B$20+Verificacao!$B$21-1),""))</f>
        <v>10.96</v>
      </c>
    </row>
    <row r="29" customFormat="false" ht="12.75" hidden="false" customHeight="true" outlineLevel="0" collapsed="false">
      <c r="A29" s="16" t="n">
        <f aca="false" t="array" ref="A29:A29">IF(ROW()-1&lt;=Verificacao!$B$21,INDEX(Dados_CAV!$E:$E,Verificacao!$B$20+ROW()-2),1E+099)</f>
        <v>1E+099</v>
      </c>
      <c r="B29" s="16" t="n">
        <f aca="false" t="array" ref="B29:B29">IF(ROW()-1&lt;=Verificacao!$B$21,INDEX(Dados_CAV!$D:$D,Verificacao!$B$20+ROW()-2),IF(Verificacao!$B$21&gt;0,INDEX(Dados_CAV!$D:$D,Verificacao!$B$20+Verificacao!$B$21-1),""))</f>
        <v>10.96</v>
      </c>
    </row>
    <row r="30" customFormat="false" ht="12.75" hidden="false" customHeight="true" outlineLevel="0" collapsed="false">
      <c r="A30" s="16" t="n">
        <f aca="false" t="array" ref="A30:A30">IF(ROW()-1&lt;=Verificacao!$B$21,INDEX(Dados_CAV!$E:$E,Verificacao!$B$20+ROW()-2),1E+099)</f>
        <v>1E+099</v>
      </c>
      <c r="B30" s="16" t="n">
        <f aca="false" t="array" ref="B30:B30">IF(ROW()-1&lt;=Verificacao!$B$21,INDEX(Dados_CAV!$D:$D,Verificacao!$B$20+ROW()-2),IF(Verificacao!$B$21&gt;0,INDEX(Dados_CAV!$D:$D,Verificacao!$B$20+Verificacao!$B$21-1),""))</f>
        <v>10.96</v>
      </c>
    </row>
    <row r="31" customFormat="false" ht="12.75" hidden="false" customHeight="true" outlineLevel="0" collapsed="false">
      <c r="A31" s="16" t="n">
        <f aca="false" t="array" ref="A31:A31">IF(ROW()-1&lt;=Verificacao!$B$21,INDEX(Dados_CAV!$E:$E,Verificacao!$B$20+ROW()-2),1E+099)</f>
        <v>1E+099</v>
      </c>
      <c r="B31" s="16" t="n">
        <f aca="false" t="array" ref="B31:B31">IF(ROW()-1&lt;=Verificacao!$B$21,INDEX(Dados_CAV!$D:$D,Verificacao!$B$20+ROW()-2),IF(Verificacao!$B$21&gt;0,INDEX(Dados_CAV!$D:$D,Verificacao!$B$20+Verificacao!$B$21-1),""))</f>
        <v>10.96</v>
      </c>
    </row>
    <row r="32" customFormat="false" ht="12.75" hidden="false" customHeight="true" outlineLevel="0" collapsed="false">
      <c r="A32" s="16" t="n">
        <f aca="false" t="array" ref="A32:A32">IF(ROW()-1&lt;=Verificacao!$B$21,INDEX(Dados_CAV!$E:$E,Verificacao!$B$20+ROW()-2),1E+099)</f>
        <v>1E+099</v>
      </c>
      <c r="B32" s="16" t="n">
        <f aca="false" t="array" ref="B32:B32">IF(ROW()-1&lt;=Verificacao!$B$21,INDEX(Dados_CAV!$D:$D,Verificacao!$B$20+ROW()-2),IF(Verificacao!$B$21&gt;0,INDEX(Dados_CAV!$D:$D,Verificacao!$B$20+Verificacao!$B$21-1),""))</f>
        <v>10.96</v>
      </c>
    </row>
    <row r="33" customFormat="false" ht="12.75" hidden="false" customHeight="true" outlineLevel="0" collapsed="false">
      <c r="A33" s="16" t="n">
        <f aca="false" t="array" ref="A33:A33">IF(ROW()-1&lt;=Verificacao!$B$21,INDEX(Dados_CAV!$E:$E,Verificacao!$B$20+ROW()-2),1E+099)</f>
        <v>1E+099</v>
      </c>
      <c r="B33" s="16" t="n">
        <f aca="false" t="array" ref="B33:B33">IF(ROW()-1&lt;=Verificacao!$B$21,INDEX(Dados_CAV!$D:$D,Verificacao!$B$20+ROW()-2),IF(Verificacao!$B$21&gt;0,INDEX(Dados_CAV!$D:$D,Verificacao!$B$20+Verificacao!$B$21-1),""))</f>
        <v>10.96</v>
      </c>
    </row>
    <row r="34" customFormat="false" ht="12.75" hidden="false" customHeight="true" outlineLevel="0" collapsed="false">
      <c r="A34" s="16" t="n">
        <f aca="false" t="array" ref="A34:A34">IF(ROW()-1&lt;=Verificacao!$B$21,INDEX(Dados_CAV!$E:$E,Verificacao!$B$20+ROW()-2),1E+099)</f>
        <v>1E+099</v>
      </c>
      <c r="B34" s="16" t="n">
        <f aca="false" t="array" ref="B34:B34">IF(ROW()-1&lt;=Verificacao!$B$21,INDEX(Dados_CAV!$D:$D,Verificacao!$B$20+ROW()-2),IF(Verificacao!$B$21&gt;0,INDEX(Dados_CAV!$D:$D,Verificacao!$B$20+Verificacao!$B$21-1),""))</f>
        <v>10.96</v>
      </c>
    </row>
    <row r="35" customFormat="false" ht="12.75" hidden="false" customHeight="true" outlineLevel="0" collapsed="false">
      <c r="A35" s="16" t="n">
        <f aca="false" t="array" ref="A35:A35">IF(ROW()-1&lt;=Verificacao!$B$21,INDEX(Dados_CAV!$E:$E,Verificacao!$B$20+ROW()-2),1E+099)</f>
        <v>1E+099</v>
      </c>
      <c r="B35" s="16" t="n">
        <f aca="false" t="array" ref="B35:B35">IF(ROW()-1&lt;=Verificacao!$B$21,INDEX(Dados_CAV!$D:$D,Verificacao!$B$20+ROW()-2),IF(Verificacao!$B$21&gt;0,INDEX(Dados_CAV!$D:$D,Verificacao!$B$20+Verificacao!$B$21-1),""))</f>
        <v>10.96</v>
      </c>
    </row>
    <row r="36" customFormat="false" ht="12.75" hidden="false" customHeight="true" outlineLevel="0" collapsed="false">
      <c r="A36" s="16" t="n">
        <f aca="false" t="array" ref="A36:A36">IF(ROW()-1&lt;=Verificacao!$B$21,INDEX(Dados_CAV!$E:$E,Verificacao!$B$20+ROW()-2),1E+099)</f>
        <v>1E+099</v>
      </c>
      <c r="B36" s="16" t="n">
        <f aca="false" t="array" ref="B36:B36">IF(ROW()-1&lt;=Verificacao!$B$21,INDEX(Dados_CAV!$D:$D,Verificacao!$B$20+ROW()-2),IF(Verificacao!$B$21&gt;0,INDEX(Dados_CAV!$D:$D,Verificacao!$B$20+Verificacao!$B$21-1),""))</f>
        <v>10.96</v>
      </c>
    </row>
    <row r="37" customFormat="false" ht="12.75" hidden="false" customHeight="true" outlineLevel="0" collapsed="false">
      <c r="A37" s="16" t="n">
        <f aca="false" t="array" ref="A37:A37">IF(ROW()-1&lt;=Verificacao!$B$21,INDEX(Dados_CAV!$E:$E,Verificacao!$B$20+ROW()-2),1E+099)</f>
        <v>1E+099</v>
      </c>
      <c r="B37" s="16" t="n">
        <f aca="false" t="array" ref="B37:B37">IF(ROW()-1&lt;=Verificacao!$B$21,INDEX(Dados_CAV!$D:$D,Verificacao!$B$20+ROW()-2),IF(Verificacao!$B$21&gt;0,INDEX(Dados_CAV!$D:$D,Verificacao!$B$20+Verificacao!$B$21-1),""))</f>
        <v>10.96</v>
      </c>
    </row>
    <row r="38" customFormat="false" ht="12.75" hidden="false" customHeight="true" outlineLevel="0" collapsed="false">
      <c r="A38" s="16" t="n">
        <f aca="false" t="array" ref="A38:A38">IF(ROW()-1&lt;=Verificacao!$B$21,INDEX(Dados_CAV!$E:$E,Verificacao!$B$20+ROW()-2),1E+099)</f>
        <v>1E+099</v>
      </c>
      <c r="B38" s="16" t="n">
        <f aca="false" t="array" ref="B38:B38">IF(ROW()-1&lt;=Verificacao!$B$21,INDEX(Dados_CAV!$D:$D,Verificacao!$B$20+ROW()-2),IF(Verificacao!$B$21&gt;0,INDEX(Dados_CAV!$D:$D,Verificacao!$B$20+Verificacao!$B$21-1),""))</f>
        <v>10.96</v>
      </c>
    </row>
    <row r="39" customFormat="false" ht="12.75" hidden="false" customHeight="true" outlineLevel="0" collapsed="false">
      <c r="A39" s="16" t="n">
        <f aca="false" t="array" ref="A39:A39">IF(ROW()-1&lt;=Verificacao!$B$21,INDEX(Dados_CAV!$E:$E,Verificacao!$B$20+ROW()-2),1E+099)</f>
        <v>1E+099</v>
      </c>
      <c r="B39" s="16" t="n">
        <f aca="false" t="array" ref="B39:B39">IF(ROW()-1&lt;=Verificacao!$B$21,INDEX(Dados_CAV!$D:$D,Verificacao!$B$20+ROW()-2),IF(Verificacao!$B$21&gt;0,INDEX(Dados_CAV!$D:$D,Verificacao!$B$20+Verificacao!$B$21-1),""))</f>
        <v>10.96</v>
      </c>
    </row>
    <row r="40" customFormat="false" ht="12.75" hidden="false" customHeight="true" outlineLevel="0" collapsed="false">
      <c r="A40" s="16" t="n">
        <f aca="false" t="array" ref="A40:A40">IF(ROW()-1&lt;=Verificacao!$B$21,INDEX(Dados_CAV!$E:$E,Verificacao!$B$20+ROW()-2),1E+099)</f>
        <v>1E+099</v>
      </c>
      <c r="B40" s="16" t="n">
        <f aca="false" t="array" ref="B40:B40">IF(ROW()-1&lt;=Verificacao!$B$21,INDEX(Dados_CAV!$D:$D,Verificacao!$B$20+ROW()-2),IF(Verificacao!$B$21&gt;0,INDEX(Dados_CAV!$D:$D,Verificacao!$B$20+Verificacao!$B$21-1),""))</f>
        <v>10.96</v>
      </c>
    </row>
    <row r="41" customFormat="false" ht="12.75" hidden="false" customHeight="true" outlineLevel="0" collapsed="false">
      <c r="A41" s="16" t="n">
        <f aca="false" t="array" ref="A41:A41">IF(ROW()-1&lt;=Verificacao!$B$21,INDEX(Dados_CAV!$E:$E,Verificacao!$B$20+ROW()-2),1E+099)</f>
        <v>1E+099</v>
      </c>
      <c r="B41" s="16" t="n">
        <f aca="false" t="array" ref="B41:B41">IF(ROW()-1&lt;=Verificacao!$B$21,INDEX(Dados_CAV!$D:$D,Verificacao!$B$20+ROW()-2),IF(Verificacao!$B$21&gt;0,INDEX(Dados_CAV!$D:$D,Verificacao!$B$20+Verificacao!$B$21-1),""))</f>
        <v>10.96</v>
      </c>
    </row>
    <row r="42" customFormat="false" ht="12.75" hidden="false" customHeight="true" outlineLevel="0" collapsed="false">
      <c r="A42" s="16" t="n">
        <f aca="false" t="array" ref="A42:A42">IF(ROW()-1&lt;=Verificacao!$B$21,INDEX(Dados_CAV!$E:$E,Verificacao!$B$20+ROW()-2),1E+099)</f>
        <v>1E+099</v>
      </c>
      <c r="B42" s="16" t="n">
        <f aca="false" t="array" ref="B42:B42">IF(ROW()-1&lt;=Verificacao!$B$21,INDEX(Dados_CAV!$D:$D,Verificacao!$B$20+ROW()-2),IF(Verificacao!$B$21&gt;0,INDEX(Dados_CAV!$D:$D,Verificacao!$B$20+Verificacao!$B$21-1),""))</f>
        <v>10.96</v>
      </c>
    </row>
    <row r="43" customFormat="false" ht="12.75" hidden="false" customHeight="true" outlineLevel="0" collapsed="false">
      <c r="A43" s="16" t="n">
        <f aca="false" t="array" ref="A43:A43">IF(ROW()-1&lt;=Verificacao!$B$21,INDEX(Dados_CAV!$E:$E,Verificacao!$B$20+ROW()-2),1E+099)</f>
        <v>1E+099</v>
      </c>
      <c r="B43" s="16" t="n">
        <f aca="false" t="array" ref="B43:B43">IF(ROW()-1&lt;=Verificacao!$B$21,INDEX(Dados_CAV!$D:$D,Verificacao!$B$20+ROW()-2),IF(Verificacao!$B$21&gt;0,INDEX(Dados_CAV!$D:$D,Verificacao!$B$20+Verificacao!$B$21-1),""))</f>
        <v>10.96</v>
      </c>
    </row>
    <row r="44" customFormat="false" ht="12.75" hidden="false" customHeight="true" outlineLevel="0" collapsed="false">
      <c r="A44" s="16" t="n">
        <f aca="false" t="array" ref="A44:A44">IF(ROW()-1&lt;=Verificacao!$B$21,INDEX(Dados_CAV!$E:$E,Verificacao!$B$20+ROW()-2),1E+099)</f>
        <v>1E+099</v>
      </c>
      <c r="B44" s="16" t="n">
        <f aca="false" t="array" ref="B44:B44">IF(ROW()-1&lt;=Verificacao!$B$21,INDEX(Dados_CAV!$D:$D,Verificacao!$B$20+ROW()-2),IF(Verificacao!$B$21&gt;0,INDEX(Dados_CAV!$D:$D,Verificacao!$B$20+Verificacao!$B$21-1),""))</f>
        <v>10.96</v>
      </c>
    </row>
    <row r="45" customFormat="false" ht="12.75" hidden="false" customHeight="true" outlineLevel="0" collapsed="false">
      <c r="A45" s="16" t="n">
        <f aca="false" t="array" ref="A45:A45">IF(ROW()-1&lt;=Verificacao!$B$21,INDEX(Dados_CAV!$E:$E,Verificacao!$B$20+ROW()-2),1E+099)</f>
        <v>1E+099</v>
      </c>
      <c r="B45" s="16" t="n">
        <f aca="false" t="array" ref="B45:B45">IF(ROW()-1&lt;=Verificacao!$B$21,INDEX(Dados_CAV!$D:$D,Verificacao!$B$20+ROW()-2),IF(Verificacao!$B$21&gt;0,INDEX(Dados_CAV!$D:$D,Verificacao!$B$20+Verificacao!$B$21-1),""))</f>
        <v>10.96</v>
      </c>
    </row>
    <row r="46" customFormat="false" ht="12.75" hidden="false" customHeight="true" outlineLevel="0" collapsed="false">
      <c r="A46" s="16" t="n">
        <f aca="false" t="array" ref="A46:A46">IF(ROW()-1&lt;=Verificacao!$B$21,INDEX(Dados_CAV!$E:$E,Verificacao!$B$20+ROW()-2),1E+099)</f>
        <v>1E+099</v>
      </c>
      <c r="B46" s="16" t="n">
        <f aca="false" t="array" ref="B46:B46">IF(ROW()-1&lt;=Verificacao!$B$21,INDEX(Dados_CAV!$D:$D,Verificacao!$B$20+ROW()-2),IF(Verificacao!$B$21&gt;0,INDEX(Dados_CAV!$D:$D,Verificacao!$B$20+Verificacao!$B$21-1),""))</f>
        <v>10.96</v>
      </c>
    </row>
    <row r="47" customFormat="false" ht="12.75" hidden="false" customHeight="true" outlineLevel="0" collapsed="false">
      <c r="A47" s="16" t="n">
        <f aca="false" t="array" ref="A47:A47">IF(ROW()-1&lt;=Verificacao!$B$21,INDEX(Dados_CAV!$E:$E,Verificacao!$B$20+ROW()-2),1E+099)</f>
        <v>1E+099</v>
      </c>
      <c r="B47" s="16" t="n">
        <f aca="false" t="array" ref="B47:B47">IF(ROW()-1&lt;=Verificacao!$B$21,INDEX(Dados_CAV!$D:$D,Verificacao!$B$20+ROW()-2),IF(Verificacao!$B$21&gt;0,INDEX(Dados_CAV!$D:$D,Verificacao!$B$20+Verificacao!$B$21-1),""))</f>
        <v>10.96</v>
      </c>
    </row>
    <row r="48" customFormat="false" ht="12.75" hidden="false" customHeight="true" outlineLevel="0" collapsed="false">
      <c r="A48" s="16" t="n">
        <f aca="false" t="array" ref="A48:A48">IF(ROW()-1&lt;=Verificacao!$B$21,INDEX(Dados_CAV!$E:$E,Verificacao!$B$20+ROW()-2),1E+099)</f>
        <v>1E+099</v>
      </c>
      <c r="B48" s="16" t="n">
        <f aca="false" t="array" ref="B48:B48">IF(ROW()-1&lt;=Verificacao!$B$21,INDEX(Dados_CAV!$D:$D,Verificacao!$B$20+ROW()-2),IF(Verificacao!$B$21&gt;0,INDEX(Dados_CAV!$D:$D,Verificacao!$B$20+Verificacao!$B$21-1),""))</f>
        <v>10.96</v>
      </c>
    </row>
    <row r="49" customFormat="false" ht="12.75" hidden="false" customHeight="true" outlineLevel="0" collapsed="false">
      <c r="A49" s="16" t="n">
        <f aca="false" t="array" ref="A49:A49">IF(ROW()-1&lt;=Verificacao!$B$21,INDEX(Dados_CAV!$E:$E,Verificacao!$B$20+ROW()-2),1E+099)</f>
        <v>1E+099</v>
      </c>
      <c r="B49" s="16" t="n">
        <f aca="false" t="array" ref="B49:B49">IF(ROW()-1&lt;=Verificacao!$B$21,INDEX(Dados_CAV!$D:$D,Verificacao!$B$20+ROW()-2),IF(Verificacao!$B$21&gt;0,INDEX(Dados_CAV!$D:$D,Verificacao!$B$20+Verificacao!$B$21-1),""))</f>
        <v>10.96</v>
      </c>
    </row>
    <row r="50" customFormat="false" ht="12.75" hidden="false" customHeight="true" outlineLevel="0" collapsed="false">
      <c r="A50" s="16" t="n">
        <f aca="false" t="array" ref="A50:A50">IF(ROW()-1&lt;=Verificacao!$B$21,INDEX(Dados_CAV!$E:$E,Verificacao!$B$20+ROW()-2),1E+099)</f>
        <v>1E+099</v>
      </c>
      <c r="B50" s="16" t="n">
        <f aca="false" t="array" ref="B50:B50">IF(ROW()-1&lt;=Verificacao!$B$21,INDEX(Dados_CAV!$D:$D,Verificacao!$B$20+ROW()-2),IF(Verificacao!$B$21&gt;0,INDEX(Dados_CAV!$D:$D,Verificacao!$B$20+Verificacao!$B$21-1),""))</f>
        <v>10.96</v>
      </c>
    </row>
    <row r="51" customFormat="false" ht="12.75" hidden="false" customHeight="true" outlineLevel="0" collapsed="false">
      <c r="A51" s="16" t="n">
        <f aca="false" t="array" ref="A51:A51">IF(ROW()-1&lt;=Verificacao!$B$21,INDEX(Dados_CAV!$E:$E,Verificacao!$B$20+ROW()-2),1E+099)</f>
        <v>1E+099</v>
      </c>
      <c r="B51" s="16" t="n">
        <f aca="false" t="array" ref="B51:B51">IF(ROW()-1&lt;=Verificacao!$B$21,INDEX(Dados_CAV!$D:$D,Verificacao!$B$20+ROW()-2),IF(Verificacao!$B$21&gt;0,INDEX(Dados_CAV!$D:$D,Verificacao!$B$20+Verificacao!$B$21-1),""))</f>
        <v>10.96</v>
      </c>
    </row>
    <row r="52" customFormat="false" ht="12.75" hidden="false" customHeight="true" outlineLevel="0" collapsed="false">
      <c r="A52" s="16" t="n">
        <f aca="false" t="array" ref="A52:A52">IF(ROW()-1&lt;=Verificacao!$B$21,INDEX(Dados_CAV!$E:$E,Verificacao!$B$20+ROW()-2),1E+099)</f>
        <v>1E+099</v>
      </c>
      <c r="B52" s="16" t="n">
        <f aca="false" t="array" ref="B52:B52">IF(ROW()-1&lt;=Verificacao!$B$21,INDEX(Dados_CAV!$D:$D,Verificacao!$B$20+ROW()-2),IF(Verificacao!$B$21&gt;0,INDEX(Dados_CAV!$D:$D,Verificacao!$B$20+Verificacao!$B$21-1),""))</f>
        <v>10.96</v>
      </c>
    </row>
    <row r="53" customFormat="false" ht="12.75" hidden="false" customHeight="true" outlineLevel="0" collapsed="false">
      <c r="A53" s="16" t="n">
        <f aca="false" t="array" ref="A53:A53">IF(ROW()-1&lt;=Verificacao!$B$21,INDEX(Dados_CAV!$E:$E,Verificacao!$B$20+ROW()-2),1E+099)</f>
        <v>1E+099</v>
      </c>
      <c r="B53" s="16" t="n">
        <f aca="false" t="array" ref="B53:B53">IF(ROW()-1&lt;=Verificacao!$B$21,INDEX(Dados_CAV!$D:$D,Verificacao!$B$20+ROW()-2),IF(Verificacao!$B$21&gt;0,INDEX(Dados_CAV!$D:$D,Verificacao!$B$20+Verificacao!$B$21-1),""))</f>
        <v>10.96</v>
      </c>
    </row>
    <row r="54" customFormat="false" ht="12.75" hidden="false" customHeight="true" outlineLevel="0" collapsed="false">
      <c r="A54" s="16" t="n">
        <f aca="false" t="array" ref="A54:A54">IF(ROW()-1&lt;=Verificacao!$B$21,INDEX(Dados_CAV!$E:$E,Verificacao!$B$20+ROW()-2),1E+099)</f>
        <v>1E+099</v>
      </c>
      <c r="B54" s="16" t="n">
        <f aca="false" t="array" ref="B54:B54">IF(ROW()-1&lt;=Verificacao!$B$21,INDEX(Dados_CAV!$D:$D,Verificacao!$B$20+ROW()-2),IF(Verificacao!$B$21&gt;0,INDEX(Dados_CAV!$D:$D,Verificacao!$B$20+Verificacao!$B$21-1),""))</f>
        <v>10.96</v>
      </c>
    </row>
    <row r="55" customFormat="false" ht="12.75" hidden="false" customHeight="true" outlineLevel="0" collapsed="false">
      <c r="A55" s="16" t="n">
        <f aca="false" t="array" ref="A55:A55">IF(ROW()-1&lt;=Verificacao!$B$21,INDEX(Dados_CAV!$E:$E,Verificacao!$B$20+ROW()-2),1E+099)</f>
        <v>1E+099</v>
      </c>
      <c r="B55" s="16" t="n">
        <f aca="false" t="array" ref="B55:B55">IF(ROW()-1&lt;=Verificacao!$B$21,INDEX(Dados_CAV!$D:$D,Verificacao!$B$20+ROW()-2),IF(Verificacao!$B$21&gt;0,INDEX(Dados_CAV!$D:$D,Verificacao!$B$20+Verificacao!$B$21-1),""))</f>
        <v>10.96</v>
      </c>
    </row>
    <row r="56" customFormat="false" ht="12.75" hidden="false" customHeight="true" outlineLevel="0" collapsed="false">
      <c r="A56" s="16" t="n">
        <f aca="false" t="array" ref="A56:A56">IF(ROW()-1&lt;=Verificacao!$B$21,INDEX(Dados_CAV!$E:$E,Verificacao!$B$20+ROW()-2),1E+099)</f>
        <v>1E+099</v>
      </c>
      <c r="B56" s="16" t="n">
        <f aca="false" t="array" ref="B56:B56">IF(ROW()-1&lt;=Verificacao!$B$21,INDEX(Dados_CAV!$D:$D,Verificacao!$B$20+ROW()-2),IF(Verificacao!$B$21&gt;0,INDEX(Dados_CAV!$D:$D,Verificacao!$B$20+Verificacao!$B$21-1),""))</f>
        <v>10.96</v>
      </c>
    </row>
    <row r="57" customFormat="false" ht="12.75" hidden="false" customHeight="true" outlineLevel="0" collapsed="false">
      <c r="A57" s="16" t="n">
        <f aca="false" t="array" ref="A57:A57">IF(ROW()-1&lt;=Verificacao!$B$21,INDEX(Dados_CAV!$E:$E,Verificacao!$B$20+ROW()-2),1E+099)</f>
        <v>1E+099</v>
      </c>
      <c r="B57" s="16" t="n">
        <f aca="false" t="array" ref="B57:B57">IF(ROW()-1&lt;=Verificacao!$B$21,INDEX(Dados_CAV!$D:$D,Verificacao!$B$20+ROW()-2),IF(Verificacao!$B$21&gt;0,INDEX(Dados_CAV!$D:$D,Verificacao!$B$20+Verificacao!$B$21-1),""))</f>
        <v>10.96</v>
      </c>
    </row>
    <row r="58" customFormat="false" ht="12.75" hidden="false" customHeight="true" outlineLevel="0" collapsed="false">
      <c r="A58" s="16" t="n">
        <f aca="false" t="array" ref="A58:A58">IF(ROW()-1&lt;=Verificacao!$B$21,INDEX(Dados_CAV!$E:$E,Verificacao!$B$20+ROW()-2),1E+099)</f>
        <v>1E+099</v>
      </c>
      <c r="B58" s="16" t="n">
        <f aca="false" t="array" ref="B58:B58">IF(ROW()-1&lt;=Verificacao!$B$21,INDEX(Dados_CAV!$D:$D,Verificacao!$B$20+ROW()-2),IF(Verificacao!$B$21&gt;0,INDEX(Dados_CAV!$D:$D,Verificacao!$B$20+Verificacao!$B$21-1),""))</f>
        <v>10.96</v>
      </c>
    </row>
    <row r="59" customFormat="false" ht="12.75" hidden="false" customHeight="true" outlineLevel="0" collapsed="false">
      <c r="A59" s="16" t="n">
        <f aca="false" t="array" ref="A59:A59">IF(ROW()-1&lt;=Verificacao!$B$21,INDEX(Dados_CAV!$E:$E,Verificacao!$B$20+ROW()-2),1E+099)</f>
        <v>1E+099</v>
      </c>
      <c r="B59" s="16" t="n">
        <f aca="false" t="array" ref="B59:B59">IF(ROW()-1&lt;=Verificacao!$B$21,INDEX(Dados_CAV!$D:$D,Verificacao!$B$20+ROW()-2),IF(Verificacao!$B$21&gt;0,INDEX(Dados_CAV!$D:$D,Verificacao!$B$20+Verificacao!$B$21-1),""))</f>
        <v>10.96</v>
      </c>
    </row>
    <row r="60" customFormat="false" ht="12.75" hidden="false" customHeight="true" outlineLevel="0" collapsed="false">
      <c r="A60" s="16" t="n">
        <f aca="false" t="array" ref="A60:A60">IF(ROW()-1&lt;=Verificacao!$B$21,INDEX(Dados_CAV!$E:$E,Verificacao!$B$20+ROW()-2),1E+099)</f>
        <v>1E+099</v>
      </c>
      <c r="B60" s="16" t="n">
        <f aca="false" t="array" ref="B60:B60">IF(ROW()-1&lt;=Verificacao!$B$21,INDEX(Dados_CAV!$D:$D,Verificacao!$B$20+ROW()-2),IF(Verificacao!$B$21&gt;0,INDEX(Dados_CAV!$D:$D,Verificacao!$B$20+Verificacao!$B$21-1),""))</f>
        <v>10.96</v>
      </c>
    </row>
    <row r="61" customFormat="false" ht="12.75" hidden="false" customHeight="true" outlineLevel="0" collapsed="false">
      <c r="A61" s="16" t="n">
        <f aca="false" t="array" ref="A61:A61">IF(ROW()-1&lt;=Verificacao!$B$21,INDEX(Dados_CAV!$E:$E,Verificacao!$B$20+ROW()-2),1E+099)</f>
        <v>1E+099</v>
      </c>
      <c r="B61" s="16" t="n">
        <f aca="false" t="array" ref="B61:B61">IF(ROW()-1&lt;=Verificacao!$B$21,INDEX(Dados_CAV!$D:$D,Verificacao!$B$20+ROW()-2),IF(Verificacao!$B$21&gt;0,INDEX(Dados_CAV!$D:$D,Verificacao!$B$20+Verificacao!$B$21-1),""))</f>
        <v>10.96</v>
      </c>
    </row>
    <row r="62" customFormat="false" ht="12.75" hidden="false" customHeight="true" outlineLevel="0" collapsed="false">
      <c r="A62" s="16" t="n">
        <f aca="false" t="array" ref="A62:A62">IF(ROW()-1&lt;=Verificacao!$B$21,INDEX(Dados_CAV!$E:$E,Verificacao!$B$20+ROW()-2),1E+099)</f>
        <v>1E+099</v>
      </c>
      <c r="B62" s="16" t="n">
        <f aca="false" t="array" ref="B62:B62">IF(ROW()-1&lt;=Verificacao!$B$21,INDEX(Dados_CAV!$D:$D,Verificacao!$B$20+ROW()-2),IF(Verificacao!$B$21&gt;0,INDEX(Dados_CAV!$D:$D,Verificacao!$B$20+Verificacao!$B$21-1),""))</f>
        <v>10.96</v>
      </c>
    </row>
    <row r="63" customFormat="false" ht="12.75" hidden="false" customHeight="true" outlineLevel="0" collapsed="false">
      <c r="A63" s="16" t="n">
        <f aca="false" t="array" ref="A63:A63">IF(ROW()-1&lt;=Verificacao!$B$21,INDEX(Dados_CAV!$E:$E,Verificacao!$B$20+ROW()-2),1E+099)</f>
        <v>1E+099</v>
      </c>
      <c r="B63" s="16" t="n">
        <f aca="false" t="array" ref="B63:B63">IF(ROW()-1&lt;=Verificacao!$B$21,INDEX(Dados_CAV!$D:$D,Verificacao!$B$20+ROW()-2),IF(Verificacao!$B$21&gt;0,INDEX(Dados_CAV!$D:$D,Verificacao!$B$20+Verificacao!$B$21-1),""))</f>
        <v>10.96</v>
      </c>
    </row>
    <row r="64" customFormat="false" ht="12.75" hidden="false" customHeight="true" outlineLevel="0" collapsed="false">
      <c r="A64" s="16" t="n">
        <f aca="false" t="array" ref="A64:A64">IF(ROW()-1&lt;=Verificacao!$B$21,INDEX(Dados_CAV!$E:$E,Verificacao!$B$20+ROW()-2),1E+099)</f>
        <v>1E+099</v>
      </c>
      <c r="B64" s="16" t="n">
        <f aca="false" t="array" ref="B64:B64">IF(ROW()-1&lt;=Verificacao!$B$21,INDEX(Dados_CAV!$D:$D,Verificacao!$B$20+ROW()-2),IF(Verificacao!$B$21&gt;0,INDEX(Dados_CAV!$D:$D,Verificacao!$B$20+Verificacao!$B$21-1),""))</f>
        <v>10.96</v>
      </c>
    </row>
    <row r="65" customFormat="false" ht="12.75" hidden="false" customHeight="true" outlineLevel="0" collapsed="false">
      <c r="A65" s="16" t="n">
        <f aca="false" t="array" ref="A65:A65">IF(ROW()-1&lt;=Verificacao!$B$21,INDEX(Dados_CAV!$E:$E,Verificacao!$B$20+ROW()-2),1E+099)</f>
        <v>1E+099</v>
      </c>
      <c r="B65" s="16" t="n">
        <f aca="false" t="array" ref="B65:B65">IF(ROW()-1&lt;=Verificacao!$B$21,INDEX(Dados_CAV!$D:$D,Verificacao!$B$20+ROW()-2),IF(Verificacao!$B$21&gt;0,INDEX(Dados_CAV!$D:$D,Verificacao!$B$20+Verificacao!$B$21-1),""))</f>
        <v>10.96</v>
      </c>
    </row>
    <row r="66" customFormat="false" ht="12.75" hidden="false" customHeight="true" outlineLevel="0" collapsed="false">
      <c r="A66" s="16" t="n">
        <f aca="false" t="array" ref="A66:A66">IF(ROW()-1&lt;=Verificacao!$B$21,INDEX(Dados_CAV!$E:$E,Verificacao!$B$20+ROW()-2),1E+099)</f>
        <v>1E+099</v>
      </c>
      <c r="B66" s="16" t="n">
        <f aca="false" t="array" ref="B66:B66">IF(ROW()-1&lt;=Verificacao!$B$21,INDEX(Dados_CAV!$D:$D,Verificacao!$B$20+ROW()-2),IF(Verificacao!$B$21&gt;0,INDEX(Dados_CAV!$D:$D,Verificacao!$B$20+Verificacao!$B$21-1),""))</f>
        <v>10.96</v>
      </c>
    </row>
    <row r="67" customFormat="false" ht="12.75" hidden="false" customHeight="true" outlineLevel="0" collapsed="false">
      <c r="A67" s="16" t="n">
        <f aca="false" t="array" ref="A67:A67">IF(ROW()-1&lt;=Verificacao!$B$21,INDEX(Dados_CAV!$E:$E,Verificacao!$B$20+ROW()-2),1E+099)</f>
        <v>1E+099</v>
      </c>
      <c r="B67" s="16" t="n">
        <f aca="false" t="array" ref="B67:B67">IF(ROW()-1&lt;=Verificacao!$B$21,INDEX(Dados_CAV!$D:$D,Verificacao!$B$20+ROW()-2),IF(Verificacao!$B$21&gt;0,INDEX(Dados_CAV!$D:$D,Verificacao!$B$20+Verificacao!$B$21-1),""))</f>
        <v>10.96</v>
      </c>
    </row>
    <row r="68" customFormat="false" ht="12.75" hidden="false" customHeight="true" outlineLevel="0" collapsed="false">
      <c r="A68" s="16" t="n">
        <f aca="false" t="array" ref="A68:A68">IF(ROW()-1&lt;=Verificacao!$B$21,INDEX(Dados_CAV!$E:$E,Verificacao!$B$20+ROW()-2),1E+099)</f>
        <v>1E+099</v>
      </c>
      <c r="B68" s="16" t="n">
        <f aca="false" t="array" ref="B68:B68">IF(ROW()-1&lt;=Verificacao!$B$21,INDEX(Dados_CAV!$D:$D,Verificacao!$B$20+ROW()-2),IF(Verificacao!$B$21&gt;0,INDEX(Dados_CAV!$D:$D,Verificacao!$B$20+Verificacao!$B$21-1),""))</f>
        <v>10.96</v>
      </c>
    </row>
    <row r="69" customFormat="false" ht="12.75" hidden="false" customHeight="true" outlineLevel="0" collapsed="false">
      <c r="A69" s="16" t="n">
        <f aca="false" t="array" ref="A69:A69">IF(ROW()-1&lt;=Verificacao!$B$21,INDEX(Dados_CAV!$E:$E,Verificacao!$B$20+ROW()-2),1E+099)</f>
        <v>1E+099</v>
      </c>
      <c r="B69" s="16" t="n">
        <f aca="false" t="array" ref="B69:B69">IF(ROW()-1&lt;=Verificacao!$B$21,INDEX(Dados_CAV!$D:$D,Verificacao!$B$20+ROW()-2),IF(Verificacao!$B$21&gt;0,INDEX(Dados_CAV!$D:$D,Verificacao!$B$20+Verificacao!$B$21-1),""))</f>
        <v>10.96</v>
      </c>
    </row>
    <row r="70" customFormat="false" ht="12.75" hidden="false" customHeight="true" outlineLevel="0" collapsed="false">
      <c r="A70" s="16" t="n">
        <f aca="false" t="array" ref="A70:A70">IF(ROW()-1&lt;=Verificacao!$B$21,INDEX(Dados_CAV!$E:$E,Verificacao!$B$20+ROW()-2),1E+099)</f>
        <v>1E+099</v>
      </c>
      <c r="B70" s="16" t="n">
        <f aca="false" t="array" ref="B70:B70">IF(ROW()-1&lt;=Verificacao!$B$21,INDEX(Dados_CAV!$D:$D,Verificacao!$B$20+ROW()-2),IF(Verificacao!$B$21&gt;0,INDEX(Dados_CAV!$D:$D,Verificacao!$B$20+Verificacao!$B$21-1),""))</f>
        <v>10.96</v>
      </c>
    </row>
    <row r="71" customFormat="false" ht="12.75" hidden="false" customHeight="true" outlineLevel="0" collapsed="false">
      <c r="A71" s="16" t="n">
        <f aca="false" t="array" ref="A71:A71">IF(ROW()-1&lt;=Verificacao!$B$21,INDEX(Dados_CAV!$E:$E,Verificacao!$B$20+ROW()-2),1E+099)</f>
        <v>1E+099</v>
      </c>
      <c r="B71" s="16" t="n">
        <f aca="false" t="array" ref="B71:B71">IF(ROW()-1&lt;=Verificacao!$B$21,INDEX(Dados_CAV!$D:$D,Verificacao!$B$20+ROW()-2),IF(Verificacao!$B$21&gt;0,INDEX(Dados_CAV!$D:$D,Verificacao!$B$20+Verificacao!$B$21-1),""))</f>
        <v>10.96</v>
      </c>
    </row>
    <row r="72" customFormat="false" ht="12.75" hidden="false" customHeight="true" outlineLevel="0" collapsed="false">
      <c r="A72" s="16" t="n">
        <f aca="false" t="array" ref="A72:A72">IF(ROW()-1&lt;=Verificacao!$B$21,INDEX(Dados_CAV!$E:$E,Verificacao!$B$20+ROW()-2),1E+099)</f>
        <v>1E+099</v>
      </c>
      <c r="B72" s="16" t="n">
        <f aca="false" t="array" ref="B72:B72">IF(ROW()-1&lt;=Verificacao!$B$21,INDEX(Dados_CAV!$D:$D,Verificacao!$B$20+ROW()-2),IF(Verificacao!$B$21&gt;0,INDEX(Dados_CAV!$D:$D,Verificacao!$B$20+Verificacao!$B$21-1),""))</f>
        <v>10.96</v>
      </c>
    </row>
    <row r="73" customFormat="false" ht="12.75" hidden="false" customHeight="true" outlineLevel="0" collapsed="false">
      <c r="A73" s="16" t="n">
        <f aca="false" t="array" ref="A73:A73">IF(ROW()-1&lt;=Verificacao!$B$21,INDEX(Dados_CAV!$E:$E,Verificacao!$B$20+ROW()-2),1E+099)</f>
        <v>1E+099</v>
      </c>
      <c r="B73" s="16" t="n">
        <f aca="false" t="array" ref="B73:B73">IF(ROW()-1&lt;=Verificacao!$B$21,INDEX(Dados_CAV!$D:$D,Verificacao!$B$20+ROW()-2),IF(Verificacao!$B$21&gt;0,INDEX(Dados_CAV!$D:$D,Verificacao!$B$20+Verificacao!$B$21-1),""))</f>
        <v>10.96</v>
      </c>
    </row>
    <row r="74" customFormat="false" ht="12.75" hidden="false" customHeight="true" outlineLevel="0" collapsed="false">
      <c r="A74" s="16" t="n">
        <f aca="false" t="array" ref="A74:A74">IF(ROW()-1&lt;=Verificacao!$B$21,INDEX(Dados_CAV!$E:$E,Verificacao!$B$20+ROW()-2),1E+099)</f>
        <v>1E+099</v>
      </c>
      <c r="B74" s="16" t="n">
        <f aca="false" t="array" ref="B74:B74">IF(ROW()-1&lt;=Verificacao!$B$21,INDEX(Dados_CAV!$D:$D,Verificacao!$B$20+ROW()-2),IF(Verificacao!$B$21&gt;0,INDEX(Dados_CAV!$D:$D,Verificacao!$B$20+Verificacao!$B$21-1),""))</f>
        <v>10.96</v>
      </c>
    </row>
    <row r="75" customFormat="false" ht="12.75" hidden="false" customHeight="true" outlineLevel="0" collapsed="false">
      <c r="A75" s="16" t="n">
        <f aca="false" t="array" ref="A75:A75">IF(ROW()-1&lt;=Verificacao!$B$21,INDEX(Dados_CAV!$E:$E,Verificacao!$B$20+ROW()-2),1E+099)</f>
        <v>1E+099</v>
      </c>
      <c r="B75" s="16" t="n">
        <f aca="false" t="array" ref="B75:B75">IF(ROW()-1&lt;=Verificacao!$B$21,INDEX(Dados_CAV!$D:$D,Verificacao!$B$20+ROW()-2),IF(Verificacao!$B$21&gt;0,INDEX(Dados_CAV!$D:$D,Verificacao!$B$20+Verificacao!$B$21-1),""))</f>
        <v>10.96</v>
      </c>
    </row>
    <row r="76" customFormat="false" ht="12.75" hidden="false" customHeight="true" outlineLevel="0" collapsed="false">
      <c r="A76" s="16" t="n">
        <f aca="false" t="array" ref="A76:A76">IF(ROW()-1&lt;=Verificacao!$B$21,INDEX(Dados_CAV!$E:$E,Verificacao!$B$20+ROW()-2),1E+099)</f>
        <v>1E+099</v>
      </c>
      <c r="B76" s="16" t="n">
        <f aca="false" t="array" ref="B76:B76">IF(ROW()-1&lt;=Verificacao!$B$21,INDEX(Dados_CAV!$D:$D,Verificacao!$B$20+ROW()-2),IF(Verificacao!$B$21&gt;0,INDEX(Dados_CAV!$D:$D,Verificacao!$B$20+Verificacao!$B$21-1),""))</f>
        <v>10.96</v>
      </c>
    </row>
    <row r="77" customFormat="false" ht="12.75" hidden="false" customHeight="true" outlineLevel="0" collapsed="false">
      <c r="A77" s="16" t="n">
        <f aca="false" t="array" ref="A77:A77">IF(ROW()-1&lt;=Verificacao!$B$21,INDEX(Dados_CAV!$E:$E,Verificacao!$B$20+ROW()-2),1E+099)</f>
        <v>1E+099</v>
      </c>
      <c r="B77" s="16" t="n">
        <f aca="false" t="array" ref="B77:B77">IF(ROW()-1&lt;=Verificacao!$B$21,INDEX(Dados_CAV!$D:$D,Verificacao!$B$20+ROW()-2),IF(Verificacao!$B$21&gt;0,INDEX(Dados_CAV!$D:$D,Verificacao!$B$20+Verificacao!$B$21-1),""))</f>
        <v>10.96</v>
      </c>
    </row>
    <row r="78" customFormat="false" ht="12.75" hidden="false" customHeight="true" outlineLevel="0" collapsed="false">
      <c r="A78" s="16" t="n">
        <f aca="false" t="array" ref="A78:A78">IF(ROW()-1&lt;=Verificacao!$B$21,INDEX(Dados_CAV!$E:$E,Verificacao!$B$20+ROW()-2),1E+099)</f>
        <v>1E+099</v>
      </c>
      <c r="B78" s="16" t="n">
        <f aca="false" t="array" ref="B78:B78">IF(ROW()-1&lt;=Verificacao!$B$21,INDEX(Dados_CAV!$D:$D,Verificacao!$B$20+ROW()-2),IF(Verificacao!$B$21&gt;0,INDEX(Dados_CAV!$D:$D,Verificacao!$B$20+Verificacao!$B$21-1),""))</f>
        <v>10.96</v>
      </c>
    </row>
    <row r="79" customFormat="false" ht="12.75" hidden="false" customHeight="true" outlineLevel="0" collapsed="false">
      <c r="A79" s="16" t="n">
        <f aca="false" t="array" ref="A79:A79">IF(ROW()-1&lt;=Verificacao!$B$21,INDEX(Dados_CAV!$E:$E,Verificacao!$B$20+ROW()-2),1E+099)</f>
        <v>1E+099</v>
      </c>
      <c r="B79" s="16" t="n">
        <f aca="false" t="array" ref="B79:B79">IF(ROW()-1&lt;=Verificacao!$B$21,INDEX(Dados_CAV!$D:$D,Verificacao!$B$20+ROW()-2),IF(Verificacao!$B$21&gt;0,INDEX(Dados_CAV!$D:$D,Verificacao!$B$20+Verificacao!$B$21-1),""))</f>
        <v>10.96</v>
      </c>
    </row>
    <row r="80" customFormat="false" ht="12.75" hidden="false" customHeight="true" outlineLevel="0" collapsed="false">
      <c r="A80" s="16" t="n">
        <f aca="false" t="array" ref="A80:A80">IF(ROW()-1&lt;=Verificacao!$B$21,INDEX(Dados_CAV!$E:$E,Verificacao!$B$20+ROW()-2),1E+099)</f>
        <v>1E+099</v>
      </c>
      <c r="B80" s="16" t="n">
        <f aca="false" t="array" ref="B80:B80">IF(ROW()-1&lt;=Verificacao!$B$21,INDEX(Dados_CAV!$D:$D,Verificacao!$B$20+ROW()-2),IF(Verificacao!$B$21&gt;0,INDEX(Dados_CAV!$D:$D,Verificacao!$B$20+Verificacao!$B$21-1),""))</f>
        <v>10.96</v>
      </c>
    </row>
    <row r="81" customFormat="false" ht="12.75" hidden="false" customHeight="true" outlineLevel="0" collapsed="false">
      <c r="A81" s="16" t="n">
        <f aca="false" t="array" ref="A81:A81">IF(ROW()-1&lt;=Verificacao!$B$21,INDEX(Dados_CAV!$E:$E,Verificacao!$B$20+ROW()-2),1E+099)</f>
        <v>1E+099</v>
      </c>
      <c r="B81" s="16" t="n">
        <f aca="false" t="array" ref="B81:B81">IF(ROW()-1&lt;=Verificacao!$B$21,INDEX(Dados_CAV!$D:$D,Verificacao!$B$20+ROW()-2),IF(Verificacao!$B$21&gt;0,INDEX(Dados_CAV!$D:$D,Verificacao!$B$20+Verificacao!$B$21-1),""))</f>
        <v>10.96</v>
      </c>
    </row>
    <row r="82" customFormat="false" ht="12.75" hidden="false" customHeight="true" outlineLevel="0" collapsed="false">
      <c r="A82" s="16" t="n">
        <f aca="false" t="array" ref="A82:A82">IF(ROW()-1&lt;=Verificacao!$B$21,INDEX(Dados_CAV!$E:$E,Verificacao!$B$20+ROW()-2),1E+099)</f>
        <v>1E+099</v>
      </c>
      <c r="B82" s="16" t="n">
        <f aca="false" t="array" ref="B82:B82">IF(ROW()-1&lt;=Verificacao!$B$21,INDEX(Dados_CAV!$D:$D,Verificacao!$B$20+ROW()-2),IF(Verificacao!$B$21&gt;0,INDEX(Dados_CAV!$D:$D,Verificacao!$B$20+Verificacao!$B$21-1),""))</f>
        <v>10.96</v>
      </c>
    </row>
    <row r="83" customFormat="false" ht="12.75" hidden="false" customHeight="true" outlineLevel="0" collapsed="false">
      <c r="A83" s="16" t="n">
        <f aca="false" t="array" ref="A83:A83">IF(ROW()-1&lt;=Verificacao!$B$21,INDEX(Dados_CAV!$E:$E,Verificacao!$B$20+ROW()-2),1E+099)</f>
        <v>1E+099</v>
      </c>
      <c r="B83" s="16" t="n">
        <f aca="false" t="array" ref="B83:B83">IF(ROW()-1&lt;=Verificacao!$B$21,INDEX(Dados_CAV!$D:$D,Verificacao!$B$20+ROW()-2),IF(Verificacao!$B$21&gt;0,INDEX(Dados_CAV!$D:$D,Verificacao!$B$20+Verificacao!$B$21-1),""))</f>
        <v>10.96</v>
      </c>
    </row>
    <row r="84" customFormat="false" ht="12.75" hidden="false" customHeight="true" outlineLevel="0" collapsed="false">
      <c r="A84" s="16" t="n">
        <f aca="false" t="array" ref="A84:A84">IF(ROW()-1&lt;=Verificacao!$B$21,INDEX(Dados_CAV!$E:$E,Verificacao!$B$20+ROW()-2),1E+099)</f>
        <v>1E+099</v>
      </c>
      <c r="B84" s="16" t="n">
        <f aca="false" t="array" ref="B84:B84">IF(ROW()-1&lt;=Verificacao!$B$21,INDEX(Dados_CAV!$D:$D,Verificacao!$B$20+ROW()-2),IF(Verificacao!$B$21&gt;0,INDEX(Dados_CAV!$D:$D,Verificacao!$B$20+Verificacao!$B$21-1),""))</f>
        <v>10.96</v>
      </c>
    </row>
    <row r="85" customFormat="false" ht="12.75" hidden="false" customHeight="true" outlineLevel="0" collapsed="false">
      <c r="A85" s="16" t="n">
        <f aca="false" t="array" ref="A85:A85">IF(ROW()-1&lt;=Verificacao!$B$21,INDEX(Dados_CAV!$E:$E,Verificacao!$B$20+ROW()-2),1E+099)</f>
        <v>1E+099</v>
      </c>
      <c r="B85" s="16" t="n">
        <f aca="false" t="array" ref="B85:B85">IF(ROW()-1&lt;=Verificacao!$B$21,INDEX(Dados_CAV!$D:$D,Verificacao!$B$20+ROW()-2),IF(Verificacao!$B$21&gt;0,INDEX(Dados_CAV!$D:$D,Verificacao!$B$20+Verificacao!$B$21-1),""))</f>
        <v>10.96</v>
      </c>
    </row>
    <row r="86" customFormat="false" ht="12.75" hidden="false" customHeight="true" outlineLevel="0" collapsed="false">
      <c r="A86" s="16" t="n">
        <f aca="false" t="array" ref="A86:A86">IF(ROW()-1&lt;=Verificacao!$B$21,INDEX(Dados_CAV!$E:$E,Verificacao!$B$20+ROW()-2),1E+099)</f>
        <v>1E+099</v>
      </c>
      <c r="B86" s="16" t="n">
        <f aca="false" t="array" ref="B86:B86">IF(ROW()-1&lt;=Verificacao!$B$21,INDEX(Dados_CAV!$D:$D,Verificacao!$B$20+ROW()-2),IF(Verificacao!$B$21&gt;0,INDEX(Dados_CAV!$D:$D,Verificacao!$B$20+Verificacao!$B$21-1),""))</f>
        <v>10.96</v>
      </c>
    </row>
    <row r="87" customFormat="false" ht="12.75" hidden="false" customHeight="true" outlineLevel="0" collapsed="false">
      <c r="A87" s="16" t="n">
        <f aca="false" t="array" ref="A87:A87">IF(ROW()-1&lt;=Verificacao!$B$21,INDEX(Dados_CAV!$E:$E,Verificacao!$B$20+ROW()-2),1E+099)</f>
        <v>1E+099</v>
      </c>
      <c r="B87" s="16" t="n">
        <f aca="false" t="array" ref="B87:B87">IF(ROW()-1&lt;=Verificacao!$B$21,INDEX(Dados_CAV!$D:$D,Verificacao!$B$20+ROW()-2),IF(Verificacao!$B$21&gt;0,INDEX(Dados_CAV!$D:$D,Verificacao!$B$20+Verificacao!$B$21-1),""))</f>
        <v>10.96</v>
      </c>
    </row>
    <row r="88" customFormat="false" ht="12.75" hidden="false" customHeight="true" outlineLevel="0" collapsed="false">
      <c r="A88" s="16" t="n">
        <f aca="false" t="array" ref="A88:A88">IF(ROW()-1&lt;=Verificacao!$B$21,INDEX(Dados_CAV!$E:$E,Verificacao!$B$20+ROW()-2),1E+099)</f>
        <v>1E+099</v>
      </c>
      <c r="B88" s="16" t="n">
        <f aca="false" t="array" ref="B88:B88">IF(ROW()-1&lt;=Verificacao!$B$21,INDEX(Dados_CAV!$D:$D,Verificacao!$B$20+ROW()-2),IF(Verificacao!$B$21&gt;0,INDEX(Dados_CAV!$D:$D,Verificacao!$B$20+Verificacao!$B$21-1),""))</f>
        <v>10.96</v>
      </c>
    </row>
    <row r="89" customFormat="false" ht="12.75" hidden="false" customHeight="true" outlineLevel="0" collapsed="false">
      <c r="A89" s="16" t="n">
        <f aca="false" t="array" ref="A89:A89">IF(ROW()-1&lt;=Verificacao!$B$21,INDEX(Dados_CAV!$E:$E,Verificacao!$B$20+ROW()-2),1E+099)</f>
        <v>1E+099</v>
      </c>
      <c r="B89" s="16" t="n">
        <f aca="false" t="array" ref="B89:B89">IF(ROW()-1&lt;=Verificacao!$B$21,INDEX(Dados_CAV!$D:$D,Verificacao!$B$20+ROW()-2),IF(Verificacao!$B$21&gt;0,INDEX(Dados_CAV!$D:$D,Verificacao!$B$20+Verificacao!$B$21-1),""))</f>
        <v>10.96</v>
      </c>
    </row>
    <row r="90" customFormat="false" ht="12.75" hidden="false" customHeight="true" outlineLevel="0" collapsed="false">
      <c r="A90" s="16" t="n">
        <f aca="false" t="array" ref="A90:A90">IF(ROW()-1&lt;=Verificacao!$B$21,INDEX(Dados_CAV!$E:$E,Verificacao!$B$20+ROW()-2),1E+099)</f>
        <v>1E+099</v>
      </c>
      <c r="B90" s="16" t="n">
        <f aca="false" t="array" ref="B90:B90">IF(ROW()-1&lt;=Verificacao!$B$21,INDEX(Dados_CAV!$D:$D,Verificacao!$B$20+ROW()-2),IF(Verificacao!$B$21&gt;0,INDEX(Dados_CAV!$D:$D,Verificacao!$B$20+Verificacao!$B$21-1),""))</f>
        <v>10.96</v>
      </c>
    </row>
    <row r="91" customFormat="false" ht="12.75" hidden="false" customHeight="true" outlineLevel="0" collapsed="false">
      <c r="A91" s="16" t="n">
        <f aca="false" t="array" ref="A91:A91">IF(ROW()-1&lt;=Verificacao!$B$21,INDEX(Dados_CAV!$E:$E,Verificacao!$B$20+ROW()-2),1E+099)</f>
        <v>1E+099</v>
      </c>
      <c r="B91" s="16" t="n">
        <f aca="false" t="array" ref="B91:B91">IF(ROW()-1&lt;=Verificacao!$B$21,INDEX(Dados_CAV!$D:$D,Verificacao!$B$20+ROW()-2),IF(Verificacao!$B$21&gt;0,INDEX(Dados_CAV!$D:$D,Verificacao!$B$20+Verificacao!$B$21-1),""))</f>
        <v>10.96</v>
      </c>
    </row>
    <row r="92" customFormat="false" ht="12.75" hidden="false" customHeight="true" outlineLevel="0" collapsed="false">
      <c r="A92" s="16" t="n">
        <f aca="false" t="array" ref="A92:A92">IF(ROW()-1&lt;=Verificacao!$B$21,INDEX(Dados_CAV!$E:$E,Verificacao!$B$20+ROW()-2),1E+099)</f>
        <v>1E+099</v>
      </c>
      <c r="B92" s="16" t="n">
        <f aca="false" t="array" ref="B92:B92">IF(ROW()-1&lt;=Verificacao!$B$21,INDEX(Dados_CAV!$D:$D,Verificacao!$B$20+ROW()-2),IF(Verificacao!$B$21&gt;0,INDEX(Dados_CAV!$D:$D,Verificacao!$B$20+Verificacao!$B$21-1),""))</f>
        <v>10.96</v>
      </c>
    </row>
    <row r="93" customFormat="false" ht="12.75" hidden="false" customHeight="true" outlineLevel="0" collapsed="false">
      <c r="A93" s="16" t="n">
        <f aca="false" t="array" ref="A93:A93">IF(ROW()-1&lt;=Verificacao!$B$21,INDEX(Dados_CAV!$E:$E,Verificacao!$B$20+ROW()-2),1E+099)</f>
        <v>1E+099</v>
      </c>
      <c r="B93" s="16" t="n">
        <f aca="false" t="array" ref="B93:B93">IF(ROW()-1&lt;=Verificacao!$B$21,INDEX(Dados_CAV!$D:$D,Verificacao!$B$20+ROW()-2),IF(Verificacao!$B$21&gt;0,INDEX(Dados_CAV!$D:$D,Verificacao!$B$20+Verificacao!$B$21-1),""))</f>
        <v>10.96</v>
      </c>
    </row>
    <row r="94" customFormat="false" ht="12.75" hidden="false" customHeight="true" outlineLevel="0" collapsed="false">
      <c r="A94" s="16" t="n">
        <f aca="false" t="array" ref="A94:A94">IF(ROW()-1&lt;=Verificacao!$B$21,INDEX(Dados_CAV!$E:$E,Verificacao!$B$20+ROW()-2),1E+099)</f>
        <v>1E+099</v>
      </c>
      <c r="B94" s="16" t="n">
        <f aca="false" t="array" ref="B94:B94">IF(ROW()-1&lt;=Verificacao!$B$21,INDEX(Dados_CAV!$D:$D,Verificacao!$B$20+ROW()-2),IF(Verificacao!$B$21&gt;0,INDEX(Dados_CAV!$D:$D,Verificacao!$B$20+Verificacao!$B$21-1),""))</f>
        <v>10.96</v>
      </c>
    </row>
    <row r="95" customFormat="false" ht="12.75" hidden="false" customHeight="true" outlineLevel="0" collapsed="false">
      <c r="A95" s="16" t="n">
        <f aca="false" t="array" ref="A95:A95">IF(ROW()-1&lt;=Verificacao!$B$21,INDEX(Dados_CAV!$E:$E,Verificacao!$B$20+ROW()-2),1E+099)</f>
        <v>1E+099</v>
      </c>
      <c r="B95" s="16" t="n">
        <f aca="false" t="array" ref="B95:B95">IF(ROW()-1&lt;=Verificacao!$B$21,INDEX(Dados_CAV!$D:$D,Verificacao!$B$20+ROW()-2),IF(Verificacao!$B$21&gt;0,INDEX(Dados_CAV!$D:$D,Verificacao!$B$20+Verificacao!$B$21-1),""))</f>
        <v>10.96</v>
      </c>
    </row>
    <row r="96" customFormat="false" ht="12.75" hidden="false" customHeight="true" outlineLevel="0" collapsed="false">
      <c r="A96" s="16" t="n">
        <f aca="false" t="array" ref="A96:A96">IF(ROW()-1&lt;=Verificacao!$B$21,INDEX(Dados_CAV!$E:$E,Verificacao!$B$20+ROW()-2),1E+099)</f>
        <v>1E+099</v>
      </c>
      <c r="B96" s="16" t="n">
        <f aca="false" t="array" ref="B96:B96">IF(ROW()-1&lt;=Verificacao!$B$21,INDEX(Dados_CAV!$D:$D,Verificacao!$B$20+ROW()-2),IF(Verificacao!$B$21&gt;0,INDEX(Dados_CAV!$D:$D,Verificacao!$B$20+Verificacao!$B$21-1),""))</f>
        <v>10.96</v>
      </c>
    </row>
    <row r="97" customFormat="false" ht="12.75" hidden="false" customHeight="true" outlineLevel="0" collapsed="false">
      <c r="A97" s="16" t="n">
        <f aca="false" t="array" ref="A97:A97">IF(ROW()-1&lt;=Verificacao!$B$21,INDEX(Dados_CAV!$E:$E,Verificacao!$B$20+ROW()-2),1E+099)</f>
        <v>1E+099</v>
      </c>
      <c r="B97" s="16" t="n">
        <f aca="false" t="array" ref="B97:B97">IF(ROW()-1&lt;=Verificacao!$B$21,INDEX(Dados_CAV!$D:$D,Verificacao!$B$20+ROW()-2),IF(Verificacao!$B$21&gt;0,INDEX(Dados_CAV!$D:$D,Verificacao!$B$20+Verificacao!$B$21-1),""))</f>
        <v>10.96</v>
      </c>
    </row>
    <row r="98" customFormat="false" ht="12.75" hidden="false" customHeight="true" outlineLevel="0" collapsed="false">
      <c r="A98" s="16" t="n">
        <f aca="false" t="array" ref="A98:A98">IF(ROW()-1&lt;=Verificacao!$B$21,INDEX(Dados_CAV!$E:$E,Verificacao!$B$20+ROW()-2),1E+099)</f>
        <v>1E+099</v>
      </c>
      <c r="B98" s="16" t="n">
        <f aca="false" t="array" ref="B98:B98">IF(ROW()-1&lt;=Verificacao!$B$21,INDEX(Dados_CAV!$D:$D,Verificacao!$B$20+ROW()-2),IF(Verificacao!$B$21&gt;0,INDEX(Dados_CAV!$D:$D,Verificacao!$B$20+Verificacao!$B$21-1),""))</f>
        <v>10.96</v>
      </c>
    </row>
    <row r="99" customFormat="false" ht="12.75" hidden="false" customHeight="true" outlineLevel="0" collapsed="false">
      <c r="A99" s="16" t="n">
        <f aca="false" t="array" ref="A99:A99">IF(ROW()-1&lt;=Verificacao!$B$21,INDEX(Dados_CAV!$E:$E,Verificacao!$B$20+ROW()-2),1E+099)</f>
        <v>1E+099</v>
      </c>
      <c r="B99" s="16" t="n">
        <f aca="false" t="array" ref="B99:B99">IF(ROW()-1&lt;=Verificacao!$B$21,INDEX(Dados_CAV!$D:$D,Verificacao!$B$20+ROW()-2),IF(Verificacao!$B$21&gt;0,INDEX(Dados_CAV!$D:$D,Verificacao!$B$20+Verificacao!$B$21-1),""))</f>
        <v>10.96</v>
      </c>
    </row>
    <row r="100" customFormat="false" ht="12.75" hidden="false" customHeight="true" outlineLevel="0" collapsed="false">
      <c r="A100" s="16" t="n">
        <f aca="false" t="array" ref="A100:A100">IF(ROW()-1&lt;=Verificacao!$B$21,INDEX(Dados_CAV!$E:$E,Verificacao!$B$20+ROW()-2),1E+099)</f>
        <v>1E+099</v>
      </c>
      <c r="B100" s="16" t="n">
        <f aca="false" t="array" ref="B100:B100">IF(ROW()-1&lt;=Verificacao!$B$21,INDEX(Dados_CAV!$D:$D,Verificacao!$B$20+ROW()-2),IF(Verificacao!$B$21&gt;0,INDEX(Dados_CAV!$D:$D,Verificacao!$B$20+Verificacao!$B$21-1),""))</f>
        <v>10.96</v>
      </c>
    </row>
    <row r="101" customFormat="false" ht="12.75" hidden="false" customHeight="true" outlineLevel="0" collapsed="false">
      <c r="A101" s="16" t="n">
        <f aca="false" t="array" ref="A101:A101">IF(ROW()-1&lt;=Verificacao!$B$21,INDEX(Dados_CAV!$E:$E,Verificacao!$B$20+ROW()-2),1E+099)</f>
        <v>1E+099</v>
      </c>
      <c r="B101" s="16" t="n">
        <f aca="false" t="array" ref="B101:B101">IF(ROW()-1&lt;=Verificacao!$B$21,INDEX(Dados_CAV!$D:$D,Verificacao!$B$20+ROW()-2),IF(Verificacao!$B$21&gt;0,INDEX(Dados_CAV!$D:$D,Verificacao!$B$20+Verificacao!$B$21-1),""))</f>
        <v>10.96</v>
      </c>
    </row>
    <row r="102" customFormat="false" ht="12.75" hidden="false" customHeight="true" outlineLevel="0" collapsed="false">
      <c r="A102" s="16" t="n">
        <f aca="false" t="array" ref="A102:A102">IF(ROW()-1&lt;=Verificacao!$B$21,INDEX(Dados_CAV!$E:$E,Verificacao!$B$20+ROW()-2),1E+099)</f>
        <v>1E+099</v>
      </c>
      <c r="B102" s="16" t="n">
        <f aca="false" t="array" ref="B102:B102">IF(ROW()-1&lt;=Verificacao!$B$21,INDEX(Dados_CAV!$D:$D,Verificacao!$B$20+ROW()-2),IF(Verificacao!$B$21&gt;0,INDEX(Dados_CAV!$D:$D,Verificacao!$B$20+Verificacao!$B$21-1),""))</f>
        <v>10.96</v>
      </c>
    </row>
    <row r="103" customFormat="false" ht="12.75" hidden="false" customHeight="true" outlineLevel="0" collapsed="false">
      <c r="A103" s="16" t="n">
        <f aca="false" t="array" ref="A103:A103">IF(ROW()-1&lt;=Verificacao!$B$21,INDEX(Dados_CAV!$E:$E,Verificacao!$B$20+ROW()-2),1E+099)</f>
        <v>1E+099</v>
      </c>
      <c r="B103" s="16" t="n">
        <f aca="false" t="array" ref="B103:B103">IF(ROW()-1&lt;=Verificacao!$B$21,INDEX(Dados_CAV!$D:$D,Verificacao!$B$20+ROW()-2),IF(Verificacao!$B$21&gt;0,INDEX(Dados_CAV!$D:$D,Verificacao!$B$20+Verificacao!$B$21-1),""))</f>
        <v>10.96</v>
      </c>
    </row>
    <row r="104" customFormat="false" ht="12.75" hidden="false" customHeight="true" outlineLevel="0" collapsed="false">
      <c r="A104" s="16" t="n">
        <f aca="false" t="array" ref="A104:A104">IF(ROW()-1&lt;=Verificacao!$B$21,INDEX(Dados_CAV!$E:$E,Verificacao!$B$20+ROW()-2),1E+099)</f>
        <v>1E+099</v>
      </c>
      <c r="B104" s="16" t="n">
        <f aca="false" t="array" ref="B104:B104">IF(ROW()-1&lt;=Verificacao!$B$21,INDEX(Dados_CAV!$D:$D,Verificacao!$B$20+ROW()-2),IF(Verificacao!$B$21&gt;0,INDEX(Dados_CAV!$D:$D,Verificacao!$B$20+Verificacao!$B$21-1),""))</f>
        <v>10.96</v>
      </c>
    </row>
    <row r="105" customFormat="false" ht="12.75" hidden="false" customHeight="true" outlineLevel="0" collapsed="false">
      <c r="A105" s="16" t="n">
        <f aca="false" t="array" ref="A105:A105">IF(ROW()-1&lt;=Verificacao!$B$21,INDEX(Dados_CAV!$E:$E,Verificacao!$B$20+ROW()-2),1E+099)</f>
        <v>1E+099</v>
      </c>
      <c r="B105" s="16" t="n">
        <f aca="false" t="array" ref="B105:B105">IF(ROW()-1&lt;=Verificacao!$B$21,INDEX(Dados_CAV!$D:$D,Verificacao!$B$20+ROW()-2),IF(Verificacao!$B$21&gt;0,INDEX(Dados_CAV!$D:$D,Verificacao!$B$20+Verificacao!$B$21-1),""))</f>
        <v>10.96</v>
      </c>
    </row>
    <row r="106" customFormat="false" ht="12.75" hidden="false" customHeight="true" outlineLevel="0" collapsed="false">
      <c r="A106" s="16" t="n">
        <f aca="false" t="array" ref="A106:A106">IF(ROW()-1&lt;=Verificacao!$B$21,INDEX(Dados_CAV!$E:$E,Verificacao!$B$20+ROW()-2),1E+099)</f>
        <v>1E+099</v>
      </c>
      <c r="B106" s="16" t="n">
        <f aca="false" t="array" ref="B106:B106">IF(ROW()-1&lt;=Verificacao!$B$21,INDEX(Dados_CAV!$D:$D,Verificacao!$B$20+ROW()-2),IF(Verificacao!$B$21&gt;0,INDEX(Dados_CAV!$D:$D,Verificacao!$B$20+Verificacao!$B$21-1),""))</f>
        <v>10.96</v>
      </c>
    </row>
    <row r="107" customFormat="false" ht="12.75" hidden="false" customHeight="true" outlineLevel="0" collapsed="false">
      <c r="A107" s="16" t="n">
        <f aca="false" t="array" ref="A107:A107">IF(ROW()-1&lt;=Verificacao!$B$21,INDEX(Dados_CAV!$E:$E,Verificacao!$B$20+ROW()-2),1E+099)</f>
        <v>1E+099</v>
      </c>
      <c r="B107" s="16" t="n">
        <f aca="false" t="array" ref="B107:B107">IF(ROW()-1&lt;=Verificacao!$B$21,INDEX(Dados_CAV!$D:$D,Verificacao!$B$20+ROW()-2),IF(Verificacao!$B$21&gt;0,INDEX(Dados_CAV!$D:$D,Verificacao!$B$20+Verificacao!$B$21-1),""))</f>
        <v>10.96</v>
      </c>
    </row>
    <row r="108" customFormat="false" ht="12.75" hidden="false" customHeight="true" outlineLevel="0" collapsed="false">
      <c r="A108" s="16" t="n">
        <f aca="false" t="array" ref="A108:A108">IF(ROW()-1&lt;=Verificacao!$B$21,INDEX(Dados_CAV!$E:$E,Verificacao!$B$20+ROW()-2),1E+099)</f>
        <v>1E+099</v>
      </c>
      <c r="B108" s="16" t="n">
        <f aca="false" t="array" ref="B108:B108">IF(ROW()-1&lt;=Verificacao!$B$21,INDEX(Dados_CAV!$D:$D,Verificacao!$B$20+ROW()-2),IF(Verificacao!$B$21&gt;0,INDEX(Dados_CAV!$D:$D,Verificacao!$B$20+Verificacao!$B$21-1),""))</f>
        <v>10.96</v>
      </c>
    </row>
    <row r="109" customFormat="false" ht="12.75" hidden="false" customHeight="true" outlineLevel="0" collapsed="false">
      <c r="A109" s="16" t="n">
        <f aca="false" t="array" ref="A109:A109">IF(ROW()-1&lt;=Verificacao!$B$21,INDEX(Dados_CAV!$E:$E,Verificacao!$B$20+ROW()-2),1E+099)</f>
        <v>1E+099</v>
      </c>
      <c r="B109" s="16" t="n">
        <f aca="false" t="array" ref="B109:B109">IF(ROW()-1&lt;=Verificacao!$B$21,INDEX(Dados_CAV!$D:$D,Verificacao!$B$20+ROW()-2),IF(Verificacao!$B$21&gt;0,INDEX(Dados_CAV!$D:$D,Verificacao!$B$20+Verificacao!$B$21-1),""))</f>
        <v>10.96</v>
      </c>
    </row>
    <row r="110" customFormat="false" ht="12.75" hidden="false" customHeight="true" outlineLevel="0" collapsed="false">
      <c r="A110" s="16" t="n">
        <f aca="false" t="array" ref="A110:A110">IF(ROW()-1&lt;=Verificacao!$B$21,INDEX(Dados_CAV!$E:$E,Verificacao!$B$20+ROW()-2),1E+099)</f>
        <v>1E+099</v>
      </c>
      <c r="B110" s="16" t="n">
        <f aca="false" t="array" ref="B110:B110">IF(ROW()-1&lt;=Verificacao!$B$21,INDEX(Dados_CAV!$D:$D,Verificacao!$B$20+ROW()-2),IF(Verificacao!$B$21&gt;0,INDEX(Dados_CAV!$D:$D,Verificacao!$B$20+Verificacao!$B$21-1),""))</f>
        <v>10.96</v>
      </c>
    </row>
    <row r="111" customFormat="false" ht="12.75" hidden="false" customHeight="true" outlineLevel="0" collapsed="false">
      <c r="A111" s="16" t="n">
        <f aca="false" t="array" ref="A111:A111">IF(ROW()-1&lt;=Verificacao!$B$21,INDEX(Dados_CAV!$E:$E,Verificacao!$B$20+ROW()-2),1E+099)</f>
        <v>1E+099</v>
      </c>
      <c r="B111" s="16" t="n">
        <f aca="false" t="array" ref="B111:B111">IF(ROW()-1&lt;=Verificacao!$B$21,INDEX(Dados_CAV!$D:$D,Verificacao!$B$20+ROW()-2),IF(Verificacao!$B$21&gt;0,INDEX(Dados_CAV!$D:$D,Verificacao!$B$20+Verificacao!$B$21-1),""))</f>
        <v>10.96</v>
      </c>
    </row>
    <row r="112" customFormat="false" ht="12.75" hidden="false" customHeight="true" outlineLevel="0" collapsed="false">
      <c r="A112" s="16" t="n">
        <f aca="false" t="array" ref="A112:A112">IF(ROW()-1&lt;=Verificacao!$B$21,INDEX(Dados_CAV!$E:$E,Verificacao!$B$20+ROW()-2),1E+099)</f>
        <v>1E+099</v>
      </c>
      <c r="B112" s="16" t="n">
        <f aca="false" t="array" ref="B112:B112">IF(ROW()-1&lt;=Verificacao!$B$21,INDEX(Dados_CAV!$D:$D,Verificacao!$B$20+ROW()-2),IF(Verificacao!$B$21&gt;0,INDEX(Dados_CAV!$D:$D,Verificacao!$B$20+Verificacao!$B$21-1),""))</f>
        <v>10.96</v>
      </c>
    </row>
    <row r="113" customFormat="false" ht="12.75" hidden="false" customHeight="true" outlineLevel="0" collapsed="false">
      <c r="A113" s="16" t="n">
        <f aca="false" t="array" ref="A113:A113">IF(ROW()-1&lt;=Verificacao!$B$21,INDEX(Dados_CAV!$E:$E,Verificacao!$B$20+ROW()-2),1E+099)</f>
        <v>1E+099</v>
      </c>
      <c r="B113" s="16" t="n">
        <f aca="false" t="array" ref="B113:B113">IF(ROW()-1&lt;=Verificacao!$B$21,INDEX(Dados_CAV!$D:$D,Verificacao!$B$20+ROW()-2),IF(Verificacao!$B$21&gt;0,INDEX(Dados_CAV!$D:$D,Verificacao!$B$20+Verificacao!$B$21-1),""))</f>
        <v>10.96</v>
      </c>
    </row>
    <row r="114" customFormat="false" ht="12.75" hidden="false" customHeight="true" outlineLevel="0" collapsed="false">
      <c r="A114" s="16" t="n">
        <f aca="false" t="array" ref="A114:A114">IF(ROW()-1&lt;=Verificacao!$B$21,INDEX(Dados_CAV!$E:$E,Verificacao!$B$20+ROW()-2),1E+099)</f>
        <v>1E+099</v>
      </c>
      <c r="B114" s="16" t="n">
        <f aca="false" t="array" ref="B114:B114">IF(ROW()-1&lt;=Verificacao!$B$21,INDEX(Dados_CAV!$D:$D,Verificacao!$B$20+ROW()-2),IF(Verificacao!$B$21&gt;0,INDEX(Dados_CAV!$D:$D,Verificacao!$B$20+Verificacao!$B$21-1),""))</f>
        <v>10.96</v>
      </c>
    </row>
    <row r="115" customFormat="false" ht="12.75" hidden="false" customHeight="true" outlineLevel="0" collapsed="false">
      <c r="A115" s="16" t="n">
        <f aca="false" t="array" ref="A115:A115">IF(ROW()-1&lt;=Verificacao!$B$21,INDEX(Dados_CAV!$E:$E,Verificacao!$B$20+ROW()-2),1E+099)</f>
        <v>1E+099</v>
      </c>
      <c r="B115" s="16" t="n">
        <f aca="false" t="array" ref="B115:B115">IF(ROW()-1&lt;=Verificacao!$B$21,INDEX(Dados_CAV!$D:$D,Verificacao!$B$20+ROW()-2),IF(Verificacao!$B$21&gt;0,INDEX(Dados_CAV!$D:$D,Verificacao!$B$20+Verificacao!$B$21-1),""))</f>
        <v>10.96</v>
      </c>
    </row>
    <row r="116" customFormat="false" ht="12.75" hidden="false" customHeight="true" outlineLevel="0" collapsed="false">
      <c r="A116" s="16" t="n">
        <f aca="false" t="array" ref="A116:A116">IF(ROW()-1&lt;=Verificacao!$B$21,INDEX(Dados_CAV!$E:$E,Verificacao!$B$20+ROW()-2),1E+099)</f>
        <v>1E+099</v>
      </c>
      <c r="B116" s="16" t="n">
        <f aca="false" t="array" ref="B116:B116">IF(ROW()-1&lt;=Verificacao!$B$21,INDEX(Dados_CAV!$D:$D,Verificacao!$B$20+ROW()-2),IF(Verificacao!$B$21&gt;0,INDEX(Dados_CAV!$D:$D,Verificacao!$B$20+Verificacao!$B$21-1),""))</f>
        <v>10.96</v>
      </c>
    </row>
    <row r="117" customFormat="false" ht="12.75" hidden="false" customHeight="true" outlineLevel="0" collapsed="false">
      <c r="A117" s="16" t="n">
        <f aca="false" t="array" ref="A117:A117">IF(ROW()-1&lt;=Verificacao!$B$21,INDEX(Dados_CAV!$E:$E,Verificacao!$B$20+ROW()-2),1E+099)</f>
        <v>1E+099</v>
      </c>
      <c r="B117" s="16" t="n">
        <f aca="false" t="array" ref="B117:B117">IF(ROW()-1&lt;=Verificacao!$B$21,INDEX(Dados_CAV!$D:$D,Verificacao!$B$20+ROW()-2),IF(Verificacao!$B$21&gt;0,INDEX(Dados_CAV!$D:$D,Verificacao!$B$20+Verificacao!$B$21-1),""))</f>
        <v>10.96</v>
      </c>
    </row>
    <row r="118" customFormat="false" ht="12.75" hidden="false" customHeight="true" outlineLevel="0" collapsed="false">
      <c r="A118" s="16" t="n">
        <f aca="false" t="array" ref="A118:A118">IF(ROW()-1&lt;=Verificacao!$B$21,INDEX(Dados_CAV!$E:$E,Verificacao!$B$20+ROW()-2),1E+099)</f>
        <v>1E+099</v>
      </c>
      <c r="B118" s="16" t="n">
        <f aca="false" t="array" ref="B118:B118">IF(ROW()-1&lt;=Verificacao!$B$21,INDEX(Dados_CAV!$D:$D,Verificacao!$B$20+ROW()-2),IF(Verificacao!$B$21&gt;0,INDEX(Dados_CAV!$D:$D,Verificacao!$B$20+Verificacao!$B$21-1),""))</f>
        <v>10.96</v>
      </c>
    </row>
    <row r="119" customFormat="false" ht="12.75" hidden="false" customHeight="true" outlineLevel="0" collapsed="false">
      <c r="A119" s="16" t="n">
        <f aca="false" t="array" ref="A119:A119">IF(ROW()-1&lt;=Verificacao!$B$21,INDEX(Dados_CAV!$E:$E,Verificacao!$B$20+ROW()-2),1E+099)</f>
        <v>1E+099</v>
      </c>
      <c r="B119" s="16" t="n">
        <f aca="false" t="array" ref="B119:B119">IF(ROW()-1&lt;=Verificacao!$B$21,INDEX(Dados_CAV!$D:$D,Verificacao!$B$20+ROW()-2),IF(Verificacao!$B$21&gt;0,INDEX(Dados_CAV!$D:$D,Verificacao!$B$20+Verificacao!$B$21-1),""))</f>
        <v>10.96</v>
      </c>
    </row>
    <row r="120" customFormat="false" ht="12.75" hidden="false" customHeight="true" outlineLevel="0" collapsed="false">
      <c r="A120" s="16" t="n">
        <f aca="false" t="array" ref="A120:A120">IF(ROW()-1&lt;=Verificacao!$B$21,INDEX(Dados_CAV!$E:$E,Verificacao!$B$20+ROW()-2),1E+099)</f>
        <v>1E+099</v>
      </c>
      <c r="B120" s="16" t="n">
        <f aca="false" t="array" ref="B120:B120">IF(ROW()-1&lt;=Verificacao!$B$21,INDEX(Dados_CAV!$D:$D,Verificacao!$B$20+ROW()-2),IF(Verificacao!$B$21&gt;0,INDEX(Dados_CAV!$D:$D,Verificacao!$B$20+Verificacao!$B$21-1),""))</f>
        <v>10.96</v>
      </c>
    </row>
    <row r="121" customFormat="false" ht="12.75" hidden="false" customHeight="true" outlineLevel="0" collapsed="false">
      <c r="A121" s="16" t="n">
        <f aca="false" t="array" ref="A121:A121">IF(ROW()-1&lt;=Verificacao!$B$21,INDEX(Dados_CAV!$E:$E,Verificacao!$B$20+ROW()-2),1E+099)</f>
        <v>1E+099</v>
      </c>
      <c r="B121" s="16" t="n">
        <f aca="false" t="array" ref="B121:B121">IF(ROW()-1&lt;=Verificacao!$B$21,INDEX(Dados_CAV!$D:$D,Verificacao!$B$20+ROW()-2),IF(Verificacao!$B$21&gt;0,INDEX(Dados_CAV!$D:$D,Verificacao!$B$20+Verificacao!$B$21-1),""))</f>
        <v>10.96</v>
      </c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2026-10-03T15:55:00Z</dcterms:modified>
  <cp:revision>1</cp:revision>
  <dc:subject/>
  <dc:title/>
</cp:coreProperties>
</file>